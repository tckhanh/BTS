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192.168.10.5\Lanh Dao\Khanh\Data\. De tai\De tai 2020\3. Du lieu\TT3\File nhap lieu\"/>
    </mc:Choice>
  </mc:AlternateContent>
  <bookViews>
    <workbookView xWindow="0" yWindow="0" windowWidth="23040" windowHeight="9384" tabRatio="897"/>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'City'!$A$1:$E$64</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'TT08'!$A$1:$AO$2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<sst xmlns="http://schemas.openxmlformats.org/spreadsheetml/2006/main" count="22137" uniqueCount="22137">
  <si>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</si>
  <si>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</si>
  <si>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</si>
  <si>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</si>
  <si>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</si>
  <si>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</si>
  <si>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</si>
  <si>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</si>
  <si>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</si>
  <si>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</si>
  <si>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</si>
  <si>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</si>
  <si>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</si>
  <si>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</si>
  <si>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</si>
  <si>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</si>
  <si>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</si>
  <si>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</si>
  <si>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</si>
  <si>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</si>
  <si>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</si>
  <si>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</si>
  <si>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</si>
  <si>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</si>
  <si>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</si>
  <si>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</si>
  <si>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</si>
  <si>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</si>
  <si>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</si>
  <si>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</si>
  <si>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</si>
  <si>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</si>
  <si>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</si>
  <si>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</si>
  <si>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</si>
  <si>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</si>
  <si>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</si>
  <si>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</si>
  <si>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</si>
  <si>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</si>
  <si>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</si>
  <si>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</si>
  <si>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</si>
  <si>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</si>
  <si>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</si>
  <si>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</si>
  <si>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</si>
  <si>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</si>
  <si>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</si>
  <si>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</si>
  <si>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</si>
  <si>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</si>
  <si>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</si>
  <si>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</si>
  <si>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</si>
  <si>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</si>
  <si>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</si>
  <si>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</si>
  <si>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</si>
  <si>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</si>
  <si>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</si>
  <si>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</si>
  <si>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</si>
  <si>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</si>
  <si>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</si>
  <si>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</si>
  <si>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</si>
  <si>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</si>
  <si>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</si>
  <si>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</si>
  <si>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</si>
  <si>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</si>
  <si>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</si>
  <si>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</si>
  <si>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</si>
  <si>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</si>
  <si>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</si>
  <si>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</si>
  <si>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</si>
  <si>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</si>
  <si>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</si>
  <si>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</si>
  <si>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</si>
  <si>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</si>
  <si>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</si>
  <si>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</si>
  <si>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</si>
  <si>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</si>
  <si>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</si>
  <si>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</si>
  <si>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</si>
  <si>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</si>
  <si>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</si>
  <si>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</si>
  <si>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</si>
  <si>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</si>
  <si>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</si>
  <si>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</si>
  <si>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</si>
  <si>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</si>
  <si>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</si>
  <si>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</si>
  <si>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</si>
  <si>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</si>
  <si>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</si>
  <si>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</si>
  <si>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</si>
  <si>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</si>
  <si>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</si>
  <si>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</si>
  <si>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</si>
  <si>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</si>
  <si>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</si>
  <si>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</si>
  <si>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</si>
  <si>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</si>
  <si>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</si>
  <si>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</si>
  <si>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</si>
  <si>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</si>
  <si>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</si>
  <si>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</si>
  <si>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</si>
  <si>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</si>
  <si>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</si>
  <si>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</si>
  <si>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</si>
  <si>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</si>
  <si>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</si>
  <si>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</si>
  <si>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</si>
  <si>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</si>
  <si>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</si>
  <si>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</si>
  <si>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</si>
  <si>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</si>
  <si>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</si>
  <si>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</si>
  <si>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</si>
  <si>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</si>
  <si>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</si>
  <si>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</si>
  <si>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</si>
  <si>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</si>
  <si>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</si>
  <si>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</si>
  <si>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</si>
  <si>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</si>
  <si>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</si>
  <si>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</si>
  <si>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</si>
  <si>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</si>
  <si>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</si>
  <si>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</si>
  <si>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</si>
  <si>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</si>
  <si>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</si>
  <si>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</si>
  <si>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</si>
  <si>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</si>
  <si>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</si>
  <si>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</si>
  <si>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</si>
  <si>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</si>
  <si>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</si>
  <si>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</si>
  <si>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</si>
  <si>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</si>
  <si>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</si>
  <si>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</si>
  <si>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</si>
  <si>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</si>
  <si>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</si>
  <si>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</si>
  <si>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</si>
  <si>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</si>
  <si>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</si>
  <si>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</si>
  <si>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</si>
  <si>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</si>
  <si>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</si>
  <si>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</si>
  <si>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</si>
  <si>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</si>
  <si>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</si>
  <si>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</si>
  <si>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</si>
  <si>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</si>
  <si>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</si>
  <si>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</si>
  <si>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</si>
  <si>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</si>
  <si>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</si>
  <si>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</si>
  <si>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</si>
  <si>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</si>
  <si>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</si>
  <si>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</si>
  <si>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</si>
  <si>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</si>
  <si>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</si>
  <si>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</si>
  <si>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</si>
  <si>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</si>
  <si>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</si>
  <si>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</si>
  <si>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</si>
  <si>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</si>
  <si>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</si>
  <si>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</si>
  <si>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</si>
  <si>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</si>
  <si>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</si>
  <si>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</si>
  <si>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</si>
  <si>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</si>
  <si>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</si>
  <si>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</si>
  <si>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</si>
  <si>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</si>
  <si>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</si>
  <si>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</si>
  <si>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</si>
  <si>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</si>
  <si>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</si>
  <si>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</si>
  <si>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</si>
  <si>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</si>
  <si>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</si>
  <si>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</si>
  <si>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</si>
  <si>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</si>
  <si>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</si>
  <si>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</si>
  <si>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</si>
  <si>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</si>
  <si>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</si>
  <si>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</si>
  <si>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</si>
  <si>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</si>
  <si>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</si>
  <si>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</si>
  <si>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</si>
  <si>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</si>
  <si>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</si>
  <si>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</si>
  <si>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</si>
  <si>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</si>
  <si>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</si>
  <si>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</si>
  <si>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</si>
  <si>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</si>
  <si>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</si>
  <si>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</si>
  <si>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</si>
  <si>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</si>
  <si>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</si>
  <si>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</si>
  <si>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</si>
  <si>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</si>
  <si>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</si>
  <si>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</si>
  <si>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</si>
  <si>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</si>
  <si>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</si>
  <si>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</si>
  <si>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</si>
  <si>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</si>
  <si>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</si>
  <si>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</si>
  <si>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</si>
  <si>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</si>
  <si>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</si>
  <si>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</si>
  <si>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</si>
  <si>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</si>
  <si>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</si>
  <si>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</si>
  <si>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</si>
  <si>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</si>
  <si>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</si>
  <si>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</si>
  <si>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</si>
  <si>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</si>
  <si>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</si>
  <si>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</si>
  <si>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</si>
  <si>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</si>
  <si>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</si>
  <si>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</si>
  <si>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</si>
  <si>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</si>
  <si>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</si>
  <si>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</si>
  <si>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</si>
  <si>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</si>
  <si>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</si>
  <si>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</si>
  <si>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</si>
  <si>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</si>
  <si>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</si>
  <si>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</si>
  <si>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</si>
  <si>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</si>
  <si>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</si>
  <si>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</si>
  <si>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</si>
  <si>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</si>
  <si>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</si>
  <si>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</si>
  <si>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</si>
  <si>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</si>
  <si>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</si>
  <si>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</si>
  <si>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</si>
  <si>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</si>
  <si>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</si>
  <si>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</si>
  <si>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</si>
  <si>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</si>
  <si>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</si>
  <si>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</si>
  <si>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</si>
  <si>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</si>
  <si>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</si>
  <si>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</si>
  <si>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</si>
  <si>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</si>
  <si>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</si>
  <si>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</si>
  <si>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</si>
  <si>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</si>
  <si>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</si>
  <si>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</si>
  <si>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</si>
  <si>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</si>
  <si>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</si>
  <si>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</si>
  <si>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</si>
  <si>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</si>
  <si>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</si>
  <si>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</si>
  <si>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</si>
  <si>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</si>
  <si>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</si>
  <si>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</si>
  <si>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</si>
  <si>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</si>
  <si>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</si>
  <si>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</si>
  <si>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</si>
  <si>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</si>
  <si>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</si>
  <si>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</si>
  <si>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</si>
  <si>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</si>
  <si>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</si>
  <si>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</si>
  <si>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</si>
  <si>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</si>
  <si>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</si>
  <si>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</si>
  <si>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</si>
  <si>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</si>
  <si>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</si>
  <si>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</si>
  <si>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</si>
  <si>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</si>
  <si>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</si>
  <si>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</si>
  <si>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</si>
  <si>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</si>
  <si>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</si>
  <si>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</si>
  <si>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</si>
  <si>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</si>
  <si>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</si>
  <si>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</si>
  <si>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</si>
  <si>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</si>
  <si>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</si>
  <si>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</si>
  <si>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</si>
  <si>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</si>
  <si>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</si>
  <si>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</si>
  <si>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</si>
  <si>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</si>
  <si>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</si>
  <si>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</si>
  <si>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</si>
  <si>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</si>
  <si>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</si>
  <si>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</si>
  <si>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</si>
  <si>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</si>
  <si>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</si>
  <si>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</si>
  <si>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</si>
  <si>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</si>
  <si>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</si>
  <si>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</si>
  <si>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</si>
  <si>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</si>
  <si>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</si>
  <si>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</si>
  <si>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</si>
  <si>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</si>
  <si>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</si>
  <si>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</si>
  <si>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</si>
  <si>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</si>
  <si>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</si>
  <si>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</si>
  <si>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</si>
  <si>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</si>
  <si>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</si>
  <si>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</si>
  <si>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</si>
  <si>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</si>
  <si>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</si>
  <si>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</si>
  <si>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</si>
  <si>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</si>
  <si>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</si>
  <si>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</si>
  <si>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</si>
  <si>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</si>
  <si>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</si>
  <si>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</si>
  <si>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</si>
  <si>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</si>
  <si>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</si>
  <si>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</si>
  <si>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</si>
  <si>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</si>
  <si>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</si>
  <si>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</si>
  <si>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</si>
  <si>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</si>
  <si>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</si>
  <si>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</si>
  <si>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</si>
  <si>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</si>
  <si>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</si>
  <si>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</si>
  <si>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</si>
  <si>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</si>
  <si>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</si>
  <si>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</si>
  <si>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</si>
  <si>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</si>
  <si>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</si>
  <si>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</si>
  <si>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</si>
  <si>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</si>
  <si>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</si>
  <si>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</si>
  <si>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</si>
  <si>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</si>
  <si>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</si>
  <si>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</si>
  <si>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</si>
  <si>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</si>
  <si>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</si>
  <si>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</si>
  <si>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</si>
  <si>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</si>
  <si>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</si>
  <si>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</si>
  <si>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</si>
  <si>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</si>
  <si>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</si>
  <si>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</si>
  <si>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</si>
  <si>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</si>
  <si>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</si>
  <si>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</si>
  <si>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</si>
  <si>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</si>
  <si>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</si>
  <si>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</si>
  <si>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</si>
  <si>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</si>
  <si>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</si>
  <si>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</si>
  <si>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</si>
  <si>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</si>
  <si>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</si>
  <si>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</si>
  <si>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</si>
  <si>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</si>
  <si>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</si>
  <si>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</si>
  <si>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</si>
  <si>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</si>
  <si>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</si>
  <si>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</si>
  <si>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</si>
  <si>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</si>
  <si>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</si>
  <si>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</si>
  <si>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</si>
  <si>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</si>
  <si>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</si>
  <si>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</si>
  <si>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</si>
  <si>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</si>
  <si>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</si>
  <si>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</si>
  <si>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</si>
  <si>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</si>
  <si>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</si>
  <si>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</si>
  <si>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</si>
  <si>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</si>
  <si>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</si>
  <si>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</si>
  <si>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</si>
  <si>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</si>
  <si>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</si>
  <si>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</si>
  <si>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</si>
  <si>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</si>
  <si>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</si>
  <si>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</si>
  <si>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</si>
  <si>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</si>
  <si>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</si>
  <si>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</si>
  <si>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</si>
  <si>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</si>
  <si>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</si>
  <si>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</si>
  <si>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</si>
  <si>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</si>
  <si>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</si>
  <si>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</si>
  <si>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</si>
  <si>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</si>
  <si>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</si>
  <si>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</si>
  <si>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</si>
  <si>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</si>
  <si>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</si>
  <si>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</si>
  <si>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</si>
  <si>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</si>
  <si>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</si>
  <si>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</si>
  <si>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</si>
  <si>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</si>
  <si>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</si>
  <si>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</si>
  <si>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</si>
  <si>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</si>
  <si>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</si>
  <si>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</si>
  <si>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</si>
  <si>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</si>
  <si>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</si>
  <si>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</si>
  <si>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</si>
  <si>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</si>
  <si>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</si>
  <si>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</si>
  <si>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</si>
  <si>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</si>
  <si>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</si>
  <si>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</si>
  <si>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</si>
  <si>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</si>
  <si>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</si>
  <si>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</si>
  <si>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</si>
  <si>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</si>
  <si>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</si>
  <si>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</si>
  <si>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</si>
  <si>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</si>
  <si>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</si>
  <si>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</si>
  <si>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</si>
  <si>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</si>
  <si>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</si>
  <si>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</si>
  <si>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</si>
  <si>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</si>
  <si>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</si>
  <si>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</si>
  <si>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</si>
  <si>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</si>
  <si>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</si>
  <si>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</si>
  <si>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</si>
  <si>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</si>
  <si>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</si>
  <si>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</si>
  <si>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</si>
  <si>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</si>
  <si>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</si>
  <si>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</si>
  <si>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</si>
  <si>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</si>
  <si>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</si>
  <si>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</si>
  <si>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</si>
  <si>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</si>
  <si>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</si>
  <si>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</si>
  <si>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</si>
  <si>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</si>
  <si>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</si>
  <si>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</si>
  <si>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</si>
  <si>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</si>
  <si>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</si>
  <si>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</si>
  <si>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</si>
  <si>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</si>
  <si>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</si>
  <si>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</si>
  <si>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</si>
  <si>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</si>
  <si>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</si>
  <si>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</si>
  <si>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</si>
  <si>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</si>
  <si>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</si>
  <si>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</si>
  <si>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</si>
  <si>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</si>
  <si>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</si>
  <si>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</si>
  <si>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</si>
  <si>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</si>
  <si>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</si>
  <si>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</si>
  <si>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</si>
  <si>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</si>
  <si>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</si>
  <si>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</si>
  <si>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</si>
  <si>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</si>
  <si>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</si>
  <si>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</si>
  <si>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</si>
  <si>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</si>
  <si>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</si>
  <si>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</si>
  <si>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</si>
  <si>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</si>
  <si>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</si>
  <si>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</si>
  <si>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</si>
  <si>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</si>
  <si>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</si>
  <si>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</si>
  <si>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</si>
  <si>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</si>
  <si>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</si>
  <si>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</si>
  <si>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</si>
  <si>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</si>
  <si>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</si>
  <si>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</si>
  <si>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</si>
  <si>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</si>
  <si>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</si>
  <si>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</si>
  <si>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</si>
  <si>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</si>
  <si>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</si>
  <si>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</si>
  <si>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</si>
  <si>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</si>
  <si>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</si>
  <si>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</si>
  <si>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</si>
  <si>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</si>
  <si>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</si>
  <si>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</si>
  <si>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</si>
  <si>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</si>
  <si>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</si>
  <si>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</si>
  <si>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</si>
  <si>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</si>
  <si>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</si>
  <si>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</si>
  <si>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</si>
  <si>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</si>
  <si>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</si>
  <si>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</si>
  <si>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</si>
  <si>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</si>
  <si>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</si>
  <si>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</si>
  <si>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</si>
  <si>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</si>
  <si>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</si>
  <si>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</si>
  <si>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</si>
  <si>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</si>
  <si>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</si>
  <si>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</si>
  <si>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</si>
  <si>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</si>
  <si>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</si>
  <si>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</si>
  <si>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</si>
  <si>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</si>
  <si>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</si>
  <si>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</si>
  <si>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</si>
  <si>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</si>
  <si>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</si>
  <si>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</si>
  <si>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</si>
  <si>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</si>
  <si>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</si>
  <si>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</si>
  <si>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</si>
  <si>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</si>
  <si>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</si>
  <si>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</si>
  <si>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</si>
  <si>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</si>
  <si>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</si>
  <si>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</si>
  <si>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</si>
  <si>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</si>
  <si>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</si>
  <si>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</si>
  <si>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</si>
  <si>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</si>
  <si>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</si>
  <si>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</si>
  <si>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</si>
  <si>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</si>
  <si>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</si>
  <si>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</si>
  <si>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</si>
  <si>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</si>
  <si>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</si>
  <si>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</si>
  <si>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</si>
  <si>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</si>
  <si>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</si>
  <si>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</si>
  <si>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</si>
  <si>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</si>
  <si>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</si>
  <si>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</si>
  <si>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</si>
  <si>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</si>
  <si>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</si>
  <si>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</si>
  <si>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</si>
  <si>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</si>
  <si>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</si>
  <si>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</si>
  <si>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</si>
  <si>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</si>
  <si>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</si>
  <si>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</si>
  <si>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</si>
  <si>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</si>
  <si>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</si>
  <si>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</si>
  <si>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</si>
  <si>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</si>
  <si>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</si>
  <si>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</si>
  <si>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</si>
  <si>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</si>
  <si>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</si>
  <si>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</si>
  <si>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</si>
  <si>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</si>
  <si>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</si>
  <si>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</si>
  <si>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</si>
  <si>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</si>
  <si>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</si>
  <si>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</si>
  <si>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</si>
  <si>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</si>
  <si>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</si>
  <si>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</si>
  <si>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</si>
  <si>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</si>
  <si>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</si>
  <si>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</si>
  <si>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</si>
  <si>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</si>
  <si>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</si>
  <si>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</si>
  <si>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</si>
  <si>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</si>
  <si>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</si>
  <si>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</si>
  <si>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</si>
  <si>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</si>
  <si>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</si>
  <si>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</si>
  <si>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</si>
  <si>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</si>
  <si>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</si>
  <si>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</si>
  <si>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</si>
  <si>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</si>
  <si>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</si>
  <si>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</si>
  <si>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</si>
  <si>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</si>
  <si>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</si>
  <si>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</si>
  <si>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</si>
  <si>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</si>
  <si>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</si>
  <si>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</si>
  <si>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</si>
  <si>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</si>
  <si>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</si>
  <si>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</si>
  <si>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</si>
  <si>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</si>
  <si>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</si>
  <si>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</si>
  <si>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</si>
  <si>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</si>
  <si>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</si>
  <si>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</si>
  <si>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</si>
  <si>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</si>
  <si>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</si>
  <si>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</si>
  <si>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</si>
  <si>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</si>
  <si>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</si>
  <si>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</si>
  <si>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</si>
  <si>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</si>
  <si>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</si>
  <si>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</si>
  <si>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</si>
  <si>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</si>
  <si>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</si>
  <si>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</si>
  <si>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</si>
  <si>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</si>
  <si>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</si>
  <si>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</si>
  <si>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</si>
  <si>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</si>
  <si>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</si>
  <si>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</si>
  <si>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</si>
  <si>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</si>
  <si>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</si>
  <si>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</si>
  <si>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</si>
  <si>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</si>
  <si>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</si>
  <si>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</si>
  <si>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</si>
  <si>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</si>
  <si>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</si>
  <si>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</si>
  <si>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</si>
  <si>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</si>
  <si>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</si>
  <si>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</si>
  <si>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</si>
  <si>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</si>
  <si>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</si>
  <si>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</si>
  <si>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</si>
  <si>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</si>
  <si>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</si>
  <si>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</si>
  <si>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</si>
  <si>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</si>
  <si>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</si>
  <si>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</si>
  <si>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</si>
  <si>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</si>
  <si>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</si>
  <si>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</si>
  <si>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</si>
  <si>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</si>
  <si>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</si>
  <si>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</si>
  <si>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</si>
  <si>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</si>
  <si>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</si>
  <si>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</si>
  <si>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</si>
  <si>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</si>
  <si>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</si>
  <si>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</si>
  <si>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</si>
  <si>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</si>
  <si>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</si>
  <si>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</si>
  <si>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</si>
  <si>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</si>
  <si>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</si>
  <si>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</si>
  <si>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</si>
  <si>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</si>
  <si>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</si>
  <si>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</si>
  <si>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</si>
  <si>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</si>
  <si>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</si>
  <si>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</si>
  <si>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</si>
  <si>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</si>
  <si>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</si>
  <si>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</si>
  <si>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</si>
  <si>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</si>
  <si>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</si>
  <si>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</si>
  <si>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</si>
  <si>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</si>
  <si>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</si>
  <si>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</si>
  <si>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</si>
  <si>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</si>
  <si>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</si>
  <si>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</si>
  <si>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</si>
  <si>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</si>
  <si>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</si>
  <si>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</si>
  <si>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</si>
  <si>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</si>
  <si>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</si>
  <si>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</si>
  <si>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</si>
  <si>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</si>
  <si>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</si>
  <si>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</si>
  <si>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</si>
  <si>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</si>
  <si>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</si>
  <si>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</si>
  <si>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</si>
  <si>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</si>
  <si>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</si>
  <si>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</si>
  <si>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</si>
  <si>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</si>
  <si>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</si>
  <si>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</si>
  <si>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</si>
  <si>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</si>
  <si>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</si>
  <si>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</si>
  <si>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</si>
  <si>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</si>
  <si>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</si>
  <si>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</si>
  <si>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</si>
  <si>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</si>
  <si>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</si>
  <si>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</si>
  <si>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</si>
  <si>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</si>
  <si>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</si>
  <si>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</si>
  <si>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</si>
  <si>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</si>
  <si>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</si>
  <si>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</si>
  <si>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</si>
  <si>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</si>
  <si>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</si>
  <si>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</si>
  <si>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</si>
  <si>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</si>
  <si>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</si>
  <si>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</si>
  <si>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</si>
  <si>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</si>
  <si>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</si>
  <si>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</si>
  <si>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</si>
  <si>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</si>
  <si>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</si>
  <si>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</si>
  <si>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</si>
  <si>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</si>
  <si>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</si>
  <si>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</si>
  <si>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</si>
  <si>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</si>
  <si>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</si>
  <si>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</si>
  <si>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</si>
  <si>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</si>
  <si>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</si>
  <si>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</si>
  <si>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</si>
  <si>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</si>
  <si>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</si>
  <si>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</si>
  <si>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</si>
  <si>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</si>
  <si>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</si>
  <si>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</si>
  <si>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</si>
  <si>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</si>
  <si>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</si>
  <si>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</si>
  <si>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</si>
  <si>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</si>
  <si>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</si>
  <si>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</si>
  <si>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</si>
  <si>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</si>
  <si>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</si>
  <si>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</si>
  <si>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</si>
  <si>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</si>
  <si>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</si>
  <si>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</si>
  <si>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</si>
  <si>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</si>
  <si>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</si>
  <si>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</si>
  <si>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</si>
  <si>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</si>
  <si>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</si>
  <si>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</si>
  <si>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</si>
  <si>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</si>
  <si>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</si>
  <si>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</si>
  <si>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</si>
  <si>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</si>
  <si>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</si>
  <si>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</si>
  <si>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</si>
  <si>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</si>
  <si>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</si>
  <si>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</si>
  <si>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</si>
  <si>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</si>
  <si>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</si>
  <si>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</si>
  <si>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</si>
  <si>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</si>
  <si>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</si>
  <si>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</si>
  <si>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</si>
  <si>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</si>
  <si>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</si>
  <si>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</si>
  <si>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</si>
  <si>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</si>
  <si>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</si>
  <si>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</si>
  <si>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</si>
  <si>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</si>
  <si>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</si>
  <si>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</si>
  <si>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</si>
  <si>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</si>
  <si>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</si>
  <si>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</si>
  <si>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</si>
  <si>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</si>
  <si>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</si>
  <si>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</si>
  <si>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</si>
  <si>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</si>
  <si>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</si>
  <si>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</si>
  <si>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</si>
  <si>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</si>
  <si>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</si>
  <si>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</si>
  <si>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</si>
  <si>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</si>
  <si>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</si>
  <si>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</si>
  <si>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</si>
  <si>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</si>
  <si>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</si>
  <si>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</si>
  <si>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</si>
  <si>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</si>
  <si>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</si>
  <si>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</si>
  <si>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</si>
  <si>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</si>
  <si>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</si>
  <si>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</si>
  <si>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</si>
  <si>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</si>
  <si>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</si>
  <si>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</si>
  <si>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</si>
  <si>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</si>
  <si>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</si>
  <si>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</si>
  <si>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</si>
  <si>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</si>
  <si>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</si>
  <si>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</si>
  <si>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</si>
  <si>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</si>
  <si>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</si>
  <si>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</si>
  <si>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</si>
  <si>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</si>
  <si>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</si>
  <si>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</si>
  <si>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</si>
  <si>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</si>
  <si>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</si>
  <si>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</si>
  <si>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</si>
  <si>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</si>
  <si>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</si>
  <si>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</si>
  <si>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</si>
  <si>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</si>
  <si>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</si>
  <si>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</si>
  <si>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</si>
  <si>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</si>
  <si>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</si>
  <si>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</si>
  <si>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</si>
  <si>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</si>
  <si>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</si>
  <si>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</si>
  <si>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</si>
  <si>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</si>
  <si>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</si>
  <si>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</si>
  <si>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</si>
  <si>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</si>
  <si>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</si>
  <si>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</si>
  <si>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</si>
  <si>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</si>
  <si>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</si>
  <si>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</si>
  <si>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</si>
  <si>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</si>
  <si>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</si>
  <si>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</si>
  <si>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</si>
  <si>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</si>
  <si>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</si>
  <si>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</si>
  <si>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</si>
  <si>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</si>
  <si>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</si>
  <si>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</si>
  <si>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</si>
  <si>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</si>
  <si>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</si>
  <si>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</si>
  <si>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</si>
  <si>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</si>
  <si>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</si>
  <si>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</si>
  <si>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</si>
  <si>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</si>
  <si>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</si>
  <si>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</si>
  <si>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</si>
  <si>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</si>
  <si>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</si>
  <si>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</si>
  <si>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</si>
  <si>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</si>
  <si>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</si>
  <si>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</si>
  <si>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</si>
  <si>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</si>
  <si>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</si>
  <si>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</si>
  <si>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</si>
  <si>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</si>
  <si>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</si>
  <si>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</si>
  <si>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</si>
  <si>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</si>
  <si>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</si>
  <si>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</si>
  <si>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</si>
  <si>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</si>
  <si>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</si>
  <si>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</si>
  <si>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</si>
  <si>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</si>
  <si>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</si>
  <si>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</si>
  <si>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</si>
  <si>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</si>
  <si>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</si>
  <si>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</si>
  <si>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</si>
  <si>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</si>
  <si>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</si>
  <si>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</si>
  <si>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</si>
  <si>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</si>
  <si>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</si>
  <si>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</si>
  <si>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</si>
  <si>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</si>
  <si>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</si>
  <si>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</si>
  <si>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</si>
  <si>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</si>
  <si>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</si>
  <si>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</si>
  <si>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</si>
  <si>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</si>
  <si>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</si>
  <si>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</si>
  <si>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</si>
  <si>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</si>
  <si>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</si>
  <si>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</si>
  <si>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</si>
  <si>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</si>
  <si>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</si>
  <si>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</si>
  <si>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</si>
  <si>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</si>
  <si>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</si>
  <si>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</si>
  <si>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</si>
  <si>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</si>
  <si>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</si>
  <si>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</si>
  <si>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</si>
  <si>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</si>
  <si>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</si>
  <si>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</si>
  <si>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</si>
  <si>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</si>
  <si>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</si>
  <si>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</si>
  <si>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</si>
  <si>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</si>
  <si>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</si>
  <si>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</si>
  <si>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</si>
  <si>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</si>
  <si>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</si>
  <si>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</si>
  <si>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</si>
  <si>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</si>
  <si>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</si>
  <si>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</si>
  <si>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</si>
  <si>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</si>
  <si>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</si>
  <si>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</si>
  <si>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</si>
  <si>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</si>
  <si>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</si>
  <si>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</si>
  <si>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</si>
  <si>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</si>
  <si>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</si>
  <si>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</si>
  <si>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</si>
  <si>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</si>
  <si>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</si>
  <si>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</si>
  <si>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</si>
  <si>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</si>
  <si>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</si>
  <si>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</si>
  <si>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</si>
  <si>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</si>
  <si>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</si>
  <si>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</si>
  <si>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</si>
  <si>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</si>
  <si>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</si>
  <si>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</si>
  <si>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</si>
  <si>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</si>
  <si>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</si>
  <si>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</si>
  <si>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</si>
  <si>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</si>
  <si>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</si>
  <si>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</si>
  <si>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</si>
  <si>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</si>
  <si>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</si>
  <si>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</si>
  <si>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</si>
  <si>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</si>
  <si>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</si>
  <si>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</si>
  <si>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</si>
  <si>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</si>
  <si>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</si>
  <si>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</si>
  <si>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</si>
  <si>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</si>
  <si>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</si>
  <si>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</si>
  <si>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</si>
  <si>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</si>
  <si>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</si>
  <si>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</si>
  <si>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</si>
  <si>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</si>
  <si>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</si>
  <si>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</si>
  <si>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</si>
  <si>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</si>
  <si>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</si>
  <si>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</si>
  <si>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</si>
  <si>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</si>
  <si>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</si>
  <si>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</si>
  <si>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</si>
  <si>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</si>
  <si>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</si>
  <si>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</si>
  <si>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</si>
  <si>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</si>
  <si>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</si>
  <si>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</si>
  <si>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</si>
  <si>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</si>
  <si>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</si>
  <si>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</si>
  <si>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</si>
  <si>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</si>
  <si>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</si>
  <si>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</si>
  <si>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</si>
  <si>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</si>
  <si>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</si>
  <si>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</si>
  <si>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</si>
  <si>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</si>
  <si>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</si>
  <si>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</si>
  <si>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</si>
  <si>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</si>
  <si>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</si>
  <si>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</si>
  <si>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</si>
  <si>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</si>
  <si>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</si>
  <si>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</si>
  <si>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</si>
  <si>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</si>
  <si>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</si>
  <si>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</si>
  <si>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</si>
  <si>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</si>
  <si>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</si>
  <si>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</si>
  <si>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</si>
  <si>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</si>
  <si>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</si>
  <si>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</si>
  <si>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</si>
  <si>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</si>
  <si>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</si>
  <si>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</si>
  <si>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</si>
  <si>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</si>
  <si>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</si>
  <si>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</si>
  <si>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</si>
  <si>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</si>
  <si>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</si>
  <si>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</si>
  <si>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</si>
  <si>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</si>
  <si>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</si>
  <si>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</si>
  <si>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</si>
  <si>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</si>
  <si>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</si>
  <si>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</si>
  <si>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</si>
  <si>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</si>
  <si>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</si>
  <si>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</si>
  <si>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</si>
  <si>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</si>
  <si>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</si>
  <si>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</si>
  <si>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</si>
  <si>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</si>
  <si>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</si>
  <si>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</si>
  <si>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</si>
  <si>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</si>
  <si>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</si>
  <si>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</si>
  <si>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</si>
  <si>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</si>
  <si>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</si>
  <si>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</si>
  <si>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</si>
  <si>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</si>
  <si>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</si>
  <si>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</si>
  <si>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</si>
  <si>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</si>
  <si>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</si>
  <si>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</si>
  <si>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</si>
  <si>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</si>
  <si>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</si>
  <si>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</si>
  <si>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</si>
  <si>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</si>
  <si>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</si>
  <si>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</si>
  <si>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</si>
  <si>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</si>
  <si>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</si>
  <si>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</si>
  <si>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</si>
  <si>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</si>
  <si>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</si>
  <si>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</si>
  <si>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</si>
  <si>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</si>
  <si>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</si>
  <si>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</si>
  <si>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</si>
  <si>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</si>
  <si>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</si>
  <si>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</si>
  <si>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</si>
  <si>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</si>
  <si>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</si>
  <si>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</si>
  <si>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</si>
  <si>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</si>
  <si>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</si>
  <si>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</si>
  <si>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</si>
  <si>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</si>
  <si>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</si>
  <si>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</si>
  <si>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</si>
  <si>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</si>
  <si>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</si>
  <si>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</si>
  <si>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</si>
  <si>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</si>
  <si>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</si>
  <si>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</si>
  <si>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</si>
  <si>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</si>
  <si>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</si>
  <si>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</si>
  <si>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</si>
  <si>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</si>
  <si>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</si>
  <si>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</si>
  <si>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</si>
  <si>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</si>
  <si>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</si>
  <si>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</si>
  <si>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</si>
  <si>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</si>
  <si>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</si>
  <si>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</si>
  <si>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</si>
  <si>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</si>
  <si>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</si>
  <si>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</si>
  <si>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</si>
  <si>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</si>
  <si>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</si>
  <si>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</si>
  <si>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</si>
  <si>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</si>
  <si>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</si>
  <si>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</si>
  <si>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</si>
  <si>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</si>
  <si>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</si>
  <si>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</si>
  <si>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</si>
  <si>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</si>
  <si>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</si>
  <si>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</si>
  <si>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</si>
  <si>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</si>
  <si>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</si>
  <si>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</si>
  <si>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</si>
  <si>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</si>
  <si>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</si>
  <si>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</si>
  <si>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</si>
  <si>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</si>
  <si>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</si>
  <si>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</si>
  <si>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</si>
  <si>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</si>
  <si>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</si>
  <si>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</si>
  <si>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</si>
  <si>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</si>
  <si>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</si>
  <si>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</si>
  <si>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</si>
  <si>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</si>
  <si>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</si>
  <si>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</si>
  <si>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</si>
  <si>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</si>
  <si>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</si>
  <si>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</si>
  <si>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</si>
  <si>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</si>
  <si>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</si>
  <si>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</si>
  <si>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</si>
  <si>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</si>
  <si>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</si>
  <si>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</si>
  <si>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</si>
  <si>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</si>
  <si>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</si>
  <si>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</si>
  <si>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</si>
  <si>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</si>
  <si>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</si>
  <si>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</si>
  <si>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</si>
  <si>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</si>
  <si>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</si>
  <si>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</si>
  <si>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</si>
  <si>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</si>
  <si>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</si>
  <si>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</si>
  <si>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</si>
  <si>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</si>
  <si>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</si>
  <si>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</si>
  <si>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</si>
  <si>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</si>
  <si>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</si>
  <si>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</si>
  <si>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</si>
  <si>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</si>
  <si>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</si>
  <si>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</si>
  <si>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</si>
  <si>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</si>
  <si>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</si>
  <si>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</si>
  <si>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</si>
  <si>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</si>
  <si>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</si>
  <si>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</si>
  <si>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</si>
  <si>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</si>
  <si>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</si>
  <si>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</si>
  <si>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</si>
  <si>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</si>
  <si>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</si>
  <si>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</si>
  <si>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</si>
  <si>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</si>
  <si>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</si>
  <si>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</si>
  <si>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</si>
  <si>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</si>
  <si>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</si>
  <si>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</si>
  <si>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</si>
  <si>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</si>
  <si>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</si>
  <si>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</si>
  <si>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</si>
  <si>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</si>
  <si>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</si>
  <si>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</si>
  <si>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</si>
  <si>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</si>
  <si>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</si>
  <si>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</si>
  <si>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</si>
  <si>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</si>
  <si>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</si>
  <si>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</si>
  <si>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</si>
  <si>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</si>
  <si>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</si>
  <si>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</si>
  <si>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</si>
  <si>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</si>
  <si>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</si>
  <si>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</si>
  <si>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</si>
  <si>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</si>
  <si>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</si>
  <si>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</si>
  <si>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</si>
  <si>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</si>
  <si>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</si>
  <si>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</si>
  <si>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</si>
  <si>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</si>
  <si>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</si>
  <si>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</si>
  <si>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</si>
  <si>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</si>
  <si>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</si>
  <si>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</si>
  <si>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</si>
  <si>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</si>
  <si>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</si>
  <si>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</si>
  <si>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</si>
  <si>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</si>
  <si>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</si>
  <si>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</si>
  <si>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</si>
  <si>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</si>
  <si>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</si>
  <si>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</si>
  <si>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</si>
  <si>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</si>
  <si>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</si>
  <si>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</si>
  <si>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</si>
  <si>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</si>
  <si>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</si>
  <si>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</si>
  <si>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</si>
  <si>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</si>
  <si>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</si>
  <si>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</si>
  <si>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</si>
  <si>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</si>
  <si>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</si>
  <si>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</si>
  <si>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</si>
  <si>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</si>
  <si>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</si>
  <si>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</si>
  <si>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</si>
  <si>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</si>
  <si>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</si>
  <si>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</si>
  <si>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</si>
  <si>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</si>
  <si>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</si>
  <si>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</si>
  <si>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</si>
  <si>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</si>
  <si>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</si>
  <si>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</si>
  <si>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</si>
  <si>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</si>
  <si>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</si>
  <si>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</si>
  <si>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</si>
  <si>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</si>
  <si>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</si>
  <si>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</si>
  <si>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</si>
  <si>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</si>
  <si>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</si>
  <si>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</si>
  <si>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</si>
  <si>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</si>
  <si>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</si>
  <si>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</si>
  <si>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</si>
  <si>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</si>
  <si>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</si>
  <si>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</si>
  <si>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</si>
  <si>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</si>
  <si>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</si>
  <si>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</si>
  <si>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</si>
  <si>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</si>
  <si>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</si>
  <si>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</si>
  <si>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</si>
  <si>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</si>
  <si>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</si>
  <si>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</si>
  <si>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</si>
  <si>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</si>
  <si>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</si>
  <si>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</si>
  <si>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</si>
  <si>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</si>
  <si>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</si>
  <si>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</si>
  <si>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</si>
  <si>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</si>
  <si>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</si>
  <si>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</si>
  <si>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</si>
  <si>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</si>
  <si>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</si>
  <si>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</si>
  <si>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</si>
  <si>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</si>
  <si>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</si>
  <si>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</si>
  <si>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</si>
  <si>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</si>
  <si>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</si>
  <si>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</si>
  <si>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</si>
  <si>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</si>
  <si>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</si>
  <si>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</si>
  <si>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</si>
  <si>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</si>
  <si>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</si>
  <si>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</si>
  <si>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</si>
  <si>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</si>
  <si>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</si>
  <si>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</si>
  <si>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</si>
  <si>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</si>
  <si>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</si>
  <si>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</si>
  <si>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</si>
  <si>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</si>
  <si>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</si>
  <si>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</si>
  <si>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</si>
  <si>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</si>
  <si>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</si>
  <si>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</si>
  <si>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</si>
  <si>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</si>
  <si>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</si>
  <si>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</si>
  <si>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</si>
  <si>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</si>
  <si>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</si>
  <si>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</si>
  <si>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</si>
  <si>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</si>
  <si>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</si>
  <si>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</si>
  <si>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</si>
  <si>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</si>
  <si>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</si>
  <si>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</si>
  <si>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</si>
  <si>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</si>
  <si>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</si>
  <si>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</si>
  <si>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</si>
  <si>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</si>
  <si>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</si>
  <si>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</si>
  <si>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</si>
  <si>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</si>
  <si>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</si>
  <si>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</si>
  <si>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</si>
  <si>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</si>
  <si>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</si>
  <si>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</si>
  <si>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</si>
  <si>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</si>
  <si>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</si>
  <si>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</si>
  <si>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</si>
  <si>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</si>
  <si>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</si>
  <si>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</si>
  <si>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</si>
  <si>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</si>
  <si>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</si>
  <si>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</si>
  <si>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</si>
  <si>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</si>
  <si>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</si>
  <si>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</si>
  <si>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</si>
  <si>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</si>
  <si>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</si>
  <si>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</si>
  <si>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</si>
  <si>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</si>
  <si>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</si>
  <si>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</si>
  <si>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</si>
  <si>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</si>
  <si>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</si>
  <si>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</si>
  <si>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</si>
  <si>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</si>
  <si>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</si>
  <si>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</si>
  <si>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</si>
  <si>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</si>
  <si>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</si>
  <si>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</si>
  <si>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</si>
  <si>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</si>
  <si>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</si>
  <si>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</si>
  <si>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</si>
  <si>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</si>
  <si>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</si>
  <si>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</si>
  <si>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</si>
  <si>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</si>
  <si>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</si>
  <si>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</si>
  <si>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</si>
  <si>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</si>
  <si>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</si>
  <si>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</si>
  <si>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</si>
  <si>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</si>
  <si>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</si>
  <si>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</si>
  <si>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</si>
  <si>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</si>
  <si>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</si>
  <si>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</si>
  <si>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</si>
  <si>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</si>
  <si>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</si>
  <si>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</si>
  <si>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</si>
  <si>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</si>
  <si>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</si>
  <si>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</si>
  <si>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</si>
  <si>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</si>
  <si>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</si>
  <si>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</si>
  <si>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</si>
  <si>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</si>
  <si>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</si>
  <si>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</si>
  <si>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</si>
  <si>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</si>
  <si>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</si>
  <si>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</si>
  <si>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</si>
  <si>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</si>
  <si>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</si>
  <si>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</si>
  <si>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</si>
  <si>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</si>
  <si>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</si>
  <si>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</si>
  <si>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</si>
  <si>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</si>
  <si>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</si>
  <si>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</si>
  <si>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</si>
  <si>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</si>
  <si>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</si>
  <si>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</si>
  <si>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</si>
  <si>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</si>
  <si>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</si>
  <si>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</si>
  <si>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</si>
  <si>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</si>
  <si>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</si>
  <si>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</si>
  <si>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</si>
  <si>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</si>
  <si>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</si>
  <si>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</si>
  <si>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</si>
  <si>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</si>
  <si>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</si>
  <si>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</si>
  <si>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</si>
  <si>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</si>
  <si>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</si>
  <si>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</si>
  <si>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</si>
  <si>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</si>
  <si>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</si>
  <si>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</si>
  <si>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</si>
  <si>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</si>
  <si>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</si>
  <si>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</si>
  <si>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</si>
  <si>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</si>
  <si>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</si>
  <si>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</si>
  <si>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</si>
  <si>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</si>
  <si>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</si>
  <si>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</si>
  <si>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</si>
  <si>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</si>
  <si>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</si>
  <si>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</si>
  <si>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</si>
  <si>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</si>
  <si>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</si>
  <si>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</si>
  <si>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</si>
  <si>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</si>
  <si>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</si>
  <si>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</si>
  <si>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</si>
  <si>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</si>
  <si>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</si>
  <si>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</si>
  <si>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</si>
  <si>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</si>
  <si>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</si>
  <si>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</si>
  <si>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</si>
  <si>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</si>
  <si>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</si>
  <si>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</si>
  <si>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</si>
  <si>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</si>
  <si>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</si>
  <si>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</si>
  <si>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</si>
  <si>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</si>
  <si>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</si>
  <si>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</si>
  <si>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</si>
  <si>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</si>
  <si>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</si>
  <si>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</si>
  <si>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</si>
  <si>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</si>
  <si>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</si>
  <si>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</si>
  <si>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</si>
  <si>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</si>
  <si>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</si>
  <si>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</si>
  <si>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</si>
  <si>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</si>
  <si>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</si>
  <si>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</si>
  <si>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</si>
  <si>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</si>
  <si>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</si>
  <si>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</si>
  <si>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</si>
  <si>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</si>
  <si>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</si>
  <si>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</si>
  <si>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</si>
  <si>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</si>
  <si>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</si>
  <si>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</si>
  <si>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</si>
  <si>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</si>
  <si>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</si>
  <si>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</si>
  <si>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</si>
  <si>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</si>
  <si>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</si>
  <si>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</si>
  <si>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</si>
  <si>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</si>
  <si>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</si>
  <si>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</si>
  <si>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</si>
  <si>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</si>
  <si>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</si>
  <si>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</si>
  <si>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</si>
  <si>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</si>
  <si>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</si>
  <si>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</si>
  <si>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</si>
  <si>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</si>
  <si>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</si>
  <si>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</si>
  <si>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</si>
  <si>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</si>
  <si>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</si>
  <si>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</si>
  <si>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</si>
  <si>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</si>
  <si>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</si>
  <si>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</si>
  <si>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</si>
  <si>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</si>
  <si>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</si>
  <si>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</si>
  <si>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</si>
  <si>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</si>
  <si>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</si>
  <si>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</si>
  <si>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</si>
  <si>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</si>
  <si>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</si>
  <si>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</si>
  <si>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</si>
  <si>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</si>
  <si>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</si>
  <si>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</si>
  <si>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</si>
  <si>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</si>
  <si>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</si>
  <si>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</si>
  <si>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</si>
  <si>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</si>
  <si>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</si>
  <si>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</si>
  <si>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</si>
  <si>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</si>
  <si>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</si>
  <si>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</si>
  <si>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</si>
  <si>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</si>
  <si>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</si>
  <si>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</si>
  <si>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</si>
  <si>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</si>
  <si>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</si>
  <si>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</si>
  <si>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</si>
  <si>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</si>
  <si>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</si>
  <si>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</si>
  <si>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</si>
  <si>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</si>
  <si>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</si>
  <si>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</si>
  <si>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</si>
  <si>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</si>
  <si>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</si>
  <si>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</si>
  <si>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</si>
  <si>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</si>
  <si>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</si>
  <si>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</si>
  <si>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</si>
  <si>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</si>
  <si>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</si>
  <si>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</si>
  <si>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</si>
  <si>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</si>
  <si>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</si>
  <si>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</si>
  <si>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</si>
  <si>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</si>
  <si>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</si>
  <si>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</si>
  <si>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</si>
  <si>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</si>
  <si>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</si>
  <si>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</si>
  <si>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</si>
  <si>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</si>
  <si>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</si>
  <si>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</si>
  <si>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</si>
  <si>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</si>
  <si>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</si>
  <si>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</si>
  <si>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</si>
  <si>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</si>
  <si>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</si>
  <si>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</si>
  <si>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</si>
  <si>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</si>
  <si>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</si>
  <si>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</si>
  <si>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</si>
  <si>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</si>
  <si>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</si>
  <si>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</si>
  <si>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</si>
  <si>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</si>
  <si>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</si>
  <si>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</si>
  <si>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</si>
  <si>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</si>
  <si>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</si>
  <si>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</si>
  <si>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</si>
  <si>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</si>
  <si>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</si>
  <si>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</si>
  <si>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</si>
  <si>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</si>
  <si>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</si>
  <si>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</si>
  <si>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</si>
  <si>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</si>
  <si>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</si>
  <si>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</si>
  <si>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</si>
  <si>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</si>
  <si>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</si>
  <si>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</si>
  <si>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</si>
  <si>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</si>
  <si>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</si>
  <si>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</si>
  <si>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</si>
  <si>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</si>
  <si>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</si>
  <si>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</si>
  <si>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</si>
  <si>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</si>
  <si>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</si>
  <si>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</si>
  <si>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</si>
  <si>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</si>
  <si>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</si>
  <si>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</si>
  <si>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</si>
  <si>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</si>
  <si>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</si>
  <si>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</si>
  <si>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</si>
  <si>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</si>
  <si>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</si>
  <si>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</si>
  <si>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</si>
  <si>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</si>
  <si>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</si>
  <si>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</si>
  <si>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</si>
  <si>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</si>
  <si>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</si>
  <si>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</si>
  <si>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</si>
  <si>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</si>
  <si>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</si>
  <si>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</si>
  <si>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</si>
  <si>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</si>
  <si>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</si>
  <si>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</si>
  <si>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</si>
  <si>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</si>
  <si>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</si>
  <si>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</si>
  <si>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</si>
  <si>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</si>
  <si>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</si>
  <si>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</si>
  <si>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</si>
  <si>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</si>
  <si>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</si>
  <si>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</si>
  <si>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</si>
  <si>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</si>
  <si>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</si>
  <si>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</si>
  <si>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</si>
  <si>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</si>
  <si>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</si>
  <si>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</si>
  <si>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</si>
  <si>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</si>
  <si>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</si>
  <si>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</si>
  <si>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</si>
  <si>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</si>
  <si>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</si>
  <si>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</si>
  <si>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</si>
  <si>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</si>
  <si>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</si>
  <si>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</si>
  <si>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</si>
  <si>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</si>
  <si>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</si>
  <si>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</si>
  <si>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</si>
  <si>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</si>
  <si>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</si>
  <si>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</si>
  <si>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</si>
  <si>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</si>
  <si>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</si>
  <si>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</si>
  <si>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</si>
  <si>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</si>
  <si>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</si>
  <si>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</si>
  <si>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</si>
  <si>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</si>
  <si>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</si>
  <si>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</si>
  <si>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</si>
  <si>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</si>
  <si>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</si>
  <si>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</si>
  <si>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</si>
  <si>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</si>
  <si>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</si>
  <si>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</si>
  <si>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</si>
  <si>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</si>
  <si>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</si>
  <si>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</si>
  <si>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</si>
  <si>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</si>
  <si>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</si>
  <si>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</si>
  <si>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</si>
  <si>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</si>
  <si>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</si>
  <si>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</si>
  <si>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</si>
  <si>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</si>
  <si>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</si>
  <si>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</si>
  <si>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</si>
  <si>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</si>
  <si>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</si>
  <si>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</si>
  <si>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</si>
  <si>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</si>
  <si>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</si>
  <si>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</si>
  <si>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</si>
  <si>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</si>
  <si>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</si>
  <si>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</si>
  <si>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</si>
  <si>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</si>
  <si>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</si>
  <si>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</si>
  <si>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</si>
  <si>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</si>
  <si>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</si>
  <si>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</si>
  <si>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</si>
  <si>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</si>
  <si>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</si>
  <si>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</si>
  <si>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</si>
  <si>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</si>
  <si>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</si>
  <si>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</si>
  <si>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</si>
  <si>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</si>
  <si>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</si>
  <si>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</si>
  <si>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</si>
  <si>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</si>
  <si>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</si>
  <si>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</si>
  <si>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</si>
  <si>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</si>
  <si>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</si>
  <si>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</si>
  <si>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</si>
  <si>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</si>
  <si>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</si>
  <si>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</si>
  <si>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</si>
  <si>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</si>
  <si>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</si>
  <si>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</si>
  <si>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</si>
  <si>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</si>
  <si>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</si>
  <si>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</si>
  <si>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</si>
  <si>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</si>
  <si>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</si>
  <si>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</si>
  <si>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</si>
  <si>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</si>
  <si>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</si>
  <si>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</si>
  <si>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</si>
  <si>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</si>
  <si>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</si>
  <si>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</si>
  <si>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</si>
  <si>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</si>
  <si>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</si>
  <si>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</si>
  <si>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</si>
  <si>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</si>
  <si>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</si>
  <si>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</si>
  <si>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</si>
  <si>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</si>
  <si>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</si>
  <si>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</si>
  <si>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</si>
  <si>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</si>
  <si>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</si>
  <si>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</si>
  <si>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</si>
  <si>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</si>
  <si>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</si>
  <si>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</si>
  <si>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</si>
  <si>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</si>
  <si>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</si>
  <si>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</si>
  <si>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</si>
  <si>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</si>
  <si>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</si>
  <si>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</si>
  <si>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</si>
  <si>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</si>
  <si>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</si>
  <si>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</si>
  <si>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</si>
  <si>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</si>
  <si>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</si>
  <si>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</si>
  <si>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</si>
  <si>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</si>
  <si>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</si>
  <si>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</si>
  <si>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</si>
  <si>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</si>
  <si>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</si>
  <si>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</si>
  <si>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</si>
  <si>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</si>
  <si>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</si>
  <si>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</si>
  <si>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</si>
  <si>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</si>
  <si>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</si>
  <si>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</si>
  <si>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</si>
  <si>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</si>
  <si>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</si>
  <si>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</si>
  <si>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</si>
  <si>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</si>
  <si>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</si>
  <si>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</si>
  <si>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</si>
  <si>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</si>
  <si>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</si>
  <si>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</si>
  <si>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</si>
  <si>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</si>
  <si>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</si>
  <si>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</si>
  <si>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</si>
  <si>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</si>
  <si>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</si>
  <si>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</si>
  <si>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</si>
  <si>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</si>
  <si>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</si>
  <si>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</si>
  <si>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</si>
  <si>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</si>
  <si>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</si>
  <si>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</si>
  <si>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</si>
  <si>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</si>
  <si>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</si>
  <si>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</si>
  <si>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</si>
  <si>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</si>
  <si>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</si>
  <si>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</si>
  <si>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</si>
  <si>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</si>
  <si>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</si>
  <si>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</si>
  <si>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</si>
  <si>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</si>
  <si>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</si>
  <si>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</si>
  <si>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</si>
  <si>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</si>
  <si>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</si>
  <si>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</si>
  <si>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</si>
  <si>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</si>
  <si>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</si>
  <si>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</si>
  <si>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</si>
  <si>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</si>
  <si>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</si>
  <si>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</si>
  <si>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</si>
  <si>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</si>
  <si>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</si>
  <si>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</si>
  <si>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</si>
  <si>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</si>
  <si>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</si>
  <si>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</si>
  <si>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</si>
  <si>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</si>
  <si>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</si>
  <si>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</si>
  <si>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</si>
  <si>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</si>
  <si>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</si>
  <si>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</si>
  <si>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</si>
  <si>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</si>
  <si>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</si>
  <si>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</si>
  <si>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</si>
  <si>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</si>
  <si>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</si>
  <si>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</si>
  <si>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</si>
  <si>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</si>
  <si>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</si>
  <si>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</si>
  <si>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</si>
  <si>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</si>
  <si>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</si>
  <si>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</si>
  <si>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</si>
  <si>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</si>
  <si>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</si>
  <si>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</si>
  <si>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</si>
  <si>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</si>
  <si>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</si>
  <si>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</si>
  <si>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</si>
  <si>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</si>
  <si>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</si>
  <si>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</si>
  <si>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</si>
  <si>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</si>
  <si>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</si>
  <si>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</si>
  <si>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</si>
  <si>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</si>
  <si>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</si>
  <si>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</si>
  <si>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</si>
  <si>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</si>
  <si>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</si>
  <si>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</si>
  <si>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</si>
  <si>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</si>
  <si>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</si>
  <si>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</si>
  <si>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</si>
  <si>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</si>
  <si>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</si>
  <si>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</si>
  <si>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</si>
  <si>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</si>
  <si>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</si>
  <si>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</si>
  <si>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</si>
  <si>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</si>
  <si>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</si>
  <si>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</si>
  <si>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</si>
  <si>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</si>
  <si>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</si>
  <si>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</si>
  <si>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</si>
  <si>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</si>
  <si>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</si>
  <si>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</si>
  <si>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</si>
  <si>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</si>
  <si>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</si>
  <si>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</si>
  <si>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</si>
  <si>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</si>
  <si>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</si>
  <si>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</si>
  <si>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</si>
  <si>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</si>
  <si>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</si>
  <si>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</si>
  <si>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</si>
  <si>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</si>
  <si>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</si>
  <si>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</si>
  <si>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</si>
  <si>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</si>
  <si>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</si>
  <si>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</si>
  <si>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</si>
  <si>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</si>
  <si>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</si>
  <si>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</si>
  <si>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</si>
  <si>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</si>
  <si>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</si>
  <si>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</si>
  <si>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</si>
  <si>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</si>
  <si>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</si>
  <si>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</si>
  <si>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</si>
  <si>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</si>
  <si>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</si>
  <si>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</si>
  <si>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</si>
  <si>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</si>
  <si>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</si>
  <si>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</si>
  <si>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</si>
  <si>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</si>
  <si>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</si>
  <si>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</si>
  <si>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</si>
  <si>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</si>
  <si>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</si>
  <si>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</si>
  <si>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</si>
  <si>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</si>
  <si>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</si>
  <si>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</si>
  <si>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</si>
  <si>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</si>
  <si>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</si>
  <si>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</si>
  <si>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</si>
  <si>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</si>
  <si>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</si>
  <si>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</si>
  <si>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</si>
  <si>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</si>
  <si>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</si>
  <si>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</si>
  <si>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</si>
  <si>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</si>
  <si>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</si>
  <si>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</si>
  <si>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</si>
  <si>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</si>
  <si>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</si>
  <si>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</si>
  <si>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</si>
  <si>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</si>
  <si>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</si>
  <si>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</si>
  <si>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</si>
  <si>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</si>
  <si>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</si>
  <si>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</si>
  <si>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</si>
  <si>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</si>
  <si>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</si>
  <si>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</si>
  <si>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</si>
  <si>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</si>
  <si>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</si>
  <si>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</si>
  <si>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</si>
  <si>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</si>
  <si>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</si>
  <si>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</si>
  <si>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</si>
  <si>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</si>
  <si>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</si>
  <si>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</si>
  <si>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</si>
  <si>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</si>
  <si>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</si>
  <si>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</si>
  <si>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</si>
  <si>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</si>
  <si>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</si>
  <si>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</si>
  <si>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</si>
  <si>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</si>
  <si>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</si>
  <si>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</si>
  <si>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</si>
  <si>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</si>
  <si>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</si>
  <si>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</si>
  <si>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</si>
  <si>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</si>
  <si>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</si>
  <si>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</si>
  <si>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</si>
  <si>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</si>
  <si>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</si>
  <si>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</si>
  <si>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</si>
  <si>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</si>
  <si>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</si>
  <si>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</si>
  <si>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</si>
  <si>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</si>
  <si>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</si>
  <si>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</si>
  <si>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</si>
  <si>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</si>
  <si>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</si>
  <si>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</si>
  <si>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</si>
  <si>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</si>
  <si>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</si>
  <si>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</si>
  <si>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</si>
  <si>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</si>
  <si>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</si>
  <si>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</si>
  <si>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</si>
  <si>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</si>
  <si>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</si>
  <si>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</si>
  <si>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</si>
  <si>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</si>
  <si>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</si>
  <si>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</si>
  <si>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</si>
  <si>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</si>
  <si>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</si>
  <si>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</si>
  <si>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</si>
  <si>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</si>
  <si>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</si>
  <si>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</si>
  <si>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</si>
  <si>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</si>
  <si>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</si>
  <si>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</si>
  <si>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</si>
  <si>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</si>
  <si>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</si>
  <si>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</si>
  <si>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</si>
  <si>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</si>
  <si>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</si>
  <si>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</si>
  <si>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</si>
  <si>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</si>
  <si>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</si>
  <si>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</si>
  <si>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</si>
  <si>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</si>
  <si>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</si>
  <si>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</si>
  <si>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</si>
  <si>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</si>
  <si>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</si>
  <si>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</si>
  <si>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</si>
  <si>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</si>
  <si>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</si>
  <si>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</si>
  <si>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</si>
  <si>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</si>
  <si>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</si>
  <si>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</si>
  <si>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</si>
  <si>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</si>
  <si>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</si>
  <si>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</si>
  <si>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</si>
  <si>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</si>
  <si>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</si>
  <si>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</si>
  <si>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</si>
  <si>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</si>
  <si>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</si>
  <si>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</si>
  <si>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</si>
  <si>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</si>
  <si>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</si>
  <si>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</si>
  <si>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</si>
  <si>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</si>
  <si>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</si>
  <si>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</si>
  <si>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</si>
  <si>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</si>
  <si>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</si>
  <si>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</si>
  <si>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</si>
  <si>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</si>
  <si>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</si>
  <si>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</si>
  <si>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</si>
  <si>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</si>
  <si>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</si>
  <si>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</si>
  <si>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</si>
  <si>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</si>
  <si>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</si>
  <si>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</si>
  <si>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</si>
  <si>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</si>
  <si>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</si>
  <si>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</si>
  <si>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</si>
  <si>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</si>
  <si>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</si>
  <si>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</si>
  <si>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</si>
  <si>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</si>
  <si>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</si>
  <si>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</si>
  <si>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</si>
  <si>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</si>
  <si>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</si>
  <si>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</si>
  <si>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</si>
  <si>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</si>
  <si>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</si>
  <si>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</si>
  <si>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</si>
  <si>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</si>
  <si>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</si>
  <si>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</si>
  <si>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</si>
  <si>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</si>
  <si>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</si>
  <si>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</si>
  <si>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</si>
  <si>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</si>
  <si>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</si>
  <si>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</si>
  <si>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</si>
  <si>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</si>
  <si>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</si>
  <si>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</si>
  <si>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</si>
  <si>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</si>
  <si>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</si>
  <si>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</si>
  <si>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</si>
  <si>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</si>
  <si>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</si>
  <si>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</si>
  <si>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</si>
  <si>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</si>
  <si>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</si>
  <si>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</si>
  <si>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</si>
  <si>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</si>
  <si>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</si>
  <si>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</si>
  <si>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</si>
  <si>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</si>
  <si>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</si>
  <si>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</si>
  <si>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</si>
  <si>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</si>
  <si>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</si>
  <si>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</si>
  <si>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</si>
  <si>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</si>
  <si>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</si>
  <si>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</si>
  <si>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</si>
  <si>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</si>
  <si>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</si>
  <si>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</si>
  <si>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</si>
  <si>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</si>
  <si>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</si>
  <si>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</si>
  <si>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</si>
  <si>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</si>
  <si>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</si>
  <si>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</si>
  <si>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</si>
  <si>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</si>
  <si>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</si>
  <si>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</si>
  <si>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</si>
  <si>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</si>
  <si>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</si>
  <si>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</si>
  <si>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</si>
  <si>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</si>
  <si>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</si>
  <si>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</si>
  <si>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</si>
  <si>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</si>
  <si>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</si>
  <si>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</si>
  <si>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</si>
  <si>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</si>
  <si>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</si>
  <si>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</si>
  <si>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</si>
  <si>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</si>
  <si>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</si>
  <si>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</si>
  <si>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</si>
  <si>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</si>
  <si>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</si>
  <si>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</si>
  <si>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</si>
  <si>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</si>
  <si>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</si>
  <si>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</si>
  <si>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</si>
  <si>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</si>
  <si>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</si>
  <si>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</si>
  <si>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</si>
  <si>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</si>
  <si>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</si>
  <si>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</si>
  <si>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</si>
  <si>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</si>
  <si>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</si>
  <si>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</si>
  <si>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</si>
  <si>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</si>
  <si>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</si>
  <si>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</si>
  <si>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</si>
  <si>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</si>
  <si>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</si>
  <si>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</si>
  <si>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</si>
  <si>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</si>
  <si>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</si>
  <si>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</si>
  <si>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</si>
  <si>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</si>
  <si>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</si>
  <si>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</si>
  <si>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</si>
  <si>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</si>
  <si>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</si>
  <si>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</si>
  <si>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</si>
  <si>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</si>
  <si>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</si>
  <si>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</si>
  <si>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</si>
  <si>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</si>
  <si>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</si>
  <si>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</si>
  <si>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</si>
  <si>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</si>
  <si>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</si>
  <si>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</si>
  <si>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</si>
  <si>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</si>
  <si>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</si>
  <si>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</si>
  <si>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</si>
  <si>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</si>
  <si>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</si>
  <si>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</si>
  <si>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</si>
  <si>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</si>
  <si>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</si>
  <si>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</si>
  <si>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</si>
  <si>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</si>
  <si>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</si>
  <si>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</si>
  <si>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</si>
  <si>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</si>
  <si>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</si>
  <si>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</si>
  <si>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</si>
  <si>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</si>
  <si>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</si>
  <si>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</si>
  <si>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</si>
  <si>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</si>
  <si>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</si>
  <si>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</si>
  <si>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</si>
  <si>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</si>
  <si>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</si>
  <si>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</si>
  <si>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</si>
  <si>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</si>
  <si>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</si>
  <si>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</si>
  <si>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</si>
  <si>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</si>
  <si>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</si>
  <si>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</si>
  <si>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</si>
  <si>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</si>
  <si>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</si>
  <si>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</si>
  <si>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</si>
  <si>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</si>
  <si>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</si>
  <si>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</si>
  <si>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</si>
  <si>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</si>
  <si>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</si>
  <si>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</si>
  <si>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</si>
  <si>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</si>
  <si>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</si>
  <si>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</si>
  <si>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</si>
  <si>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</si>
  <si>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</si>
  <si>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</si>
  <si>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</si>
  <si>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</si>
  <si>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</si>
  <si>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</si>
  <si>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</si>
  <si>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</si>
  <si>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</si>
  <si>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</si>
  <si>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</si>
  <si>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</si>
  <si>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</si>
  <si>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</si>
  <si>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</si>
  <si>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</si>
  <si>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</si>
  <si>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</si>
  <si>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</si>
  <si>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</si>
  <si>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</si>
  <si>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</si>
  <si>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</si>
  <si>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</si>
  <si>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</si>
  <si>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</si>
  <si>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</si>
  <si>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</si>
  <si>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</si>
  <si>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</si>
  <si>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</si>
  <si>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</si>
  <si>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</si>
  <si>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</si>
  <si>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</si>
  <si>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</si>
  <si>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</si>
  <si>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</si>
  <si>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</si>
  <si>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</si>
  <si>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</si>
  <si>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</si>
  <si>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</si>
  <si>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</si>
  <si>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</si>
  <si>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</si>
  <si>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</si>
  <si>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</si>
  <si>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</si>
  <si>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</si>
  <si>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</si>
  <si>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</si>
  <si>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</si>
  <si>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</si>
  <si>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</si>
  <si>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</si>
  <si>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</si>
  <si>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</si>
  <si>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</si>
  <si>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</si>
  <si>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</si>
  <si>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</si>
  <si>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</si>
  <si>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</si>
  <si>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</si>
  <si>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</si>
  <si>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</si>
  <si>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</si>
  <si>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</si>
  <si>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</si>
  <si>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</si>
  <si>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</si>
  <si>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</si>
  <si>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</si>
  <si>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</si>
  <si>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</si>
  <si>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</si>
  <si>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</si>
  <si>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</si>
  <si>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</si>
  <si>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</si>
  <si>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</si>
  <si>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</si>
  <si>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</si>
  <si>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</si>
  <si>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</si>
  <si>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</si>
  <si>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</si>
  <si>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</si>
  <si>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</si>
  <si>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</si>
  <si>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</si>
  <si>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</si>
  <si>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</si>
  <si>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</si>
  <si>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</si>
  <si>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</si>
  <si>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</si>
  <si>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</si>
  <si>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</si>
  <si>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</si>
  <si>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</si>
  <si>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</si>
  <si>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</si>
  <si>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</si>
  <si>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</si>
  <si>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</si>
  <si>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</si>
  <si>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</si>
  <si>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</si>
  <si>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</si>
  <si>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</si>
  <si>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</si>
  <si>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</si>
  <si>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</si>
  <si>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</si>
  <si>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</si>
  <si>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</si>
  <si>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</si>
  <si>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</si>
  <si>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</si>
  <si>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</si>
  <si>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</si>
  <si>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</si>
  <si>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</si>
  <si>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</si>
  <si>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</si>
  <si>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</si>
  <si>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</si>
  <si>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</si>
  <si>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</si>
  <si>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</si>
  <si>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</si>
  <si>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</si>
  <si>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</si>
  <si>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</si>
  <si>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</si>
  <si>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</si>
  <si>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</si>
  <si>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</si>
  <si>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</si>
  <si>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</si>
  <si>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</si>
  <si>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</si>
  <si>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</si>
  <si>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</si>
  <si>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</si>
  <si>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</si>
  <si>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</si>
  <si>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</si>
  <si>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</si>
  <si>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</si>
  <si>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</si>
  <si>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</si>
  <si>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</si>
  <si>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</si>
  <si>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</si>
  <si>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</si>
  <si>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</si>
  <si>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</si>
  <si>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</si>
  <si>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</si>
  <si>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</si>
  <si>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</si>
  <si>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</si>
  <si>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</si>
  <si>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</si>
  <si>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</si>
  <si>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</si>
  <si>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</si>
  <si>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</si>
  <si>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</si>
  <si>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</si>
  <si>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</si>
  <si>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</si>
  <si>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</si>
  <si>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</si>
  <si>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</si>
  <si>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</si>
  <si>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</si>
  <si>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</si>
  <si>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</si>
  <si>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</si>
  <si>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</si>
  <si>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</si>
  <si>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</si>
  <si>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</si>
  <si>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</si>
  <si>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</si>
  <si>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</si>
  <si>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</si>
  <si>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</si>
  <si>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</si>
  <si>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</si>
  <si>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</si>
  <si>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</si>
  <si>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</si>
  <si>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</si>
  <si>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</si>
  <si>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</si>
  <si>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</si>
  <si>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</si>
  <si>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</si>
  <si>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</si>
  <si>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</si>
  <si>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</si>
  <si>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</si>
  <si>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</si>
  <si>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</si>
  <si>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</si>
  <si>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</si>
  <si>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</si>
  <si>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</si>
  <si>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</si>
  <si>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</si>
  <si>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</si>
  <si>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</si>
  <si>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</si>
  <si>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</si>
  <si>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</si>
  <si>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</si>
  <si>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</si>
  <si>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</si>
  <si>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</si>
  <si>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</si>
  <si>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</si>
  <si>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</si>
  <si>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</si>
  <si>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</si>
  <si>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</si>
  <si>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</si>
  <si>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</si>
  <si>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</si>
  <si>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</si>
  <si>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</si>
  <si>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</si>
  <si>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</si>
  <si>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</si>
  <si>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</si>
  <si>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</si>
  <si>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</si>
  <si>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</si>
  <si>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</si>
  <si>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</si>
  <si>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</si>
  <si>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</si>
  <si>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</si>
  <si>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</si>
  <si>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</si>
  <si>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</si>
  <si>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</si>
  <si>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</si>
  <si>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</si>
  <si>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</si>
  <si>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</si>
  <si>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</si>
  <si>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</si>
  <si>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</si>
  <si>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</si>
  <si>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</si>
  <si>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</si>
  <si>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</si>
  <si>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</si>
  <si>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</si>
  <si>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</si>
  <si>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</si>
  <si>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</si>
  <si>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</si>
  <si>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</si>
  <si>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</si>
  <si>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</si>
  <si>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</si>
  <si>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</si>
  <si>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</si>
  <si>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</si>
  <si>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</si>
  <si>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</si>
  <si>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</si>
  <si>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</si>
  <si>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</si>
  <si>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</si>
  <si>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</si>
  <si>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</si>
  <si>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</si>
  <si>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</si>
  <si>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</si>
  <si>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</si>
  <si>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</si>
  <si>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</si>
  <si>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</si>
  <si>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</si>
  <si>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</si>
  <si>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</si>
  <si>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</si>
  <si>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</si>
  <si>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</si>
  <si>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</si>
  <si>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</si>
  <si>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</si>
  <si>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</si>
  <si>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</si>
  <si>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</si>
  <si>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</si>
  <si>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</si>
  <si>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</si>
  <si>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</si>
  <si>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</si>
  <si>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</si>
  <si>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</si>
  <si>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</si>
  <si>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</si>
  <si>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</si>
  <si>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</si>
  <si>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</si>
  <si>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</si>
  <si>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</si>
  <si>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</si>
  <si>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</si>
  <si>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</si>
  <si>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</si>
  <si>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</si>
  <si>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</si>
  <si>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</si>
  <si>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</si>
  <si>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</si>
  <si>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</si>
  <si>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</si>
  <si>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</si>
  <si>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</si>
  <si>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</si>
  <si>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</si>
  <si>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</si>
  <si>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</si>
  <si>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</si>
  <si>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</si>
  <si>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</si>
  <si>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</si>
  <si>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</si>
  <si>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</si>
  <si>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</si>
  <si>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</si>
  <si>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</si>
  <si>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</si>
  <si>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</si>
  <si>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</si>
  <si>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</si>
  <si>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</si>
  <si>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</si>
  <si>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</si>
  <si>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</si>
  <si>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</si>
  <si>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</si>
  <si>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</si>
  <si>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</si>
  <si>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</si>
  <si>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</si>
  <si>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</si>
  <si>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</si>
  <si>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</si>
  <si>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</si>
  <si>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</si>
  <si>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</si>
  <si>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</si>
  <si>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</si>
  <si>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</si>
  <si>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</si>
  <si>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</si>
  <si>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</si>
  <si>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</si>
  <si>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</si>
  <si>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</si>
  <si>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</si>
  <si>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</si>
  <si>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</si>
  <si>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</si>
  <si>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</si>
  <si>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</si>
  <si>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</si>
  <si>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</si>
  <si>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</si>
  <si>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</si>
  <si>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</si>
  <si>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</si>
  <si>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</si>
  <si>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</si>
  <si>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</si>
  <si>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</si>
  <si>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</si>
  <si>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</si>
  <si>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</si>
  <si>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</si>
  <si>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</si>
  <si>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</si>
  <si>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</si>
  <si>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</si>
  <si>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</si>
  <si>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</si>
  <si>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</si>
  <si>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</si>
  <si>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</si>
  <si>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</si>
  <si>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</si>
  <si>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</si>
  <si>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</si>
  <si>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</si>
  <si>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</si>
  <si>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</si>
  <si>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</si>
  <si>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</si>
  <si>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</si>
  <si>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</si>
  <si>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</si>
  <si>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</si>
  <si>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</si>
  <si>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</si>
  <si>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</si>
  <si>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</si>
  <si>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</si>
  <si>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</si>
  <si>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</si>
  <si>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</si>
  <si>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</si>
  <si>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</si>
  <si>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</si>
  <si>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</si>
  <si>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</si>
  <si>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</si>
  <si>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</si>
  <si>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</si>
  <si>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</si>
  <si>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</si>
  <si>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</si>
  <si>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</si>
  <si>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</si>
  <si>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</si>
  <si>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</si>
  <si>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</si>
  <si>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</si>
  <si>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</si>
  <si>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</si>
  <si>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</si>
  <si>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</si>
  <si>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</si>
  <si>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</si>
  <si>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</si>
  <si>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</si>
  <si>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</si>
  <si>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</si>
  <si>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</si>
  <si>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</si>
  <si>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</si>
  <si>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</si>
  <si>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</si>
  <si>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</si>
  <si>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</si>
  <si>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</si>
  <si>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</si>
  <si>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</si>
  <si>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</si>
  <si>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</si>
  <si>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</si>
  <si>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</si>
  <si>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</si>
  <si>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</si>
  <si>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</si>
  <si>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</si>
  <si>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</si>
  <si>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</si>
  <si>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</si>
  <si>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</si>
  <si>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</si>
  <si>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</si>
  <si>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</si>
  <si>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</si>
  <si>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</si>
  <si>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</si>
  <si>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</si>
  <si>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</si>
  <si>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</si>
  <si>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</si>
  <si>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</si>
  <si>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</si>
  <si>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</si>
  <si>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</si>
  <si>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</si>
  <si>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</si>
  <si>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</si>
  <si>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</si>
  <si>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</si>
  <si>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</si>
  <si>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</si>
  <si>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</si>
  <si>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</si>
  <si>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</si>
  <si>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</si>
  <si>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</si>
  <si>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</si>
  <si>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</si>
  <si>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</si>
  <si>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</si>
  <si>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</si>
  <si>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</si>
  <si>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</si>
  <si>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</si>
  <si>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</si>
  <si>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</si>
  <si>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</si>
  <si>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</si>
  <si>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</si>
  <si>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</si>
  <si>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</si>
  <si>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</si>
  <si>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</si>
  <si>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</si>
  <si>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</si>
  <si>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</si>
  <si>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</si>
  <si>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</si>
  <si>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</si>
  <si>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</si>
  <si>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</si>
  <si>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</si>
  <si>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</si>
  <si>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</si>
  <si>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</si>
  <si>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</si>
  <si>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</si>
  <si>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</si>
  <si>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</si>
  <si>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</si>
  <si>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</si>
  <si>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</si>
  <si>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</si>
  <si>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</si>
  <si>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</si>
  <si>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</si>
  <si>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</si>
  <si>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</si>
  <si>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</si>
  <si>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</si>
  <si>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</si>
  <si>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</si>
  <si>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</si>
  <si>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</si>
  <si>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</si>
  <si>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</si>
  <si>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</si>
  <si>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</si>
  <si>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</si>
  <si>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</si>
  <si>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</si>
  <si>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</si>
  <si>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</si>
  <si>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</si>
  <si>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</si>
  <si>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</si>
  <si>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</si>
  <si>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</si>
  <si>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</si>
  <si>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</si>
  <si>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</si>
  <si>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</si>
  <si>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</si>
  <si>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</si>
  <si>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</si>
  <si>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</si>
  <si>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</si>
  <si>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</si>
  <si>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</si>
  <si>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</si>
  <si>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</si>
  <si>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</si>
  <si>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</si>
  <si>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</si>
  <si>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</si>
  <si>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</si>
  <si>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</si>
  <si>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</si>
  <si>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</si>
  <si>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</si>
  <si>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</si>
  <si>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</si>
  <si>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</si>
  <si>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</si>
  <si>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</si>
  <si>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</si>
  <si>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</si>
  <si>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</si>
  <si>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</si>
  <si>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</si>
  <si>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</si>
  <si>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</si>
  <si>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</si>
  <si>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</si>
  <si>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</si>
  <si>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</si>
  <si>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</si>
  <si>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</si>
  <si>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</si>
  <si>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</si>
  <si>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</si>
  <si>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</si>
  <si>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</si>
  <si>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</si>
  <si>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</si>
  <si>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</si>
  <si>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</si>
  <si>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</si>
  <si>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</si>
  <si>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</si>
  <si>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</si>
  <si>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</si>
  <si>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</si>
  <si>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</si>
  <si>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</si>
  <si>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</si>
  <si>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</si>
  <si>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</si>
  <si>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</si>
  <si>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</si>
  <si>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</si>
  <si>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</si>
  <si>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</si>
  <si>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</si>
  <si>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</si>
  <si>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</si>
  <si>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</si>
  <si>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</si>
  <si>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</si>
  <si>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</si>
  <si>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</si>
  <si>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</si>
  <si>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</si>
  <si>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</si>
  <si>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</si>
  <si>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</si>
  <si>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</si>
  <si>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</si>
  <si>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</si>
  <si>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</si>
  <si>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</si>
  <si>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</si>
  <si>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</si>
  <si>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</si>
  <si>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</si>
  <si>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</si>
  <si>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</si>
  <si>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</si>
  <si>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</si>
  <si>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</si>
  <si>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</si>
  <si>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</si>
  <si>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</si>
  <si>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</si>
  <si>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</si>
  <si>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</si>
  <si>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</si>
  <si>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</si>
  <si>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</si>
  <si>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</si>
  <si>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</si>
  <si>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</si>
  <si>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</si>
  <si>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</si>
  <si>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</si>
  <si>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</si>
  <si>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</si>
  <si>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</si>
  <si>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</si>
  <si>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</si>
  <si>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</si>
  <si>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</si>
  <si>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</si>
  <si>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</si>
  <si>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</si>
  <si>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</si>
  <si>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</si>
  <si>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</si>
  <si>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</si>
  <si>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</si>
  <si>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</si>
  <si>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</si>
  <si>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</si>
  <si>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</si>
  <si>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</si>
  <si>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</si>
  <si>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</si>
  <si>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</si>
  <si>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</si>
  <si>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</si>
  <si>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</si>
  <si>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</si>
  <si>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</si>
  <si>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</si>
  <si>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</si>
  <si>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</si>
  <si>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</si>
  <si>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</si>
  <si>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</si>
  <si>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</si>
  <si>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</si>
  <si>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</si>
  <si>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</si>
  <si>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</si>
  <si>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</si>
  <si>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</si>
  <si>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</si>
  <si>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</si>
  <si>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</si>
  <si>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</si>
  <si>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</si>
  <si>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</si>
  <si>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</si>
  <si>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</si>
  <si>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</si>
  <si>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</si>
  <si>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</si>
  <si>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</si>
  <si>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</si>
  <si>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</si>
  <si>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</si>
  <si>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</si>
  <si>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</si>
  <si>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</si>
  <si>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</si>
  <si>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</si>
  <si>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</si>
  <si>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</si>
  <si>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</si>
  <si>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</si>
  <si>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</si>
  <si>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</si>
  <si>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</si>
  <si>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</si>
  <si>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</si>
  <si>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</si>
  <si>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</si>
  <si>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</si>
  <si>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</si>
  <si>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</si>
  <si>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</si>
  <si>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</si>
  <si>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</si>
  <si>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</si>
  <si>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</si>
  <si>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</si>
  <si>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</si>
  <si>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</si>
  <si>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</si>
  <si>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</si>
  <si>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</si>
  <si>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</si>
  <si>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</si>
  <si>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</si>
  <si>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</si>
  <si>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</si>
  <si>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</si>
  <si>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</si>
  <si>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</si>
  <si>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</si>
  <si>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</si>
  <si>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</si>
  <si>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</si>
  <si>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</si>
  <si>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</si>
  <si>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</si>
  <si>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</si>
  <si>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</si>
  <si>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</si>
  <si>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</si>
  <si>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</si>
  <si>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</si>
  <si>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</si>
  <si>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</si>
  <si>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</si>
  <si>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</si>
  <si>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</si>
  <si>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</si>
  <si>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</si>
  <si>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</si>
  <si>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</si>
  <si>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</si>
  <si>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</si>
  <si>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</si>
  <si>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</si>
  <si>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</si>
  <si>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</si>
  <si>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</si>
  <si>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</si>
  <si>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</si>
  <si>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</si>
  <si>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</si>
  <si>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</si>
  <si>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</si>
  <si>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</si>
  <si>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</si>
  <si>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</si>
  <si>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</si>
  <si>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</si>
  <si>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</si>
  <si>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</si>
  <si>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</si>
  <si>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</si>
  <si>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</si>
  <si>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</si>
  <si>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</si>
  <si>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</si>
  <si>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</si>
  <si>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</si>
  <si>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</si>
  <si>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</si>
  <si>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</si>
  <si>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</si>
  <si>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</si>
  <si>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</si>
  <si>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</si>
  <si>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</si>
  <si>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</si>
  <si>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</si>
  <si>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</si>
  <si>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</si>
  <si>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</si>
  <si>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</si>
  <si>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</si>
  <si>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</si>
  <si>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</si>
  <si>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</si>
  <si>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</si>
  <si>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</si>
  <si>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</si>
  <si>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</si>
  <si>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</si>
  <si>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</si>
  <si>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</si>
  <si>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</si>
  <si>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</si>
  <si>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</si>
  <si>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</si>
  <si>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</si>
  <si>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</si>
  <si>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</si>
  <si>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</si>
  <si>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</si>
  <si>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</si>
  <si>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</si>
  <si>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</si>
  <si>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</si>
  <si>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</si>
  <si>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</si>
  <si>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</si>
  <si>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</si>
  <si>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</si>
  <si>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</si>
  <si>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</si>
  <si>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</si>
  <si>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</si>
  <si>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</si>
  <si>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</si>
  <si>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</si>
  <si>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</si>
  <si>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</si>
  <si>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</si>
  <si>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</si>
  <si>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</si>
  <si>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</si>
  <si>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</si>
  <si>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</si>
  <si>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</si>
  <si>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</si>
  <si>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</si>
  <si>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</si>
  <si>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</si>
  <si>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</si>
  <si>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</si>
  <si>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</si>
  <si>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</si>
  <si>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</si>
  <si>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</si>
  <si>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</si>
  <si>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</si>
  <si>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</si>
  <si>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</si>
  <si>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</si>
  <si>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</si>
  <si>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</si>
  <si>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</si>
  <si>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</si>
  <si>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</si>
  <si>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</si>
  <si>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</si>
  <si>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</si>
  <si>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</si>
  <si>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</si>
  <si>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</si>
  <si>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</si>
  <si>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</si>
  <si>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</si>
  <si>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</si>
  <si>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</si>
  <si>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</si>
  <si>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</si>
  <si>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</si>
  <si>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</si>
  <si>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</si>
  <si>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</si>
  <si>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</si>
  <si>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</si>
  <si>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</si>
  <si>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</si>
  <si>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</si>
  <si>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</si>
  <si>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</si>
  <si>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</si>
  <si>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</si>
  <si>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</si>
  <si>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</si>
  <si>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</si>
  <si>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</si>
  <si>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</si>
  <si>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</si>
  <si>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</si>
  <si>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</si>
  <si>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</si>
  <si>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</si>
  <si>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</si>
  <si>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</si>
  <si>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</si>
  <si>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</si>
  <si>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</si>
  <si>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</si>
  <si>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</si>
  <si>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</si>
  <si>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</si>
  <si>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</si>
  <si>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</si>
  <si>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</si>
  <si>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</si>
  <si>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</si>
  <si>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</si>
  <si>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</si>
  <si>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</si>
  <si>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</si>
  <si>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</si>
  <si>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</si>
  <si>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</si>
  <si>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</si>
  <si>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</si>
  <si>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</si>
  <si>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</si>
  <si>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</si>
  <si>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</si>
  <si>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</si>
  <si>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</si>
  <si>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</si>
  <si>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</si>
  <si>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</si>
  <si>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</si>
  <si>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</si>
  <si>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</si>
  <si>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</si>
  <si>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</si>
  <si>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</si>
  <si>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</si>
  <si>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</si>
  <si>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</si>
  <si>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</si>
  <si>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</si>
  <si>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</si>
  <si>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</si>
  <si>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</si>
  <si>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</si>
  <si>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</si>
  <si>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</si>
  <si>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</si>
  <si>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</si>
  <si>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</si>
  <si>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</si>
  <si>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</si>
  <si>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</si>
  <si>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</si>
  <si>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</si>
  <si>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</si>
  <si>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</si>
  <si>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</si>
  <si>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</si>
  <si>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</si>
  <si>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</si>
  <si>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</si>
  <si>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</si>
  <si>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</si>
  <si>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</si>
  <si>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</si>
  <si>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</si>
  <si>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</si>
  <si>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</si>
  <si>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</si>
  <si>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</si>
  <si>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</si>
  <si>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</si>
  <si>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</si>
  <si>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</si>
  <si>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</si>
  <si>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</si>
  <si>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</si>
  <si>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</si>
  <si>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</si>
  <si>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</si>
  <si>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</si>
  <si>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</si>
  <si>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</si>
  <si>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</si>
  <si>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</si>
  <si>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</si>
  <si>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</si>
  <si>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</si>
  <si>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</si>
  <si>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</si>
  <si>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</si>
  <si>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</si>
  <si>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</si>
  <si>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</si>
  <si>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</si>
  <si>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</si>
  <si>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</si>
  <si>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</si>
  <si>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</si>
  <si>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</si>
  <si>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</si>
  <si>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</si>
  <si>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</si>
  <si>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</si>
  <si>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</si>
  <si>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</si>
  <si>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</si>
  <si>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</si>
  <si>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</si>
  <si>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</si>
  <si>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</si>
  <si>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</si>
  <si>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</si>
  <si>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</si>
  <si>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</si>
  <si>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</si>
  <si>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</si>
  <si>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</si>
  <si>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</si>
  <si>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</si>
  <si>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</si>
  <si>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</si>
  <si>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</si>
  <si>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</si>
  <si>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</si>
  <si>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</si>
  <si>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</si>
  <si>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</si>
  <si>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</si>
  <si>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</si>
  <si>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</si>
  <si>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</si>
  <si>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</si>
  <si>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</si>
  <si>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</si>
  <si>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</si>
  <si>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</si>
  <si>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</si>
  <si>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</si>
  <si>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</si>
  <si>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</si>
  <si>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</si>
  <si>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</si>
  <si>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</si>
  <si>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</si>
  <si>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</si>
  <si>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</si>
  <si>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</si>
  <si>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</si>
  <si>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</si>
  <si>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</si>
  <si>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</si>
  <si>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</si>
  <si>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</si>
  <si>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</si>
  <si>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</si>
  <si>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</si>
  <si>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</si>
  <si>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</si>
  <si>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</si>
  <si>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</si>
  <si>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</si>
  <si>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</si>
  <si>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</si>
  <si>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</si>
  <si>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</si>
  <si>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</si>
  <si>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</si>
  <si>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</si>
  <si>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</si>
  <si>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</si>
  <si>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</si>
  <si>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</si>
  <si>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</si>
  <si>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</si>
  <si>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</si>
  <si>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</si>
  <si>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</si>
  <si>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</si>
  <si>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</si>
  <si>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</si>
  <si>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</si>
  <si>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</si>
  <si>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</si>
  <si>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</si>
  <si>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</si>
  <si>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</si>
  <si>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</si>
  <si>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</si>
  <si>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</si>
  <si>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</si>
  <si>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</si>
  <si>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</si>
  <si>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</si>
  <si>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</si>
  <si>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</si>
  <si>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</si>
  <si>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</si>
  <si>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</si>
  <si>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</si>
  <si>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</si>
  <si>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</si>
  <si>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</si>
  <si>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</si>
  <si>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</si>
  <si>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</si>
  <si>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</si>
  <si>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</si>
  <si>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</si>
  <si>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</si>
  <si>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</si>
  <si>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</si>
  <si>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</si>
  <si>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</si>
  <si>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</si>
  <si>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</si>
  <si>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</si>
  <si>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</si>
  <si>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</si>
  <si>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</si>
  <si>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</si>
  <si>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</si>
  <si>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</si>
  <si>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</si>
  <si>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</si>
  <si>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</si>
  <si>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</si>
  <si>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</si>
  <si>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</si>
  <si>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</si>
  <si>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</si>
  <si>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</si>
  <si>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</si>
  <si>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</si>
  <si>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</si>
  <si>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</si>
  <si>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</si>
  <si>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</si>
  <si>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</si>
  <si>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</si>
  <si>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</si>
  <si>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</si>
  <si>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</si>
  <si>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</si>
  <si>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</si>
  <si>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</si>
  <si>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</si>
  <si>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</si>
  <si>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</si>
  <si>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</si>
  <si>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</si>
  <si>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</si>
  <si>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</si>
  <si>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</si>
  <si>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</si>
  <si>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</si>
  <si>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</si>
  <si>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</si>
  <si>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</si>
  <si>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</si>
  <si>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</si>
  <si>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</si>
  <si>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</si>
  <si>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</si>
  <si>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</si>
  <si>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</si>
  <si>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</si>
  <si>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</si>
  <si>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</si>
  <si>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</si>
  <si>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</si>
  <si>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</si>
  <si>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</si>
  <si>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</si>
  <si>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</si>
  <si>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</si>
  <si>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</si>
  <si>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</si>
  <si>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</si>
  <si>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</si>
  <si>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</si>
  <si>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</si>
  <si>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</si>
  <si>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</si>
  <si>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</si>
  <si>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</si>
  <si>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</si>
  <si>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</si>
  <si>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</si>
  <si>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</si>
  <si>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</si>
  <si>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</si>
  <si>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</si>
  <si>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</si>
  <si>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</si>
  <si>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</si>
  <si>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</si>
  <si>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</si>
  <si>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</si>
  <si>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</si>
  <si>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</si>
  <si>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</si>
  <si>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</si>
  <si>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</si>
  <si>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</si>
  <si>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</si>
  <si>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</si>
  <si>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</si>
  <si>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</si>
  <si>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</si>
  <si>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</si>
  <si>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</si>
  <si>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</si>
  <si>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</si>
  <si>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</si>
  <si>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</si>
  <si>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</si>
  <si>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</si>
  <si>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</si>
  <si>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</si>
  <si>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</si>
  <si>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</si>
  <si>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</si>
  <si>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</si>
  <si>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</si>
  <si>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</si>
  <si>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</si>
  <si>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</si>
  <si>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</si>
  <si>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</si>
  <si>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</si>
  <si>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</si>
  <si>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</si>
  <si>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</si>
  <si>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</si>
  <si>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</si>
  <si>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</si>
  <si>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</si>
  <si>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</si>
  <si>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</si>
  <si>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</si>
  <si>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</si>
  <si>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</si>
  <si>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</si>
  <si>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</si>
  <si>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</si>
  <si>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</si>
  <si>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</si>
  <si>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</si>
  <si>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</si>
  <si>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</si>
  <si>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</si>
  <si>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</si>
  <si>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</si>
  <si>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</si>
  <si>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</si>
  <si>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</si>
  <si>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</si>
  <si>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</si>
  <si>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</si>
  <si>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</si>
  <si>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</si>
  <si>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</si>
  <si>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</si>
  <si>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</si>
  <si>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</si>
  <si>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</si>
  <si>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</si>
  <si>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</si>
  <si>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</si>
  <si>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</si>
  <si>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</si>
  <si>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</si>
  <si>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</si>
  <si>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</si>
  <si>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</si>
  <si>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</si>
  <si>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</si>
  <si>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</si>
  <si>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</si>
  <si>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</si>
  <si>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</si>
  <si>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</si>
  <si>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</si>
  <si>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</si>
  <si>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</si>
  <si>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</si>
  <si>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</si>
  <si>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</si>
  <si>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</si>
  <si>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</si>
  <si>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</si>
  <si>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</si>
  <si>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</si>
  <si>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</si>
  <si>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</si>
  <si>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</si>
  <si>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</si>
  <si>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</si>
  <si>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</si>
  <si>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</si>
  <si>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</si>
  <si>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</si>
  <si>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</si>
  <si>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</si>
  <si>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</si>
  <si>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</si>
  <si>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</si>
  <si>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</si>
  <si>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</si>
  <si>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</si>
  <si>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</si>
  <si>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</si>
  <si>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</si>
  <si>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</si>
  <si>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</si>
  <si>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</si>
  <si>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</si>
  <si>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</si>
  <si>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</si>
  <si>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</si>
  <si>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</si>
  <si>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</si>
  <si>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</si>
  <si>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</si>
  <si>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</si>
  <si>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</si>
  <si>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</si>
  <si>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</si>
  <si>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</si>
  <si>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</si>
  <si>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</si>
  <si>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</si>
  <si>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</si>
  <si>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</si>
  <si>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</si>
  <si>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</si>
  <si>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</si>
  <si>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</si>
  <si>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</si>
  <si>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</si>
  <si>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</si>
  <si>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</si>
  <si>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</si>
  <si>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</si>
  <si>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</si>
  <si>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</si>
  <si>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</si>
  <si>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</si>
  <si>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</si>
  <si>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</si>
  <si>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</si>
  <si>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</si>
  <si>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</si>
  <si>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</si>
  <si>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</si>
  <si>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</si>
  <si>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</si>
  <si>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</si>
  <si>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</si>
  <si>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</si>
  <si>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</si>
  <si>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</si>
  <si>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</si>
  <si>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</si>
  <si>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</si>
  <si>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</si>
  <si>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</si>
  <si>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</si>
  <si>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</si>
  <si>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</si>
  <si>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</si>
  <si>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</si>
  <si>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</si>
  <si>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</si>
  <si>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</si>
  <si>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</si>
  <si>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</si>
  <si>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</si>
  <si>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</si>
  <si>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</si>
  <si>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</si>
  <si>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</si>
  <si>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</si>
  <si>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</si>
  <si>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</si>
  <si>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</si>
  <si>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</si>
  <si>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</si>
  <si>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</si>
  <si>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</si>
  <si>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</si>
  <si>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</si>
  <si>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</si>
  <si>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</si>
  <si>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</si>
  <si>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</si>
  <si>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</si>
  <si>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</si>
  <si>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</si>
  <si>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</si>
  <si>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</si>
  <si>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</si>
  <si>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</si>
  <si>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</si>
  <si>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</si>
  <si>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</si>
  <si>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</si>
  <si>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</si>
  <si>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</si>
  <si>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</si>
  <si>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</si>
  <si>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</si>
  <si>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</si>
  <si>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</si>
  <si>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</si>
  <si>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</si>
  <si>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</si>
  <si>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</si>
  <si>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</si>
  <si>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</si>
  <si>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</si>
  <si>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</si>
  <si>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</si>
  <si>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</si>
  <si>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</si>
  <si>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</si>
  <si>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</si>
  <si>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</si>
  <si>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</si>
  <si>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</si>
  <si>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</si>
  <si>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</si>
  <si>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</si>
  <si>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</si>
  <si>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</si>
  <si>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</si>
  <si>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</si>
  <si>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</si>
  <si>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</si>
  <si>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</si>
  <si>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</si>
  <si>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</si>
  <si>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</si>
  <si>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</si>
  <si>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</si>
  <si>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</si>
  <si>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</si>
  <si>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</si>
  <si>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</si>
  <si>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</si>
  <si>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</si>
  <si>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</si>
  <si>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</si>
  <si>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</si>
  <si>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</si>
  <si>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</si>
  <si>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</si>
  <si>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</si>
  <si>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</si>
  <si>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</si>
  <si>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</si>
  <si>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</si>
  <si>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</si>
  <si>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</si>
  <si>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</si>
  <si>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</si>
  <si>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</si>
  <si>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</si>
  <si>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</si>
  <si>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</si>
  <si>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</si>
  <si>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</si>
  <si>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</si>
  <si>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</si>
  <si>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</si>
  <si>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</si>
  <si>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</si>
  <si>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</si>
  <si>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</si>
  <si>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</si>
  <si>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</si>
  <si>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</si>
  <si>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</si>
  <si>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</si>
  <si>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</si>
  <si>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</si>
  <si>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</si>
  <si>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</si>
  <si>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</si>
  <si>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</si>
  <si>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</si>
  <si>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</si>
  <si>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</si>
  <si>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</si>
  <si>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</si>
  <si>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</si>
  <si>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</si>
  <si>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</si>
  <si>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</si>
  <si>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</si>
  <si>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</si>
  <si>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</si>
  <si>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</si>
  <si>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</si>
  <si>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</si>
  <si>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</si>
  <si>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</si>
  <si>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</si>
  <si>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</si>
  <si>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</si>
  <si>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</si>
  <si>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</si>
  <si>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</si>
  <si>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</si>
  <si>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</si>
  <si>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</si>
  <si>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</si>
  <si>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</si>
  <si>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</si>
  <si>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</si>
  <si>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</si>
  <si>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</si>
  <si>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</si>
  <si>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</si>
  <si>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</si>
  <si>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</si>
  <si>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</si>
  <si>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</si>
  <si>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</si>
  <si>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</si>
  <si>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</si>
  <si>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</si>
  <si>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</si>
  <si>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</si>
  <si>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</si>
  <si>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</si>
  <si>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</si>
  <si>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</si>
  <si>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</si>
  <si>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</si>
  <si>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</si>
  <si>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</si>
  <si>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</si>
  <si>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</si>
  <si>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</si>
  <si>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</si>
  <si>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</si>
  <si>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</si>
  <si>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</si>
  <si>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</si>
  <si>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</si>
  <si>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</si>
  <si>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</si>
  <si>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</si>
  <si>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</si>
  <si>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</si>
  <si>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</si>
  <si>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</si>
  <si>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</si>
  <si>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</si>
  <si>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</si>
  <si>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</si>
  <si>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</si>
  <si>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</si>
  <si>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</si>
  <si>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</si>
  <si>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</si>
  <si>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</si>
  <si>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</si>
  <si>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</si>
  <si>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</si>
  <si>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</si>
  <si>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</si>
  <si>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</si>
  <si>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</si>
  <si>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</si>
  <si>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</si>
  <si>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</si>
  <si>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</si>
  <si>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</si>
  <si>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</si>
  <si>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</si>
  <si>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</si>
  <si>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</si>
  <si>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</si>
  <si>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</si>
  <si>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</si>
  <si>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</si>
  <si>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</si>
  <si>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</si>
  <si>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</si>
  <si>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</si>
  <si>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</si>
  <si>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</si>
  <si>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</si>
  <si>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</si>
  <si>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</si>
  <si>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</si>
  <si>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</si>
  <si>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</si>
  <si>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</si>
  <si>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</si>
  <si>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</si>
  <si>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</si>
  <si>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</si>
  <si>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</si>
  <si>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</si>
  <si>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</si>
  <si>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</si>
  <si>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</si>
  <si>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</si>
  <si>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</si>
  <si>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</si>
  <si>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</si>
  <si>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</si>
  <si>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</si>
  <si>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</si>
  <si>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</si>
  <si>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</si>
  <si>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</si>
  <si>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</si>
  <si>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</si>
  <si>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</si>
  <si>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</si>
  <si>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</si>
  <si>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</si>
  <si>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</si>
  <si>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</si>
  <si>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</si>
  <si>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</si>
  <si>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</si>
  <si>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</si>
  <si>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</si>
  <si>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</si>
  <si>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</si>
  <si>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</si>
  <si>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</si>
  <si>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</si>
  <si>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</si>
  <si>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</si>
  <si>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</si>
  <si>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</si>
  <si>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</si>
  <si>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</si>
  <si>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</si>
  <si>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</si>
  <si>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</si>
  <si>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</si>
  <si>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</si>
  <si>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</si>
  <si>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</si>
  <si>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</si>
  <si>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</si>
  <si>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</si>
  <si>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</si>
  <si>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</si>
  <si>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</si>
  <si>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</si>
  <si>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</si>
  <si>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</si>
  <si>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</si>
  <si>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</si>
  <si>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</si>
  <si>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</si>
  <si>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</si>
  <si>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</si>
  <si>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</si>
  <si>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</si>
  <si>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</si>
  <si>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</si>
  <si>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</si>
  <si>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</si>
  <si>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</si>
  <si>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</si>
  <si>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</si>
  <si>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</si>
  <si>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</si>
  <si>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</si>
  <si>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</si>
  <si>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</si>
  <si>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</si>
  <si>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</si>
  <si>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</si>
  <si>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</si>
  <si>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</si>
  <si>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</si>
  <si>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</si>
  <si>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</si>
  <si>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</si>
  <si>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</si>
  <si>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</si>
  <si>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</si>
  <si>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</si>
  <si>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</si>
  <si>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</si>
  <si>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</si>
  <si>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</si>
  <si>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</si>
  <si>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</si>
  <si>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</si>
  <si>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</si>
  <si>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</si>
  <si>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</si>
  <si>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</si>
  <si>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</si>
  <si>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</si>
  <si>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</si>
  <si>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</si>
  <si>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</si>
  <si>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</si>
  <si>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</si>
  <si>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</si>
  <si>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</si>
  <si>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</si>
  <si>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</si>
  <si>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</si>
  <si>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</si>
  <si>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</si>
  <si>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</si>
  <si>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</si>
  <si>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</si>
  <si>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</si>
  <si>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</si>
  <si>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</si>
  <si>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</si>
  <si>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</si>
  <si>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</si>
  <si>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</si>
  <si>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</si>
  <si>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</si>
  <si>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</si>
  <si>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</si>
  <si>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</si>
  <si>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</si>
  <si>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</si>
  <si>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</si>
  <si>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</si>
  <si>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</si>
  <si>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</si>
  <si>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</si>
  <si>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</si>
  <si>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</si>
  <si>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</si>
  <si>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</si>
  <si>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</si>
  <si>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</si>
  <si>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</si>
  <si>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</si>
  <si>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</si>
  <si>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</si>
  <si>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</si>
  <si>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</si>
  <si>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</si>
  <si>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</si>
  <si>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</si>
  <si>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</si>
  <si>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</si>
  <si>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</si>
  <si>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</si>
  <si>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</si>
  <si>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</si>
  <si>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</si>
  <si>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</si>
  <si>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</si>
  <si>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</si>
  <si>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</si>
  <si>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</si>
  <si>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</si>
  <si>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</si>
  <si>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</si>
  <si>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</si>
  <si>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</si>
  <si>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</si>
  <si>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</si>
  <si>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</si>
  <si>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</si>
  <si>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</si>
  <si>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</si>
  <si>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</si>
  <si>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</si>
  <si>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</si>
  <si>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</si>
  <si>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</si>
  <si>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</si>
  <si>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</si>
  <si>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</si>
  <si>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</si>
  <si>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</si>
  <si>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</si>
  <si>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</si>
  <si>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</si>
  <si>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</si>
  <si>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</si>
  <si>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</si>
  <si>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</si>
  <si>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</si>
  <si>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</si>
  <si>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</si>
  <si>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</si>
  <si>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</si>
  <si>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</si>
  <si>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</si>
  <si>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</si>
  <si>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</si>
  <si>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</si>
  <si>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</si>
  <si>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</si>
  <si>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</si>
  <si>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</si>
  <si>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</si>
  <si>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</si>
  <si>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</si>
  <si>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</si>
  <si>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</si>
  <si>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</si>
  <si>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</si>
  <si>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</si>
  <si>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</si>
  <si>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</si>
  <si>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</si>
  <si>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</si>
  <si>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</si>
  <si>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</si>
  <si>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</si>
  <si>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</si>
  <si>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</si>
  <si>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</si>
  <si>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</si>
  <si>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</si>
  <si>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</si>
  <si>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</si>
  <si>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</si>
  <si>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</si>
  <si>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</si>
  <si>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</si>
  <si>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</si>
  <si>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</si>
  <si>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</si>
  <si>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</si>
  <si>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</si>
  <si>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</si>
  <si>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</si>
  <si>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</si>
  <si>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</si>
  <si>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</si>
  <si>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</si>
  <si>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</si>
  <si>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</si>
  <si>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</si>
  <si>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</si>
  <si>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</si>
  <si>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</si>
  <si>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</si>
  <si>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</si>
  <si>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</si>
  <si>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</si>
  <si>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</si>
  <si>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</si>
  <si>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</si>
  <si>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</si>
  <si>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</si>
  <si>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</si>
  <si>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</si>
  <si>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</si>
  <si>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</si>
  <si>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</si>
  <si>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</si>
  <si>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</si>
  <si>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</si>
  <si>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</si>
  <si>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</si>
  <si>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</si>
  <si>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</si>
  <si>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</si>
  <si>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</si>
  <si>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</si>
  <si>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</si>
  <si>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</si>
  <si>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</si>
  <si>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</si>
  <si>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</si>
  <si>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</si>
  <si>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</si>
  <si>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</si>
  <si>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</si>
  <si>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</si>
  <si>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</si>
  <si>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</si>
  <si>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</si>
  <si>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</si>
  <si>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</si>
  <si>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</si>
  <si>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</si>
  <si>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</si>
  <si>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</si>
  <si>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</si>
  <si>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</si>
  <si>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</si>
  <si>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</si>
  <si>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</si>
  <si>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</si>
  <si>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</si>
  <si>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</si>
  <si>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</si>
  <si>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</si>
  <si>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</si>
  <si>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</si>
  <si>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</si>
  <si>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</si>
  <si>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</si>
  <si>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</si>
  <si>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</si>
  <si>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</si>
  <si>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</si>
  <si>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</si>
  <si>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</si>
  <si>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</si>
  <si>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</si>
  <si>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</si>
  <si>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</si>
  <si>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</si>
  <si>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</si>
  <si>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</si>
  <si>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</si>
  <si>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</si>
  <si>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</si>
  <si>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</si>
  <si>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</si>
  <si>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</si>
  <si>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</si>
  <si>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</si>
  <si>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</si>
  <si>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</si>
  <si>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</si>
  <si>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</si>
  <si>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</si>
  <si>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</si>
  <si>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</si>
  <si>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</si>
  <si>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</si>
  <si>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</si>
  <si>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</si>
  <si>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</si>
  <si>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</si>
  <si>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</si>
  <si>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</si>
  <si>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</si>
  <si>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</si>
  <si>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</si>
  <si>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</si>
  <si>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</si>
  <si>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</si>
  <si>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</si>
  <si>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</si>
  <si>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</si>
  <si>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</si>
  <si>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</si>
  <si>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</si>
  <si>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</si>
  <si>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</si>
  <si>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</si>
  <si>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</si>
  <si>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</si>
  <si>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</si>
  <si>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</si>
  <si>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</si>
  <si>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</si>
  <si>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</si>
  <si>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</si>
  <si>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</si>
  <si>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</si>
  <si>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</si>
  <si>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</si>
  <si>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</si>
  <si>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</si>
  <si>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</si>
  <si>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</si>
  <si>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</si>
  <si>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</si>
  <si>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</si>
  <si>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</si>
  <si>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</si>
  <si>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</si>
  <si>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</si>
  <si>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</si>
  <si>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</si>
  <si>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</si>
  <si>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</si>
  <si>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</si>
  <si>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</si>
  <si>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</si>
  <si>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</si>
  <si>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</si>
  <si>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</si>
  <si>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</si>
  <si>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</si>
  <si>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</si>
  <si>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</si>
  <si>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</si>
  <si>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</si>
  <si>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</si>
  <si>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</si>
  <si>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</si>
  <si>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</si>
  <si>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</si>
  <si>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</si>
  <si>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</si>
  <si>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</si>
  <si>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</si>
  <si>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</si>
  <si>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</si>
  <si>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</si>
  <si>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</si>
  <si>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</si>
  <si>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</si>
  <si>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</si>
  <si>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</si>
  <si>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</si>
  <si>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</si>
  <si>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</si>
  <si>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</si>
  <si>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</si>
  <si>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</si>
  <si>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</si>
  <si>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</si>
  <si>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</si>
  <si>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</si>
  <si>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</si>
  <si>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</si>
  <si>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</si>
  <si>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</si>
  <si>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</si>
  <si>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</si>
  <si>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</si>
  <si>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</si>
  <si>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</si>
  <si>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</si>
  <si>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</si>
  <si>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</si>
  <si>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</si>
  <si>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</si>
  <si>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</si>
  <si>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</si>
  <si>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</si>
  <si>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</si>
  <si>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</si>
  <si>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</si>
  <si>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</si>
  <si>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</si>
  <si>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</si>
  <si>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</si>
  <si>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</si>
  <si>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</si>
  <si>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</si>
  <si>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</si>
  <si>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</si>
  <si>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</si>
  <si>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</si>
  <si>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</si>
  <si>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</si>
  <si>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</si>
  <si>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</si>
  <si>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</si>
  <si>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</si>
  <si>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</si>
  <si>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</si>
  <si>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</si>
  <si>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</si>
  <si>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</si>
  <si>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</si>
  <si>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</si>
  <si>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</si>
  <si>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</si>
  <si>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</si>
  <si>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</si>
  <si>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</si>
  <si>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</si>
  <si>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</si>
  <si>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</si>
  <si>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</si>
  <si>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</si>
  <si>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</si>
  <si>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</si>
  <si>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</si>
  <si>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</si>
  <si>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</si>
  <si>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</si>
  <si>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</si>
  <si>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</si>
  <si>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</si>
  <si>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</si>
  <si>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</si>
  <si>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</si>
  <si>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</si>
  <si>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</si>
  <si>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</si>
  <si>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</si>
  <si>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</si>
  <si>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</si>
  <si>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</si>
  <si>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</si>
  <si>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</si>
  <si>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</si>
  <si>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</si>
  <si>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</si>
  <si>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</si>
  <si>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</si>
  <si>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</si>
  <si>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</si>
  <si>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</si>
  <si>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</si>
  <si>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</si>
  <si>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</si>
  <si>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</si>
  <si>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</si>
  <si>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</si>
  <si>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</si>
  <si>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</si>
  <si>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</si>
  <si>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</si>
  <si>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</si>
  <si>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</si>
  <si>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</si>
  <si>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</si>
  <si>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</si>
  <si>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</si>
  <si>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</si>
  <si>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</si>
  <si>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</si>
  <si>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</si>
  <si>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</si>
  <si>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</si>
  <si>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</si>
  <si>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</si>
  <si>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</si>
  <si>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</si>
  <si>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</si>
  <si>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</si>
  <si>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</si>
  <si>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</si>
  <si>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</si>
  <si>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</si>
  <si>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</si>
  <si>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</si>
  <si>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</si>
  <si>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</si>
  <si>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</si>
  <si>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</si>
  <si>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</si>
  <si>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</si>
  <si>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</si>
  <si>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</si>
  <si>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</si>
  <si>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</si>
  <si>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</si>
  <si>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</si>
  <si>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</si>
  <si>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</si>
  <si>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</si>
  <si>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</si>
  <si>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</si>
  <si>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</si>
  <si>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</si>
  <si>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</si>
  <si>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</si>
  <si>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</si>
  <si>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</si>
  <si>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</si>
  <si>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</si>
  <si>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</si>
  <si>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</si>
  <si>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</si>
  <si>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</si>
  <si>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</si>
  <si>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</si>
  <si>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</si>
  <si>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</si>
  <si>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</si>
  <si>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</si>
  <si>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</si>
  <si>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</si>
  <si>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</si>
  <si>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</si>
  <si>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</si>
  <si>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</si>
  <si>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</si>
  <si>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</si>
  <si>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</si>
  <si>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</si>
  <si>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</si>
  <si>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</si>
  <si>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</si>
  <si>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</si>
  <si>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</si>
  <si>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</si>
  <si>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</si>
  <si>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</si>
  <si>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</si>
  <si>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</si>
  <si>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</si>
  <si>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</si>
  <si>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</si>
  <si>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</si>
  <si>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</si>
  <si>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</si>
  <si>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</si>
  <si>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</si>
  <si>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</si>
  <si>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</si>
  <si>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</si>
  <si>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</si>
  <si>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</si>
  <si>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</si>
  <si>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</si>
  <si>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</si>
  <si>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</si>
  <si>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</si>
  <si>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</si>
  <si>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</si>
  <si>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</si>
  <si>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</si>
  <si>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</si>
  <si>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</si>
  <si>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</si>
  <si>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</si>
  <si>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</si>
  <si>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</si>
  <si>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</si>
  <si>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</si>
  <si>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</si>
  <si>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</si>
  <si>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</si>
  <si>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</si>
  <si>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</si>
  <si>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</si>
  <si>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</si>
  <si>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</si>
  <si>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</si>
  <si>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</si>
  <si>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</si>
  <si>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</si>
  <si>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</si>
  <si>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</si>
  <si>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</si>
  <si>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</si>
  <si>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</si>
  <si>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</si>
  <si>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</si>
  <si>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</si>
  <si>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</si>
  <si>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</si>
  <si>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</si>
  <si>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</si>
  <si>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</si>
  <si>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</si>
  <si>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</si>
  <si>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</si>
  <si>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</si>
  <si>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</si>
  <si>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</si>
  <si>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</si>
  <si>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</si>
  <si>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</si>
  <si>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</si>
  <si>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</si>
  <si>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</si>
  <si>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</si>
  <si>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</si>
  <si>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</si>
  <si>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</si>
  <si>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</si>
  <si>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</si>
  <si>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</si>
  <si>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</si>
  <si>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</si>
  <si>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</si>
  <si>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</si>
  <si>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</si>
  <si>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</si>
  <si>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</si>
  <si>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</si>
  <si>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</si>
  <si>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</si>
  <si>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</si>
  <si>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</si>
  <si>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</si>
  <si>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</si>
  <si>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</si>
  <si>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</si>
  <si>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</si>
  <si>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</si>
  <si>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</si>
  <si>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</si>
  <si>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</si>
  <si>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</si>
  <si>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</si>
  <si>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</si>
  <si>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</si>
  <si>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</si>
  <si>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</si>
  <si>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</si>
  <si>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</si>
  <si>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</si>
  <si>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</si>
  <si>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</si>
  <si>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</si>
  <si>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</si>
  <si>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</si>
  <si>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</si>
  <si>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</si>
  <si>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</si>
  <si>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</si>
  <si>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</si>
  <si>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</si>
  <si>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</si>
  <si>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</si>
  <si>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</si>
  <si>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</si>
  <si>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</si>
  <si>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</si>
  <si>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</si>
  <si>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</si>
  <si>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</si>
  <si>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</si>
  <si>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</si>
  <si>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</si>
  <si>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</si>
  <si>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</si>
  <si>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</si>
  <si>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</si>
  <si>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</si>
  <si>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</si>
  <si>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</si>
  <si>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</si>
  <si>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</si>
  <si>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</si>
  <si>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</si>
  <si>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</si>
  <si>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</si>
  <si>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</si>
  <si>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</si>
  <si>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</si>
  <si>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</si>
  <si>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</si>
  <si>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</si>
  <si>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</si>
  <si>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</si>
  <si>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</si>
  <si>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</si>
  <si>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</si>
  <si>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</si>
  <si>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</si>
  <si>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</si>
  <si>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</si>
  <si>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</si>
  <si>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</si>
  <si>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</si>
  <si>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</si>
  <si>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</si>
  <si>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</si>
  <si>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</si>
  <si>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</si>
  <si>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</si>
  <si>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</si>
  <si>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</si>
  <si>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</si>
  <si>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</si>
  <si>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</si>
  <si>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</si>
  <si>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</si>
  <si>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</si>
  <si>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</si>
  <si>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</si>
  <si>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</si>
  <si>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</si>
  <si>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</si>
  <si>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</si>
  <si>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</si>
  <si>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</si>
  <si>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</si>
  <si>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</si>
  <si>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</si>
  <si>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</si>
  <si>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</si>
  <si>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</si>
  <si>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</si>
  <si>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</si>
  <si>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</si>
  <si>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</si>
  <si>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</si>
  <si>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</si>
  <si>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</si>
  <si>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</si>
  <si>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</si>
  <si>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</si>
  <si>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</si>
  <si>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</si>
  <si>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</si>
  <si>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</si>
  <si>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</si>
  <si>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</si>
  <si>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</si>
  <si>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</si>
  <si>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</si>
  <si>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</si>
  <si>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</si>
  <si>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</si>
  <si>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</si>
  <si>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</si>
  <si>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</si>
  <si>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</si>
  <si>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</si>
  <si>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</si>
  <si>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</si>
  <si>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</si>
  <si>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</si>
  <si>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</si>
  <si>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</si>
  <si>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</si>
  <si>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</si>
  <si>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</si>
  <si>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</si>
  <si>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</si>
  <si>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</si>
  <si>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</si>
  <si>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</si>
  <si>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</si>
  <si>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</si>
  <si>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</si>
  <si>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</si>
  <si>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</si>
  <si>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</si>
  <si>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</si>
  <si>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</si>
  <si>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</si>
  <si>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</si>
  <si>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</si>
  <si>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</si>
  <si>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</si>
  <si>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</si>
  <si>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</si>
  <si>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</si>
  <si>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</si>
  <si>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</si>
  <si>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</si>
  <si>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</si>
  <si>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</si>
  <si>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</si>
  <si>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</si>
  <si>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</si>
  <si>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</si>
  <si>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</si>
  <si>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</si>
  <si>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</si>
  <si>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</si>
  <si>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</si>
  <si>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</si>
  <si>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</si>
  <si>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</si>
  <si>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</si>
  <si>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</si>
  <si>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</si>
  <si>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</si>
  <si>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</si>
  <si>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</si>
  <si>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</si>
  <si>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</si>
  <si>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</si>
  <si>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</si>
  <si>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</si>
  <si>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</si>
  <si>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</si>
  <si>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</si>
  <si>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</si>
  <si>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</si>
  <si>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</si>
  <si>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</si>
  <si>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</si>
  <si>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</si>
  <si>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</si>
  <si>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</si>
  <si>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</si>
  <si>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</si>
  <si>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</si>
  <si>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</si>
  <si>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</si>
  <si>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</si>
  <si>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</si>
  <si>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</si>
  <si>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</si>
  <si>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</si>
  <si>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</si>
  <si>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</si>
  <si>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</si>
  <si>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</si>
  <si>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</si>
  <si>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</si>
  <si>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</si>
  <si>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</si>
  <si>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</si>
  <si>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</si>
  <si>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</si>
  <si>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</si>
  <si>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</si>
  <si>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</si>
  <si>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</si>
  <si>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</si>
  <si>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</si>
  <si>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</si>
  <si>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</si>
  <si>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</si>
  <si>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</si>
  <si>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</si>
  <si>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</si>
  <si>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</si>
  <si>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</si>
  <si>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</si>
  <si>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</si>
  <si>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</si>
  <si>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</si>
  <si>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</si>
  <si>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</si>
  <si>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</si>
  <si>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</si>
  <si>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</si>
  <si>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</si>
  <si>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</si>
  <si>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</si>
  <si>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</si>
  <si>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</si>
  <si>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</si>
  <si>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</si>
  <si>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</si>
  <si>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</si>
  <si>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</si>
  <si>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</si>
  <si>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</si>
  <si>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</si>
  <si>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</si>
  <si>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</si>
  <si>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</si>
  <si>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</si>
  <si>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</si>
  <si>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</si>
  <si>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</si>
  <si>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</si>
  <si>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</si>
  <si>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</si>
  <si>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</si>
  <si>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</si>
  <si>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</si>
  <si>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</si>
  <si>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</si>
  <si>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</si>
  <si>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</si>
  <si>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</si>
  <si>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</si>
  <si>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</si>
  <si>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</si>
  <si>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</si>
  <si>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</si>
  <si>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</si>
  <si>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</si>
  <si>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</si>
  <si>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</si>
  <si>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</si>
  <si>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</si>
  <si>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</si>
  <si>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</si>
  <si>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</si>
  <si>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</si>
  <si>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</si>
  <si>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</si>
  <si>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</si>
  <si>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</si>
  <si>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</si>
  <si>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</si>
  <si>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</si>
  <si>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</si>
  <si>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</si>
  <si>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</si>
  <si>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</si>
  <si>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</si>
  <si>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</si>
  <si>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</si>
  <si>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</si>
  <si>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</si>
  <si>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</si>
  <si>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</si>
  <si>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</si>
  <si>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</si>
  <si>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</si>
  <si>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</si>
  <si>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</si>
  <si>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</si>
  <si>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</si>
  <si>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</si>
  <si>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</si>
  <si>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</si>
  <si>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</si>
  <si>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</si>
  <si>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</si>
  <si>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</si>
  <si>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</si>
  <si>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</si>
  <si>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</si>
  <si>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</si>
  <si>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</si>
  <si>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</si>
  <si>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</si>
  <si>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</si>
  <si>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</si>
  <si>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</si>
  <si>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</si>
  <si>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</si>
  <si>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</si>
  <si>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</si>
  <si>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</si>
  <si>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</si>
  <si>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</si>
  <si>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</si>
  <si>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</si>
  <si>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</si>
  <si>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</si>
  <si>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</si>
  <si>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</si>
  <si>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</si>
  <si>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</si>
  <si>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</si>
  <si>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</si>
  <si>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</si>
  <si>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</si>
  <si>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</si>
  <si>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</si>
  <si>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</si>
  <si>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</si>
  <si>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</si>
  <si>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</si>
  <si>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</si>
  <si>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</si>
  <si>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</si>
  <si>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</si>
  <si>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</si>
  <si>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</si>
  <si>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</si>
  <si>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</si>
  <si>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</si>
  <si>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</si>
  <si>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</si>
  <si>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</si>
  <si>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</si>
  <si>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</si>
  <si>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</si>
  <si>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</si>
  <si>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</si>
  <si>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</si>
  <si>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</si>
  <si>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</si>
  <si>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</si>
  <si>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</si>
  <si>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</si>
  <si>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</si>
  <si>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</si>
  <si>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</si>
  <si>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</si>
  <si>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</si>
  <si>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</si>
  <si>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</si>
  <si>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</si>
  <si>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</si>
  <si>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</si>
  <si>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</si>
  <si>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</si>
  <si>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</si>
  <si>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</si>
  <si>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</si>
  <si>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</si>
  <si>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</si>
  <si>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</si>
  <si>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</si>
  <si>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</si>
  <si>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</si>
  <si>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</si>
  <si>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</si>
  <si>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</si>
  <si>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</si>
  <si>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</si>
  <si>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</si>
  <si>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</si>
  <si>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</si>
  <si>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</si>
  <si>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</si>
  <si>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</si>
  <si>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</si>
  <si>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</si>
  <si>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</si>
  <si>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</si>
  <si>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</si>
  <si>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</si>
  <si>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</si>
  <si>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</si>
  <si>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</si>
  <si>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</si>
  <si>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</si>
  <si>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</si>
  <si>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</si>
  <si>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</si>
  <si>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</si>
  <si>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</si>
  <si>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</si>
  <si>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</si>
  <si>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</si>
  <si>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</si>
  <si>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</si>
  <si>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</si>
  <si>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</si>
  <si>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</si>
  <si>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</si>
  <si>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</si>
  <si>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</si>
  <si>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</si>
  <si>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</si>
  <si>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</si>
  <si>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</si>
  <si>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</si>
  <si>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</si>
  <si>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</si>
  <si>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</si>
  <si>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</si>
  <si>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</si>
  <si>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</si>
  <si>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</si>
  <si>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</si>
  <si>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</si>
  <si>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</si>
  <si>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</si>
  <si>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</si>
  <si>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</si>
  <si>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</si>
  <si>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</si>
  <si>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</si>
  <si>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</si>
  <si>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</si>
  <si>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</si>
  <si>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</si>
  <si>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</si>
  <si>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</si>
  <si>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</si>
  <si>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</si>
  <si>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</si>
  <si>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</si>
  <si>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</si>
  <si>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</si>
  <si>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</si>
  <si>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</si>
  <si>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</si>
  <si>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</si>
  <si>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</si>
  <si>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</si>
  <si>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</si>
  <si>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</si>
  <si>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</si>
  <si>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</si>
  <si>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</si>
  <si>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</si>
  <si>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</si>
  <si>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</si>
  <si>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</si>
  <si>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</si>
  <si>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</si>
  <si>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</si>
  <si>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</si>
  <si>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</si>
  <si>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</si>
  <si>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</si>
  <si>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</si>
  <si>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</si>
  <si>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</si>
  <si>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</si>
  <si>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</si>
  <si>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</si>
  <si>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</si>
  <si>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</si>
  <si>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</si>
  <si>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</si>
  <si>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</si>
  <si>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</si>
  <si>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</si>
  <si>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</si>
  <si>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</si>
  <si>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</si>
  <si>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</si>
  <si>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</si>
  <si>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</si>
  <si>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</si>
  <si>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</si>
  <si>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</si>
  <si>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</si>
  <si>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</si>
  <si>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</si>
  <si>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</si>
  <si>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</si>
  <si>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</si>
  <si>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</si>
  <si>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</si>
  <si>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</si>
  <si>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</si>
  <si>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</si>
  <si>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</si>
  <si>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</si>
  <si>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</si>
  <si>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</si>
  <si>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</si>
  <si>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</si>
  <si>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</si>
  <si>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</si>
  <si>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</si>
  <si>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</si>
  <si>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</si>
  <si>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</si>
  <si>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</si>
  <si>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</si>
  <si>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</si>
  <si>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</si>
  <si>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</si>
  <si>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</si>
  <si>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</si>
  <si>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</si>
  <si>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</si>
  <si>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</si>
  <si>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</si>
  <si>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</si>
  <si>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</si>
  <si>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</si>
  <si>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</si>
  <si>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</si>
  <si>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</si>
  <si>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</si>
  <si>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</si>
  <si>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</si>
  <si>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</si>
  <si>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</si>
  <si>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</si>
  <si>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</si>
  <si>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</si>
  <si>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</si>
  <si>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</si>
  <si>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</si>
  <si>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</si>
  <si>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</si>
  <si>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</si>
  <si>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</si>
  <si>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</si>
  <si>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</si>
  <si>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</si>
  <si>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</si>
  <si>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</si>
  <si>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</si>
  <si>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</si>
  <si>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</si>
  <si>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</si>
  <si>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</si>
  <si>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</si>
  <si>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</si>
  <si>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</si>
  <si>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</si>
  <si>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</si>
  <si>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</si>
  <si>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</si>
  <si>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</si>
  <si>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</si>
  <si>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</si>
  <si>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</si>
  <si>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</si>
  <si>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</si>
  <si>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</si>
  <si>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</si>
  <si>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</si>
  <si>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</si>
  <si>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</si>
  <si>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</si>
  <si>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</si>
  <si>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</si>
  <si>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</si>
  <si>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</si>
  <si>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</si>
  <si>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</si>
  <si>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</si>
  <si>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</si>
  <si>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</si>
  <si>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</si>
  <si>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</si>
  <si>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</si>
  <si>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</si>
  <si>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</si>
  <si>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</si>
  <si>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</si>
  <si>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</si>
  <si>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</si>
  <si>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</si>
  <si>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</si>
  <si>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</si>
  <si>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</si>
  <si>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</si>
  <si>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</si>
  <si>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</si>
  <si>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</si>
  <si>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</si>
  <si>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</si>
  <si>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</si>
  <si>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</si>
  <si>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</si>
  <si>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</si>
  <si>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</si>
  <si>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</si>
  <si>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</si>
  <si>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</si>
  <si>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</si>
  <si>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</si>
  <si>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</si>
  <si>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</si>
  <si>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</si>
  <si>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</si>
  <si>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</si>
  <si>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</si>
  <si>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</si>
  <si>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</si>
  <si>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</si>
  <si>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</si>
  <si>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</si>
  <si>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</si>
  <si>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</si>
  <si>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</si>
  <si>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</si>
  <si>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</si>
  <si>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</si>
  <si>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</si>
  <si>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</si>
  <si>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</si>
  <si>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</si>
  <si>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</si>
  <si>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</si>
  <si>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</si>
  <si>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</si>
  <si>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</si>
  <si>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</si>
  <si>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</si>
  <si>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</si>
  <si>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</si>
  <si>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</si>
  <si>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</si>
  <si>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</si>
  <si>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</si>
  <si>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</si>
  <si>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</si>
  <si>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</si>
  <si>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</si>
  <si>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</si>
  <si>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</si>
  <si>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</si>
  <si>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</si>
  <si>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</si>
  <si>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</si>
  <si>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</si>
  <si>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</si>
  <si>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</si>
  <si>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</si>
  <si>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</si>
  <si>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</si>
  <si>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</si>
  <si>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</si>
  <si>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</si>
  <si>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</si>
  <si>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</si>
  <si>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</si>
  <si>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</si>
  <si>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</si>
  <si>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</si>
  <si>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</si>
  <si>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</si>
  <si>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</si>
  <si>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</si>
  <si>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</si>
  <si>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</si>
  <si>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</si>
  <si>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</si>
  <si>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</si>
  <si>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</si>
  <si>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</si>
  <si>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</si>
  <si>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</si>
  <si>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</si>
  <si>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</si>
  <si>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</si>
  <si>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</si>
  <si>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</si>
  <si>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</si>
  <si>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</si>
  <si>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</si>
  <si>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</si>
  <si>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</si>
  <si>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</si>
  <si>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</si>
  <si>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</si>
  <si>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</si>
  <si>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</si>
  <si>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</si>
  <si>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</si>
  <si>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</si>
  <si>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</si>
  <si>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</si>
  <si>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</si>
  <si>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</si>
  <si>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</si>
  <si>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</si>
  <si>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</si>
  <si>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</si>
  <si>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</si>
  <si>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</si>
  <si>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</si>
  <si>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</si>
  <si>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</si>
  <si>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</si>
  <si>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</si>
  <si>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</si>
  <si>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</si>
  <si>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</si>
  <si>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</si>
  <si>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</si>
  <si>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</si>
  <si>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</si>
  <si>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</si>
  <si>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</si>
  <si>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</si>
  <si>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</si>
  <si>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</si>
  <si>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</si>
  <si>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</si>
  <si>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</si>
  <si>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</si>
  <si>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</si>
  <si>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</si>
  <si>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</si>
  <si>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</si>
  <si>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</si>
  <si>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</si>
  <si>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</si>
  <si>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</si>
  <si>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</si>
  <si>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</si>
  <si>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</si>
  <si>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</si>
  <si>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</si>
  <si>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</si>
  <si>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</si>
  <si>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</si>
  <si>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</si>
  <si>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</si>
  <si>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</si>
  <si>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</si>
  <si>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</si>
  <si>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</si>
  <si>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</si>
  <si>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</si>
  <si>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</si>
  <si>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</si>
  <si>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</si>
  <si>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</si>
  <si>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</si>
  <si>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</si>
  <si>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</si>
  <si>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</si>
  <si>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</si>
  <si>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</si>
  <si>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</si>
  <si>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</si>
  <si>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</si>
  <si>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</si>
  <si>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</si>
  <si>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</si>
  <si>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</si>
  <si>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</si>
  <si>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</si>
  <si>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</si>
  <si>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</si>
  <si>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</si>
  <si>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</si>
  <si>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</si>
  <si>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</si>
  <si>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</si>
  <si>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</si>
  <si>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</si>
  <si>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</si>
  <si>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</si>
  <si>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</si>
  <si>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</si>
  <si>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</si>
  <si>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</si>
  <si>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</si>
  <si>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</si>
  <si>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</si>
  <si>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</si>
  <si>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</si>
  <si>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</si>
  <si>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</si>
  <si>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</si>
  <si>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</si>
  <si>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</si>
  <si>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</si>
  <si>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</si>
  <si>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</si>
  <si>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</si>
  <si>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</si>
  <si>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</si>
  <si>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</si>
  <si>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</si>
  <si>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</si>
  <si>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</si>
  <si>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</si>
  <si>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</si>
  <si>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</si>
  <si>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</si>
  <si>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</si>
  <si>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</si>
  <si>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</si>
  <si>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</si>
  <si>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</si>
  <si>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</si>
  <si>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</si>
  <si>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</si>
  <si>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</si>
  <si>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</si>
  <si>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</si>
  <si>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</si>
  <si>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</si>
  <si>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</si>
  <si>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</si>
  <si>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</si>
  <si>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</si>
  <si>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</si>
  <si>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</si>
  <si>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</si>
  <si>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</si>
  <si>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</si>
  <si>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</si>
  <si>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</si>
  <si>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</si>
  <si>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</si>
  <si>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</si>
  <si>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</si>
  <si>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</si>
  <si>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</si>
  <si>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</si>
  <si>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</si>
  <si>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</si>
  <si>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</si>
  <si>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</si>
  <si>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</si>
  <si>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</si>
  <si>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</si>
  <si>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</si>
  <si>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</si>
  <si>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</si>
  <si>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</si>
  <si>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</si>
  <si>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</si>
  <si>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</si>
  <si>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</si>
  <si>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</si>
  <si>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</si>
  <si>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</si>
  <si>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</si>
  <si>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</si>
  <si>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</si>
  <si>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</si>
  <si>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</si>
  <si>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</si>
  <si>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</si>
  <si>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</si>
  <si>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</si>
  <si>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</si>
  <si>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</si>
  <si>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</si>
  <si>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</si>
  <si>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</si>
  <si>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</si>
  <si>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</si>
  <si>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</si>
  <si>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</si>
  <si>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</si>
  <si>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</si>
  <si>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</si>
  <si>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</si>
  <si>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</si>
  <si>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</si>
  <si>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</si>
  <si>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</si>
  <si>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</si>
  <si>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</si>
  <si>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</si>
  <si>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</si>
  <si>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</si>
  <si>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</si>
  <si>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</si>
  <si>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</si>
  <si>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</si>
  <si>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</si>
  <si>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</si>
  <si>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</si>
  <si>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</si>
  <si>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</si>
  <si>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</si>
  <si>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</si>
  <si>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</si>
  <si>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</si>
  <si>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</si>
  <si>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</si>
  <si>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</si>
  <si>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</si>
  <si>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</si>
  <si>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</si>
  <si>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</si>
  <si>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</si>
  <si>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</si>
  <si>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</si>
  <si>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</si>
  <si>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</si>
  <si>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</si>
  <si>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</si>
  <si>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</si>
  <si>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</si>
  <si>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</si>
  <si>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</si>
  <si>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</si>
  <si>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</si>
  <si>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</si>
  <si>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</si>
  <si>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</si>
  <si>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</si>
  <si>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</si>
  <si>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</si>
  <si>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</si>
  <si>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</si>
  <si>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</si>
  <si>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</si>
  <si>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</si>
  <si>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</si>
  <si>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</si>
  <si>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</si>
  <si>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</si>
  <si>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</si>
  <si>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</si>
  <si>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</si>
  <si>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</si>
  <si>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</si>
  <si>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</si>
  <si>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</si>
  <si>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</si>
  <si>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</si>
  <si>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</si>
  <si>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</si>
  <si>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</si>
  <si>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</si>
  <si>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</si>
  <si>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</si>
  <si>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</si>
  <si>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</si>
  <si>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</si>
  <si>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</si>
  <si>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</si>
  <si>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</si>
  <si>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</si>
  <si>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</si>
  <si>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</si>
  <si>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</si>
  <si>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</si>
  <si>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</si>
  <si>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</si>
  <si>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</si>
  <si>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</si>
  <si>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</si>
  <si>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</si>
  <si>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</si>
  <si>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</si>
  <si>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</si>
  <si>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</si>
  <si>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</si>
  <si>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</si>
  <si>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</si>
  <si>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</si>
  <si>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</si>
  <si>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</si>
  <si>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</si>
  <si>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</si>
  <si>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</si>
  <si>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</si>
  <si>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</si>
  <si>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</si>
  <si>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</si>
  <si>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</si>
  <si>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</si>
  <si>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</si>
  <si>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</si>
  <si>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</si>
  <si>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</si>
  <si>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</si>
  <si>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</si>
  <si>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</si>
  <si>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</si>
  <si>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</si>
  <si>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</si>
  <si>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</si>
  <si>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</si>
  <si>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</si>
  <si>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</si>
  <si>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</si>
  <si>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</si>
  <si>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</si>
  <si>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</si>
  <si>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</si>
  <si>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</si>
  <si>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</si>
  <si>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</si>
  <si>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</si>
  <si>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</si>
  <si>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</si>
  <si>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</si>
  <si>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</si>
  <si>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</si>
  <si>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</si>
  <si>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</si>
  <si>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</si>
  <si>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</si>
  <si>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</si>
  <si>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</si>
  <si>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</si>
  <si>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</si>
  <si>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</si>
  <si>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</si>
  <si>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</si>
  <si>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</si>
  <si>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</si>
  <si>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</si>
  <si>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</si>
  <si>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</si>
  <si>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</si>
  <si>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</si>
  <si>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</si>
  <si>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</si>
  <si>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</si>
  <si>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</si>
  <si>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</si>
  <si>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</si>
  <si>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</si>
  <si>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</si>
  <si>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</si>
  <si>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</si>
  <si>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</si>
  <si>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</si>
  <si>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</si>
  <si>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</si>
  <si>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</si>
  <si>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</si>
  <si>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</si>
  <si>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</si>
  <si>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</si>
  <si>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</si>
  <si>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</si>
  <si>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</si>
  <si>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</si>
  <si>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</si>
  <si>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</si>
  <si>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</si>
  <si>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</si>
  <si>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</si>
  <si>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</si>
  <si>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</si>
  <si>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</si>
  <si>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</si>
  <si>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</si>
  <si>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</si>
  <si>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</si>
  <si>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</si>
  <si>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</si>
  <si>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</si>
  <si>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</si>
  <si>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</si>
  <si>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</si>
  <si>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</si>
  <si>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</si>
  <si>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</si>
  <si>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</si>
  <si>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</si>
  <si>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</si>
  <si>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</si>
  <si>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</si>
  <si>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</si>
  <si>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</si>
  <si>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</si>
  <si>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</si>
  <si>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</si>
  <si>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</si>
  <si>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</si>
  <si>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</si>
  <si>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</si>
  <si>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</si>
  <si>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</si>
  <si>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</si>
  <si>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</si>
  <si>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</si>
  <si>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</si>
  <si>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</si>
  <si>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</si>
  <si>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</si>
  <si>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</si>
  <si>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</si>
  <si>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</si>
  <si>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</si>
  <si>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</si>
  <si>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</si>
  <si>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</si>
  <si>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</si>
  <si>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</si>
  <si>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</si>
  <si>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</si>
  <si>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</si>
  <si>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</si>
  <si>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</si>
  <si>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</si>
  <si>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</si>
  <si>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</si>
  <si>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</si>
  <si>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</si>
  <si>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</si>
  <si>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</si>
  <si>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</si>
  <si>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</si>
  <si>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</si>
  <si>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</si>
  <si>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</si>
  <si>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</si>
  <si>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</si>
  <si>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</si>
  <si>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</si>
  <si>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</si>
  <si>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</si>
  <si>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</si>
  <si>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</si>
  <si>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</si>
  <si>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</si>
  <si>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</si>
  <si>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</si>
  <si>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</si>
  <si>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</si>
  <si>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</si>
  <si>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</si>
  <si>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</si>
  <si>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</si>
  <si>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</si>
  <si>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</si>
  <si>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</si>
  <si>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</si>
  <si>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</si>
  <si>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</si>
  <si>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</si>
  <si>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</si>
  <si>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</si>
  <si>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</si>
  <si>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</si>
  <si>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</si>
  <si>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</si>
  <si>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</si>
  <si>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</si>
  <si>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</si>
  <si>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</si>
  <si>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</si>
  <si>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</si>
  <si>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</si>
  <si>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</si>
  <si>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</si>
  <si>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</si>
  <si>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</si>
  <si>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</si>
  <si>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</si>
  <si>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</si>
  <si>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</si>
  <si>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</si>
  <si>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</si>
  <si>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</si>
  <si>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</si>
  <si>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</si>
  <si>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</si>
  <si>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</si>
  <si>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</si>
  <si>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</si>
  <si>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</si>
  <si>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</si>
  <si>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</si>
  <si>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</si>
  <si>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</si>
  <si>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</si>
  <si>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</si>
  <si>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</si>
  <si>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</si>
  <si>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</si>
  <si>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</si>
  <si>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</si>
  <si>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</si>
  <si>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</si>
  <si>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</si>
  <si>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</si>
  <si>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</si>
  <si>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</si>
  <si>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</si>
  <si>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</si>
  <si>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</si>
  <si>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</si>
  <si>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</si>
  <si>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</si>
  <si>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</si>
  <si>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</si>
  <si>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</si>
  <si>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</si>
  <si>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</si>
  <si>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</si>
  <si>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</si>
  <si>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</si>
  <si>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</si>
  <si>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</si>
  <si>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</si>
  <si>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</si>
  <si>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</si>
  <si>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</si>
  <si>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</si>
  <si>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</si>
  <si>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</si>
  <si>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</si>
  <si>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</si>
  <si>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</si>
  <si>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</si>
  <si>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</si>
  <si>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</si>
  <si>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</si>
  <si>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</si>
  <si>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</si>
  <si>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</si>
  <si>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</si>
  <si>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</si>
  <si>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</si>
  <si>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</si>
  <si>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</si>
  <si>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</si>
  <si>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</si>
  <si>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</si>
  <si>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</si>
  <si>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</si>
  <si>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</si>
  <si>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</si>
  <si>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</si>
  <si>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</si>
  <si>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</si>
  <si>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</si>
  <si>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</si>
  <si>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</si>
  <si>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</si>
  <si>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</si>
  <si>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</si>
  <si>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</si>
  <si>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</si>
  <si>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</si>
  <si>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</si>
  <si>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</si>
  <si>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</si>
  <si>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</si>
  <si>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</si>
  <si>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</si>
  <si>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</si>
  <si>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</si>
  <si>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</si>
  <si>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</si>
  <si>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</si>
  <si>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</si>
  <si>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</si>
  <si>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</si>
  <si>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</si>
  <si>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</si>
  <si>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</si>
  <si>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</si>
  <si>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</si>
  <si>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</si>
  <si>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</si>
  <si>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</si>
  <si>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</si>
  <si>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</si>
  <si>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</si>
  <si>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</si>
  <si>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</si>
  <si>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</si>
  <si>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</si>
  <si>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</si>
  <si>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</si>
  <si>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</si>
  <si>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</si>
  <si>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</si>
  <si>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</si>
  <si>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</si>
  <si>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</si>
  <si>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</si>
  <si>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</si>
  <si>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</si>
  <si>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</si>
  <si>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</si>
  <si>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</si>
  <si>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</si>
  <si>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</si>
  <si>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</si>
  <si>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</si>
  <si>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</si>
  <si>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</si>
  <si>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</si>
  <si>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</si>
  <si>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</si>
  <si>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</si>
  <si>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</si>
  <si>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</si>
  <si>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</si>
  <si>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</si>
  <si>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</si>
  <si>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</si>
  <si>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</si>
  <si>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</si>
  <si>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</si>
  <si>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</si>
  <si>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</si>
  <si>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</si>
  <si>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</si>
  <si>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</si>
  <si>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</si>
  <si>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</si>
  <si>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</si>
  <si>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</si>
  <si>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</si>
  <si>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</si>
  <si>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</si>
  <si>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</si>
  <si>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</si>
  <si>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</si>
  <si>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</si>
  <si>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</si>
  <si>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</si>
  <si>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</si>
  <si>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</si>
  <si>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</si>
  <si>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</si>
  <si>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</si>
  <si>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</si>
  <si>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</si>
  <si>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</si>
  <si>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</si>
  <si>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</si>
  <si>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</si>
  <si>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</si>
  <si>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</si>
  <si>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</si>
  <si>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</si>
  <si>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</si>
  <si>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</si>
  <si>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</si>
  <si>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</si>
  <si>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</si>
  <si>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</si>
  <si>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</si>
  <si>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</si>
  <si>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</si>
  <si>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</si>
  <si>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</si>
  <si>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</si>
  <si>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</si>
  <si>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</si>
  <si>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</si>
  <si>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</si>
  <si>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</si>
  <si>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</si>
  <si>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</si>
  <si>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</si>
  <si>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</si>
  <si>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</si>
  <si>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</si>
  <si>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</si>
  <si>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</si>
  <si>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</si>
  <si>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</si>
  <si>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</si>
  <si>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</si>
  <si>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</si>
  <si>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</si>
  <si>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</si>
  <si>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</si>
  <si>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</si>
  <si>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</si>
  <si>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</si>
  <si>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</si>
  <si>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</si>
  <si>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</si>
  <si>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</si>
  <si>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</si>
  <si>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</si>
  <si>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</si>
  <si>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</si>
  <si>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</si>
  <si>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</si>
  <si>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</si>
  <si>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</si>
  <si>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</si>
  <si>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</si>
  <si>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</si>
  <si>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</si>
  <si>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</si>
  <si>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</si>
  <si>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</si>
  <si>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</si>
  <si>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</si>
  <si>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</si>
  <si>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</si>
  <si>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</si>
  <si>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</si>
  <si>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</si>
  <si>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</si>
  <si>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</si>
  <si>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</si>
  <si>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</si>
  <si>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</si>
  <si>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</si>
  <si>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</si>
  <si>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</si>
  <si>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</si>
  <si>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</si>
  <si>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</si>
  <si>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</si>
  <si>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</si>
  <si>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</si>
  <si>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</si>
  <si>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</si>
  <si>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</si>
  <si>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</si>
  <si>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</si>
  <si>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</si>
  <si>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</si>
  <si>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</si>
  <si>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</si>
  <si>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</si>
  <si>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</si>
  <si>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</si>
  <si>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</si>
  <si>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</si>
  <si>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</si>
  <si>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</si>
  <si>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</si>
  <si>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</si>
  <si>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</si>
  <si>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</si>
  <si>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</si>
  <si>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</si>
  <si>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</si>
  <si>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</si>
  <si>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</si>
  <si>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</si>
  <si>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</si>
  <si>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</si>
  <si>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</si>
  <si>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</si>
  <si>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</si>
  <si>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</si>
  <si>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</si>
  <si>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</si>
  <si>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</si>
  <si>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</si>
  <si>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</si>
  <si>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</si>
  <si>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</si>
  <si>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</si>
  <si>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</si>
  <si>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</si>
  <si>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</si>
  <si>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</si>
  <si>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</si>
  <si>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</si>
  <si>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</si>
  <si>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</si>
  <si>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</si>
  <si>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</si>
  <si>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</si>
  <si>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</si>
  <si>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</si>
  <si>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</si>
  <si>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</si>
  <si>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</si>
  <si>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</si>
  <si>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</si>
  <si>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</si>
  <si>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</si>
  <si>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</si>
  <si>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</si>
  <si>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</si>
  <si>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</si>
  <si>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</si>
  <si>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</si>
  <si>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</si>
  <si>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</si>
  <si>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</si>
  <si>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</si>
  <si>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</si>
  <si>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</si>
  <si>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</si>
  <si>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</si>
  <si>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</si>
  <si>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</si>
  <si>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</si>
  <si>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</si>
  <si>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</si>
  <si>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</si>
  <si>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</si>
  <si>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</si>
  <si>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</si>
  <si>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</si>
  <si>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</si>
  <si>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</si>
  <si>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</si>
  <si>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</si>
  <si>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</si>
  <si>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</si>
  <si>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</si>
  <si>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</si>
  <si>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</si>
  <si>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</si>
  <si>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</si>
  <si>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</si>
  <si>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</si>
  <si>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</si>
  <si>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</si>
  <si>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</si>
  <si>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</si>
  <si>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</si>
  <si>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</si>
  <si>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</si>
  <si>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</si>
  <si>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</si>
  <si>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</si>
  <si>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</si>
  <si>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</si>
  <si>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</si>
  <si>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</si>
  <si>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</si>
  <si>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</si>
  <si>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</si>
  <si>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</si>
  <si>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</si>
  <si>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</si>
  <si>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</si>
  <si>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</si>
  <si>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</si>
  <si>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</si>
  <si>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</si>
  <si>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</si>
  <si>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</si>
  <si>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</si>
  <si>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</si>
  <si>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</si>
  <si>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</si>
  <si>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</si>
  <si>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</si>
  <si>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</si>
  <si>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</si>
  <si>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</si>
  <si>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</si>
  <si>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</si>
  <si>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</si>
  <si>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</si>
  <si>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</si>
  <si>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</si>
  <si>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</si>
  <si>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</si>
  <si>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</si>
  <si>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</si>
  <si>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</si>
  <si>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</si>
  <si>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</si>
  <si>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</si>
  <si>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</si>
  <si>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</si>
  <si>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</si>
  <si>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</si>
  <si>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</si>
  <si>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</si>
  <si>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</si>
  <si>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</si>
  <si>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</si>
  <si>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</si>
  <si>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</si>
  <si>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</si>
  <si>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</si>
  <si>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</si>
  <si>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</si>
  <si>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</si>
  <si>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</si>
  <si>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</si>
  <si>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</si>
  <si>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</si>
  <si>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</si>
  <si>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</si>
  <si>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</si>
  <si>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</si>
  <si>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</si>
  <si>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</si>
  <si>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</si>
  <si>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</si>
  <si>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</si>
  <si>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</si>
  <si>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</si>
  <si>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</si>
  <si>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</si>
  <si>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</si>
  <si>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</si>
  <si>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</si>
  <si>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</si>
  <si>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</si>
  <si>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</si>
  <si>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</si>
  <si>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</si>
  <si>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</si>
  <si>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</si>
  <si>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</si>
  <si>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</si>
  <si>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</si>
  <si>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</si>
  <si>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</si>
  <si>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</si>
  <si>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</si>
  <si>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</si>
  <si>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</si>
  <si>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</si>
  <si>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</si>
  <si>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</si>
  <si>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</si>
  <si>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</si>
  <si>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</si>
  <si>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</si>
  <si>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</si>
  <si>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</si>
  <si>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</si>
  <si>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</si>
  <si>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</si>
  <si>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</si>
  <si>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</si>
  <si>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</si>
  <si>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</si>
  <si>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</si>
  <si>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</si>
  <si>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</si>
  <si>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</si>
  <si>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</si>
  <si>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</si>
  <si>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</si>
  <si>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</si>
  <si>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</si>
  <si>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</si>
  <si>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</si>
  <si>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</si>
  <si>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</si>
  <si>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</si>
  <si>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</si>
  <si>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</si>
  <si>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</si>
  <si>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</si>
  <si>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</si>
  <si>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</si>
  <si>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</si>
  <si>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</si>
  <si>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</si>
  <si>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</si>
  <si>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</si>
  <si>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</si>
  <si>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</si>
  <si>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</si>
  <si>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</si>
  <si>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</si>
  <si>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</si>
  <si>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</si>
  <si>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</si>
  <si>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</si>
  <si>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</si>
  <si>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</si>
  <si>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</si>
  <si>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</si>
  <si>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</si>
  <si>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</si>
  <si>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</si>
  <si>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</si>
  <si>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</si>
  <si>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</si>
  <si>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</si>
  <si>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</si>
  <si>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</si>
  <si>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</si>
  <si>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</si>
  <si>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</si>
  <si>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</si>
  <si>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</si>
  <si>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</si>
  <si>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</si>
  <si>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</si>
  <si>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</si>
  <si>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</si>
  <si>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</si>
  <si>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</si>
  <si>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</si>
  <si>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</si>
  <si>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</si>
  <si>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</si>
  <si>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</si>
  <si>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</si>
  <si>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</si>
  <si>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</si>
  <si>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</si>
  <si>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</si>
  <si>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</si>
  <si>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</si>
  <si>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</si>
  <si>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</si>
  <si>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</si>
  <si>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</si>
  <si>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</si>
  <si>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</si>
  <si>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</si>
  <si>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</si>
  <si>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</si>
  <si>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</si>
  <si>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</si>
  <si>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</si>
  <si>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</si>
  <si>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</si>
  <si>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</si>
  <si>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</si>
  <si>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</si>
  <si>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</si>
  <si>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</si>
  <si>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</si>
  <si>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</si>
  <si>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</si>
  <si>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</si>
  <si>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</si>
  <si>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</si>
  <si>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</si>
  <si>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</si>
  <si>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</si>
  <si>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</si>
  <si>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</si>
  <si>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</si>
  <si>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</si>
  <si>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</si>
  <si>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</si>
  <si>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</si>
  <si>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</si>
  <si>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</si>
  <si>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</si>
  <si>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</si>
  <si>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</si>
  <si>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</si>
  <si>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</si>
  <si>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</si>
  <si>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</si>
  <si>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</si>
  <si>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</si>
  <si>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</si>
  <si>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</si>
  <si>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</si>
  <si>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</si>
  <si>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</si>
  <si>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</si>
  <si>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</si>
  <si>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</si>
  <si>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</si>
  <si>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</si>
  <si>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</si>
  <si>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</si>
  <si>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</si>
  <si>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</si>
  <si>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</si>
  <si>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</si>
  <si>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</si>
  <si>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</si>
  <si>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</si>
  <si>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</si>
  <si>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</si>
  <si>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</si>
  <si>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</si>
  <si>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</si>
  <si>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</si>
  <si>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</si>
  <si>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</si>
  <si>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</si>
  <si>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</si>
  <si>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</si>
  <si>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</si>
  <si>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</si>
  <si>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</si>
  <si>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</si>
  <si>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</si>
  <si>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</si>
  <si>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</si>
  <si>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</si>
  <si>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</si>
  <si>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</si>
  <si>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</si>
  <si>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</si>
  <si>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</si>
  <si>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</si>
  <si>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</si>
  <si>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</si>
  <si>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</si>
  <si>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</si>
  <si>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</si>
  <si>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</si>
  <si>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</si>
  <si>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</si>
  <si>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</si>
  <si>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</si>
  <si>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</si>
  <si>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</si>
  <si>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</si>
  <si>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</si>
  <si>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</si>
  <si>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</si>
  <si>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</si>
  <si>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</si>
  <si>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</si>
  <si>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</si>
  <si>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</si>
  <si>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</si>
  <si>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</si>
  <si>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</si>
  <si>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</si>
  <si>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</si>
  <si>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</si>
  <si>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</si>
  <si>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</si>
  <si>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</si>
  <si>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</si>
  <si>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</si>
  <si>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</si>
  <si>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</si>
  <si>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</si>
  <si>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</si>
  <si>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</si>
  <si>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</si>
  <si>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</si>
  <si>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</si>
  <si>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</si>
  <si>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</si>
  <si>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</si>
  <si>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</si>
  <si>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</si>
  <si>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</si>
  <si>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</si>
  <si>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</si>
  <si>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</si>
  <si>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</si>
  <si>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</si>
  <si>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</si>
  <si>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</si>
  <si>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</si>
  <si>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</si>
  <si>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</si>
  <si>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</si>
  <si>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</si>
  <si>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</si>
  <si>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</si>
  <si>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</si>
  <si>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</si>
  <si>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</si>
  <si>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</si>
  <si>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</si>
  <si>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</si>
  <si>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</si>
  <si>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</si>
  <si>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</si>
  <si>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</si>
  <si>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</si>
  <si>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</si>
  <si>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</si>
  <si>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</si>
  <si>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</si>
  <si>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</si>
  <si>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</si>
  <si>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</si>
  <si>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</si>
  <si>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</si>
  <si>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</si>
  <si>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</si>
  <si>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</si>
  <si>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</si>
  <si>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</si>
  <si>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</si>
  <si>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</si>
  <si>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</si>
  <si>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</si>
  <si>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</si>
  <si>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</si>
  <si>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</si>
  <si>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</si>
  <si>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</si>
  <si>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</si>
  <si>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</si>
  <si>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</si>
  <si>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</si>
  <si>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</si>
  <si>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</si>
  <si>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</si>
  <si>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</si>
  <si>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</si>
  <si>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</si>
  <si>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</si>
  <si>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</si>
  <si>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</si>
  <si>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</si>
  <si>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</si>
  <si>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</si>
  <si>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</si>
  <si>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</si>
  <si>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</si>
  <si>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</si>
  <si>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</si>
  <si>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</si>
  <si>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</si>
  <si>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</si>
  <si>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</si>
  <si>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</si>
  <si>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</si>
  <si>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</si>
  <si>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</si>
  <si>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</si>
  <si>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</si>
  <si>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</si>
  <si>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</si>
  <si>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</si>
  <si>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</si>
  <si>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</si>
  <si>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</si>
  <si>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</si>
  <si>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</si>
  <si>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</si>
  <si>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</si>
  <si>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</si>
  <si>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</si>
  <si>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</si>
  <si>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</si>
  <si>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</si>
  <si>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</si>
  <si>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</si>
  <si>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</si>
  <si>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</si>
  <si>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</si>
  <si>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</si>
  <si>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</si>
  <si>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</si>
  <si>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</si>
  <si>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</si>
  <si>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</si>
  <si>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</si>
  <si>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</si>
  <si>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</si>
  <si>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</si>
  <si>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</si>
  <si>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</si>
  <si>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</si>
  <si>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</si>
  <si>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</si>
  <si>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</si>
  <si>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</si>
  <si>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</si>
  <si>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</si>
  <si>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</si>
  <si>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</si>
  <si>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</si>
  <si>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</si>
  <si>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</si>
  <si>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</si>
  <si>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</si>
  <si>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</si>
  <si>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</si>
  <si>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</si>
  <si>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</si>
  <si>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</si>
  <si>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</si>
  <si>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</si>
  <si>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</si>
  <si>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</si>
  <si>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</si>
  <si>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</si>
  <si>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</si>
  <si>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</si>
  <si>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</si>
  <si>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</si>
  <si>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</si>
  <si>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</si>
  <si>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</si>
  <si>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</si>
  <si>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</si>
  <si>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</si>
  <si>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</si>
  <si>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</si>
  <si>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</si>
  <si>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</si>
  <si>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</si>
  <si>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</si>
  <si>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</si>
  <si>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</si>
  <si>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</si>
  <si>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</si>
  <si>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</si>
  <si>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</si>
  <si>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</si>
  <si>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</si>
  <si>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</si>
  <si>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</si>
  <si>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</si>
  <si>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</si>
  <si>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</si>
  <si>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</si>
  <si>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</si>
  <si>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</si>
  <si>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</si>
  <si>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</si>
  <si>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</si>
  <si>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</si>
  <si>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</si>
  <si>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</si>
  <si>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</si>
  <si>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</si>
  <si>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</si>
  <si>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</si>
  <si>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</si>
  <si>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</si>
  <si>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</si>
  <si>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</si>
  <si>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</si>
  <si>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</si>
  <si>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</si>
  <si>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</si>
  <si>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</si>
  <si>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</si>
  <si>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</si>
  <si>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</si>
  <si>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</si>
  <si>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</si>
  <si>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</si>
  <si>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</si>
  <si>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</si>
  <si>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</si>
  <si>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</si>
  <si>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</si>
  <si>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</si>
  <si>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</si>
  <si>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</si>
  <si>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</si>
  <si>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</si>
  <si>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</si>
  <si>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</si>
  <si>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</si>
  <si>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</si>
  <si>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</si>
  <si>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</si>
  <si>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</si>
  <si>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</si>
  <si>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</si>
  <si>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</si>
  <si>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</si>
  <si>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</si>
  <si>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</si>
  <si>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</si>
  <si>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</si>
  <si>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</si>
  <si>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</si>
  <si>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</si>
  <si>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</si>
  <si>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</si>
  <si>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</si>
  <si>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</si>
  <si>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</si>
  <si>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</si>
  <si>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</si>
  <si>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</si>
  <si>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</si>
  <si>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</si>
  <si>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</si>
  <si>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</si>
  <si>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</si>
  <si>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</si>
  <si>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</si>
  <si>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</si>
  <si>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</si>
  <si>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</si>
  <si>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</si>
  <si>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</si>
  <si>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</si>
  <si>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</si>
  <si>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</si>
  <si>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</si>
  <si>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</si>
  <si>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</si>
  <si>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</si>
  <si>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</si>
  <si>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</si>
  <si>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</si>
  <si>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</si>
  <si>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</si>
  <si>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</si>
  <si>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</si>
  <si>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</si>
  <si>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</si>
  <si>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</si>
  <si>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</si>
  <si>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</si>
  <si>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</si>
  <si>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</si>
  <si>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</si>
  <si>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</si>
  <si>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</si>
  <si>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</si>
  <si>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</si>
  <si>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</si>
  <si>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</si>
  <si>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</si>
  <si>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</si>
  <si>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</si>
  <si>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</si>
  <si>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</si>
  <si>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</si>
  <si>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</si>
  <si>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</si>
  <si>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</si>
  <si>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</si>
  <si>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</si>
  <si>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</si>
  <si>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</si>
  <si>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</si>
  <si>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</si>
  <si>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</si>
  <si>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</si>
  <si>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</si>
  <si>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</si>
  <si>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</si>
  <si>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</si>
  <si>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</si>
  <si>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</si>
  <si>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</si>
  <si>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</si>
  <si>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</si>
  <si>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</si>
  <si>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</si>
  <si>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</si>
  <si>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</si>
  <si>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</si>
  <si>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</si>
  <si>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</si>
  <si>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</si>
  <si>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</si>
  <si>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</si>
  <si>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</si>
  <si>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</si>
  <si>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</si>
  <si>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</si>
  <si>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</si>
  <si>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</si>
  <si>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</si>
  <si>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</si>
  <si>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</si>
  <si>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</si>
  <si>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</si>
  <si>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</si>
  <si>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</si>
  <si>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</si>
  <si>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</si>
  <si>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</si>
  <si>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</si>
  <si>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</si>
  <si>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</si>
  <si>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</si>
  <si>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</si>
  <si>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</si>
  <si>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</si>
  <si>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</si>
  <si>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</si>
  <si>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</si>
  <si>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</si>
  <si>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</si>
  <si>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</si>
  <si>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</si>
  <si>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</si>
  <si>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</si>
  <si>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</si>
  <si>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</si>
  <si>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</si>
  <si>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</si>
  <si>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</si>
  <si>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</si>
  <si>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</si>
  <si>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</si>
  <si>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</si>
  <si>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</si>
  <si>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</si>
  <si>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</si>
  <si>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</si>
  <si>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</si>
  <si>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</si>
  <si>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</si>
  <si>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</si>
  <si>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</si>
  <si>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</si>
  <si>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</si>
  <si>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</si>
  <si>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</si>
  <si>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</si>
  <si>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</si>
  <si>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</si>
  <si>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</si>
  <si>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</si>
  <si>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</si>
  <si>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</si>
  <si>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</si>
  <si>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</si>
  <si>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</si>
  <si>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</si>
  <si>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</si>
  <si>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</si>
  <si>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</si>
  <si>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</si>
  <si>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</si>
  <si>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</si>
  <si>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</si>
  <si>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</si>
  <si>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</si>
  <si>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</si>
  <si>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</si>
  <si>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</si>
  <si>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</si>
  <si>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</si>
  <si>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</si>
  <si>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</si>
  <si>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</si>
  <si>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</si>
  <si>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</si>
  <si>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</si>
  <si>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</si>
  <si>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</si>
  <si>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</si>
  <si>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</si>
  <si>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</si>
  <si>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</si>
  <si>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</si>
  <si>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</si>
  <si>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</si>
  <si>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</si>
  <si>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</si>
  <si>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</si>
  <si>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</si>
  <si>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</si>
  <si>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</si>
  <si>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</si>
  <si>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</si>
  <si>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</si>
  <si>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</si>
  <si>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</si>
  <si>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</si>
  <si>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</si>
  <si>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</si>
  <si>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</si>
  <si>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</si>
  <si>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</si>
  <si>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</si>
  <si>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</si>
  <si>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</si>
  <si>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</si>
  <si>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</si>
  <si>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</si>
  <si>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</si>
  <si>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</si>
  <si>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</si>
  <si>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</si>
  <si>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</si>
  <si>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</si>
  <si>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</si>
  <si>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</si>
  <si>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</si>
  <si>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</si>
  <si>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</si>
  <si>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</si>
  <si>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</si>
  <si>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</si>
  <si>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</si>
  <si>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</si>
  <si>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</si>
  <si>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</si>
  <si>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</si>
  <si>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</si>
  <si>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</si>
  <si>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</si>
  <si>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</si>
  <si>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</si>
  <si>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</si>
  <si>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</si>
  <si>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</si>
  <si>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</si>
  <si>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</si>
  <si>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</si>
  <si>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</si>
  <si>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</si>
  <si>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</si>
  <si>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</si>
  <si>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</si>
  <si>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</si>
  <si>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</si>
  <si>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</si>
  <si>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</si>
  <si>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</si>
  <si>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</si>
  <si>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</si>
  <si>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</si>
  <si>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</si>
  <si>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</si>
  <si>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</si>
  <si>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</si>
  <si>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</si>
  <si>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</si>
  <si>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</si>
  <si>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</si>
  <si>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</si>
  <si>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</si>
  <si>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</si>
  <si>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</si>
  <si>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</si>
  <si>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</si>
  <si>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</si>
  <si>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</si>
  <si>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</si>
  <si>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</si>
  <si>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</si>
  <si>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</si>
  <si>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</si>
  <si>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</si>
  <si>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</si>
  <si>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</si>
  <si>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</si>
  <si>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</si>
  <si>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</si>
  <si>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</si>
  <si>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</si>
  <si>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</si>
  <si>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</si>
  <si>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</si>
  <si>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</si>
  <si>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</si>
  <si>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</si>
  <si>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</si>
  <si>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</si>
  <si>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</si>
  <si>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</si>
  <si>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</si>
  <si>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</si>
  <si>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</si>
  <si>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</si>
  <si>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</si>
  <si>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</si>
  <si>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</si>
  <si>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</si>
  <si>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</si>
  <si>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</si>
  <si>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</si>
  <si>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</si>
  <si>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</si>
  <si>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</si>
  <si>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</si>
  <si>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</si>
  <si>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</si>
  <si>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</si>
  <si>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</si>
  <si>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</si>
  <si>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</si>
  <si>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</si>
  <si>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</si>
  <si>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</si>
  <si>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</si>
  <si>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</si>
  <si>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</si>
  <si>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</si>
  <si>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</si>
  <si>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</si>
  <si>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</si>
  <si>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</si>
  <si>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</si>
  <si>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</si>
  <si>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</si>
  <si>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</si>
  <si>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</si>
  <si>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</si>
  <si>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</si>
  <si>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</si>
  <si>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</si>
  <si>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</si>
  <si>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</si>
  <si>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</si>
  <si>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</si>
  <si>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</si>
  <si>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</si>
  <si>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</si>
  <si>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</si>
  <si>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</si>
  <si>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</si>
  <si>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</si>
  <si>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</si>
  <si>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</si>
  <si>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</si>
  <si>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</si>
  <si>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</si>
  <si>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</si>
  <si>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</si>
  <si>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</si>
  <si>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</si>
  <si>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</si>
  <si>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</si>
  <si>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</si>
  <si>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</si>
  <si>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</si>
  <si>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</si>
  <si>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</si>
  <si>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</si>
  <si>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</si>
  <si>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</si>
  <si>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</si>
  <si>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</si>
  <si>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</si>
  <si>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</si>
  <si>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</si>
  <si>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</si>
  <si>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</si>
  <si>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</si>
  <si>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</si>
  <si>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</si>
  <si>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</si>
  <si>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</si>
  <si>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</si>
  <si>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</si>
  <si>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</si>
  <si>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</si>
  <si>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</si>
  <si>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</si>
  <si>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</si>
  <si>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</si>
  <si>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</si>
  <si>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</si>
  <si>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</si>
  <si>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</si>
  <si>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</si>
  <si>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</si>
  <si>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</si>
  <si>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</si>
  <si>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</si>
  <si>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</si>
  <si>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</si>
  <si>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</si>
  <si>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</si>
  <si>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</si>
  <si>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</si>
  <si>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</si>
  <si>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</si>
  <si>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</si>
  <si>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</si>
  <si>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</si>
  <si>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</si>
  <si>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</si>
  <si>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</si>
  <si>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</si>
  <si>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</si>
  <si>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</si>
  <si>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</si>
  <si>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</si>
  <si>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</si>
  <si>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</si>
  <si>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</si>
  <si>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</si>
  <si>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</si>
  <si>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</si>
  <si>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</si>
  <si>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</si>
  <si>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</si>
  <si>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</si>
  <si>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</si>
  <si>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</si>
  <si>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</si>
  <si>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</si>
  <si>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</si>
  <si>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</si>
  <si>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</si>
  <si>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</si>
  <si>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</si>
  <si>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</si>
  <si>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</si>
  <si>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</si>
  <si>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</si>
  <si>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</si>
  <si>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</si>
  <si>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</si>
  <si>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</si>
  <si>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</si>
  <si>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</si>
  <si>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</si>
  <si>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</si>
  <si>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</si>
  <si>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</si>
  <si>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</si>
  <si>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</si>
  <si>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</si>
  <si>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</si>
  <si>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</si>
  <si>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</si>
  <si>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</si>
  <si>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</si>
  <si>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</si>
  <si>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</si>
  <si>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</si>
  <si>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</si>
  <si>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</si>
  <si>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</si>
  <si>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</si>
  <si>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</si>
  <si>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</si>
  <si>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</si>
  <si>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</si>
  <si>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</si>
  <si>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</si>
  <si>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</si>
  <si>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</si>
  <si>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</si>
  <si>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</si>
  <si>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</si>
  <si>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</si>
  <si>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</si>
  <si>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</si>
  <si>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</si>
  <si>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</si>
  <si>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</si>
  <si>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</si>
  <si>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</si>
  <si>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</si>
  <si>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</si>
  <si>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</si>
  <si>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</si>
  <si>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</si>
  <si>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</si>
  <si>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</si>
  <si>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</si>
  <si>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</si>
  <si>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</si>
  <si>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</si>
  <si>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</si>
  <si>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</si>
  <si>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</si>
  <si>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</si>
  <si>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</si>
  <si>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</si>
  <si>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</si>
  <si>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</si>
  <si>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</si>
  <si>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</si>
  <si>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</si>
  <si>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</si>
  <si>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</si>
  <si>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</si>
  <si>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</si>
  <si>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</si>
  <si>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</si>
  <si>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</si>
  <si>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</si>
  <si>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</si>
  <si>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</si>
  <si>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</si>
  <si>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</si>
  <si>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</si>
  <si>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</si>
  <si>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</si>
  <si>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</si>
  <si>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</si>
  <si>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</si>
  <si>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</si>
  <si>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</si>
  <si>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</si>
  <si>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</si>
  <si>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</si>
  <si>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</si>
  <si>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</si>
  <si>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</si>
  <si>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</si>
  <si>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</si>
  <si>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</si>
  <si>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</si>
  <si>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</si>
  <si>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</si>
  <si>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</si>
  <si>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</si>
  <si>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</si>
  <si>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</si>
  <si>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</si>
  <si>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</si>
  <si>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</si>
  <si>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</si>
  <si>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</si>
  <si>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</si>
  <si>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</si>
  <si>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</si>
  <si>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</si>
  <si>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</si>
  <si>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</si>
  <si>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</si>
  <si>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</si>
  <si>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</si>
  <si>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</si>
  <si>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</si>
  <si>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</si>
  <si>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</si>
  <si>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</si>
  <si>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</si>
  <si>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</si>
  <si>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</si>
  <si>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</si>
  <si>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</si>
  <si>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</si>
  <si>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</si>
  <si>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</si>
  <si>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</si>
  <si>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</si>
  <si>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</si>
  <si>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</si>
  <si>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</si>
  <si>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</si>
  <si>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</si>
  <si>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</si>
  <si>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</si>
  <si>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</si>
  <si>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</si>
  <si>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</si>
  <si>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</si>
  <si>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</si>
  <si>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</si>
  <si>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</si>
  <si>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</si>
  <si>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</si>
  <si>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</si>
  <si>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</si>
  <si>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</si>
  <si>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</si>
  <si>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</si>
  <si>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</si>
  <si>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</si>
  <si>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</si>
  <si>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</si>
  <si>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</si>
  <si>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</si>
  <si>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</si>
  <si>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</si>
  <si>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</si>
  <si>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</si>
  <si>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</si>
  <si>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</si>
  <si>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</si>
  <si>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</si>
  <si>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</si>
  <si>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</si>
  <si>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</si>
  <si>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</si>
  <si>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</si>
  <si>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</si>
  <si>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</si>
  <si>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</si>
  <si>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</si>
  <si>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</si>
  <si>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</si>
  <si>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</si>
  <si>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</si>
  <si>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</si>
  <si>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</si>
  <si>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</si>
  <si>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</si>
  <si>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</si>
  <si>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</si>
  <si>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</si>
  <si>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</si>
  <si>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</si>
  <si>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</si>
  <si>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</si>
  <si>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</si>
  <si>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</si>
  <si>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</si>
  <si>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</si>
  <si>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</si>
  <si>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</si>
  <si>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</si>
  <si>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</si>
  <si>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</si>
  <si>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</si>
  <si>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</si>
  <si>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</si>
  <si>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</si>
  <si>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</si>
  <si>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</si>
  <si>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</si>
  <si>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</si>
  <si>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</si>
  <si>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</si>
  <si>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</si>
  <si>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</si>
  <si>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</si>
  <si>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</si>
  <si>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</si>
  <si>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</si>
  <si>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</si>
  <si>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</si>
  <si>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</si>
  <si>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</si>
  <si>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</si>
  <si>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</si>
  <si>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</si>
  <si>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</si>
  <si>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</si>
  <si>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</si>
  <si>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</si>
  <si>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</si>
  <si>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</si>
  <si>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</si>
  <si>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</si>
  <si>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</si>
  <si>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</si>
  <si>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</si>
  <si>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</si>
  <si>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</si>
  <si>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</si>
  <si>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</si>
  <si>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</si>
  <si>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</si>
  <si>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</si>
  <si>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</si>
  <si>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</si>
  <si>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</si>
  <si>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</si>
  <si>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</si>
  <si>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</si>
  <si>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</si>
  <si>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</si>
  <si>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</si>
  <si>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</si>
  <si>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</si>
  <si>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</si>
  <si>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</si>
  <si>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</si>
  <si>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</si>
  <si>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</si>
  <si>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</si>
  <si>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</si>
  <si>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</si>
  <si>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</si>
  <si>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</si>
  <si>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</si>
  <si>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</si>
  <si>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</si>
  <si>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</si>
  <si>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</si>
  <si>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</si>
  <si>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</si>
  <si>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</si>
  <si>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</si>
  <si>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</si>
  <si>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</si>
  <si>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</si>
  <si>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</si>
  <si>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</si>
  <si>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</si>
  <si>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</si>
  <si>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</si>
  <si>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</si>
  <si>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</si>
  <si>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</si>
  <si>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</si>
  <si>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</si>
  <si>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</si>
  <si>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</si>
  <si>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</si>
  <si>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</si>
  <si>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</si>
  <si>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</si>
  <si>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</si>
  <si>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</si>
  <si>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</si>
  <si>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</si>
  <si>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</si>
  <si>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</si>
  <si>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</si>
  <si>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</si>
  <si>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</si>
  <si>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</si>
  <si>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</si>
  <si>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</si>
  <si>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</si>
  <si>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</si>
  <si>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</si>
  <si>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</si>
  <si>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</si>
  <si>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</si>
  <si>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</si>
  <si>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</si>
  <si>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</si>
  <si>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</si>
  <si>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</si>
  <si>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</si>
  <si>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</si>
  <si>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</si>
  <si>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</si>
  <si>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</si>
  <si>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</si>
  <si>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</si>
  <si>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</si>
  <si>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</si>
  <si>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</si>
  <si>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</si>
  <si>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</si>
  <si>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</si>
  <si>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</si>
  <si>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</si>
  <si>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</si>
  <si>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</si>
  <si>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</si>
  <si>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</si>
  <si>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</si>
  <si>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</si>
  <si>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</si>
  <si>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</si>
  <si>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</si>
  <si>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</si>
  <si>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</si>
  <si>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</si>
  <si>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</si>
  <si>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</si>
  <si>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</si>
  <si>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</si>
  <si>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</si>
  <si>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</si>
  <si>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</si>
  <si>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</si>
  <si>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</si>
  <si>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</si>
  <si>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</si>
  <si>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</si>
  <si>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</si>
  <si>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</si>
  <si>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</si>
  <si>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</si>
  <si>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</si>
  <si>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</si>
  <si>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</si>
  <si>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</si>
  <si>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</si>
  <si>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</si>
  <si>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</si>
  <si>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</si>
  <si>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</si>
  <si>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</si>
  <si>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</si>
  <si>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</si>
  <si>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</si>
  <si>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</si>
  <si>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</si>
  <si>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</si>
  <si>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</si>
  <si>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</si>
  <si>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</si>
  <si>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</si>
  <si>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</si>
  <si>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</si>
  <si>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</si>
  <si>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</si>
  <si>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</si>
  <si>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</si>
  <si>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</si>
  <si>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</si>
  <si>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</si>
  <si>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</si>
  <si>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</si>
  <si>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</si>
  <si>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</si>
  <si>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</si>
  <si>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</si>
  <si>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</si>
  <si>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</si>
  <si>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</si>
  <si>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</si>
  <si>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</si>
  <si>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</si>
  <si>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</si>
  <si>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</si>
  <si>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</si>
  <si>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</si>
  <si>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</si>
  <si>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</si>
  <si>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</si>
  <si>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</si>
  <si>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</si>
  <si>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</si>
  <si>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</si>
  <si>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</si>
  <si>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</si>
  <si>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</si>
  <si>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</si>
  <si>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</si>
  <si>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</si>
  <si>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</si>
  <si>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</si>
  <si>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</si>
  <si>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</si>
  <si>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</si>
  <si>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</si>
  <si>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</si>
  <si>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</si>
  <si>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</si>
  <si>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</si>
  <si>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</si>
  <si>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</si>
  <si>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</si>
  <si>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</si>
  <si>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</si>
  <si>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</si>
  <si>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</si>
  <si>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</si>
  <si>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</si>
  <si>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</si>
  <si>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</si>
  <si>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</si>
  <si>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</si>
  <si>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</si>
  <si>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</si>
  <si>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</si>
  <si>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</si>
  <si>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</si>
  <si>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</si>
  <si>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</si>
  <si>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</si>
  <si>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</si>
  <si>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</si>
  <si>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</si>
  <si>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</si>
  <si>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</si>
  <si>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</si>
  <si>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</si>
  <si>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</si>
  <si>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</si>
  <si>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</si>
  <si>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</si>
  <si>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</si>
  <si>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</si>
  <si>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</si>
  <si>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</si>
  <si>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</si>
  <si>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</si>
  <si>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</si>
  <si>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</si>
  <si>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</si>
  <si>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</si>
  <si>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</si>
  <si>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</si>
  <si>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</si>
  <si>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</si>
  <si>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</si>
  <si>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</si>
  <si>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</si>
  <si>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</si>
  <si>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</si>
  <si>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</si>
  <si>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</si>
  <si>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</si>
  <si>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</si>
  <si>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</si>
  <si>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</si>
  <si>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</si>
  <si>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</si>
  <si>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</si>
  <si>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</si>
  <si>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</si>
  <si>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</si>
  <si>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</si>
  <si>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</si>
  <si>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</si>
  <si>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</si>
  <si>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</si>
  <si>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</si>
  <si>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</si>
  <si>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</si>
  <si>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</si>
  <si>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</si>
  <si>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</si>
  <si>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</si>
  <si>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</si>
  <si>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</si>
  <si>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</si>
  <si>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</si>
  <si>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</si>
  <si>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</si>
  <si>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</si>
  <si>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</si>
  <si>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</si>
  <si>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</si>
  <si>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</si>
  <si>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</si>
  <si>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</si>
  <si>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</si>
  <si>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</si>
  <si>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</si>
  <si>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</si>
  <si>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</si>
  <si>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</si>
  <si>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</si>
  <si>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</si>
  <si>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</si>
  <si>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</si>
  <si>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</si>
  <si>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</si>
  <si>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</si>
  <si>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</si>
  <si>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</si>
  <si>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</si>
  <si>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</si>
  <si>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</si>
  <si>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</si>
  <si>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</si>
  <si>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</si>
  <si>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</si>
  <si>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</si>
  <si>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</si>
  <si>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</si>
  <si>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</si>
  <si>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</si>
  <si>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</si>
  <si>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</si>
  <si>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</si>
  <si>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</si>
  <si>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</si>
  <si>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</si>
  <si>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</si>
  <si>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</si>
  <si>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</si>
  <si>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</si>
  <si>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</si>
  <si>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</si>
  <si>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</si>
  <si>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</si>
  <si>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</si>
  <si>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</si>
  <si>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</si>
  <si>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</si>
  <si>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</si>
  <si>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</si>
  <si>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</si>
  <si>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</si>
  <si>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</si>
  <si>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</si>
  <si>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</si>
  <si>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</si>
  <si>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</si>
  <si>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</si>
  <si>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</si>
  <si>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</si>
  <si>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</si>
  <si>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</si>
  <si>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</si>
  <si>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</si>
  <si>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</si>
  <si>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</si>
  <si>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</si>
  <si>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</si>
  <si>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</si>
  <si>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</si>
  <si>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</si>
  <si>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</si>
  <si>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</si>
  <si>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</si>
  <si>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</si>
  <si>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</si>
  <si>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</si>
  <si>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</si>
  <si>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</si>
  <si>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</si>
  <si>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</si>
  <si>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</si>
  <si>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</si>
  <si>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</si>
  <si>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</si>
  <si>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</si>
  <si>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</si>
  <si>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</si>
  <si>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</si>
  <si>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</si>
  <si>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</si>
  <si>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</si>
  <si>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</si>
  <si>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</si>
  <si>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</si>
  <si>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</si>
  <si>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</si>
  <si>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</si>
  <si>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</si>
  <si>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</si>
  <si>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</si>
  <si>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</si>
  <si>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</si>
  <si>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</si>
  <si>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</si>
  <si>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</si>
  <si>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</si>
  <si>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</si>
  <si>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</si>
  <si>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</si>
  <si>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</si>
  <si>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</si>
  <si>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</si>
  <si>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</si>
  <si>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</si>
  <si>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</si>
  <si>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</si>
  <si>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</si>
  <si>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</si>
  <si>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</si>
  <si>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</si>
  <si>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</si>
  <si>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</si>
  <si>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</si>
  <si>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</si>
  <si>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</si>
  <si>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</si>
  <si>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</si>
  <si>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</si>
  <si>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</si>
  <si>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</si>
  <si>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</si>
  <si>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</si>
  <si>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</si>
  <si>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</si>
  <si>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</si>
  <si>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</si>
  <si>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</si>
  <si>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</si>
  <si>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</si>
  <si>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</si>
  <si>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</si>
  <si>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</si>
  <si>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</si>
  <si>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</si>
  <si>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</si>
  <si>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</si>
  <si>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</si>
  <si>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</si>
  <si>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</si>
  <si>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</si>
  <si>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</si>
  <si>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</si>
  <si>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</si>
  <si>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</si>
  <si>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</si>
  <si>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</si>
  <si>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</si>
  <si>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</si>
  <si>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</si>
  <si>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</si>
  <si>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</si>
  <si>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</si>
  <si>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</si>
  <si>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</si>
  <si>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</si>
  <si>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</si>
  <si>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</si>
  <si>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</si>
  <si>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</si>
  <si>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</si>
  <si>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</si>
  <si>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</si>
  <si>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</si>
  <si>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</si>
  <si>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</si>
  <si>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</si>
  <si>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</si>
  <si>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</si>
  <si>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</si>
  <si>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</si>
  <si>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</si>
  <si>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</si>
  <si>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</si>
  <si>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</si>
  <si>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</si>
  <si>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</si>
  <si>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</si>
  <si>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</si>
  <si>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</si>
  <si>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</si>
  <si>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</si>
  <si>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</si>
  <si>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</si>
  <si>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</si>
  <si>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</si>
  <si>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</si>
  <si>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</si>
  <si>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</si>
  <si>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</si>
  <si>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</si>
  <si>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</si>
  <si>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</si>
  <si>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</si>
  <si>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</si>
  <si>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</si>
  <si>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</si>
  <si>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</si>
  <si>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</si>
  <si>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</si>
  <si>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</si>
  <si>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</si>
  <si>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</si>
  <si>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</si>
  <si>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</si>
  <si>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</si>
  <si>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</si>
  <si>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</si>
  <si>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</si>
  <si>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</si>
  <si>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</si>
  <si>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</si>
  <si>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</si>
  <si>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</si>
  <si>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</si>
  <si>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</si>
  <si>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</si>
  <si>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</si>
  <si>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</si>
  <si>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</si>
  <si>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</si>
  <si>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</si>
  <si>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</si>
  <si>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</si>
  <si>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</si>
  <si>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</si>
  <si>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</si>
  <si>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</si>
  <si>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</si>
  <si>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</si>
  <si>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</si>
  <si>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</si>
  <si>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</si>
  <si>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</si>
  <si>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</si>
  <si>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</si>
  <si>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</si>
  <si>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</si>
  <si>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</si>
  <si>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</si>
  <si>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</si>
  <si>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</si>
  <si>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</si>
  <si>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</si>
  <si>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</si>
  <si>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</si>
  <si>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</si>
  <si>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</si>
  <si>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</si>
  <si>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</si>
  <si>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</si>
  <si>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</si>
  <si>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</si>
  <si>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</si>
  <si>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</si>
  <si>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</si>
  <si>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</si>
  <si>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</si>
  <si>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</si>
  <si>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</si>
  <si>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</si>
  <si>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</si>
  <si>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</si>
  <si>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</si>
  <si>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</si>
  <si>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</si>
  <si>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</si>
  <si>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</si>
  <si>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</si>
  <si>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</si>
  <si>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</si>
  <si>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</si>
  <si>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</si>
  <si>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</si>
  <si>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</si>
  <si>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</si>
  <si>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</si>
  <si>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</si>
  <si>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</si>
  <si>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</si>
  <si>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</si>
  <si>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</si>
  <si>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</si>
  <si>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</si>
  <si>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</si>
  <si>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</si>
  <si>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</si>
  <si>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</si>
  <si>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</si>
  <si>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</si>
  <si>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</si>
  <si>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</si>
  <si>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</si>
  <si>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</si>
  <si>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</si>
  <si>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</si>
  <si>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</si>
  <si>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</si>
  <si>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</si>
  <si>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</si>
  <si>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</si>
  <si>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</si>
  <si>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</si>
  <si>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</si>
  <si>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</si>
  <si>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</si>
  <si>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</si>
  <si>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</si>
  <si>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</si>
  <si>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</si>
  <si>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</si>
  <si>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</si>
  <si>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</si>
  <si>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</si>
  <si>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</si>
  <si>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</si>
  <si>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</si>
  <si>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</si>
  <si>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</si>
  <si>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</si>
  <si>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</si>
  <si>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</si>
  <si>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</si>
  <si>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</si>
  <si>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</si>
  <si>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</si>
  <si>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</si>
  <si>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</si>
  <si>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</si>
  <si>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</si>
  <si>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</si>
  <si>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</si>
  <si>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</si>
  <si>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</si>
  <si>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</si>
  <si>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</si>
  <si>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</si>
  <si>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</si>
  <si>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</si>
  <si>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</si>
  <si>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</si>
  <si>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</si>
  <si>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</si>
  <si>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</si>
  <si>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</si>
  <si>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</si>
  <si>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</si>
  <si>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</si>
  <si>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</si>
  <si>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</si>
  <si>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</si>
  <si>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</si>
  <si>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</si>
  <si>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</si>
  <si>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</si>
  <si>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</si>
  <si>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</si>
  <si>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</si>
  <si>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</si>
  <si>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</si>
  <si>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</si>
  <si>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</si>
  <si>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</si>
  <si>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</si>
  <si>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</si>
  <si>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</si>
  <si>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</si>
  <si>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</si>
  <si>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</si>
  <si>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</si>
  <si>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</si>
  <si>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</si>
  <si>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</si>
  <si>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</si>
  <si>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</si>
  <si>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</si>
  <si>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</si>
  <si>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</si>
  <si>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</si>
  <si>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</si>
  <si>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</si>
  <si>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</si>
  <si>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</si>
  <si>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</si>
  <si>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</si>
  <si>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</si>
  <si>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</si>
  <si>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</si>
  <si>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</si>
  <si>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</si>
  <si>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</si>
  <si>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</si>
  <si>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</si>
  <si>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</si>
  <si>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</si>
  <si>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</si>
  <si>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</si>
  <si>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</si>
  <si>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</si>
  <si>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</si>
  <si>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</si>
  <si>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</si>
  <si>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</si>
  <si>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</si>
  <si>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</si>
  <si>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</si>
  <si>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</si>
  <si>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</si>
  <si>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</si>
  <si>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</si>
  <si>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</si>
  <si>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</si>
  <si>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</si>
  <si>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</si>
  <si>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</si>
  <si>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</si>
  <si>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</si>
  <si>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</si>
  <si>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</si>
  <si>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</si>
  <si>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</si>
  <si>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</si>
  <si>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</si>
  <si>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</si>
  <si>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</si>
  <si>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</si>
  <si>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</si>
  <si>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</si>
  <si>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</si>
  <si>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</si>
  <si>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</si>
  <si>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</si>
  <si>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</si>
  <si>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</si>
  <si>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</si>
  <si>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</si>
  <si>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</si>
  <si>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</si>
  <si>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</si>
  <si>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</si>
  <si>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</si>
  <si>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</si>
  <si>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</si>
  <si>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</si>
  <si>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</si>
  <si>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</si>
  <si>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</si>
  <si>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</si>
  <si>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</si>
  <si>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</si>
  <si>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</si>
  <si>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</si>
  <si>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</si>
  <si>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</si>
  <si>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</si>
  <si>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</si>
  <si>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</si>
  <si>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</si>
  <si>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</si>
  <si>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</si>
  <si>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</si>
  <si>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</si>
  <si>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</si>
  <si>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</si>
  <si>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</si>
  <si>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</si>
  <si>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</si>
  <si>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</si>
  <si>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</si>
  <si>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</si>
  <si>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</si>
  <si>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</si>
  <si>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</si>
  <si>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</si>
  <si>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</si>
  <si>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</si>
  <si>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</si>
  <si>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</si>
  <si>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</si>
  <si>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</si>
  <si>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</si>
  <si>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</si>
  <si>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</si>
  <si>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</si>
  <si>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</si>
  <si>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</si>
  <si>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</si>
  <si>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</si>
  <si>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</si>
  <si>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</si>
  <si>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</si>
  <si>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</si>
  <si>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</si>
  <si>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</si>
  <si>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</si>
  <si>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</si>
  <si>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</si>
  <si>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</si>
  <si>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</si>
  <si>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</si>
  <si>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</si>
  <si>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</si>
  <si>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</si>
  <si>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</si>
  <si>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</si>
  <si>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</si>
  <si>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</si>
  <si>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</si>
  <si>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</si>
  <si>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</si>
  <si>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</si>
  <si>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</si>
  <si>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</si>
  <si>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</si>
  <si>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</si>
  <si>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</si>
  <si>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</si>
  <si>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</si>
  <si>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</si>
  <si>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</si>
  <si>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</si>
  <si>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</si>
  <si>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</si>
  <si>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</si>
  <si>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</si>
  <si>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</si>
  <si>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</si>
  <si>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</si>
  <si>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</si>
  <si>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</si>
  <si>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</si>
  <si>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</si>
  <si>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</si>
  <si>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</si>
  <si>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</si>
  <si>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</si>
  <si>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</si>
  <si>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</si>
  <si>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</si>
  <si>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</si>
  <si>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</si>
  <si>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</si>
  <si>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</si>
  <si>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</si>
  <si>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</si>
  <si>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</si>
  <si>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</si>
  <si>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</si>
  <si>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</si>
  <si>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</si>
  <si>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</si>
  <si>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</si>
  <si>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</si>
  <si>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</si>
  <si>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</si>
  <si>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</si>
  <si>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</si>
  <si>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</si>
  <si>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</si>
  <si>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</si>
  <si>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</si>
  <si>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</si>
  <si>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</si>
  <si>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</si>
  <si>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</si>
  <si>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</si>
  <si>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</si>
  <si>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</si>
  <si>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</si>
  <si>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</si>
  <si>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</si>
  <si>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</si>
  <si>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</si>
  <si>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</si>
  <si>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</si>
  <si>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</si>
  <si>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</si>
  <si>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</si>
  <si>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</si>
  <si>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</si>
  <si>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</si>
  <si>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</si>
  <si>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</si>
  <si>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</si>
  <si>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</si>
  <si>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</si>
  <si>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</si>
  <si>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</si>
  <si>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</si>
  <si>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</si>
  <si>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</si>
  <si>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</si>
  <si>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</si>
  <si>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</si>
  <si>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</si>
  <si>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</si>
  <si>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</si>
  <si>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</si>
  <si>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</si>
  <si>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</si>
  <si>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</si>
  <si>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</si>
  <si>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</si>
  <si>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</si>
  <si>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</si>
  <si>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</si>
  <si>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</si>
  <si>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</si>
  <si>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</si>
  <si>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</si>
  <si>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</si>
  <si>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</si>
  <si>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</si>
  <si>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</si>
  <si>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</si>
  <si>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</si>
  <si>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</si>
  <si>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</si>
  <si>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</si>
  <si>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</si>
  <si>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</si>
  <si>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</si>
  <si>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</si>
  <si>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</si>
  <si>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</si>
  <si>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</si>
  <si>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</si>
  <si>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</si>
  <si>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</si>
  <si>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</si>
  <si>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</si>
  <si>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</si>
  <si>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</si>
  <si>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</si>
  <si>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</si>
  <si>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</si>
  <si>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</si>
  <si>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</si>
  <si>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</si>
  <si>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</si>
  <si>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</si>
  <si>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</si>
  <si>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</si>
  <si>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</si>
  <si>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</si>
  <si>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</si>
  <si>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</si>
  <si>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</si>
  <si>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</si>
  <si>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</si>
  <si>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</si>
  <si>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</si>
  <si>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</si>
  <si>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</si>
  <si>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</si>
  <si>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</si>
  <si>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</si>
  <si>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</si>
  <si>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</si>
  <si>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</si>
  <si>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</si>
  <si>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</si>
  <si>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</si>
  <si>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</si>
  <si>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</si>
  <si>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</si>
  <si>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</si>
  <si>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</si>
  <si>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</si>
  <si>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</si>
  <si>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</si>
  <si>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</si>
  <si>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</si>
  <si>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</si>
  <si>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</si>
  <si>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</si>
  <si>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</si>
  <si>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</si>
  <si>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</si>
  <si>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</si>
  <si>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</si>
  <si>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</si>
  <si>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</si>
  <si>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</si>
  <si>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</si>
  <si>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</si>
  <si>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</si>
  <si>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</si>
  <si>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</si>
  <si>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</si>
  <si>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</si>
  <si>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</si>
  <si>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</si>
  <si>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</si>
  <si>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</si>
  <si>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</si>
  <si>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</si>
  <si>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</si>
  <si>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</si>
  <si>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</si>
  <si>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</si>
  <si>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</si>
  <si>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</si>
  <si>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</si>
  <si>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</si>
  <si>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</si>
  <si>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</si>
  <si>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</si>
  <si>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</si>
  <si>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</si>
  <si>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</si>
  <si>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</si>
  <si>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</si>
  <si>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</si>
  <si>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</si>
  <si>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</si>
  <si>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</si>
  <si>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</si>
  <si>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</si>
  <si>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</si>
  <si>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</si>
  <si>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</si>
  <si>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</si>
  <si>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</si>
  <si>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</si>
  <si>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</si>
  <si>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</si>
  <si>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</si>
  <si>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</si>
  <si>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</si>
  <si>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</si>
  <si>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</si>
  <si>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</si>
  <si>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</si>
  <si>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</si>
  <si>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</si>
  <si>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</si>
  <si>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</si>
  <si>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</si>
  <si>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</si>
  <si>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</si>
  <si>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</si>
  <si>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</si>
  <si>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</si>
  <si>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</si>
  <si>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</si>
  <si>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</si>
  <si>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</si>
  <si>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</si>
  <si>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</si>
  <si>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</si>
  <si>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</si>
  <si>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</si>
  <si>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</si>
  <si>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</si>
  <si>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</si>
  <si>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</si>
  <si>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</si>
  <si>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</si>
  <si>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</si>
  <si>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</si>
  <si>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</si>
  <si>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</si>
  <si>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</si>
  <si>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</si>
  <si>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</si>
  <si>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</si>
  <si>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</si>
  <si>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</si>
  <si>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</si>
  <si>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</si>
  <si>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</si>
  <si>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</si>
  <si>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</si>
  <si>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</si>
  <si>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</si>
  <si>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</si>
  <si>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</si>
  <si>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</si>
  <si>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</si>
  <si>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</si>
  <si>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</si>
  <si>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</si>
  <si>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</si>
  <si>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</si>
  <si>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</si>
  <si>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</si>
  <si>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</si>
  <si>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</si>
  <si>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</si>
  <si>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</si>
  <si>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</si>
  <si>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</si>
  <si>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</si>
  <si>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</si>
  <si>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</si>
  <si>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</si>
  <si>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</si>
  <si>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</si>
  <si>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</si>
  <si>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</si>
  <si>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</si>
  <si>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</si>
  <si>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</si>
  <si>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</si>
  <si>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</si>
  <si>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</si>
  <si>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</si>
  <si>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</si>
  <si>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</si>
  <si>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</si>
  <si>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</si>
  <si>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</si>
  <si>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</si>
  <si>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</si>
  <si>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</si>
  <si>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</si>
  <si>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</si>
  <si>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</si>
  <si>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</si>
  <si>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</si>
  <si>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</si>
  <si>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</si>
  <si>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</si>
  <si>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</si>
  <si>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</si>
  <si>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</si>
  <si>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</si>
  <si>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</si>
  <si>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</si>
  <si>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</si>
  <si>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</si>
  <si>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</si>
  <si>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</si>
  <si>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</si>
  <si>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</si>
  <si>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</si>
  <si>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</si>
  <si>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</si>
  <si>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</si>
  <si>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</si>
  <si>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</si>
  <si>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</si>
  <si>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</si>
  <si>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</si>
  <si>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</si>
  <si>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</si>
  <si>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</si>
  <si>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</si>
  <si>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</si>
  <si>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</si>
  <si>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</si>
  <si>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</si>
  <si>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</si>
  <si>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</si>
  <si>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</si>
  <si>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</si>
  <si>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</si>
  <si>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</si>
  <si>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</si>
  <si>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</si>
  <si>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</si>
  <si>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</si>
  <si>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</si>
  <si>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</si>
  <si>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</si>
  <si>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</si>
  <si>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</si>
  <si>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</si>
  <si>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</si>
  <si>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</si>
  <si>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</si>
  <si>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</si>
  <si>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</si>
  <si>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</si>
  <si>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</si>
  <si>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</si>
  <si>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</si>
  <si>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</si>
  <si>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</si>
  <si>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</si>
  <si>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</si>
  <si>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</si>
  <si>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</si>
  <si>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</si>
  <si>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</si>
  <si>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</si>
  <si>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</si>
  <si>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</si>
  <si>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</si>
  <si>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</si>
  <si>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</si>
  <si>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</si>
  <si>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</si>
  <si>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</si>
  <si>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</si>
  <si>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</si>
  <si>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</si>
  <si>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</si>
  <si>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</si>
  <si>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</si>
  <si>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</si>
  <si>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</si>
  <si>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</si>
  <si>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</si>
  <si>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</si>
  <si>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</si>
  <si>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</si>
  <si>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</si>
  <si>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</si>
  <si>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</si>
  <si>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</si>
  <si>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</si>
  <si>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</si>
  <si>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</si>
  <si>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</si>
  <si>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</si>
  <si>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</si>
  <si>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</si>
  <si>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</si>
  <si>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</si>
  <si>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</si>
  <si>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</si>
  <si>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</si>
  <si>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</si>
  <si>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</si>
  <si>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</si>
  <si>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</si>
  <si>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</si>
  <si>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</si>
  <si>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</si>
  <si>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</si>
  <si>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</si>
  <si>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</si>
  <si>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</si>
  <si>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</si>
  <si>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</si>
  <si>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</si>
  <si>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</si>
  <si>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</si>
  <si>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</si>
  <si>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</si>
  <si>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</si>
  <si>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</si>
  <si>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</si>
  <si>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</si>
  <si>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</si>
  <si>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</si>
  <si>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</si>
  <si>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</si>
  <si>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</si>
  <si>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</si>
  <si>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</si>
  <si>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</si>
  <si>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</si>
  <si>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</si>
  <si>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</si>
  <si>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</si>
  <si>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</si>
  <si>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</si>
  <si>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</si>
  <si>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</si>
  <si>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</si>
  <si>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</si>
  <si>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</si>
  <si>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</si>
  <si>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</si>
  <si>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</si>
  <si>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</si>
  <si>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</si>
  <si>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</si>
  <si>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</si>
  <si>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</si>
  <si>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</si>
  <si>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</si>
  <si>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</si>
  <si>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</si>
  <si>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</si>
  <si>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</si>
  <si>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</si>
  <si>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</si>
  <si>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</si>
  <si>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</si>
  <si>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</si>
  <si>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</si>
  <si>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</si>
  <si>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</si>
  <si>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</si>
  <si>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</si>
  <si>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</si>
  <si>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</si>
  <si>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</si>
  <si>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</si>
  <si>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</si>
  <si>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</si>
  <si>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</si>
  <si>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</si>
  <si>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</si>
  <si>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</si>
  <si>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</si>
  <si>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</si>
  <si>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</si>
  <si>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</si>
  <si>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</si>
  <si>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</si>
  <si>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</si>
  <si>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</si>
  <si>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</si>
  <si>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</si>
  <si>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</si>
  <si>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</si>
  <si>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</si>
  <si>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</si>
  <si>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</si>
  <si>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</si>
  <si>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</si>
  <si>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</si>
  <si>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</si>
  <si>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</si>
  <si>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</si>
  <si>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</si>
  <si>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</si>
  <si>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</si>
  <si>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</si>
  <si>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</si>
  <si>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</si>
  <si>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</si>
  <si>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</si>
  <si>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</si>
  <si>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</si>
  <si>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</si>
  <si>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</si>
  <si>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</si>
  <si>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</si>
  <si>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</si>
  <si>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</si>
  <si>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</si>
  <si>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</si>
  <si>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</si>
  <si>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</si>
  <si>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</si>
  <si>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</si>
  <si>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</si>
  <si>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</si>
  <si>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</si>
  <si>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</si>
  <si>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</si>
  <si>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</si>
  <si>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</si>
  <si>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</si>
  <si>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</si>
  <si>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</si>
  <si>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</si>
  <si>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</si>
  <si>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</si>
  <si>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</si>
  <si>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</si>
  <si>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</si>
  <si>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</si>
  <si>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</si>
  <si>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</si>
  <si>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</si>
  <si>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</si>
  <si>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</si>
  <si>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</si>
  <si>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</si>
  <si>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</si>
  <si>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</si>
  <si>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</si>
  <si>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</si>
  <si>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</si>
  <si>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</si>
  <si>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</si>
  <si>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</si>
  <si>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</si>
  <si>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</si>
  <si>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</si>
  <si>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</si>
  <si>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</si>
  <si>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</si>
  <si>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</si>
  <si>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</si>
  <si>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</si>
  <si>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</si>
  <si>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</si>
  <si>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</si>
  <si>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</si>
  <si>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</si>
  <si>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</si>
  <si>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</si>
  <si>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</si>
  <si>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</si>
  <si>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</si>
  <si>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</si>
  <si>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</si>
  <si>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</si>
  <si>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</si>
  <si>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</si>
  <si>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</si>
  <si>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</si>
  <si>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</si>
  <si>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</si>
  <si>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</si>
  <si>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</si>
  <si>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</si>
  <si>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</si>
  <si>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</si>
  <si>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</si>
  <si>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</si>
  <si>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</si>
  <si>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</si>
  <si>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</si>
  <si>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</si>
  <si>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</si>
  <si>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</si>
  <si>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</si>
  <si>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</si>
  <si>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</si>
  <si>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</si>
  <si>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</si>
  <si>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</si>
  <si>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</si>
  <si>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</si>
  <si>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</si>
  <si>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</si>
  <si>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</si>
  <si>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</si>
  <si>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</si>
  <si>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</si>
  <si>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</si>
  <si>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</si>
  <si>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</si>
  <si>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</si>
  <si>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</si>
  <si>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</si>
  <si>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</si>
  <si>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</si>
  <si>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</si>
  <si>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</si>
  <si>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</si>
  <si>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</si>
  <si>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</si>
  <si>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</si>
  <si>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</si>
  <si>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</si>
  <si>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</si>
  <si>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</si>
  <si>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</si>
  <si>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</si>
  <si>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</si>
  <si>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</si>
  <si>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</si>
  <si>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</si>
  <si>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</si>
  <si>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</si>
  <si>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</si>
  <si>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</si>
  <si>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</si>
  <si>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</si>
  <si>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</si>
  <si>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</si>
  <si>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</si>
  <si>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</si>
  <si>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</si>
  <si>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</si>
  <si>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</si>
  <si>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</si>
  <si>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</si>
  <si>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</si>
  <si>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</si>
  <si>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</si>
  <si>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</si>
  <si>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</si>
  <si>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</si>
  <si>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</si>
  <si>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</si>
  <si>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</si>
  <si>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</si>
  <si>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</si>
  <si>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</si>
  <si>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</si>
  <si>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</si>
  <si>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</si>
  <si>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</si>
  <si>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</si>
  <si>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</si>
  <si>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</si>
  <si>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</si>
  <si>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</si>
  <si>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</si>
  <si>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</si>
  <si>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</si>
  <si>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</si>
  <si>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</si>
  <si>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</si>
  <si>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</si>
  <si>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</si>
  <si>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</si>
  <si>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</si>
  <si>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</si>
  <si>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</si>
  <si>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</si>
  <si>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</si>
  <si>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</si>
  <si>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</si>
  <si>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</si>
  <si>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</si>
  <si>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</si>
  <si>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</si>
  <si>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</si>
  <si>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</si>
  <si>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</si>
  <si>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</si>
  <si>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</si>
  <si>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</si>
  <si>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</si>
  <si>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</si>
  <si>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</si>
  <si>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</si>
  <si>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</si>
  <si>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</si>
  <si>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</si>
  <si>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</si>
  <si>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</si>
  <si>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</si>
  <si>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</si>
  <si>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</si>
  <si>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</si>
  <si>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</si>
  <si>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</si>
  <si>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</si>
  <si>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</si>
  <si>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</si>
  <si>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</si>
  <si>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</si>
  <si>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</si>
  <si>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</si>
  <si>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</si>
  <si>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</si>
  <si>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</si>
  <si>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</si>
  <si>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</si>
  <si>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</si>
  <si>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</si>
  <si>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</si>
  <si>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</si>
  <si>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</si>
  <si>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</si>
  <si>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</si>
  <si>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</si>
  <si>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</si>
  <si>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</si>
  <si>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</si>
  <si>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</si>
  <si>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</si>
  <si>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</si>
  <si>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</si>
  <si>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</si>
  <si>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</si>
  <si>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</si>
  <si>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</si>
  <si>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</si>
  <si>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</si>
  <si>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</si>
  <si>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</si>
  <si>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</si>
  <si>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</si>
  <si>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</si>
  <si>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</si>
  <si>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</si>
  <si>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</si>
  <si>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</si>
  <si>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</si>
  <si>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</si>
  <si>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</si>
  <si>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</si>
  <si>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</si>
  <si>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</si>
  <si>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</si>
  <si>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</si>
  <si>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</si>
  <si>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</si>
  <si>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</si>
  <si>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</si>
  <si>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</si>
  <si>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</si>
  <si>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</si>
  <si>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</si>
  <si>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</si>
  <si>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</si>
  <si>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</si>
  <si>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</si>
  <si>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</si>
  <si>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</si>
  <si>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</si>
  <si>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</si>
  <si>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</si>
  <si>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</si>
  <si>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</si>
  <si>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</si>
  <si>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</si>
  <si>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</si>
  <si>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</si>
  <si>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</si>
  <si>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</si>
  <si>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</si>
  <si>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</si>
  <si>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</si>
  <si>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</si>
  <si>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</si>
  <si>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</si>
  <si>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</si>
  <si>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</si>
  <si>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</si>
  <si>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</si>
  <si>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</si>
  <si>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</si>
  <si>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</si>
  <si>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</si>
  <si>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</si>
  <si>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</si>
  <si>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</si>
  <si>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</si>
  <si>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</si>
  <si>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</si>
  <si>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</si>
  <si>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</si>
  <si>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</si>
  <si>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</si>
  <si>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</si>
  <si>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</si>
  <si>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</si>
  <si>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</si>
  <si>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</si>
  <si>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</si>
  <si>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</si>
  <si>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</si>
  <si>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</si>
  <si>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</si>
  <si>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</si>
  <si>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</si>
  <si>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</si>
  <si>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</si>
  <si>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</si>
  <si>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</si>
  <si>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</si>
  <si>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</si>
  <si>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</si>
  <si>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</si>
  <si>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</si>
  <si>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</si>
  <si>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</si>
  <si>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</si>
  <si>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</si>
  <si>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</si>
  <si>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</si>
  <si>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</si>
  <si>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</si>
  <si>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</si>
  <si>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</si>
  <si>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</si>
  <si>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</si>
  <si>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</si>
  <si>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</si>
  <si>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</si>
  <si>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</si>
  <si>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</si>
  <si>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</si>
  <si>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</si>
  <si>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</si>
  <si>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</si>
  <si>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</si>
  <si>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</si>
  <si>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</si>
  <si>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</si>
  <si>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</si>
  <si>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</si>
  <si>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</si>
  <si>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</si>
  <si>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</si>
  <si>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</si>
  <si>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</si>
  <si>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</si>
  <si>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</si>
  <si>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</si>
  <si>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</si>
  <si>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</si>
  <si>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</si>
  <si>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</si>
  <si>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</si>
  <si>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</si>
  <si>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</si>
  <si>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</si>
  <si>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</si>
  <si>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</si>
  <si>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</si>
  <si>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</si>
  <si>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</si>
  <si>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</si>
  <si>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</si>
  <si>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</si>
  <si>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</si>
  <si>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</si>
  <si>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</si>
  <si>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</si>
  <si>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</si>
  <si>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</si>
  <si>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</si>
  <si>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</si>
  <si>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</si>
  <si>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</si>
  <si>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</si>
  <si>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</si>
  <si>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</si>
  <si>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</si>
  <si>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</si>
  <si>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</si>
  <si>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</si>
  <si>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</si>
  <si>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</si>
  <si>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</si>
  <si>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</si>
  <si>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</si>
  <si>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</si>
  <si>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</si>
  <si>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</si>
  <si>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</si>
  <si>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</si>
  <si>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</si>
  <si>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</si>
  <si>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</si>
  <si>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</si>
  <si>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</si>
  <si>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</si>
  <si>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</si>
  <si>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</si>
  <si>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</si>
  <si>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</si>
  <si>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</si>
  <si>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</si>
  <si>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</si>
  <si>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</si>
  <si>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</si>
  <si>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</si>
  <si>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</si>
  <si>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</si>
  <si>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</si>
  <si>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</si>
  <si>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</si>
  <si>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</si>
  <si>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</si>
  <si>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</si>
  <si>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</si>
  <si>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</si>
  <si>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</si>
  <si>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</si>
  <si>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</si>
  <si>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</si>
  <si>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</si>
  <si>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</si>
  <si>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</si>
  <si>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</si>
  <si>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</si>
  <si>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</si>
  <si>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</si>
  <si>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</si>
  <si>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</si>
  <si>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</si>
  <si>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</si>
  <si>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</si>
  <si>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</si>
  <si>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</si>
  <si>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</si>
  <si>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</si>
  <si>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</si>
  <si>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</si>
  <si>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</si>
  <si>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</si>
  <si>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</si>
  <si>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</si>
  <si>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</si>
  <si>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</si>
  <si>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</si>
  <si>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</si>
  <si>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</si>
  <si>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</si>
  <si>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</si>
  <si>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</si>
  <si>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</si>
  <si>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</si>
  <si>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</si>
  <si>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</si>
  <si>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</si>
  <si>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</si>
  <si>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</si>
  <si>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</si>
  <si>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</si>
  <si>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</si>
  <si>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</si>
  <si>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</si>
  <si>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</si>
  <si>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</si>
  <si>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</si>
  <si>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</si>
  <si>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</si>
  <si>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</si>
  <si>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</si>
  <si>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</si>
  <si>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</si>
  <si>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</si>
  <si>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</si>
  <si>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</si>
  <si>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</si>
  <si>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</si>
  <si>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</si>
  <si>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</si>
  <si>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</si>
  <si>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</si>
  <si>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</si>
  <si>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</si>
  <si>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</si>
  <si>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</si>
  <si>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</si>
  <si>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</si>
  <si>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</si>
  <si>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</si>
  <si>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</si>
  <si>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</si>
  <si>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</si>
  <si>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</si>
  <si>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</si>
  <si>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</si>
  <si>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</si>
  <si>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</si>
  <si>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</si>
  <si>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</si>
  <si>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</si>
  <si>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</si>
  <si>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</si>
  <si>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</si>
  <si>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</si>
  <si>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</si>
  <si>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</si>
  <si>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</si>
  <si>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</si>
  <si>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</si>
  <si>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</si>
  <si>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</si>
  <si>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</si>
  <si>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</si>
  <si>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</si>
  <si>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</si>
  <si>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</si>
  <si>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</si>
  <si>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</si>
  <si>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</si>
  <si>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</si>
  <si>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</si>
  <si>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</si>
  <si>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</si>
  <si>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</si>
  <si>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</si>
  <si>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</si>
  <si>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</si>
  <si>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</si>
  <si>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</si>
  <si>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</si>
  <si>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</si>
  <si>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</si>
  <si>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</si>
  <si>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</si>
  <si>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</si>
  <si>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</si>
  <si>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</si>
  <si>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</si>
  <si>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</si>
  <si>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</si>
  <si>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</si>
  <si>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</si>
  <si>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</si>
  <si>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</si>
  <si>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</si>
  <si>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</si>
  <si>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</si>
  <si>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</si>
  <si>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</si>
  <si>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</si>
  <si>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</si>
  <si>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</si>
  <si>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</si>
  <si>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</si>
  <si>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</si>
  <si>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</si>
  <si>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</si>
  <si>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</si>
  <si>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</si>
  <si>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</si>
  <si>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</si>
  <si>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</si>
  <si>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</si>
  <si>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</si>
  <si>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</si>
  <si>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</si>
  <si>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</si>
  <si>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</si>
  <si>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</si>
  <si>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</si>
  <si>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</si>
  <si>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</si>
  <si>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</si>
  <si>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</si>
  <si>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</si>
  <si>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</si>
  <si>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</si>
  <si>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</si>
  <si>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</si>
  <si>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</si>
  <si>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</si>
  <si>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</si>
  <si>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</si>
  <si>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</si>
  <si>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</si>
  <si>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</si>
  <si>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</si>
  <si>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</si>
  <si>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</si>
  <si>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</si>
  <si>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</si>
  <si>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</si>
  <si>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</si>
  <si>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</si>
  <si>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</si>
  <si>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</si>
  <si>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</si>
  <si>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</si>
  <si>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</si>
  <si>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</si>
  <si>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</si>
  <si>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</si>
  <si>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</si>
  <si>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</si>
  <si>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</si>
  <si>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</si>
  <si>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</si>
  <si>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</si>
  <si>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</si>
  <si>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</si>
  <si>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</si>
  <si>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</si>
  <si>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</si>
  <si>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</si>
  <si>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</si>
  <si>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</si>
  <si>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</si>
  <si>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</si>
  <si>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</si>
  <si>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</si>
  <si>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</si>
  <si>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</si>
  <si>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</si>
  <si>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</si>
  <si>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</si>
  <si>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</si>
  <si>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</si>
  <si>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</si>
  <si>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</si>
  <si>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</si>
  <si>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</si>
  <si>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</si>
  <si>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</si>
  <si>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</si>
  <si>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</si>
  <si>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</si>
  <si>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</si>
  <si>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</si>
  <si>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</si>
  <si>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</si>
  <si>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</si>
  <si>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</si>
  <si>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</si>
  <si>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</si>
  <si>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</si>
  <si>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</si>
  <si>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</si>
  <si>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</si>
  <si>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</si>
  <si>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</si>
  <si>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</si>
  <si>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</si>
  <si>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</si>
  <si>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</si>
  <si>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</si>
  <si>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</si>
  <si>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</si>
  <si>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</si>
  <si>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</si>
  <si>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</si>
  <si>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</si>
  <si>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</si>
  <si>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</si>
  <si>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</si>
  <si>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</si>
  <si>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</si>
  <si>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</si>
  <si>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</si>
  <si>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</si>
  <si>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</si>
  <si>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</si>
  <si>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</si>
  <si>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</si>
  <si>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</si>
  <si>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</si>
  <si>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</si>
  <si>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</si>
  <si>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</si>
  <si>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</si>
  <si>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</si>
  <si>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</si>
  <si>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</si>
  <si>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</si>
  <si>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</si>
  <si>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</si>
  <si>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</si>
  <si>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</si>
  <si>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</si>
  <si>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</si>
  <si>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</si>
  <si>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</si>
  <si>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</si>
  <si>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</si>
  <si>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</si>
  <si>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</si>
  <si>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</si>
  <si>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</si>
  <si>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</si>
  <si>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</si>
  <si>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</si>
  <si>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</si>
  <si>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</si>
  <si>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</si>
  <si>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</si>
  <si>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</si>
  <si>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</si>
  <si>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</si>
  <si>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</si>
  <si>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</si>
  <si>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</si>
  <si>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</si>
  <si>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</si>
  <si>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</si>
  <si>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</si>
  <si>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</si>
  <si>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</si>
  <si>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</si>
  <si>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</si>
  <si>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</si>
  <si>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</si>
  <si>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</si>
  <si>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</si>
  <si>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</si>
  <si>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</si>
  <si>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</si>
  <si>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</si>
  <si>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</si>
  <si>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</si>
  <si>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</si>
  <si>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</si>
  <si>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</si>
  <si>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</si>
  <si>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</si>
  <si>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</si>
  <si>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</si>
  <si>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</si>
  <si>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</si>
  <si>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</si>
  <si>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</si>
  <si>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</si>
  <si>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</si>
  <si>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</si>
  <si>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</si>
  <si>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</si>
  <si>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</si>
  <si>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</si>
  <si>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</si>
  <si>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</si>
  <si>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</si>
  <si>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</si>
  <si>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</si>
  <si>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</si>
  <si>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</si>
  <si>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</si>
  <si>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</si>
  <si>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</si>
  <si>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</si>
  <si>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</si>
  <si>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</si>
  <si>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</si>
  <si>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</si>
  <si>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</si>
  <si>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</si>
  <si>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</si>
  <si>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</si>
  <si>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</si>
  <si>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</si>
  <si>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</si>
  <si>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</si>
  <si>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</si>
  <si>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</si>
  <si>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</si>
  <si>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</si>
  <si>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</si>
  <si>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</si>
  <si>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</si>
  <si>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</si>
  <si>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</si>
  <si>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</si>
  <si>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</si>
  <si>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</si>
  <si>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</si>
  <si>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</si>
  <si>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</si>
  <si>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</si>
  <si>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</si>
  <si>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</si>
  <si>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</si>
  <si>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</si>
  <si>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</si>
  <si>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</si>
  <si>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</si>
  <si>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</si>
  <si>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</si>
  <si>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</si>
  <si>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</si>
  <si>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</si>
  <si>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</si>
  <si>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</si>
  <si>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</si>
  <si>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</si>
  <si>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</si>
  <si>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</si>
  <si>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</si>
  <si>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</si>
  <si>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</si>
  <si>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</si>
  <si>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</si>
  <si>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</si>
  <si>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</si>
  <si>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</si>
  <si>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</si>
  <si>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</si>
  <si>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</si>
  <si>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</si>
  <si>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</si>
  <si>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</si>
  <si>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</si>
  <si>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</si>
  <si>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</si>
  <si>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</si>
  <si>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</si>
  <si>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</si>
  <si>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</si>
  <si>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</si>
  <si>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</si>
  <si>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</si>
  <si>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</si>
  <si>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</si>
  <si>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</si>
  <si>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</si>
  <si>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</si>
  <si>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</si>
  <si>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</si>
  <si>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</si>
  <si>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</si>
  <si>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</si>
  <si>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</si>
  <si>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</si>
  <si>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</si>
  <si>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</si>
  <si>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</si>
  <si>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</si>
  <si>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</si>
  <si>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</si>
  <si>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</si>
  <si>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</si>
  <si>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</si>
  <si>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</si>
  <si>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</si>
  <si>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</si>
  <si>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</si>
  <si>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</si>
  <si>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</si>
  <si>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</si>
  <si>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</si>
  <si>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</si>
  <si>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</si>
  <si>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</si>
  <si>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</si>
  <si>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</si>
  <si>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</si>
  <si>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</si>
  <si>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</si>
  <si>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</si>
  <si>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</si>
  <si>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</si>
  <si>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</si>
  <si>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</si>
  <si>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</si>
  <si>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</si>
  <si>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</si>
  <si>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</si>
  <si>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</si>
  <si>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</si>
  <si>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</si>
  <si>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</si>
  <si>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</si>
  <si>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</si>
  <si>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</si>
  <si>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</si>
  <si>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</si>
  <si>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</si>
  <si>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</si>
  <si>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</si>
  <si>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</si>
  <si>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</si>
  <si>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</si>
  <si>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</si>
  <si>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</si>
  <si>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</si>
  <si>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</si>
  <si>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</si>
  <si>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</si>
  <si>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</si>
  <si>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</si>
  <si>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</si>
  <si>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</si>
  <si>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</si>
  <si>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</si>
  <si>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</si>
  <si>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</si>
  <si>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</si>
  <si>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</si>
  <si>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</si>
  <si>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</si>
  <si>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</si>
  <si>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</si>
  <si>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</si>
  <si>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</si>
  <si>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</si>
  <si>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</si>
  <si>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</si>
  <si>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</si>
  <si>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</si>
  <si>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</si>
  <si>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</si>
  <si>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</si>
  <si>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</si>
  <si>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</si>
  <si>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</si>
  <si>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</si>
  <si>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</si>
  <si>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</si>
  <si>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</si>
  <si>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</si>
  <si>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</si>
  <si>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</si>
  <si>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</si>
  <si>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</si>
  <si>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</si>
  <si>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</si>
  <si>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</si>
  <si>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</si>
  <si>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</si>
  <si>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</si>
  <si>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</si>
  <si>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</si>
  <si>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</si>
  <si>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</si>
  <si>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</si>
  <si>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</si>
  <si>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</si>
  <si>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</si>
  <si>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</si>
  <si>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</si>
  <si>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</si>
  <si>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</si>
  <si>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</si>
  <si>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</si>
  <si>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</si>
  <si>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</si>
  <si>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</si>
  <si>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</si>
  <si>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</si>
  <si>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</si>
  <si>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</si>
  <si>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</si>
  <si>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</si>
  <si>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</si>
  <si>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</si>
  <si>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</si>
  <si>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</si>
  <si>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</si>
  <si>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</si>
  <si>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</si>
  <si>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</si>
  <si>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</si>
  <si>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</si>
  <si>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</si>
  <si>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</si>
  <si>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</si>
  <si>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</si>
  <si>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</si>
  <si>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</si>
  <si>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</si>
  <si>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</si>
  <si>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</si>
  <si>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</si>
  <si>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</si>
  <si>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</si>
  <si>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</si>
  <si>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</si>
  <si>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</si>
  <si>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</si>
  <si>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</si>
  <si>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</si>
  <si>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</si>
  <si>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</si>
  <si>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</si>
  <si>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</si>
  <si>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</si>
  <si>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</si>
  <si>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</si>
  <si>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</si>
  <si>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</si>
  <si>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</si>
  <si>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</si>
  <si>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</si>
  <si>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</si>
  <si>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</si>
  <si>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</si>
  <si>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</si>
  <si>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</si>
  <si>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</si>
  <si>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</si>
  <si>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</si>
  <si>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</si>
  <si>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</si>
  <si>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</si>
  <si>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</si>
  <si>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</si>
  <si>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</si>
  <si>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</si>
  <si>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</si>
  <si>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</si>
  <si>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</si>
  <si>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</si>
  <si>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</si>
  <si>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</si>
  <si>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</si>
  <si>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</si>
  <si>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</si>
  <si>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</si>
  <si>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</si>
  <si>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</si>
  <si>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</si>
  <si>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</si>
  <si>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</si>
  <si>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</si>
  <si>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</si>
  <si>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</si>
  <si>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</si>
  <si>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</si>
  <si>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</si>
  <si>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</si>
  <si>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</si>
  <si>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</si>
  <si>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</si>
  <si>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</si>
  <si>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</si>
  <si>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</si>
  <si>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</si>
  <si>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</si>
  <si>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</si>
  <si>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</si>
  <si>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</si>
  <si>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</si>
  <si>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</si>
  <si>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</si>
  <si>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</si>
  <si>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</si>
  <si>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</si>
  <si>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</si>
  <si>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</si>
  <si>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</si>
  <si>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</si>
  <si>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</si>
  <si>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</si>
  <si>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</si>
  <si>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</si>
  <si>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</si>
  <si>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</si>
  <si>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</si>
  <si>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</si>
  <si>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</si>
  <si>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</si>
  <si>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</si>
  <si>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</si>
  <si>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</si>
  <si>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</si>
  <si>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</si>
  <si>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</si>
  <si>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</si>
  <si>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</si>
  <si>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</si>
  <si>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</si>
  <si>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</si>
  <si>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</si>
  <si>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</si>
  <si>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</si>
  <si>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</si>
  <si>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</si>
  <si>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</si>
  <si>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</si>
  <si>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</si>
  <si>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</si>
  <si>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</si>
  <si>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</si>
  <si>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</si>
  <si>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</si>
  <si>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</si>
  <si>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</si>
  <si>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</si>
  <si>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</si>
  <si>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</si>
  <si>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</si>
  <si>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</si>
  <si>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</si>
  <si>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</si>
  <si>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</si>
  <si>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</si>
  <si>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</si>
  <si>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</si>
  <si>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</si>
  <si>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</si>
  <si>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</si>
  <si>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</si>
  <si>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</si>
  <si>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</si>
  <si>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</si>
  <si>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</si>
  <si>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</si>
  <si>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</si>
  <si>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</si>
  <si>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</si>
  <si>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</si>
  <si>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</si>
  <si>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</si>
  <si>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</si>
  <si>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</si>
  <si>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</si>
  <si>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</si>
  <si>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</si>
  <si>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</si>
  <si>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</si>
  <si>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</si>
  <si>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</si>
  <si>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</si>
  <si>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</si>
  <si>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</si>
  <si>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</si>
  <si>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</si>
  <si>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</si>
  <si>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</si>
  <si>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</si>
  <si>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</si>
  <si>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</si>
  <si>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</si>
  <si>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</si>
  <si>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</si>
  <si>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</si>
  <si>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</si>
  <si>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</si>
  <si>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</si>
  <si>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</si>
  <si>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</si>
  <si>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</si>
  <si>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</si>
  <si>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</si>
  <si>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</si>
  <si>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</si>
  <si>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</si>
  <si>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</si>
  <si>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</si>
  <si>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</si>
  <si>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</si>
  <si>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</si>
  <si>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</si>
  <si>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</si>
  <si>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</si>
  <si>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</si>
  <si>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</si>
  <si>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</si>
  <si>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</si>
  <si>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</si>
  <si>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</si>
  <si>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</si>
  <si>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</si>
  <si>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</si>
  <si>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</si>
  <si>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</si>
  <si>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</si>
  <si>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</si>
  <si>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</si>
  <si>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</si>
  <si>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</si>
  <si>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</si>
  <si>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</si>
  <si>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</si>
  <si>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</si>
  <si>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</si>
  <si>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</si>
  <si>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</si>
  <si>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</si>
  <si>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</si>
  <si>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</si>
  <si>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</si>
  <si>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</si>
  <si>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</si>
  <si>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</si>
  <si>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</si>
  <si>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</si>
  <si>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</si>
  <si>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</si>
  <si>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</si>
  <si>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</si>
  <si>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</si>
  <si>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</si>
  <si>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</si>
  <si>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</si>
  <si>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</si>
  <si>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</si>
  <si>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</si>
  <si>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</si>
  <si>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</si>
  <si>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</si>
  <si>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</si>
  <si>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</si>
  <si>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</si>
  <si>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</si>
  <si>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</si>
  <si>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</si>
  <si>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</si>
  <si>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</si>
  <si>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</si>
  <si>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</si>
  <si>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</si>
  <si>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</si>
  <si>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</si>
  <si>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</si>
  <si>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</si>
  <si>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</si>
  <si>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</si>
  <si>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</si>
  <si>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</si>
  <si>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</si>
  <si>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</si>
  <si>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</si>
  <si>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</si>
  <si>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</si>
  <si>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</si>
  <si>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</si>
  <si>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</si>
  <si>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</si>
  <si>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</si>
  <si>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</si>
  <si>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</si>
  <si>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</si>
  <si>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</si>
  <si>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</si>
  <si>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</si>
  <si>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</si>
  <si>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</si>
  <si>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</si>
  <si>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</si>
  <si>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</si>
  <si>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</si>
  <si>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</si>
  <si>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</si>
  <si>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</si>
  <si>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</si>
  <si>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</si>
  <si>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</si>
  <si>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</si>
  <si>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</si>
  <si>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</si>
  <si>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</si>
  <si>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</si>
  <si>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</si>
  <si>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</si>
  <si>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</si>
  <si>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</si>
  <si>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</si>
  <si>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</si>
  <si>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</si>
  <si>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</si>
  <si>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</si>
  <si>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</si>
  <si>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</si>
  <si>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</si>
  <si>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</si>
  <si>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</si>
  <si>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</si>
  <si>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</si>
  <si>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</si>
  <si>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</si>
  <si>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</si>
  <si>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</si>
  <si>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</si>
  <si>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</si>
  <si>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</si>
  <si>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</si>
  <si>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</si>
  <si>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</si>
  <si>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</si>
  <si>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</si>
  <si>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</si>
  <si>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</si>
  <si>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</si>
  <si>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</si>
  <si>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</si>
  <si>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</si>
  <si>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</si>
  <si>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</si>
  <si>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</si>
  <si>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</si>
  <si>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</si>
  <si>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</si>
  <si>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</si>
  <si>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</si>
  <si>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</si>
  <si>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</si>
  <si>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</si>
  <si>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</si>
  <si>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</si>
  <si>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</si>
  <si>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</si>
  <si>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</si>
  <si>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</si>
  <si>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</si>
  <si>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</si>
  <si>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</si>
  <si>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</si>
  <si>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</si>
  <si>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</si>
  <si>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</si>
  <si>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</si>
  <si>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</si>
  <si>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</si>
  <si>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</si>
  <si>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</si>
  <si>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</si>
  <si>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</si>
  <si>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</si>
  <si>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</si>
  <si>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</si>
  <si>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</si>
  <si>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</si>
  <si>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</si>
  <si>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</si>
  <si>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</si>
  <si>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</si>
  <si>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</si>
  <si>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</si>
  <si>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</si>
  <si>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</si>
  <si>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</si>
  <si>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</si>
  <si>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</si>
  <si>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</si>
  <si>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</si>
  <si>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</si>
  <si>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</si>
  <si>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</si>
  <si>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</si>
  <si>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</si>
  <si>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</si>
  <si>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</si>
  <si>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</si>
  <si>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</si>
  <si>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</si>
  <si>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</si>
  <si>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</si>
  <si>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</si>
  <si>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</si>
  <si>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</si>
  <si>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</si>
  <si>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</si>
  <si>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</si>
  <si>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</si>
  <si>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</si>
  <si>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</si>
  <si>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</si>
  <si>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</si>
  <si>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</si>
  <si>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</si>
  <si>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</si>
  <si>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</si>
  <si>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</si>
  <si>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</si>
  <si>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</si>
  <si>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</si>
  <si>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</si>
  <si>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</si>
  <si>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</si>
  <si>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</si>
  <si>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</si>
  <si>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</si>
  <si>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</si>
  <si>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</si>
  <si>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</si>
  <si>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</si>
  <si>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</si>
  <si>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</si>
  <si>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</si>
  <si>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</si>
  <si>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</si>
  <si>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</si>
  <si>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</si>
  <si>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</si>
  <si>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</si>
  <si>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</si>
  <si>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</si>
  <si>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</si>
  <si>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</si>
  <si>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</si>
  <si>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</si>
  <si>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</si>
  <si>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</si>
  <si>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</si>
  <si>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</si>
  <si>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</si>
  <si>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</si>
  <si>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</si>
  <si>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</si>
  <si>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</si>
  <si>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</si>
  <si>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</si>
  <si>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</si>
  <si>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</si>
  <si>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</si>
  <si>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</si>
  <si>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</si>
  <si>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</si>
  <si>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</si>
  <si>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</si>
  <si>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</si>
  <si>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</si>
  <si>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</si>
  <si>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</si>
  <si>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</si>
  <si>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</si>
  <si>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</si>
  <si>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</si>
  <si>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</si>
  <si>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</si>
  <si>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</si>
  <si>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</si>
  <si>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</si>
  <si>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</si>
  <si>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</si>
  <si>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</si>
  <si>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</si>
  <si>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</si>
  <si>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</si>
  <si>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</si>
  <si>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</si>
  <si>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</si>
  <si>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</si>
  <si>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</si>
  <si>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</si>
  <si>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</si>
  <si>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</si>
  <si>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</si>
  <si>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</si>
  <si>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</si>
  <si>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</si>
  <si>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</si>
  <si>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</si>
  <si>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</si>
  <si>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</si>
  <si>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</si>
  <si>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</si>
  <si>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</si>
  <si>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</si>
  <si>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</si>
  <si>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</si>
  <si>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</si>
  <si>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</si>
  <si>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</si>
  <si>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</si>
  <si>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</si>
  <si>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</si>
  <si>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</si>
  <si>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</si>
  <si>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</si>
  <si>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</si>
  <si>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</si>
  <si>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</si>
  <si>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</si>
  <si>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</si>
  <si>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</si>
  <si>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</si>
  <si>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</si>
  <si>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</si>
  <si>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</si>
  <si>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</si>
  <si>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</si>
  <si>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</si>
  <si>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</si>
  <si>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</si>
  <si>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</si>
  <si>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</si>
  <si>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</si>
  <si>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</si>
  <si>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</si>
  <si>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</si>
  <si>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</si>
  <si>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</si>
  <si>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</si>
  <si>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</si>
  <si>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</si>
  <si>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</si>
  <si>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</si>
  <si>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</si>
  <si>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</si>
  <si>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</si>
  <si>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</si>
  <si>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</si>
  <si>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</si>
  <si>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</si>
  <si>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</si>
  <si>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</si>
  <si>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</si>
  <si>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</si>
  <si>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</si>
  <si>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</si>
  <si>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</si>
  <si>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</si>
  <si>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</si>
  <si>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</si>
  <si>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</si>
  <si>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</si>
  <si>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</si>
  <si>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</si>
  <si>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</si>
  <si>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</si>
  <si>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</si>
  <si>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</si>
  <si>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</si>
  <si>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</si>
  <si>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</si>
  <si>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</si>
  <si>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</si>
  <si>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</si>
  <si>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</si>
  <si>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</si>
  <si>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</si>
  <si>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</si>
  <si>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</si>
  <si>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</si>
  <si>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</si>
  <si>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</si>
  <si>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</si>
  <si>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</si>
  <si>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</si>
  <si>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</si>
  <si>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</si>
  <si>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</si>
  <si>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</si>
  <si>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</si>
  <si>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</si>
  <si>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</si>
  <si>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</si>
  <si>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</si>
  <si>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</si>
  <si>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</si>
  <si>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</si>
  <si>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</si>
  <si>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</si>
  <si>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</si>
  <si>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</si>
  <si>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</si>
  <si>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</si>
  <si>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</si>
  <si>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</si>
  <si>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</si>
  <si>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</si>
  <si>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</si>
  <si>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</si>
  <si>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</si>
  <si>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</si>
  <si>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</si>
  <si>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</si>
  <si>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</si>
  <si>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</si>
  <si>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</si>
  <si>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</si>
  <si>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</si>
  <si>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</si>
  <si>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</si>
  <si>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</si>
  <si>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</si>
  <si>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</si>
  <si>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</si>
  <si>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</si>
  <si>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</si>
  <si>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</si>
  <si>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</si>
  <si>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</si>
  <si>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</si>
  <si>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</si>
  <si>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</si>
  <si>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</si>
  <si>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</si>
  <si>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</si>
  <si>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</si>
  <si>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</si>
  <si>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</si>
  <si>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</si>
  <si>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</si>
  <si>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</si>
  <si>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</si>
  <si>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</si>
  <si>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</si>
  <si>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</si>
  <si>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</si>
  <si>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</si>
  <si>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</si>
  <si>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</si>
  <si>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</si>
  <si>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</si>
  <si>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</si>
  <si>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</si>
  <si>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</si>
  <si>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</si>
  <si>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</si>
  <si>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</si>
  <si>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</si>
  <si>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</si>
  <si>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</si>
  <si>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</si>
  <si>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</si>
  <si>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</si>
  <si>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</si>
  <si>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</si>
  <si>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</si>
  <si>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</si>
  <si>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</si>
  <si>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</si>
  <si>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</si>
  <si>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</si>
  <si>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</si>
  <si>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</si>
  <si>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</si>
  <si>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</si>
  <si>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</si>
  <si>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</si>
  <si>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</si>
  <si>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</si>
  <si>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</si>
  <si>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</si>
  <si>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</si>
  <si>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</si>
  <si>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</si>
  <si>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</si>
  <si>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</si>
  <si>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</si>
  <si>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</si>
  <si>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</si>
  <si>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</si>
  <si>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</si>
  <si>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</si>
  <si>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</si>
  <si>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</si>
  <si>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</si>
  <si>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</si>
  <si>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</si>
  <si>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</si>
  <si>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</si>
  <si>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</si>
  <si>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</si>
  <si>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</si>
  <si>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</si>
  <si>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</si>
  <si>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</si>
  <si>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</si>
  <si>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</si>
  <si>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</si>
  <si>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</si>
  <si>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</si>
  <si>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</si>
  <si>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</si>
  <si>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</si>
  <si>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</si>
  <si>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</si>
  <si>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</si>
  <si>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</si>
  <si>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</si>
  <si>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</si>
  <si>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</si>
  <si>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</si>
  <si>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</si>
  <si>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</si>
  <si>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</si>
  <si>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</si>
  <si>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</si>
  <si>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</si>
  <si>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</si>
  <si>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</si>
  <si>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</si>
  <si>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</si>
  <si>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</si>
  <si>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</si>
  <si>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</si>
  <si>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</si>
  <si>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</si>
  <si>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</si>
  <si>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</si>
  <si>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</si>
  <si>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</si>
  <si>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</si>
  <si>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</si>
  <si>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</si>
  <si>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</si>
  <si>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</si>
  <si>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</si>
  <si>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</si>
  <si>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</si>
  <si>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</si>
  <si>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</si>
  <si>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</si>
  <si>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</si>
  <si>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</si>
  <si>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</si>
  <si>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</si>
  <si>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</si>
  <si>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</si>
  <si>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</si>
  <si>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</si>
  <si>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</si>
  <si>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</si>
  <si>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</si>
  <si>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</si>
  <si>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</si>
  <si>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</si>
  <si>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</si>
  <si>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</si>
  <si>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</si>
  <si>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</si>
  <si>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</si>
  <si>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</si>
  <si>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</si>
  <si>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</si>
  <si>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</si>
  <si>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</si>
  <si>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</si>
  <si>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</si>
  <si>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</si>
  <si>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</si>
  <si>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</si>
  <si>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</si>
  <si>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</si>
  <si>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</si>
  <si>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</si>
  <si>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</si>
  <si>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</si>
  <si>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</si>
  <si>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</si>
  <si>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</si>
  <si>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</si>
  <si>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</si>
  <si>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</si>
  <si>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</si>
  <si>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</si>
  <si>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</si>
  <si>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</si>
  <si>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</si>
  <si>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</si>
  <si>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</si>
  <si>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</si>
  <si>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</si>
  <si>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</si>
  <si>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</si>
  <si>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</si>
  <si>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</si>
  <si>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</si>
  <si>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</si>
  <si>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</si>
  <si>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</si>
  <si>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</si>
  <si>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</si>
  <si>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</si>
  <si>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</si>
  <si>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</si>
  <si>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</si>
  <si>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</si>
  <si>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</si>
  <si>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</si>
  <si>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</si>
  <si>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</si>
  <si>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</si>
  <si>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</si>
  <si>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</si>
  <si>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</si>
  <si>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</si>
  <si>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</si>
  <si>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</si>
  <si>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</si>
  <si>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</si>
  <si>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</si>
  <si>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</si>
  <si>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</si>
  <si>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</si>
  <si>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</si>
  <si>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</si>
  <si>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</si>
  <si>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</si>
  <si>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</si>
  <si>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</si>
  <si>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</si>
  <si>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</si>
  <si>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</si>
  <si>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</si>
  <si>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</si>
  <si>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</si>
  <si>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</si>
  <si>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</si>
  <si>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</si>
  <si>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</si>
  <si>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</si>
  <si>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</si>
  <si>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</si>
  <si>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</si>
  <si>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</si>
  <si>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</si>
  <si>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</si>
  <si>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</si>
  <si>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</si>
  <si>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</si>
  <si>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</si>
  <si>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</si>
  <si>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</si>
  <si>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</si>
  <si>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</si>
  <si>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</si>
  <si>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</si>
  <si>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</si>
  <si>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</si>
  <si>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</si>
  <si>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</si>
  <si>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</si>
  <si>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</si>
  <si>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</si>
  <si>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</si>
  <si>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</si>
  <si>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</si>
  <si>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</si>
  <si>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</si>
  <si>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</si>
  <si>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</si>
  <si>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</si>
  <si>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</si>
  <si>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</si>
  <si>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</si>
  <si>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</si>
  <si>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</si>
  <si>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</si>
  <si>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</si>
  <si>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</si>
  <si>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</si>
  <si>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</si>
  <si>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</si>
  <si>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</si>
  <si>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</si>
  <si>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</si>
  <si>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</si>
  <si>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</si>
  <si>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</si>
  <si>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</si>
  <si>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</si>
  <si>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</si>
  <si>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</si>
  <si>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</si>
  <si>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</si>
  <si>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</si>
  <si>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</si>
  <si>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</si>
  <si>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</si>
  <si>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</si>
  <si>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</si>
  <si>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</si>
  <si>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</si>
  <si>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</si>
  <si>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</si>
  <si>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</si>
  <si>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</si>
  <si>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</si>
  <si>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</si>
  <si>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</si>
  <si>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</si>
  <si>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</si>
  <si>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</si>
  <si>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</si>
  <si>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</si>
  <si>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</si>
  <si>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</si>
  <si>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</si>
  <si>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</si>
  <si>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</si>
  <si>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</si>
  <si>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</si>
  <si>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</si>
  <si>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</si>
  <si>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</si>
  <si>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</si>
  <si>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</si>
  <si>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</si>
  <si>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</si>
  <si>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</si>
  <si>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</si>
  <si>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</si>
  <si>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</si>
  <si>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</si>
  <si>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</si>
  <si>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</si>
  <si>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</si>
  <si>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</si>
  <si>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</si>
  <si>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</si>
  <si>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</si>
  <si>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</si>
  <si>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</si>
  <si>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</si>
  <si>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</si>
  <si>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</si>
  <si>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</si>
  <si>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</si>
  <si>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</si>
  <si>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</si>
  <si>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</si>
  <si>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</si>
  <si>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</si>
  <si>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</si>
  <si>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</si>
  <si>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</si>
  <si>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</si>
  <si>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</si>
  <si>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</si>
  <si>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</si>
  <si>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</si>
  <si>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</si>
  <si>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</si>
  <si>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</si>
  <si>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</si>
  <si>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</si>
  <si>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</si>
  <si>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</si>
  <si>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</si>
  <si>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</si>
  <si>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</si>
  <si>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</si>
  <si>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</si>
  <si>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</si>
  <si>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</si>
  <si>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</si>
  <si>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</si>
  <si>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</si>
  <si>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</si>
  <si>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</si>
  <si>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</si>
  <si>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</si>
  <si>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</si>
  <si>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</si>
  <si>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</si>
  <si>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</si>
  <si>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</si>
  <si>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</si>
  <si>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</si>
  <si>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</si>
  <si>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</si>
  <si>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</si>
  <si>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</si>
  <si>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</si>
  <si>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</si>
  <si>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</si>
  <si>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</si>
  <si>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</si>
  <si>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</si>
  <si>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</si>
  <si>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</si>
  <si>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</si>
  <si>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</si>
  <si>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</si>
  <si>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</si>
  <si>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</si>
  <si>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</si>
  <si>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</si>
  <si>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</si>
  <si>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</si>
  <si>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</si>
  <si>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</si>
  <si>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</si>
  <si>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</si>
  <si>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</si>
  <si>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</si>
  <si>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</si>
  <si>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</si>
  <si>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</si>
  <si>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</si>
  <si>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</si>
  <si>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</si>
  <si>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</si>
  <si>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</si>
  <si>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</si>
  <si>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</si>
  <si>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</si>
  <si>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</si>
  <si>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</si>
  <si>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</si>
  <si>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</si>
  <si>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</si>
  <si>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</si>
  <si>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</si>
  <si>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</si>
  <si>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</si>
  <si>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</si>
  <si>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</si>
  <si>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</si>
  <si>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</si>
  <si>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</si>
  <si>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</si>
  <si>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</si>
  <si>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</si>
  <si>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</si>
  <si>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</si>
  <si>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</si>
  <si>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</si>
  <si>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</si>
  <si>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</si>
  <si>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</si>
  <si>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</si>
  <si>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</si>
  <si>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</si>
  <si>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</si>
  <si>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</si>
  <si>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</si>
  <si>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</si>
  <si>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</si>
  <si>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</si>
  <si>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</si>
  <si>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</si>
  <si>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</si>
  <si>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</si>
  <si>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</si>
  <si>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</si>
  <si>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</si>
  <si>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</si>
  <si>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</si>
  <si>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</si>
  <si>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</si>
  <si>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</si>
  <si>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</si>
  <si>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</si>
  <si>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</si>
  <si>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</si>
  <si>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</si>
  <si>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</si>
  <si>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</si>
  <si>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</si>
  <si>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</si>
  <si>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</si>
  <si>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</si>
  <si>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</si>
  <si>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</si>
  <si>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</si>
  <si>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</si>
  <si>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</si>
  <si>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</si>
  <si>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</si>
  <si>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</si>
  <si>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</si>
  <si>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</si>
  <si>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</si>
  <si>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</si>
  <si>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</si>
  <si>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</si>
  <si>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</si>
  <si>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</si>
  <si>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</si>
  <si>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</si>
  <si>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</si>
  <si>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</si>
  <si>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</si>
  <si>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</si>
  <si>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</si>
  <si>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</si>
  <si>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</si>
  <si>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</si>
  <si>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</si>
  <si>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</si>
  <si>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</si>
  <si>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</si>
  <si>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</si>
  <si>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</si>
  <si>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</si>
  <si>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</si>
  <si>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</si>
  <si>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</si>
  <si>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</si>
  <si>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</si>
  <si>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</si>
  <si>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</si>
  <si>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</si>
  <si>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</si>
  <si>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</si>
  <si>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</si>
  <si>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</si>
  <si>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</si>
  <si>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</si>
  <si>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</si>
  <si>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</si>
  <si>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</si>
  <si>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</si>
  <si>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</si>
  <si>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</si>
  <si>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</si>
  <si>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</si>
  <si>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</si>
  <si>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</si>
  <si>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</si>
  <si>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</si>
  <si>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</si>
  <si>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</si>
  <si>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</si>
  <si>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</si>
  <si>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</si>
  <si>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</si>
  <si>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</si>
  <si>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</si>
  <si>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</si>
  <si>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</si>
  <si>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</si>
  <si>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</si>
  <si>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</si>
  <si>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</si>
  <si>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</si>
  <si>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</si>
  <si>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</si>
  <si>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</si>
  <si>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</si>
  <si>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</si>
  <si>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</si>
  <si>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</si>
  <si>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</si>
  <si>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</si>
  <si>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</si>
  <si>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</si>
  <si>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</si>
  <si>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</si>
  <si>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</si>
  <si>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</si>
  <si>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</si>
  <si>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</si>
  <si>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</si>
  <si>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</si>
  <si>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</si>
  <si>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</si>
  <si>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</si>
  <si>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</si>
  <si>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</si>
  <si>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</si>
  <si>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</si>
  <si>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</si>
  <si>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</si>
  <si>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</si>
  <si>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</si>
  <si>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</si>
  <si>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</si>
  <si>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</si>
  <si>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</si>
  <si>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</si>
  <si>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</si>
  <si>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</si>
  <si>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</si>
  <si>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</si>
  <si>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</si>
  <si>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</si>
  <si>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</si>
  <si>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</si>
  <si>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</si>
  <si>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</si>
  <si>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</si>
  <si>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</si>
  <si>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</si>
  <si>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</si>
  <si>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</si>
  <si>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</si>
  <si>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</si>
  <si>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</si>
  <si>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</si>
  <si>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</si>
  <si>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</si>
  <si>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</si>
  <si>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</si>
  <si>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</si>
  <si>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</si>
  <si>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</si>
  <si>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</si>
  <si>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</si>
  <si>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</si>
  <si>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</si>
  <si>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</si>
  <si>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</si>
  <si>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</si>
  <si>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</si>
  <si>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</si>
  <si>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</si>
  <si>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</si>
  <si>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</si>
  <si>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</si>
  <si>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</si>
  <si>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</si>
  <si>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</si>
  <si>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</si>
  <si>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</si>
  <si>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</si>
  <si>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</si>
  <si>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</si>
  <si>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</si>
  <si>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</si>
  <si>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</si>
  <si>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</si>
  <si>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</si>
  <si>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</si>
  <si>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</si>
  <si>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</si>
  <si>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</si>
  <si>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</si>
  <si>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</si>
  <si>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</si>
  <si>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</si>
  <si>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</si>
  <si>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</si>
  <si>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</si>
  <si>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</si>
  <si>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</si>
  <si>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</si>
  <si>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</si>
  <si>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</si>
  <si>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</si>
  <si>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</si>
  <si>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</si>
  <si>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</si>
  <si>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</si>
  <si>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</si>
  <si>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</si>
  <si>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</si>
  <si>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</si>
  <si>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</si>
  <si>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</si>
  <si>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</si>
  <si>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</si>
  <si>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</si>
  <si>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</si>
  <si>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</si>
  <si>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</si>
  <si>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</si>
  <si>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</si>
  <si>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</si>
  <si>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</si>
  <si>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</si>
  <si>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</si>
  <si>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</si>
  <si>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</si>
  <si>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</si>
  <si>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</si>
  <si>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</si>
  <si>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</si>
  <si>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</si>
  <si>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</si>
  <si>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</si>
  <si>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</si>
  <si>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</si>
  <si>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</si>
  <si>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</si>
  <si>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</si>
  <si>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</si>
  <si>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</si>
  <si>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</si>
  <si>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</si>
  <si>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</si>
  <si>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</si>
  <si>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</si>
  <si>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</si>
  <si>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</si>
  <si>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</si>
  <si>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</si>
  <si>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</si>
  <si>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</si>
  <si>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</si>
  <si>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</si>
  <si>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</si>
  <si>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</si>
  <si>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</si>
  <si>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</si>
  <si>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</si>
  <si>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</si>
  <si>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</si>
  <si>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</si>
  <si>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</si>
  <si>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</si>
  <si>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</si>
  <si>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</si>
  <si>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</si>
  <si>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</si>
  <si>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</si>
  <si>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</si>
  <si>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</si>
  <si>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</si>
  <si>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</si>
  <si>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</si>
  <si>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</si>
  <si>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</si>
  <si>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</si>
  <si>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</si>
  <si>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</si>
  <si>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</si>
  <si>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</si>
  <si>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</si>
  <si>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</si>
  <si>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</si>
  <si>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</si>
  <si>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</si>
  <si>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</si>
  <si>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</si>
  <si>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</si>
  <si>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</si>
  <si>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</si>
  <si>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</si>
  <si>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</si>
  <si>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</si>
  <si>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</si>
  <si>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</si>
  <si>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</si>
  <si>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</si>
  <si>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</si>
  <si>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</si>
  <si>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</si>
  <si>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</si>
  <si>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</si>
  <si>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</si>
  <si>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</si>
  <si>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</si>
  <si>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</si>
  <si>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</si>
  <si>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</si>
  <si>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</si>
  <si>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</si>
  <si>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</si>
  <si>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</si>
  <si>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</si>
  <si>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</si>
  <si>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</si>
  <si>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</si>
  <si>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</si>
  <si>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</si>
  <si>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</si>
  <si>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</si>
  <si>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</si>
  <si>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</si>
  <si>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</si>
  <si>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</si>
  <si>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</si>
  <si>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</si>
  <si>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</si>
  <si>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</si>
  <si>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</si>
  <si>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</si>
  <si>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</si>
  <si>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</si>
  <si>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</si>
  <si>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</si>
  <si>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</si>
  <si>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</si>
  <si>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</si>
  <si>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</si>
  <si>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</si>
  <si>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</si>
  <si>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</si>
  <si>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</si>
  <si>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</si>
  <si>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</si>
  <si>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</si>
  <si>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</si>
  <si>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</si>
  <si>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</si>
  <si>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</si>
  <si>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</si>
  <si>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</si>
  <si>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</si>
  <si>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</si>
  <si>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</si>
  <si>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</si>
  <si>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</si>
  <si>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</si>
  <si>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</si>
  <si>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</si>
  <si>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</si>
  <si>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</si>
  <si>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</si>
  <si>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</si>
  <si>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</si>
  <si>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</si>
  <si>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</si>
  <si>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</si>
  <si>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</si>
  <si>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</si>
  <si>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</si>
  <si>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</si>
  <si>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</si>
  <si>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</si>
  <si>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</si>
  <si>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</si>
  <si>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</si>
  <si>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</si>
  <si>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</si>
  <si>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</si>
  <si>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</si>
  <si>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</si>
  <si>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</si>
  <si>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</si>
  <si>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</si>
  <si>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</si>
  <si>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</si>
  <si>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</si>
  <si>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</si>
  <si>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</si>
  <si>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</si>
  <si>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</si>
  <si>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</si>
  <si>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</si>
  <si>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</si>
  <si>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</si>
  <si>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</si>
  <si>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</si>
  <si>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</si>
  <si>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</si>
  <si>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</si>
  <si>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</si>
  <si>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</si>
  <si>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</si>
  <si>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</si>
  <si>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</si>
  <si>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</si>
  <si>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</si>
  <si>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</si>
  <si>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</si>
  <si>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</si>
  <si>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</si>
  <si>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</si>
  <si>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</si>
  <si>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</si>
  <si>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</si>
  <si>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</si>
  <si>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</si>
  <si>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</si>
  <si>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</si>
  <si>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</si>
  <si>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</si>
  <si>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</si>
  <si>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</si>
  <si>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</si>
  <si>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</si>
  <si>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</si>
  <si>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</si>
  <si>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</si>
  <si>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</si>
  <si>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</si>
  <si>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</si>
  <si>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</si>
  <si>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</si>
  <si>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</si>
  <si>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</si>
  <si>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</si>
  <si>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</si>
  <si>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</si>
  <si>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</si>
  <si>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</si>
  <si>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</si>
  <si>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</si>
  <si>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</si>
  <si>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</si>
  <si>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</si>
  <si>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</si>
  <si>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</si>
  <si>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</si>
  <si>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</si>
  <si>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</si>
  <si>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</si>
  <si>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</si>
  <si>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</si>
  <si>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</si>
  <si>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</si>
  <si>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</si>
  <si>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</si>
  <si>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</si>
  <si>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</si>
  <si>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</si>
  <si>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</si>
  <si>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</si>
  <si>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</si>
  <si>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</si>
  <si>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</si>
  <si>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</si>
  <si>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</si>
  <si>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</si>
  <si>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</si>
  <si>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</si>
  <si>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</si>
  <si>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</si>
  <si>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</si>
  <si>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</si>
  <si>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</si>
  <si>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</si>
  <si>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</si>
  <si>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</si>
  <si>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</si>
  <si>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</si>
  <si>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</si>
  <si>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</si>
  <si>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</si>
  <si>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</si>
  <si>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</si>
  <si>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</si>
  <si>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</si>
  <si>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</si>
  <si>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</si>
  <si>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</si>
  <si>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</si>
  <si>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</si>
  <si>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</si>
  <si>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</si>
  <si>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</si>
  <si>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</si>
  <si>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</si>
  <si>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</si>
  <si>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</si>
  <si>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</si>
  <si>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</si>
  <si>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</si>
  <si>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</si>
  <si>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</si>
  <si>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</si>
  <si>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</si>
  <si>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</si>
  <si>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</si>
  <si>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</si>
  <si>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</si>
  <si>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</si>
  <si>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</si>
  <si>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</si>
  <si>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</si>
  <si>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</si>
  <si>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</si>
  <si>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</si>
  <si>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</si>
  <si>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</si>
  <si>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</si>
  <si>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</si>
  <si>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</si>
  <si>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</si>
  <si>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</si>
  <si>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</si>
  <si>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</si>
  <si>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</si>
  <si>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</si>
  <si>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</si>
  <si>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</si>
  <si>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</si>
  <si>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</si>
  <si>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</si>
  <si>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</si>
  <si>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</si>
  <si>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</si>
  <si>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</si>
  <si>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</si>
  <si>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</si>
  <si>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</si>
  <si>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</si>
  <si>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</si>
  <si>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</si>
  <si>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</si>
  <si>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</si>
  <si>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</si>
  <si>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</si>
  <si>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</si>
  <si>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</si>
  <si>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</si>
  <si>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</si>
  <si>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</si>
  <si>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</si>
  <si>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</si>
  <si>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</si>
  <si>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</si>
  <si>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</si>
  <si>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</si>
  <si>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</si>
  <si>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</si>
  <si>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</si>
  <si>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</si>
  <si>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</si>
  <si>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</si>
  <si>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</si>
  <si>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</si>
  <si>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</si>
  <si>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</si>
  <si>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</si>
  <si>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</si>
  <si>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</si>
  <si>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</si>
  <si>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</si>
  <si>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</si>
  <si>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</si>
  <si>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</si>
  <si>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</si>
  <si>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</si>
  <si>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</si>
  <si>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</si>
  <si>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</si>
  <si>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</si>
  <si>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</si>
  <si>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</si>
  <si>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</si>
  <si>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</si>
  <si>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</si>
  <si>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</si>
  <si>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</si>
  <si>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</si>
  <si>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</si>
  <si>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</si>
  <si>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</si>
  <si>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</si>
  <si>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</si>
  <si>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</si>
  <si>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</si>
  <si>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</si>
  <si>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</si>
  <si>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</si>
  <si>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</si>
  <si>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</si>
  <si>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</si>
  <si>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</si>
  <si>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</si>
  <si>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</si>
  <si>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</si>
  <si>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</si>
  <si>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</si>
  <si>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</si>
  <si>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</si>
  <si>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</si>
  <si>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</si>
  <si>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</si>
  <si>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</si>
  <si>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</si>
  <si>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</si>
  <si>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</si>
  <si>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</si>
  <si>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</si>
  <si>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</si>
  <si>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</si>
  <si>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</si>
  <si>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</si>
  <si>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</si>
  <si>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</si>
  <si>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</si>
  <si>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</si>
  <si>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</si>
  <si>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</si>
  <si>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</si>
  <si>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</si>
  <si>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</si>
  <si>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</si>
  <si>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</si>
  <si>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</si>
  <si>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</si>
  <si>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</si>
  <si>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</si>
  <si>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</si>
  <si>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</si>
  <si>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</si>
  <si>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</si>
  <si>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</si>
  <si>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</si>
  <si>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</si>
  <si>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</si>
  <si>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</si>
  <si>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</si>
  <si>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</si>
  <si>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</si>
  <si>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</si>
  <si>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</si>
  <si>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</si>
  <si>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</si>
  <si>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</si>
  <si>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</si>
  <si>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</si>
  <si>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</si>
  <si>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</si>
  <si>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</si>
  <si>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</si>
  <si>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</si>
  <si>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</si>
  <si>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</si>
  <si>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</si>
  <si>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</si>
  <si>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</si>
  <si>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</si>
  <si>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</si>
  <si>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</si>
  <si>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</si>
  <si>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</si>
  <si>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</si>
  <si>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</si>
  <si>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</si>
  <si>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</si>
  <si>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</si>
  <si>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</si>
  <si>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</si>
  <si>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</si>
  <si>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</si>
  <si>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</si>
  <si>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</si>
  <si>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</si>
  <si>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</si>
  <si>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</si>
  <si>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</si>
  <si>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</si>
  <si>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</si>
  <si>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</si>
  <si>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</si>
  <si>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</si>
  <si>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</si>
  <si>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</si>
  <si>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</si>
  <si>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</si>
  <si>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</si>
  <si>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</si>
  <si>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</si>
  <si>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</si>
  <si>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</si>
  <si>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</si>
  <si>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</si>
  <si>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</si>
  <si>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</si>
  <si>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</si>
  <si>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</si>
  <si>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</si>
  <si>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</si>
  <si>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</si>
  <si>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</si>
  <si>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</si>
  <si>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</si>
  <si>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</si>
  <si>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</si>
  <si>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</si>
  <si>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</si>
  <si>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</si>
  <si>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</si>
  <si>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</si>
  <si>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</si>
  <si>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</si>
  <si>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</si>
  <si>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</si>
  <si>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</si>
  <si>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</si>
  <si>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</si>
  <si>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</si>
  <si>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</si>
  <si>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</si>
  <si>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</si>
  <si>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</si>
  <si>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</si>
  <si>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</si>
  <si>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</si>
  <si>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</si>
  <si>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</si>
  <si>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</si>
  <si>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</si>
  <si>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</si>
  <si>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</si>
  <si>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</si>
  <si>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</si>
  <si>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</si>
  <si>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</si>
  <si>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</si>
  <si>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</si>
  <si>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</si>
  <si>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</si>
  <si>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</si>
  <si>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</si>
  <si>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</si>
  <si>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</si>
  <si>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</si>
  <si>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</si>
  <si>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</si>
  <si>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</si>
  <si>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</si>
  <si>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</si>
  <si>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</si>
  <si>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</si>
  <si>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</si>
  <si>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</si>
  <si>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</si>
  <si>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</si>
  <si>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</si>
  <si>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</si>
  <si>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</si>
  <si>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</si>
  <si>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</si>
  <si>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</si>
  <si>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</si>
  <si>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</si>
  <si>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</si>
  <si>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</si>
  <si>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</si>
  <si>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</si>
  <si>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</si>
  <si>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</si>
  <si>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</si>
  <si>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</si>
  <si>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</si>
  <si>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</si>
  <si>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</si>
  <si>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</si>
  <si>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</si>
  <si>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</si>
  <si>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</si>
  <si>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</si>
  <si>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</si>
  <si>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</si>
  <si>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</si>
  <si>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</si>
  <si>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</si>
  <si>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</si>
  <si>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</si>
  <si>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</si>
  <si>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</si>
  <si>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</si>
  <si>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</si>
  <si>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</si>
  <si>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</si>
  <si>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</si>
  <si>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</si>
  <si>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</si>
  <si>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</si>
  <si>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</si>
  <si>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</si>
  <si>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</si>
  <si>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</si>
  <si>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</si>
  <si>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</si>
  <si>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</si>
  <si>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</si>
  <si>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</si>
  <si>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</si>
  <si>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</si>
  <si>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</si>
  <si>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</si>
  <si>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</si>
  <si>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</si>
  <si>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</si>
  <si>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</si>
  <si>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</si>
  <si>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</si>
  <si>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</si>
  <si>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</si>
  <si>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</si>
  <si>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</si>
  <si>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</si>
  <si>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</si>
  <si>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</si>
  <si>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</si>
  <si>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</si>
  <si>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</si>
  <si>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</si>
  <si>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</si>
  <si>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</si>
  <si>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</si>
  <si>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</si>
  <si>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</si>
  <si>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</si>
  <si>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</si>
  <si>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</si>
  <si>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</si>
  <si>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</si>
  <si>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</si>
  <si>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</si>
  <si>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</si>
  <si>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</si>
  <si>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</si>
  <si>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</si>
  <si>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</si>
  <si>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</si>
  <si>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</si>
  <si>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</si>
  <si>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</si>
  <si>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</si>
  <si>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</si>
  <si>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</si>
  <si>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</si>
  <si>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</si>
  <si>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</si>
  <si>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</si>
  <si>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</si>
  <si>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</si>
  <si>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</si>
  <si>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</si>
  <si>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</si>
  <si>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</si>
  <si>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</si>
  <si>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</si>
  <si>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</si>
  <si>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</si>
  <si>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</si>
  <si>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</si>
  <si>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</si>
  <si>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</si>
  <si>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</si>
  <si>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</si>
  <si>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</si>
  <si>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</si>
  <si>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</si>
  <si>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</si>
  <si>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</si>
  <si>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</si>
  <si>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</si>
  <si>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</si>
  <si>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</si>
  <si>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</si>
  <si>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</si>
  <si>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</si>
  <si>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</si>
  <si>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</si>
  <si>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</si>
  <si>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</si>
  <si>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</si>
  <si>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</si>
  <si>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</si>
  <si>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</si>
  <si>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</si>
  <si>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</si>
  <si>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</si>
  <si>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</si>
  <si>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</si>
  <si>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</si>
  <si>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</si>
  <si>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</si>
  <si>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</si>
  <si>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</si>
  <si>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</si>
  <si>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</si>
  <si>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</si>
  <si>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</si>
  <si>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</si>
  <si>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</si>
  <si>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</si>
  <si>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</si>
  <si>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</si>
  <si>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</si>
  <si>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</si>
  <si>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</si>
  <si>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</si>
  <si>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</si>
  <si>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</si>
  <si>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</si>
  <si>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</si>
  <si>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</si>
  <si>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</si>
  <si>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</si>
  <si>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</si>
  <si>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</si>
  <si>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</si>
  <si>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</si>
  <si>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</si>
  <si>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</si>
  <si>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</si>
  <si>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</si>
  <si>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</si>
  <si>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</si>
  <si>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</si>
  <si>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</si>
  <si>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</si>
  <si>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</si>
  <si>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</si>
  <si>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</si>
  <si>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</si>
  <si>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</si>
  <si>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</si>
  <si>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</si>
  <si>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</si>
  <si>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</si>
  <si>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</si>
  <si>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</si>
  <si>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</si>
  <si>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</si>
  <si>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</si>
  <si>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</si>
  <si>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</si>
  <si>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</si>
  <si>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</si>
  <si>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</si>
  <si>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</si>
  <si>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</si>
  <si>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</si>
  <si>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</si>
  <si>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</si>
  <si>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</si>
  <si>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</si>
  <si>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</si>
  <si>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</si>
  <si>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</si>
  <si>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</si>
  <si>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</si>
  <si>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</si>
  <si>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</si>
  <si>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</si>
  <si>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</si>
  <si>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</si>
  <si>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</si>
  <si>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</si>
  <si>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</si>
  <si>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</si>
  <si>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</si>
  <si>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</si>
  <si>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</si>
  <si>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</si>
  <si>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</si>
  <si>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</si>
  <si>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</si>
  <si>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</si>
  <si>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</si>
  <si>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</si>
  <si>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</si>
  <si>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</si>
  <si>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</si>
  <si>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</si>
  <si>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</si>
  <si>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</si>
  <si>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</si>
  <si>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</si>
  <si>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</si>
  <si>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</si>
  <si>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</si>
  <si>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</si>
  <si>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</si>
  <si>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</si>
  <si>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</si>
  <si>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</si>
  <si>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</si>
  <si>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</si>
  <si>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</si>
  <si>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</si>
  <si>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</si>
  <si>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</si>
  <si>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</si>
  <si>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</si>
  <si>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</si>
  <si>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</si>
  <si>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</si>
  <si>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</si>
  <si>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</si>
  <si>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</si>
  <si>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</si>
  <si>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</si>
  <si>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</si>
  <si>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</si>
  <si>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</si>
  <si>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</si>
  <si>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</si>
  <si>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</si>
  <si>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</si>
  <si>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</si>
  <si>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</si>
  <si>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</si>
  <si>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</si>
  <si>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</si>
  <si>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</si>
  <si>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</si>
  <si>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</si>
  <si>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</si>
  <si>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</si>
  <si>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</si>
  <si>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</si>
  <si>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</si>
  <si>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</si>
  <si>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</si>
  <si>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</si>
  <si>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</si>
  <si>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</si>
  <si>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</si>
  <si>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</si>
  <si>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</si>
  <si>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</si>
  <si>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</si>
  <si>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</si>
  <si>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</si>
  <si>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</si>
  <si>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</si>
  <si>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</si>
  <si>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</si>
  <si>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</si>
  <si>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</si>
  <si>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</si>
  <si>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</si>
  <si>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</si>
  <si>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</si>
  <si>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</si>
  <si>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</si>
  <si>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</si>
  <si>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</si>
  <si>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</si>
  <si>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</si>
  <si>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</si>
  <si>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</si>
  <si>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</si>
  <si>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</si>
  <si>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</si>
  <si>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</si>
  <si>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</si>
  <si>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</si>
  <si>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</si>
  <si>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</si>
  <si>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</si>
  <si>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</si>
  <si>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</si>
  <si>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</si>
  <si>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</si>
  <si>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</si>
  <si>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</si>
  <si>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</si>
  <si>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</si>
  <si>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</si>
  <si>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</si>
  <si>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</si>
  <si>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</si>
  <si>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</si>
  <si>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</si>
  <si>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</si>
  <si>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</si>
  <si>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</si>
  <si>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</si>
  <si>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</si>
  <si>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</si>
  <si>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</si>
  <si>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</si>
  <si>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</si>
  <si>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</si>
  <si>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</si>
  <si>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</si>
  <si>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</si>
  <si>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</si>
  <si>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</si>
  <si>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</si>
  <si>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</si>
  <si>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</si>
  <si>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</si>
  <si>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</si>
  <si>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</si>
  <si>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</si>
  <si>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</si>
  <si>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</si>
  <si>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</si>
  <si>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</si>
  <si>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</si>
  <si>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</si>
  <si>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</si>
  <si>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</si>
  <si>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</si>
  <si>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</si>
  <si>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</si>
  <si>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</si>
  <si>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</si>
  <si>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</si>
  <si>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</si>
  <si>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</si>
  <si>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</si>
  <si>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</si>
  <si>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</si>
  <si>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</si>
  <si>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</si>
  <si>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</si>
  <si>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</si>
  <si>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</si>
  <si>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</si>
  <si>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</si>
  <si>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</si>
  <si>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</si>
  <si>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</si>
  <si>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</si>
  <si>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</si>
  <si>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</si>
  <si>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</si>
  <si>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</si>
  <si>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</si>
  <si>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</si>
  <si>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</si>
  <si>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</si>
  <si>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</si>
  <si>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</si>
  <si>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</si>
  <si>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</si>
  <si>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</si>
  <si>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</si>
  <si>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</si>
  <si>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</si>
  <si>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</si>
  <si>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</si>
  <si>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</si>
  <si>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</si>
  <si>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</si>
  <si>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</si>
  <si>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</si>
  <si>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</si>
  <si>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</si>
  <si>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</si>
  <si>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</si>
  <si>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</si>
  <si>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</si>
  <si>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</si>
  <si>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</si>
  <si>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</si>
  <si>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</si>
  <si>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</si>
  <si>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</si>
  <si>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</si>
  <si>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</si>
  <si>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</si>
  <si>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</si>
  <si>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</si>
  <si>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</si>
  <si>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</si>
  <si>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</si>
  <si>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</si>
  <si>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</si>
  <si>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</si>
  <si>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</si>
  <si>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</si>
  <si>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</si>
  <si>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</si>
  <si>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</si>
  <si>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</si>
  <si>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</si>
  <si>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</si>
  <si>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</si>
  <si>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</si>
  <si>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</si>
  <si>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</si>
  <si>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</si>
  <si>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</si>
  <si>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</si>
  <si>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</si>
  <si>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</si>
  <si>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</si>
  <si>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</si>
  <si>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</si>
  <si>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</si>
  <si>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</si>
  <si>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</si>
  <si>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</si>
  <si>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</si>
  <si>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</si>
  <si>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</si>
  <si>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</si>
  <si>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</si>
  <si>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</si>
  <si>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</si>
  <si>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</si>
  <si>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</si>
  <si>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</si>
  <si>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</si>
  <si>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</si>
  <si>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</si>
  <si>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</si>
  <si>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</si>
  <si>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</si>
  <si>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</si>
  <si>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</si>
  <si>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</si>
  <si>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</si>
  <si>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</si>
  <si>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</si>
  <si>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</si>
  <si>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</si>
  <si>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</si>
  <si>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</si>
  <si>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</si>
  <si>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</si>
  <si>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</si>
  <si>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</si>
  <si>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</si>
  <si>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</si>
  <si>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</si>
  <si>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</si>
  <si>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</si>
  <si>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</si>
  <si>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</si>
  <si>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</si>
  <si>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</si>
  <si>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</si>
  <si>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</si>
  <si>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</si>
  <si>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</si>
  <si>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</si>
  <si>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</si>
  <si>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</si>
  <si>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</si>
  <si>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</si>
  <si>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</si>
  <si>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</si>
  <si>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</si>
  <si>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</si>
  <si>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</si>
  <si>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</si>
  <si>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</si>
  <si>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</si>
  <si>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</si>
  <si>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</si>
  <si>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</si>
  <si>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</si>
  <si>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</si>
  <si>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</si>
  <si>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</si>
  <si>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</si>
  <si>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</si>
  <si>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</si>
  <si>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</si>
  <si>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</si>
  <si>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</si>
  <si>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</si>
  <si>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</si>
  <si>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</si>
  <si>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</si>
  <si>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</si>
  <si>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</si>
  <si>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</si>
  <si>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</si>
  <si>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</si>
  <si>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</si>
  <si>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</si>
  <si>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</si>
  <si>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</si>
  <si>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</si>
  <si>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</si>
  <si>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</si>
  <si>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</si>
  <si>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</si>
  <si>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</si>
  <si>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</si>
  <si>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</si>
  <si>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</si>
  <si>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</si>
  <si>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</si>
  <si>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</si>
  <si>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</si>
  <si>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</si>
  <si>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</si>
  <si>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</si>
  <si>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</si>
  <si>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</si>
  <si>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</si>
  <si>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</si>
  <si>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</si>
  <si>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</si>
  <si>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</si>
  <si>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</si>
  <si>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</si>
  <si>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</si>
  <si>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</si>
  <si>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</si>
  <si>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</si>
  <si>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</si>
  <si>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</si>
  <si>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</si>
  <si>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</si>
  <si>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</si>
  <si>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</si>
  <si>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</si>
  <si>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</si>
  <si>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</si>
  <si>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</si>
  <si>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</si>
  <si>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</si>
  <si>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</si>
  <si>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</si>
  <si>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</si>
  <si>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</si>
  <si>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</si>
  <si>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</si>
  <si>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</si>
  <si>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</si>
  <si>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</si>
  <si>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</si>
  <si>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</si>
  <si>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</si>
  <si>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</si>
  <si>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</si>
  <si>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</si>
  <si>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</si>
  <si>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</si>
  <si>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</si>
  <si>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</si>
  <si>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</si>
  <si>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</si>
  <si>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</si>
  <si>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</si>
  <si>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</si>
  <si>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</si>
  <si>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</si>
  <si>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</si>
  <si>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</si>
  <si>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</si>
  <si>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</si>
  <si>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</si>
  <si>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</si>
  <si>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</si>
  <si>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</si>
  <si>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</si>
  <si>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</si>
  <si>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</si>
  <si>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</si>
  <si>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</si>
  <si>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</si>
  <si>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</si>
  <si>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</si>
  <si>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</si>
  <si>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</si>
  <si>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</si>
  <si>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</si>
  <si>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</si>
  <si>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</si>
  <si>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</si>
  <si>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</si>
  <si>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</si>
  <si>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</si>
  <si>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</si>
  <si>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</si>
  <si>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</si>
  <si>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</si>
  <si>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</si>
  <si>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</si>
  <si>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</si>
  <si>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</si>
  <si>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</si>
  <si>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</si>
  <si>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</si>
  <si>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</si>
  <si>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</si>
  <si>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</si>
  <si>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</si>
  <si>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</si>
  <si>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</si>
  <si>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</si>
  <si>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</si>
  <si>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</si>
  <si>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</si>
  <si>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</si>
  <si>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</si>
  <si>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</si>
  <si>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</si>
  <si>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</si>
  <si>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</si>
  <si>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</si>
  <si>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</si>
  <si>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</si>
  <si>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</si>
  <si>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</si>
  <si>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</si>
  <si>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</si>
  <si>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</si>
  <si>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</si>
  <si>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</si>
  <si>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</si>
  <si>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</si>
  <si>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</si>
  <si>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</si>
  <si>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</si>
  <si>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</si>
  <si>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</si>
  <si>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</si>
  <si>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</si>
  <si>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</si>
  <si>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</si>
  <si>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</si>
  <si>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</si>
  <si>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</si>
  <si>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</si>
  <si>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</si>
  <si>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</si>
  <si>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</si>
  <si>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</si>
  <si>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</si>
  <si>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</si>
  <si>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</si>
  <si>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</si>
  <si>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</si>
  <si>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</si>
  <si>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</si>
  <si>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</si>
  <si>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</si>
  <si>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</si>
  <si>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</si>
  <si>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</si>
  <si>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</si>
  <si>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</si>
  <si>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</si>
  <si>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</si>
  <si>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</si>
  <si>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</si>
  <si>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</si>
  <si>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</si>
  <si>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</si>
  <si>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</si>
  <si>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</si>
  <si>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</si>
  <si>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</si>
  <si>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</si>
  <si>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</si>
  <si>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</si>
  <si>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</si>
  <si>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</si>
  <si>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</si>
  <si>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</si>
  <si>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</si>
  <si>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</si>
  <si>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</si>
  <si>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</si>
  <si>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</si>
  <si>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</si>
  <si>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</si>
  <si>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</si>
  <si>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</si>
  <si>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</si>
  <si>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</si>
  <si>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</si>
  <si>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</si>
  <si>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</si>
  <si>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</si>
  <si>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</si>
  <si>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</si>
  <si>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</si>
  <si>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</si>
  <si>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</si>
  <si>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</si>
  <si>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</si>
  <si>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</si>
  <si>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</si>
  <si>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</si>
  <si>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</si>
  <si>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</si>
  <si>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</si>
  <si>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</si>
  <si>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</si>
  <si>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</si>
  <si>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</si>
  <si>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</si>
  <si>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</si>
  <si>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</si>
  <si>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</si>
  <si>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</si>
  <si>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</si>
  <si>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</si>
  <si>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</si>
  <si>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</si>
  <si>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</si>
  <si>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</si>
  <si>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</si>
  <si>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</si>
  <si>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</si>
  <si>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</si>
  <si>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</si>
  <si>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</si>
  <si>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</si>
  <si>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</si>
  <si>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</si>
  <si>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</si>
  <si>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</si>
  <si>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</si>
  <si>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</si>
  <si>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</si>
  <si>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</si>
  <si>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</si>
  <si>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</si>
  <si>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</si>
  <si>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</si>
  <si>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</si>
  <si>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</si>
  <si>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</si>
  <si>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</si>
  <si>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</si>
  <si>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</si>
  <si>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</si>
  <si>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</si>
  <si>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</si>
  <si>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</si>
  <si>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</si>
  <si>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</si>
  <si>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</si>
  <si>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</si>
  <si>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</si>
  <si>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</si>
  <si>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</si>
  <si>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</si>
  <si>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</si>
  <si>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</si>
  <si>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</si>
  <si>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</si>
  <si>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</si>
  <si>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</si>
  <si>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</si>
  <si>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</si>
  <si>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</si>
  <si>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</si>
  <si>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</si>
  <si>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</si>
  <si>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</si>
  <si>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</si>
  <si>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</si>
  <si>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</si>
  <si>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</si>
  <si>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</si>
  <si>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</si>
  <si>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</si>
  <si>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</si>
  <si>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</si>
  <si>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</si>
  <si>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</si>
  <si>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</si>
  <si>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</si>
  <si>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</si>
  <si>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</si>
  <si>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</si>
  <si>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</si>
  <si>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</si>
  <si>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</si>
  <si>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</si>
  <si>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</si>
  <si>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</si>
  <si>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</si>
  <si>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</si>
  <si>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</si>
  <si>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</si>
  <si>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</si>
  <si>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</si>
  <si>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</si>
  <si>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</si>
  <si>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</si>
  <si>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</si>
  <si>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</si>
  <si>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</si>
  <si>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</si>
  <si>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</si>
  <si>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</si>
  <si>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</si>
  <si>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</si>
  <si>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</si>
  <si>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</si>
  <si>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</si>
  <si>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</si>
  <si>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</si>
  <si>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</si>
  <si>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</si>
  <si>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</si>
  <si>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</si>
  <si>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</si>
  <si>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</si>
  <si>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</si>
  <si>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</si>
  <si>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</si>
  <si>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</si>
  <si>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</si>
  <si>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</si>
  <si>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</si>
  <si>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</si>
  <si>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</si>
  <si>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</si>
  <si>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</si>
  <si>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</si>
  <si>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</si>
  <si>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</si>
  <si>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</si>
  <si>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</si>
  <si>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</si>
  <si>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</si>
  <si>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</si>
  <si>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</si>
  <si>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</si>
  <si>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</si>
  <si>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</si>
  <si>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</si>
  <si>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</si>
  <si>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</si>
  <si>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</si>
  <si>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</si>
  <si>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</si>
  <si>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</si>
  <si>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</si>
  <si>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</si>
  <si>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</si>
  <si>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</si>
  <si>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</si>
  <si>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</si>
  <si>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</si>
  <si>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</si>
  <si>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</si>
  <si>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</si>
  <si>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</si>
  <si>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</si>
  <si>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</si>
  <si>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</si>
  <si>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</si>
  <si>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</si>
  <si>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</si>
  <si>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</si>
  <si>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</si>
  <si>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</si>
  <si>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</si>
  <si>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</si>
  <si>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</si>
  <si>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</si>
  <si>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</si>
  <si>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</si>
  <si>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</si>
  <si>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</si>
  <si>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</si>
  <si>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</si>
  <si>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</si>
  <si>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</si>
  <si>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</si>
  <si>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</si>
  <si>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</si>
  <si>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</si>
  <si>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</si>
  <si>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</si>
  <si>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</si>
  <si>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</si>
  <si>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</si>
  <si>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</si>
  <si>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</si>
  <si>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</si>
  <si>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</si>
  <si>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</si>
  <si>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</si>
  <si>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</si>
  <si>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</si>
  <si>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</si>
  <si>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</si>
  <si>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</si>
  <si>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</si>
  <si>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</si>
  <si>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</si>
  <si>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</si>
  <si>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</si>
  <si>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</si>
  <si>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</si>
  <si>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</si>
  <si>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</si>
  <si>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</si>
  <si>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</si>
  <si>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</si>
  <si>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</si>
  <si>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</si>
  <si>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</si>
  <si>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</si>
  <si>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</si>
  <si>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</si>
  <si>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</si>
  <si>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</si>
  <si>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</si>
  <si>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</si>
  <si>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</si>
  <si>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</si>
  <si>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</si>
  <si>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</si>
  <si>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</si>
  <si>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</si>
  <si>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</si>
  <si>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</si>
  <si>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</si>
  <si>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</si>
  <si>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</si>
  <si>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</si>
  <si>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</si>
  <si>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</si>
  <si>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</si>
  <si>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</si>
  <si>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</si>
  <si>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</si>
  <si>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</si>
  <si>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</si>
  <si>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</si>
  <si>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</si>
  <si>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</si>
  <si>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</si>
  <si>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</si>
  <si>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</si>
  <si>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</si>
  <si>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</si>
  <si>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</si>
  <si>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</si>
  <si>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</si>
  <si>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</si>
  <si>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</si>
  <si>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</si>
  <si>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</si>
  <si>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</si>
  <si>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</si>
  <si>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</si>
  <si>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</si>
  <si>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</si>
  <si>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</si>
  <si>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</si>
  <si>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</si>
  <si>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</si>
  <si>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</si>
  <si>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</si>
  <si>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</si>
  <si>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</si>
  <si>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</si>
  <si>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</si>
  <si>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</si>
  <si>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</si>
  <si>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</si>
  <si>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</si>
  <si>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</si>
  <si>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</si>
  <si>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</si>
  <si>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</si>
  <si>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</si>
  <si>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</si>
  <si>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</si>
  <si>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</si>
  <si>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</si>
  <si>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</si>
  <si>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</si>
  <si>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</si>
  <si>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</si>
  <si>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</si>
  <si>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</si>
  <si>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</si>
  <si>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</si>
  <si>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</si>
  <si>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</si>
  <si>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</si>
  <si>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</si>
  <si>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</si>
  <si>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</si>
  <si>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</si>
  <si>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</si>
  <si>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</si>
  <si>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</si>
  <si>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</si>
  <si>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</si>
  <si>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</si>
  <si>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</si>
  <si>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</si>
  <si>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</si>
  <si>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</si>
  <si>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</si>
  <si>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</si>
  <si>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</si>
  <si>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</si>
  <si>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</si>
  <si>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</si>
  <si>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</si>
  <si>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</si>
  <si>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</si>
  <si>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</si>
  <si>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</si>
  <si>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</si>
  <si>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</si>
  <si>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</si>
  <si>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</si>
  <si>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</si>
  <si>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</si>
  <si>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</si>
  <si>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</si>
  <si>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</si>
  <si>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</si>
  <si>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</si>
  <si>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</si>
  <si>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</si>
  <si>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</si>
  <si>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</si>
  <si>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</si>
  <si>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</si>
  <si>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</si>
  <si>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</si>
  <si>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</si>
  <si>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</si>
  <si>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</si>
  <si>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</si>
  <si>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</si>
  <si>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</si>
  <si>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</si>
  <si>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</si>
  <si>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</si>
  <si>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</si>
  <si>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</si>
  <si>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</si>
  <si>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</si>
  <si>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</si>
  <si>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</si>
  <si>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</si>
  <si>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</si>
  <si>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</si>
  <si>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</si>
  <si>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</si>
  <si>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</si>
  <si>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</si>
  <si>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</si>
  <si>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</si>
  <si>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</si>
  <si>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</si>
  <si>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</si>
  <si>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</si>
  <si>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</si>
  <si>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</si>
  <si>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</si>
  <si>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</si>
  <si>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</si>
  <si>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</si>
  <si>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</si>
  <si>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</si>
  <si>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</si>
  <si>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</si>
  <si>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</si>
  <si>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</si>
  <si>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</si>
  <si>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</si>
  <si>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</si>
  <si>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</si>
  <si>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</si>
  <si>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</si>
  <si>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</si>
  <si>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</si>
  <si>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</si>
  <si>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</si>
  <si>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</si>
  <si>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</si>
  <si>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</si>
  <si>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</si>
  <si>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</si>
  <si>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</si>
  <si>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</si>
  <si>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</si>
  <si>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</si>
  <si>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</si>
  <si>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</si>
  <si>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</si>
  <si>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</si>
  <si>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</si>
  <si>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</si>
  <si>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</si>
  <si>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</si>
  <si>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</si>
  <si>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</si>
  <si>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</si>
  <si>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</si>
  <si>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</si>
  <si>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</si>
  <si>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</si>
  <si>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</si>
  <si>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</si>
  <si>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</si>
  <si>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</si>
  <si>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</si>
  <si>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</si>
  <si>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</si>
  <si>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</si>
  <si>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</si>
  <si>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</si>
  <si>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</si>
  <si>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</si>
  <si>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</si>
  <si>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</si>
  <si>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</si>
  <si>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</si>
  <si>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</si>
  <si>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</si>
  <si>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</si>
  <si>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</si>
  <si>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</si>
  <si>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</si>
  <si>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</si>
  <si>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</si>
  <si>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</si>
  <si>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</si>
  <si>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</si>
  <si>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</si>
  <si>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</si>
  <si>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</si>
  <si>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</si>
  <si>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</si>
  <si>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</si>
  <si>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</si>
  <si>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</si>
  <si>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</si>
  <si>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</si>
  <si>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</si>
  <si>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</si>
  <si>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</si>
  <si>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</si>
  <si>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</si>
  <si>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</si>
  <si>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</si>
  <si>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</si>
  <si>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</si>
  <si>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</si>
  <si>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</si>
  <si>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</si>
  <si>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</si>
  <si>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</si>
  <si>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</si>
  <si>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</si>
  <si>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</si>
  <si>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</si>
  <si>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</si>
  <si>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</si>
  <si>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</si>
  <si>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</si>
  <si>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</si>
  <si>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</si>
  <si>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</si>
  <si>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</si>
  <si>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</si>
  <si>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</si>
  <si>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</si>
  <si>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</si>
  <si>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</si>
  <si>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</si>
  <si>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</si>
  <si>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</si>
  <si>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</si>
  <si>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</si>
  <si>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</si>
  <si>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</si>
  <si>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</si>
  <si>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</si>
  <si>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</si>
  <si>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</si>
  <si>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</si>
  <si>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</si>
  <si>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</si>
  <si>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</si>
  <si>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</si>
  <si>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</si>
  <si>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</si>
  <si>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</si>
  <si>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</si>
  <si>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</si>
  <si>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</si>
  <si>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</si>
  <si>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</si>
  <si>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</si>
  <si>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</si>
  <si>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</si>
  <si>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</si>
  <si>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</si>
  <si>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</si>
  <si>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</si>
  <si>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</si>
  <si>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</si>
  <si>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</si>
  <si>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</si>
  <si>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</si>
  <si>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</si>
  <si>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</si>
  <si>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</si>
  <si>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</si>
  <si>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</si>
  <si>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</si>
  <si>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</si>
  <si>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</si>
  <si>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</si>
  <si>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</si>
  <si>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</si>
  <si>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</si>
  <si>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</si>
  <si>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</si>
  <si>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</si>
  <si>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</si>
  <si>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</si>
  <si>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</si>
  <si>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</si>
  <si>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</si>
  <si>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</si>
  <si>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</si>
  <si>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</si>
  <si>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</si>
  <si>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</si>
  <si>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</si>
  <si>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</si>
  <si>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</si>
  <si>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</si>
  <si>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</si>
  <si>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</si>
  <si>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</si>
  <si>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</si>
  <si>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</si>
  <si>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</si>
  <si>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</si>
  <si>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</si>
  <si>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</si>
  <si>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</si>
  <si>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</si>
  <si>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</si>
  <si>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</si>
  <si>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</si>
  <si>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</si>
  <si>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</si>
  <si>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</si>
  <si>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</si>
  <si>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</si>
  <si>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</si>
  <si>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</si>
  <si>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</si>
  <si>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</si>
  <si>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</si>
  <si>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</si>
  <si>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</si>
  <si>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</si>
  <si>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</si>
  <si>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</si>
  <si>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</si>
  <si>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</si>
  <si>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</si>
  <si>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</si>
  <si>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</si>
  <si>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</si>
  <si>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</si>
  <si>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</si>
  <si>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</si>
  <si>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</si>
  <si>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</si>
  <si>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</si>
  <si>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</si>
  <si>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</si>
  <si>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</si>
  <si>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</si>
  <si>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</si>
  <si>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</si>
  <si>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</si>
  <si>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</si>
  <si>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</si>
  <si>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</si>
  <si>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</si>
  <si>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</si>
  <si>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</si>
  <si>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</si>
  <si>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</si>
  <si>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</si>
  <si>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</si>
  <si>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</si>
  <si>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</si>
  <si>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</si>
  <si>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</si>
  <si>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</si>
  <si>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</si>
  <si>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</si>
  <si>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</si>
  <si>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</si>
  <si>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</si>
  <si>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</si>
  <si>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</si>
  <si>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</si>
  <si>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</si>
  <si>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</si>
  <si>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</si>
  <si>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</si>
  <si>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</si>
  <si>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</si>
  <si>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</si>
  <si>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</si>
  <si>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</si>
  <si>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</si>
  <si>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</si>
  <si>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</si>
  <si>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</si>
  <si>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</si>
  <si>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</si>
  <si>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</si>
  <si>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</si>
  <si>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</si>
  <si>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</si>
  <si>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</si>
  <si>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</si>
  <si>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</si>
  <si>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</si>
  <si>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</si>
  <si>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</si>
  <si>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</si>
  <si>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</si>
  <si>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</si>
  <si>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</si>
  <si>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</si>
  <si>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</si>
  <si>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</si>
  <si>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</si>
  <si>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</si>
  <si>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</si>
  <si>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</si>
  <si>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</si>
  <si>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</si>
  <si>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</si>
  <si>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</si>
  <si>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</si>
  <si>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</si>
  <si>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</si>
  <si>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</si>
  <si>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</si>
  <si>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</si>
  <si>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</si>
  <si>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</si>
  <si>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</si>
  <si>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</si>
  <si>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</si>
  <si>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</si>
  <si>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</si>
  <si>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</si>
  <si>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</si>
  <si>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</si>
  <si>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</si>
  <si>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</si>
  <si>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</si>
  <si>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</si>
  <si>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</si>
  <si>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</si>
  <si>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</si>
  <si>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</si>
  <si>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</si>
  <si>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</si>
  <si>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</si>
  <si>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</si>
  <si>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</si>
  <si>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</si>
  <si>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</si>
  <si>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</si>
  <si>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</si>
  <si>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</si>
  <si>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</si>
  <si>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</si>
  <si>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</si>
  <si>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</si>
  <si>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</si>
  <si>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</si>
  <si>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</si>
  <si>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</si>
  <si>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</si>
  <si>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</si>
  <si>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</si>
  <si>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</si>
  <si>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</si>
  <si>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</si>
  <si>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</si>
  <si>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</si>
  <si>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</si>
  <si>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</si>
  <si>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</si>
  <si>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</si>
  <si>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</si>
  <si>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</si>
  <si>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</si>
  <si>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</si>
  <si>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</si>
  <si>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</si>
  <si>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</si>
  <si>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</si>
  <si>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</si>
  <si>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</si>
  <si>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</si>
  <si>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</si>
  <si>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</si>
  <si>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</si>
  <si>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</si>
  <si>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</si>
  <si>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</si>
  <si>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</si>
  <si>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</si>
  <si>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</si>
  <si>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</si>
  <si>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</si>
  <si>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</si>
  <si>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</si>
  <si>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</si>
  <si>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</si>
  <si>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</si>
  <si>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</si>
  <si>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</si>
  <si>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</si>
  <si>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</si>
  <si>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</si>
  <si>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</si>
  <si>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</si>
  <si>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</si>
  <si>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</si>
  <si>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</si>
  <si>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</si>
  <si>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</si>
  <si>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</si>
  <si>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</si>
  <si>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</si>
  <si>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</si>
  <si>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</si>
  <si>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</si>
  <si>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</si>
  <si>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</si>
  <si>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</si>
  <si>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</si>
  <si>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</si>
  <si>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</si>
  <si>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</si>
  <si>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</si>
  <si>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</si>
  <si>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</si>
  <si>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</si>
  <si>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</si>
  <si>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</si>
  <si>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</si>
  <si>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</si>
  <si>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</si>
  <si>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</si>
  <si>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</si>
  <si>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</si>
  <si>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</si>
  <si>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</si>
  <si>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</si>
  <si>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</si>
  <si>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</si>
  <si>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</si>
  <si>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</si>
  <si>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</si>
  <si>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</si>
  <si>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</si>
  <si>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</si>
  <si>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</si>
  <si>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</si>
  <si>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</si>
  <si>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</si>
  <si>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</si>
  <si>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</si>
  <si>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</si>
  <si>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</si>
  <si>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</si>
  <si>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</si>
  <si>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</si>
  <si>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</si>
  <si>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</si>
  <si>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</si>
  <si>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</si>
  <si>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</si>
  <si>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</si>
  <si>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</si>
  <si>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</si>
  <si>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</si>
  <si>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</si>
  <si>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</si>
  <si>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</si>
  <si>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</si>
  <si>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</si>
  <si>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</si>
  <si>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</si>
  <si>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</si>
  <si>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</si>
  <si>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</si>
  <si>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</si>
  <si>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</si>
  <si>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</si>
  <si>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</si>
  <si>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</si>
  <si>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</si>
  <si>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</si>
  <si>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</si>
  <si>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</si>
  <si>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</si>
  <si>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</si>
  <si>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</si>
  <si>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</si>
  <si>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</si>
  <si>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</si>
  <si>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</si>
  <si>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</si>
  <si>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</si>
  <si>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</si>
  <si>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</si>
  <si>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</si>
  <si>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</si>
  <si>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</si>
  <si>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</si>
  <si>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</si>
  <si>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</si>
  <si>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</si>
  <si>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</si>
  <si>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</si>
  <si>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</si>
  <si>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</si>
  <si>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</si>
  <si>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</si>
  <si>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</si>
  <si>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</si>
  <si>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</si>
  <si>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</si>
  <si>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</si>
  <si>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</si>
  <si>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</si>
  <si>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</si>
  <si>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</si>
  <si>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</si>
  <si>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</si>
  <si>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</si>
  <si>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</si>
  <si>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</si>
  <si>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</si>
  <si>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</si>
  <si>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</si>
  <si>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</si>
  <si>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</si>
  <si>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</si>
  <si>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</si>
  <si>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</si>
  <si>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</si>
  <si>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</si>
  <si>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</si>
  <si>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</si>
  <si>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</si>
  <si>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</si>
  <si>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</si>
  <si>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</si>
  <si>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</si>
  <si>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</si>
  <si>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</si>
  <si>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</si>
  <si>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</si>
  <si>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</si>
  <si>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</si>
  <si>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</si>
  <si>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</si>
  <si>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</si>
  <si>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</si>
  <si>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</si>
  <si>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</si>
  <si>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</si>
  <si>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</si>
  <si>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</si>
  <si>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</si>
  <si>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</si>
  <si>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</si>
  <si>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</si>
  <si>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</si>
  <si>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</si>
  <si>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</si>
  <si>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</si>
  <si>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</si>
  <si>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</si>
  <si>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</si>
  <si>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</si>
  <si>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</si>
  <si>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</si>
  <si>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</si>
  <si>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</si>
  <si>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</si>
  <si>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</si>
  <si>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</si>
  <si>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</si>
  <si>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</si>
  <si>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</si>
  <si>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</si>
  <si>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</si>
  <si>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</si>
  <si>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</si>
  <si>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</si>
  <si>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</si>
  <si>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</si>
  <si>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</si>
  <si>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</si>
  <si>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</si>
  <si>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</si>
  <si>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</si>
  <si>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</si>
  <si>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</si>
  <si>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</si>
  <si>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</si>
  <si>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</si>
  <si>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</si>
  <si>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</si>
  <si>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</si>
  <si>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</si>
  <si>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</si>
  <si>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</si>
  <si>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</si>
  <si>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</si>
  <si>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</si>
  <si>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</si>
  <si>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</si>
  <si>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</si>
  <si>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</si>
  <si>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</si>
  <si>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</si>
  <si>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</si>
  <si>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</si>
  <si>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</si>
  <si>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</si>
  <si>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</si>
  <si>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</si>
  <si>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</si>
  <si>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</si>
  <si>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</si>
  <si>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</si>
  <si>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</si>
  <si>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</si>
  <si>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</si>
  <si>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</si>
  <si>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</si>
  <si>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</si>
  <si>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</si>
  <si>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</si>
  <si>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</si>
  <si>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</si>
  <si>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</si>
  <si>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</si>
  <si>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</si>
  <si>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</si>
  <si>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</si>
  <si>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</si>
  <si>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</si>
  <si>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</si>
  <si>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</si>
  <si>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</si>
  <si>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</si>
  <si>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</si>
  <si>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</si>
  <si>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</si>
  <si>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</si>
  <si>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</si>
  <si>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</si>
  <si>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</si>
  <si>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</si>
  <si>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</si>
  <si>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</si>
  <si>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</si>
  <si>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</si>
  <si>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</si>
  <si>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</si>
  <si>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</si>
  <si>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</si>
  <si>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</si>
  <si>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</si>
  <si>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</si>
  <si>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</si>
  <si>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</si>
  <si>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</si>
  <si>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</si>
  <si>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</si>
  <si>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</si>
  <si>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</si>
  <si>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</si>
  <si>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</si>
  <si>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</si>
  <si>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</si>
  <si>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</si>
  <si>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</si>
  <si>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</si>
  <si>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</si>
  <si>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</si>
  <si>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</si>
  <si>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</si>
  <si>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</si>
  <si>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</si>
  <si>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</si>
  <si>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</si>
  <si>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</si>
  <si>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</si>
  <si>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</si>
  <si>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</si>
  <si>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</si>
  <si>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</si>
  <si>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</si>
  <si>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</si>
  <si>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</si>
  <si>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</si>
  <si>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</si>
  <si>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</si>
  <si>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</si>
  <si>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</si>
  <si>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</si>
  <si>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</si>
  <si>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</si>
  <si>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</si>
  <si>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</si>
  <si>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</si>
  <si>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</si>
  <si>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</si>
  <si>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</si>
  <si>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</si>
  <si>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</si>
  <si>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</si>
  <si>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</si>
  <si>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</si>
  <si>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</si>
  <si>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</si>
  <si>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</si>
  <si>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</si>
  <si>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</si>
  <si>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</si>
  <si>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</si>
  <si>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</si>
  <si>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</si>
  <si>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</si>
  <si>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</si>
  <si>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</si>
  <si>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</si>
  <si>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</si>
  <si>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</si>
  <si>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</si>
  <si>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</si>
  <si>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</si>
  <si>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</si>
  <si>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</si>
  <si>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</si>
  <si>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</si>
  <si>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</si>
  <si>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</si>
  <si>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</si>
  <si>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</si>
  <si>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</si>
  <si>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</si>
  <si>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</si>
  <si>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</si>
  <si>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</si>
  <si>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</si>
  <si>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</si>
  <si>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</si>
  <si>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</si>
  <si>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</si>
  <si>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</si>
  <si>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</si>
  <si>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</si>
  <si>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</si>
  <si>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</si>
  <si>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</si>
  <si>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</si>
  <si>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</si>
  <si>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</si>
  <si>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</si>
  <si>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</si>
  <si>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</si>
  <si>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</si>
  <si>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</si>
  <si>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</si>
  <si>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</si>
  <si>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</si>
  <si>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</si>
  <si>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</si>
  <si>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</si>
  <si>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</si>
  <si>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</si>
  <si>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</si>
  <si>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</si>
  <si>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</si>
  <si>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</si>
  <si>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</si>
  <si>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</si>
  <si>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</si>
  <si>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</si>
  <si>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</si>
  <si>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</si>
  <si>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</si>
  <si>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</si>
  <si>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</si>
  <si>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</si>
  <si>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</si>
  <si>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</si>
  <si>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</si>
  <si>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</si>
  <si>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</si>
  <si>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</si>
  <si>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</si>
  <si>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</si>
  <si>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</si>
  <si>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</si>
  <si>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</si>
  <si>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</si>
  <si>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</si>
  <si>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</si>
  <si>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</si>
  <si>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</si>
  <si>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</si>
  <si>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</si>
  <si>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</si>
  <si>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</si>
  <si>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</si>
  <si>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</si>
  <si>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</si>
  <si>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</si>
  <si>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</si>
  <si>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</si>
  <si>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</si>
  <si>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</si>
  <si>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</si>
  <si>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</si>
  <si>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</si>
  <si>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</si>
  <si>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</si>
  <si>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</si>
  <si>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</si>
  <si>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</si>
  <si>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</si>
  <si>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</si>
  <si>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</si>
  <si>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</si>
  <si>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</si>
  <si>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</si>
  <si>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</si>
  <si>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</si>
  <si>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</si>
  <si>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</si>
  <si>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</si>
  <si>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</si>
  <si>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</si>
  <si>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</si>
  <si>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</si>
  <si>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</si>
  <si>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</si>
  <si>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</si>
  <si>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</si>
  <si>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</si>
  <si>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</si>
  <si>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</si>
  <si>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</si>
  <si>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</si>
  <si>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</si>
  <si>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</si>
  <si>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</si>
  <si>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</si>
  <si>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</si>
  <si>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</si>
  <si>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</si>
  <si>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</si>
  <si>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</si>
  <si>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</si>
  <si>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</si>
  <si>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</si>
  <si>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</si>
  <si>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</si>
  <si>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</si>
  <si>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</si>
  <si>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</si>
  <si>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</si>
  <si>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</si>
  <si>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</si>
  <si>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</si>
  <si>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</si>
  <si>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</si>
  <si>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</si>
  <si>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</si>
  <si>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</si>
  <si>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</si>
  <si>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</si>
  <si>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</si>
  <si>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</si>
  <si>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</si>
  <si>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</si>
  <si>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</si>
  <si>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</si>
  <si>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</si>
  <si>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</si>
  <si>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</si>
  <si>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</si>
  <si>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</si>
  <si>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</si>
  <si>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</si>
  <si>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</si>
  <si>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</si>
  <si>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</si>
  <si>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</si>
  <si>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</si>
  <si>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</si>
  <si>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</si>
  <si>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</si>
  <si>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</si>
  <si>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</si>
  <si>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</si>
  <si>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</si>
  <si>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</si>
  <si>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</si>
  <si>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</si>
  <si>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</si>
  <si>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</si>
  <si>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</si>
  <si>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</si>
  <si>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</si>
  <si>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</si>
  <si>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</si>
  <si>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</si>
  <si>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</si>
  <si>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</si>
  <si>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</si>
  <si>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</si>
  <si>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</si>
  <si>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</si>
  <si>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</si>
  <si>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</si>
  <si>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</si>
  <si>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</si>
  <si>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</si>
  <si>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</si>
  <si>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</si>
  <si>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</si>
  <si>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</si>
  <si>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</si>
  <si>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</si>
  <si>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</si>
  <si>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</si>
  <si>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</si>
  <si>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</si>
  <si>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</si>
  <si>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</si>
  <si>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</si>
  <si>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</si>
  <si>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</si>
  <si>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</si>
  <si>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</si>
  <si>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</si>
  <si>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</si>
  <si>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</si>
  <si>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</si>
  <si>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</si>
  <si>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</si>
  <si>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</si>
  <si>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</si>
  <si>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</si>
  <si>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</si>
  <si>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</si>
  <si>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</si>
  <si>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</si>
  <si>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</si>
  <si>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</si>
  <si>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</si>
  <si>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</si>
  <si>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</si>
  <si>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</si>
  <si>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</si>
  <si>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</si>
  <si>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</si>
  <si>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</si>
  <si>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</si>
  <si>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</si>
  <si>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</si>
  <si>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</si>
  <si>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</si>
  <si>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</si>
  <si>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</si>
  <si>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</si>
  <si>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</si>
  <si>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</si>
  <si>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</si>
  <si>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</si>
  <si>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</si>
  <si>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</si>
  <si>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</si>
  <si>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</si>
  <si>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</si>
  <si>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</si>
  <si>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</si>
  <si>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</si>
  <si>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</si>
  <si>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</si>
  <si>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</si>
  <si>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</si>
  <si>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</si>
  <si>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</si>
  <si>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</si>
  <si>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</si>
  <si>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</si>
  <si>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</si>
  <si>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</si>
  <si>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</si>
  <si>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</si>
  <si>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</si>
  <si>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</si>
  <si>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</si>
  <si>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</si>
  <si>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</si>
  <si>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</si>
  <si>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</si>
  <si>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</si>
  <si>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</si>
  <si>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</si>
  <si>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</si>
  <si>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</si>
  <si>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</si>
  <si>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</si>
  <si>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</si>
  <si>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</si>
  <si>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</si>
  <si>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</si>
  <si>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</si>
  <si>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</si>
  <si>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</si>
  <si>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</si>
  <si>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</si>
  <si>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</si>
  <si>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</si>
  <si>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</si>
  <si>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</si>
  <si>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</si>
  <si>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</si>
  <si>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</si>
  <si>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</si>
  <si>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</si>
  <si>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</si>
  <si>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</si>
  <si>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</si>
  <si>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</si>
  <si>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</si>
  <si>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</si>
  <si>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</si>
  <si>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</si>
  <si>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</si>
  <si>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</si>
  <si>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</si>
  <si>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</si>
  <si>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</si>
  <si>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</si>
  <si>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</si>
  <si>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</si>
  <si>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</si>
  <si>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</si>
  <si>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</si>
  <si>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</si>
  <si>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</si>
  <si>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</si>
  <si>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</si>
  <si>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</si>
  <si>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</si>
  <si>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</si>
  <si>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</si>
  <si>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</si>
  <si>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</si>
  <si>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</si>
  <si>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</si>
  <si>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</si>
  <si>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</si>
  <si>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</si>
  <si>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</si>
  <si>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</si>
  <si>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</si>
  <si>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</si>
  <si>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</si>
  <si>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</si>
  <si>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</si>
  <si>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</si>
  <si>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</si>
  <si>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</si>
  <si>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</si>
  <si>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</si>
  <si>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</si>
  <si>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</si>
  <si>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</si>
  <si>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</si>
  <si>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</si>
  <si>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</si>
  <si>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</si>
  <si>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</si>
  <si>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</si>
  <si>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</si>
  <si>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</si>
  <si>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</si>
  <si>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</si>
  <si>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</si>
  <si>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</si>
  <si>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</si>
  <si>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</si>
  <si>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</si>
  <si>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</si>
  <si>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</si>
  <si>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</si>
  <si>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</si>
  <si>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</si>
  <si>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</si>
  <si>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</si>
  <si>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</si>
  <si>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</si>
  <si>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</si>
  <si>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</si>
  <si>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</si>
  <si>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</si>
  <si>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</si>
  <si>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</si>
  <si>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</si>
  <si>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</si>
  <si>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</si>
  <si>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</si>
  <si>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</si>
  <si>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</si>
  <si>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</si>
  <si>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</si>
  <si>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</si>
  <si>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</si>
  <si>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</si>
  <si>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</si>
  <si>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</si>
  <si>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</si>
  <si>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</si>
  <si>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</si>
  <si>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</si>
  <si>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</si>
  <si>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</si>
  <si>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</si>
  <si>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</si>
  <si>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</si>
  <si>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</si>
  <si>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</si>
  <si>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</si>
  <si>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</si>
  <si>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</si>
  <si>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</si>
  <si>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</si>
  <si>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</si>
  <si>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</si>
  <si>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</si>
  <si>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</si>
  <si>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</si>
  <si>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</si>
  <si>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</si>
  <si>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</si>
  <si>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</si>
  <si>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</si>
  <si>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</si>
  <si>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</si>
  <si>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</si>
  <si>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</si>
  <si>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</si>
  <si>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</si>
  <si>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</si>
  <si>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</si>
  <si>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</si>
  <si>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</si>
  <si>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</si>
  <si>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</si>
  <si>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</si>
  <si>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</si>
  <si>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</si>
  <si>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</si>
  <si>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</si>
  <si>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</si>
  <si>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</si>
  <si>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</si>
  <si>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</si>
  <si>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</si>
  <si>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</si>
  <si>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</si>
  <si>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</si>
  <si>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</si>
  <si>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</si>
  <si>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</si>
  <si>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</si>
  <si>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</si>
  <si>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</si>
  <si>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</si>
  <si>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</si>
  <si>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</si>
  <si>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</si>
  <si>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</si>
  <si>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</si>
  <si>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</si>
  <si>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</si>
  <si>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</si>
  <si>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</si>
  <si>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</si>
  <si>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</si>
  <si>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</si>
  <si>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</si>
  <si>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</si>
  <si>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</si>
  <si>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</si>
  <si>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</si>
  <si>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</si>
  <si>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</si>
  <si>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</si>
  <si>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</si>
  <si>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</si>
  <si>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</si>
  <si>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</si>
  <si>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</si>
  <si>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</si>
  <si>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</si>
  <si>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</si>
  <si>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</si>
  <si>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</si>
  <si>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</si>
  <si>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</si>
  <si>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</si>
  <si>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</si>
  <si>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</si>
  <si>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</si>
  <si>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</si>
  <si>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</si>
  <si>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</si>
  <si>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</si>
  <si>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</si>
  <si>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</si>
  <si>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</si>
  <si>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</si>
  <si>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</si>
  <si>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</si>
  <si>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</si>
  <si>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</si>
  <si>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</si>
  <si>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</si>
  <si>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</si>
  <si>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</si>
  <si>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</si>
  <si>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</si>
  <si>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</si>
  <si>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</si>
  <si>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</si>
  <si>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</si>
  <si>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</si>
  <si>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</si>
  <si>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</si>
  <si>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</si>
  <si>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</si>
  <si>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</si>
  <si>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</si>
  <si>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</si>
  <si>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</si>
  <si>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</si>
  <si>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</si>
  <si>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</si>
  <si>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</si>
  <si>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</si>
  <si>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</si>
  <si>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</si>
  <si>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</si>
  <si>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</si>
  <si>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</si>
  <si>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</si>
  <si>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</si>
  <si>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</si>
  <si>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</si>
  <si>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</si>
  <si>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</si>
  <si>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</si>
  <si>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</si>
  <si>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</si>
  <si>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</si>
  <si>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</si>
  <si>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</si>
  <si>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</si>
  <si>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</si>
  <si>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</si>
  <si>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</si>
  <si>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</si>
  <si>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</si>
  <si>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</si>
  <si>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</si>
  <si>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</si>
  <si>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</si>
  <si>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</si>
  <si>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</si>
  <si>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</si>
  <si>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</si>
  <si>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</si>
  <si>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</si>
  <si>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</si>
  <si>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</si>
  <si>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</si>
  <si>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</si>
  <si>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</si>
  <si>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</si>
  <si>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</si>
  <si>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</si>
  <si>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</si>
  <si>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</si>
  <si>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</si>
  <si>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</si>
  <si>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</si>
  <si>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</si>
  <si>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</si>
  <si>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</si>
  <si>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</si>
  <si>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</si>
  <si>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</si>
  <si>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</si>
  <si>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</si>
  <si>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</si>
  <si>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</si>
  <si>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</si>
  <si>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</si>
  <si>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</si>
  <si>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</si>
  <si>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</si>
  <si>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</si>
  <si>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</si>
  <si>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</si>
  <si>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</si>
  <si>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</si>
  <si>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</si>
  <si>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</si>
  <si>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</si>
  <si>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</si>
  <si>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</si>
  <si>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</si>
  <si>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</si>
  <si>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</si>
  <si>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</si>
  <si>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</si>
  <si>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</si>
  <si>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</si>
  <si>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</si>
  <si>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</si>
  <si>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</si>
  <si>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</si>
  <si>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</si>
  <si>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</si>
  <si>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</si>
  <si>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</si>
  <si>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</si>
  <si>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</si>
  <si>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</si>
  <si>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</si>
  <si>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</si>
  <si>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</si>
  <si>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</si>
  <si>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</si>
  <si>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</si>
  <si>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</si>
  <si>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</si>
  <si>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</si>
  <si>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</si>
  <si>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</si>
  <si>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</si>
  <si>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</si>
  <si>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</si>
  <si>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</si>
  <si>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</si>
  <si>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</si>
  <si>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</si>
  <si>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</si>
  <si>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</si>
  <si>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</si>
  <si>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</si>
  <si>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</si>
  <si>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</si>
  <si>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</si>
  <si>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</si>
  <si>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</si>
  <si>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</si>
  <si>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</si>
  <si>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</si>
  <si>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</si>
  <si>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</si>
  <si>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</si>
  <si>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</si>
  <si>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</si>
  <si>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</si>
  <si>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</si>
  <si>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</si>
  <si>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</si>
  <si>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</si>
  <si>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</si>
  <si>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</si>
  <si>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</si>
  <si>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</si>
  <si>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</si>
  <si>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</si>
  <si>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</si>
  <si>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</si>
  <si>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</si>
  <si>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</si>
  <si>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</si>
  <si>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</si>
  <si>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</si>
  <si>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</si>
  <si>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</si>
  <si>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</si>
  <si>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</si>
  <si>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</si>
  <si>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</si>
  <si>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</si>
  <si>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</si>
  <si>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</si>
  <si>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</si>
  <si>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</si>
  <si>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</si>
  <si>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</si>
  <si>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</si>
  <si>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</si>
  <si>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</si>
  <si>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</si>
  <si>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</si>
  <si>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</si>
  <si>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</si>
  <si>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</si>
  <si>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</si>
  <si>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</si>
  <si>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</si>
  <si>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</si>
  <si>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</si>
  <si>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</si>
  <si>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</si>
  <si>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</si>
  <si>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</si>
  <si>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</si>
  <si>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</si>
  <si>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</si>
  <si>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</si>
  <si>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</si>
  <si>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</si>
  <si>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</si>
  <si>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</si>
  <si>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</si>
  <si>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</si>
  <si>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</si>
  <si>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</si>
  <si>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</si>
  <si>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</si>
  <si>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</si>
  <si>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</si>
  <si>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</si>
  <si>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</si>
  <si>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</si>
  <si>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</si>
  <si>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</si>
  <si>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</si>
  <si>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</si>
  <si>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</si>
  <si>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</si>
  <si>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</si>
  <si>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</si>
  <si>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</si>
  <si>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</si>
  <si>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</si>
  <si>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</si>
  <si>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</si>
  <si>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</si>
  <si>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</si>
  <si>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</si>
  <si>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</si>
  <si>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</si>
  <si>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</si>
  <si>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</si>
  <si>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</si>
  <si>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</si>
  <si>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</si>
  <si>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</si>
  <si>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</si>
  <si>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</si>
  <si>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</si>
  <si>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</si>
  <si>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</si>
  <si>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</si>
  <si>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</si>
  <si>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</si>
  <si>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</si>
  <si>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</si>
  <si>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</si>
  <si>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</si>
  <si>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</si>
  <si>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</si>
  <si>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</si>
  <si>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</si>
  <si>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</si>
  <si>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</si>
  <si>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</si>
  <si>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</si>
  <si>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</si>
  <si>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</si>
  <si>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</si>
  <si>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</si>
  <si>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</si>
  <si>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</si>
  <si>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</si>
  <si>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</si>
  <si>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</si>
  <si>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</si>
  <si>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</si>
  <si>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</si>
  <si>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</si>
  <si>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</si>
  <si>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</si>
  <si>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</si>
  <si>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</si>
  <si>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</si>
  <si>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</si>
  <si>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</si>
  <si>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</si>
  <si>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</si>
  <si>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</si>
  <si>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</si>
  <si>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</si>
  <si>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</si>
  <si>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</si>
  <si>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</si>
  <si>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</si>
  <si>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</si>
  <si>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</si>
  <si>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</si>
  <si>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</si>
  <si>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</si>
  <si>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</si>
  <si>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</si>
  <si>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</si>
  <si>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</si>
  <si>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</si>
  <si>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</si>
  <si>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</si>
  <si>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</si>
  <si>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</si>
  <si>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</si>
  <si>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</si>
  <si>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</si>
  <si>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</si>
  <si>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</si>
  <si>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</si>
  <si>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</si>
  <si>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</si>
  <si>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</si>
  <si>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</si>
  <si>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</si>
  <si>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</si>
  <si>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</si>
  <si>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</si>
  <si>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</si>
  <si>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</si>
  <si>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</si>
  <si>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</si>
  <si>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</si>
  <si>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</si>
  <si>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</si>
  <si>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</si>
  <si>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</si>
  <si>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</si>
  <si>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</si>
  <si>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</si>
  <si>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</si>
  <si>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</si>
  <si>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</si>
  <si>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</si>
  <si>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</si>
  <si>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</si>
  <si>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</si>
  <si>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</si>
  <si>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</si>
  <si>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</si>
  <si>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</si>
  <si>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</si>
  <si>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</si>
  <si>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</si>
  <si>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</si>
  <si>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</si>
  <si>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</si>
  <si>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</si>
  <si>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</si>
  <si>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</si>
  <si>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</si>
  <si>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</si>
  <si>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</si>
  <si>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</si>
  <si>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</si>
  <si>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</si>
  <si>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</si>
  <si>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</si>
  <si>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</si>
  <si>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</si>
  <si>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</si>
  <si>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</si>
  <si>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</si>
  <si>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</si>
  <si>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</si>
  <si>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</si>
  <si>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</si>
  <si>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</si>
  <si>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</si>
  <si>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</si>
  <si>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</si>
  <si>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</si>
  <si>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</si>
  <si>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</si>
  <si>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</si>
  <si>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</si>
  <si>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</si>
  <si>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</si>
  <si>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</si>
  <si>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</si>
  <si>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</si>
  <si>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</si>
  <si>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</si>
  <si>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</si>
  <si>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</si>
  <si>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</si>
  <si>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</si>
  <si>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</si>
  <si>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</si>
  <si>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</si>
  <si>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</si>
  <si>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</si>
  <si>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</si>
  <si>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</si>
  <si>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</si>
  <si>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</si>
  <si>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</si>
  <si>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</si>
  <si>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</si>
  <si>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</si>
  <si>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</si>
  <si>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</si>
  <si>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</si>
  <si>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</si>
  <si>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</si>
  <si>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</si>
  <si>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</si>
  <si>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</si>
  <si>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</si>
  <si>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</si>
  <si>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</si>
  <si>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</si>
  <si>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</si>
  <si>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</si>
  <si>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</si>
  <si>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</si>
  <si>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</si>
  <si>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</si>
  <si>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</si>
  <si>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</si>
  <si>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</si>
  <si>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</si>
  <si>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</si>
  <si>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</si>
  <si>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</si>
  <si>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</si>
  <si>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</si>
  <si>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</si>
  <si>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</si>
  <si>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</si>
  <si>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</si>
  <si>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</si>
  <si>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</si>
  <si>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</si>
  <si>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</si>
  <si>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</si>
  <si>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</si>
  <si>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</si>
  <si>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</si>
  <si>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</si>
  <si>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</si>
  <si>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</si>
  <si>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</si>
  <si>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</si>
  <si>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</si>
  <si>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</si>
  <si>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</si>
  <si>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</si>
  <si>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</si>
  <si>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</si>
  <si>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</si>
  <si>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</si>
  <si>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</si>
  <si>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</si>
  <si>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</si>
  <si>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</si>
  <si>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</si>
  <si>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</si>
  <si>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</si>
  <si>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</si>
  <si>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</si>
  <si>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</si>
  <si>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</si>
  <si>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</si>
  <si>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</si>
  <si>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</si>
  <si>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</si>
  <si>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</si>
  <si>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</si>
  <si>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</si>
  <si>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</si>
  <si>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</si>
  <si>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</si>
  <si>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</si>
  <si>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</si>
  <si>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</si>
  <si>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</si>
  <si>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</si>
  <si>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</si>
  <si>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</si>
  <si>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</si>
  <si>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</si>
  <si>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</si>
  <si>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</si>
  <si>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</si>
  <si>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</si>
  <si>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</si>
  <si>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</si>
  <si>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</si>
  <si>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</si>
  <si>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</si>
  <si>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</si>
  <si>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</si>
  <si>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</si>
  <si>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</si>
  <si>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</si>
  <si>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</si>
  <si>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</si>
  <si>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</si>
  <si>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</si>
  <si>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</si>
  <si>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</si>
  <si>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</si>
  <si>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</si>
  <si>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</si>
  <si>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</si>
  <si>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</si>
  <si>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</si>
  <si>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</si>
  <si>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</si>
  <si>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</si>
  <si>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</si>
  <si>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</si>
  <si>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</si>
  <si>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</si>
  <si>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</si>
  <si>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</si>
  <si>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</si>
  <si>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</si>
  <si>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</si>
  <si>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</si>
  <si>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</si>
  <si>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</si>
  <si>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</si>
  <si>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</si>
  <si>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</si>
  <si>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</si>
  <si>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</si>
  <si>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</si>
  <si>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</si>
  <si>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</si>
  <si>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</si>
  <si>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</si>
  <si>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</si>
  <si>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</si>
  <si>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</si>
  <si>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</si>
  <si>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</si>
  <si>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</si>
  <si>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</si>
  <si>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</si>
  <si>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</si>
  <si>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</si>
  <si>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</si>
  <si>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</si>
  <si>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</si>
  <si>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</si>
  <si>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</si>
  <si>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</si>
  <si>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</si>
  <si>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</si>
  <si>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</si>
  <si>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</si>
  <si>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</si>
  <si>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</si>
  <si>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</si>
  <si>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</si>
  <si>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</si>
  <si>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</si>
  <si>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</si>
  <si>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</si>
  <si>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</si>
  <si>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</si>
  <si>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</si>
  <si>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</si>
  <si>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</si>
  <si>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</si>
  <si>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</si>
  <si>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</si>
  <si>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</si>
  <si>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</si>
  <si>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</si>
  <si>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</si>
  <si>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</si>
  <si>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</si>
  <si>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</si>
  <si>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</si>
  <si>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</si>
  <si>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</si>
  <si>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</si>
  <si>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</si>
  <si>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</si>
  <si>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</si>
  <si>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</si>
  <si>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</si>
  <si>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</si>
  <si>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</si>
  <si>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</si>
  <si>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</si>
  <si>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</si>
  <si>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</si>
  <si>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</si>
  <si>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</si>
  <si>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</si>
  <si>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</si>
  <si>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</si>
  <si>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</si>
  <si>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</si>
  <si>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</si>
  <si>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</si>
  <si>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</si>
  <si>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</si>
  <si>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</si>
  <si>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</si>
  <si>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</si>
  <si>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</si>
  <si>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</si>
  <si>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</si>
  <si>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</si>
  <si>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</si>
  <si>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</si>
  <si>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</si>
  <si>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</si>
  <si>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</si>
  <si>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</si>
  <si>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</si>
  <si>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</si>
  <si>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</si>
  <si>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</si>
  <si>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</si>
  <si>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</si>
  <si>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</si>
  <si>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</si>
  <si>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</si>
  <si>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</si>
  <si>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</si>
  <si>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</si>
  <si>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</si>
  <si>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</si>
  <si>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</si>
  <si>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</si>
  <si>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</si>
  <si>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</si>
  <si>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</si>
  <si>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</si>
  <si>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</si>
  <si>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</si>
  <si>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</si>
  <si>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</si>
  <si>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</si>
  <si>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</si>
  <si>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</si>
  <si>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</si>
  <si>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</si>
  <si>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</si>
  <si>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</si>
  <si>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</si>
  <si>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</si>
  <si>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</si>
  <si>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</si>
  <si>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</si>
  <si>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</si>
  <si>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</si>
  <si>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</si>
  <si>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</si>
  <si>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</si>
  <si>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</si>
  <si>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</si>
  <si>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</si>
  <si>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</si>
  <si>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</si>
  <si>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</si>
  <si>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</si>
  <si>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</si>
  <si>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</si>
  <si>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</si>
  <si>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</si>
  <si>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</si>
  <si>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</si>
  <si>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</si>
  <si>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</si>
  <si>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</si>
  <si>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</si>
  <si>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</si>
  <si>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</si>
  <si>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</si>
  <si>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</si>
  <si>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</si>
  <si>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</si>
  <si>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</si>
  <si>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</si>
  <si>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</si>
  <si>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</si>
  <si>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</si>
  <si>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</si>
  <si>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</si>
  <si>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</si>
  <si>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</si>
  <si>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</si>
  <si>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</si>
  <si>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</si>
  <si>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</si>
  <si>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</si>
  <si>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</si>
  <si>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</si>
  <si>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</si>
  <si>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</si>
  <si>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</si>
  <si>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</si>
  <si>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</si>
  <si>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</si>
  <si>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</si>
  <si>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</si>
  <si>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</si>
  <si>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</si>
  <si>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</si>
  <si>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</si>
  <si>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</si>
  <si>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</si>
  <si>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</si>
  <si>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</si>
  <si>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</si>
  <si>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</si>
  <si>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</si>
  <si>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</si>
  <si>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</si>
  <si>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</si>
  <si>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</si>
  <si>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</si>
  <si>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</si>
  <si>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</si>
  <si>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</si>
  <si>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</si>
  <si>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</si>
  <si>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</si>
  <si>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</si>
  <si>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</si>
  <si>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</si>
  <si>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</si>
  <si>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</si>
  <si>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</si>
  <si>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</si>
  <si>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</si>
  <si>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</si>
  <si>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</si>
  <si>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</si>
  <si>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</si>
  <si>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</si>
  <si>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</si>
  <si>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</si>
  <si>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</si>
  <si>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</si>
  <si>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</si>
  <si>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</si>
  <si>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</si>
  <si>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</si>
  <si>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</si>
  <si>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</si>
  <si>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</si>
  <si>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</si>
  <si>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</si>
  <si>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</si>
  <si>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</si>
  <si>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</si>
  <si>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</si>
  <si>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</si>
  <si>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</si>
  <si>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</si>
  <si>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</si>
  <si>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</si>
  <si>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</si>
  <si>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</si>
  <si>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</si>
  <si>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</si>
  <si>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</si>
  <si>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</si>
  <si>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</si>
  <si>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</si>
  <si>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</si>
  <si>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</si>
  <si>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</si>
  <si>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</si>
  <si>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</si>
  <si>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</si>
  <si>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</si>
  <si>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</si>
  <si>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</si>
  <si>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</si>
  <si>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</si>
  <si>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</si>
  <si>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</si>
  <si>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</si>
  <si>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</si>
  <si>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</si>
  <si>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</si>
  <si>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</si>
  <si>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</si>
  <si>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</si>
  <si>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</si>
  <si>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</si>
  <si>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</si>
  <si>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</si>
  <si>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</si>
  <si>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</si>
  <si>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</si>
  <si>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</si>
  <si>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</si>
  <si>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</si>
  <si>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</si>
  <si>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</si>
  <si>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</si>
  <si>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</si>
  <si>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</si>
  <si>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</si>
  <si>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</si>
  <si>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</si>
  <si>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</si>
  <si>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</si>
  <si>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</si>
  <si>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</si>
  <si>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</si>
  <si>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</si>
  <si>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</si>
  <si>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</si>
  <si>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</si>
  <si>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</si>
  <si>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</si>
  <si>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</si>
  <si>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</si>
  <si>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</si>
  <si>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</si>
  <si>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</si>
  <si>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</si>
  <si>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</si>
  <si>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</si>
  <si>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</si>
  <si>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</si>
  <si>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</si>
  <si>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</si>
  <si>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</si>
  <si>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</si>
  <si>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</si>
  <si>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</si>
  <si>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</si>
  <si>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</si>
  <si>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</si>
  <si>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</si>
  <si>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</si>
  <si>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</si>
  <si>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</si>
  <si>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</si>
  <si>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</si>
  <si>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</si>
  <si>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</si>
  <si>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</si>
  <si>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</si>
  <si>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</si>
  <si>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</si>
  <si>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</si>
  <si>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</si>
  <si>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</si>
  <si>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</si>
  <si>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</si>
  <si>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</si>
  <si>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</si>
  <si>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</si>
  <si>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</si>
  <si>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</si>
  <si>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</si>
  <si>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</si>
  <si>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</si>
  <si>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</si>
  <si>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</si>
  <si>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</si>
  <si>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</si>
  <si>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</si>
  <si>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</si>
  <si>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</si>
  <si>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</si>
  <si>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</si>
  <si>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</si>
  <si>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</si>
  <si>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</si>
  <si>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</si>
  <si>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</si>
  <si>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</si>
  <si>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</si>
  <si>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</si>
  <si>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</si>
  <si>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</si>
  <si>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</si>
  <si>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</si>
  <si>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</si>
  <si>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</si>
  <si>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</si>
  <si>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</si>
  <si>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</si>
  <si>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</si>
  <si>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</si>
  <si>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</si>
  <si>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</si>
  <si>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</si>
  <si>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</si>
  <si>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</si>
  <si>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</si>
  <si>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</si>
  <si>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</si>
  <si>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</si>
  <si>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</si>
  <si>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</si>
  <si>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</si>
  <si>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</si>
  <si>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</si>
  <si>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</si>
  <si>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</si>
  <si>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</si>
  <si>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</si>
  <si>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</si>
  <si>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</si>
  <si>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</si>
  <si>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</si>
  <si>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</si>
  <si>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</si>
  <si>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</si>
  <si>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</si>
  <si>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</si>
  <si>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</si>
  <si>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</si>
  <si>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</si>
  <si>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</si>
  <si>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</si>
  <si>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</si>
  <si>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</si>
  <si>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</si>
  <si>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</si>
  <si>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</si>
  <si>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</si>
  <si>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</si>
  <si>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</si>
  <si>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</si>
  <si>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</si>
  <si>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</si>
  <si>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</si>
  <si>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</si>
  <si>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</si>
  <si>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</si>
  <si>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</si>
  <si>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</si>
  <si>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</si>
  <si>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</si>
  <si>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</si>
  <si>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</si>
  <si>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</si>
  <si>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</si>
  <si>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</si>
  <si>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</si>
  <si>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</si>
  <si>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</si>
  <si>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</si>
  <si>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</si>
  <si>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</si>
  <si>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</si>
  <si>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</si>
  <si>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</si>
  <si>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</si>
  <si>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</si>
  <si>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</si>
  <si>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</si>
  <si>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</si>
  <si>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</si>
  <si>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</si>
  <si>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</si>
  <si>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</si>
  <si>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</si>
  <si>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</si>
  <si>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</si>
  <si>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</si>
  <si>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</si>
  <si>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</si>
  <si>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</si>
  <si>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</si>
  <si>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</si>
  <si>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</si>
  <si>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</si>
  <si>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</si>
  <si>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</si>
  <si>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</si>
  <si>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</si>
  <si>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</si>
  <si>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</si>
  <si>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</si>
  <si>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</si>
  <si>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</si>
  <si>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</si>
  <si>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</si>
  <si>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</si>
  <si>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</si>
  <si>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</si>
  <si>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</si>
  <si>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</si>
  <si>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</si>
  <si>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</si>
  <si>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</si>
  <si>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</si>
  <si>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</si>
  <si>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</si>
  <si>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</si>
  <si>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</si>
  <si>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</si>
  <si>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</si>
  <si>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</si>
  <si>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</si>
  <si>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</si>
  <si>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</si>
  <si>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</si>
  <si>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</si>
  <si>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</si>
  <si>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</si>
  <si>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</si>
  <si>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</si>
  <si>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</si>
  <si>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</si>
  <si>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</si>
  <si>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</si>
  <si>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</si>
  <si>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</si>
  <si>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</si>
  <si>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</si>
  <si>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</si>
  <si>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</si>
  <si>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</si>
  <si>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</si>
  <si>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</si>
  <si>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</si>
  <si>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</si>
  <si>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</si>
  <si>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</si>
  <si>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</si>
  <si>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</si>
  <si>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</si>
  <si>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</si>
  <si>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</si>
  <si>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</si>
  <si>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</si>
  <si>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</si>
  <si>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</si>
  <si>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</si>
  <si>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</si>
  <si>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</si>
  <si>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</si>
  <si>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</si>
  <si>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</si>
  <si>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</si>
  <si>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</si>
  <si>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</si>
  <si>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</si>
  <si>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</si>
  <si>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</si>
  <si>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</si>
  <si>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</si>
  <si>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</si>
  <si>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</si>
  <si>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</si>
  <si>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</si>
  <si>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</si>
  <si>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</si>
  <si>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</si>
  <si>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</si>
  <si>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</si>
  <si>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</si>
  <si>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</si>
  <si>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</si>
  <si>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</si>
  <si>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</si>
  <si>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</si>
  <si>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</si>
  <si>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</si>
  <si>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</si>
  <si>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</si>
  <si>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</si>
  <si>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</si>
  <si>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</si>
  <si>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</si>
  <si>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</si>
  <si>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</si>
  <si>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</si>
  <si>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</si>
  <si>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</si>
  <si>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</si>
  <si>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</si>
  <si>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</si>
  <si>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</si>
  <si>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</si>
  <si>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</si>
  <si>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</si>
  <si>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</si>
  <si>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</si>
  <si>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</si>
  <si>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</si>
  <si>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</si>
  <si>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</si>
  <si>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</si>
  <si>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</si>
  <si>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</si>
  <si>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</si>
  <si>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</si>
  <si>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</si>
  <si>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</si>
  <si>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</si>
  <si>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</si>
  <si>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</si>
  <si>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</si>
  <si>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</si>
  <si>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</si>
  <si>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</si>
  <si>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</si>
  <si>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</si>
  <si>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</si>
  <si>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</si>
  <si>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</si>
  <si>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</si>
  <si>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</si>
  <si>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</si>
  <si>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</si>
  <si>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</si>
  <si>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</si>
  <si>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</si>
  <si>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</si>
  <si>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</si>
  <si>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</si>
  <si>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</si>
  <si>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</si>
  <si>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</si>
  <si>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</si>
  <si>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</si>
  <si>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</si>
  <si>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</si>
  <si>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</si>
  <si>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</si>
  <si>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</si>
  <si>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</si>
  <si>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</si>
  <si>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</si>
  <si>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</si>
  <si>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</si>
  <si>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</si>
  <si>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</si>
  <si>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</si>
  <si>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</si>
  <si>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</si>
  <si>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</si>
  <si>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</si>
  <si>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</si>
  <si>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</si>
  <si>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</si>
  <si>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</si>
  <si>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</si>
  <si>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</si>
  <si>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</si>
  <si>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</si>
  <si>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</si>
  <si>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</si>
  <si>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</si>
  <si>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</si>
  <si>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</si>
  <si>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</si>
  <si>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</si>
  <si>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</si>
  <si>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</si>
  <si>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</si>
  <si>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</si>
  <si>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</si>
  <si>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</si>
  <si>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</si>
  <si>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</si>
  <si>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</si>
  <si>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</si>
  <si>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</si>
  <si>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</si>
  <si>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</si>
  <si>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</si>
  <si>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</si>
  <si>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</si>
  <si>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</si>
  <si>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</si>
  <si>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</si>
  <si>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</si>
  <si>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</si>
  <si>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</si>
  <si>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</si>
  <si>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</si>
  <si>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</si>
  <si>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</si>
  <si>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</si>
  <si>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</si>
  <si>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</si>
  <si>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</si>
  <si>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</si>
  <si>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</si>
  <si>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</si>
  <si>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</si>
  <si>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</si>
  <si>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</si>
  <si>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</si>
  <si>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</si>
  <si>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</si>
  <si>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</si>
  <si>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</si>
  <si>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</si>
  <si>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</si>
  <si>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</si>
  <si>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</si>
  <si>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</si>
  <si>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</si>
  <si>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</si>
  <si>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</si>
  <si>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</si>
  <si>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</si>
  <si>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</si>
  <si>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</si>
  <si>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</si>
  <si>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</si>
  <si>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</si>
  <si>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</si>
  <si>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</si>
  <si>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</si>
  <si>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</si>
  <si>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</si>
  <si>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</si>
  <si>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</si>
  <si>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</si>
  <si>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</si>
  <si>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</si>
  <si>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</si>
  <si>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</si>
  <si>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</si>
  <si>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</si>
  <si>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</si>
  <si>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</si>
  <si>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</si>
  <si>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</si>
  <si>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</si>
  <si>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</si>
  <si>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</si>
  <si>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</si>
  <si>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</si>
  <si>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</si>
  <si>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</si>
  <si>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</si>
  <si>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</si>
  <si>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</si>
  <si>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</si>
  <si>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</si>
  <si>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</si>
  <si>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</si>
  <si>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</si>
  <si>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</si>
  <si>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</si>
  <si>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</si>
  <si>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</si>
  <si>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</si>
  <si>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</si>
  <si>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</si>
  <si>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</si>
  <si>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</si>
  <si>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</si>
  <si>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</si>
  <si>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</si>
  <si>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</si>
  <si>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</si>
  <si>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</si>
  <si>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</si>
  <si>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</si>
  <si>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</si>
  <si>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</si>
  <si>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</si>
  <si>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</si>
  <si>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</si>
  <si>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</si>
  <si>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</si>
  <si>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</si>
  <si>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</si>
  <si>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</si>
  <si>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</si>
  <si>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</si>
  <si>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</si>
  <si>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</si>
  <si>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</si>
  <si>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</si>
  <si>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</si>
  <si>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</si>
  <si>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</si>
  <si>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</si>
  <si>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</si>
  <si>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</si>
  <si>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</si>
  <si>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</si>
  <si>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</si>
  <si>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</si>
  <si>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</si>
  <si>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</si>
  <si>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</si>
  <si>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</si>
  <si>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</si>
  <si>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</si>
  <si>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</si>
  <si>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</si>
  <si>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</si>
  <si>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</si>
  <si>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</si>
  <si>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</si>
  <si>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</si>
  <si>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</si>
  <si>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</si>
  <si>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</si>
  <si>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</si>
  <si>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</si>
  <si>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</si>
  <si>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</si>
  <si>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</si>
  <si>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</si>
  <si>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</si>
  <si>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</si>
  <si>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</si>
  <si>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</si>
  <si>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</si>
  <si>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</si>
  <si>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</si>
  <si>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</si>
  <si>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</si>
  <si>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</si>
  <si>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</si>
  <si>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</si>
  <si>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</si>
  <si>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</si>
  <si>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</si>
  <si>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</si>
  <si>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</si>
  <si>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</si>
  <si>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</si>
  <si>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</si>
  <si>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</si>
  <si>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</si>
  <si>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</si>
  <si>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</si>
  <si>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</si>
  <si>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</si>
  <si>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</si>
  <si>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</si>
  <si>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</si>
  <si>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</si>
  <si>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</si>
  <si>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</si>
  <si>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</si>
  <si>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</si>
  <si>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</si>
  <si>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</si>
  <si>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</si>
  <si>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</si>
  <si>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</si>
  <si>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</si>
  <si>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</si>
  <si>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</si>
  <si>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</si>
  <si>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</si>
  <si>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</si>
  <si>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</si>
  <si>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</si>
  <si>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</si>
  <si>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</si>
  <si>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</si>
  <si>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</si>
  <si>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</si>
  <si>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</si>
  <si>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</si>
  <si>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</si>
  <si>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</si>
  <si>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</si>
  <si>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</si>
  <si>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</si>
  <si>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</si>
  <si>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</si>
  <si>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</si>
  <si>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</si>
  <si>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</si>
  <si>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</si>
  <si>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</si>
  <si>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</si>
  <si>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</si>
  <si>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</si>
  <si>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</si>
  <si>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</si>
  <si>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</si>
  <si>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</si>
  <si>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</si>
  <si>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</si>
  <si>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</si>
  <si>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</si>
  <si>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</si>
  <si>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</si>
  <si>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</si>
  <si>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</si>
  <si>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</si>
  <si>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</si>
  <si>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</si>
  <si>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</si>
  <si>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</si>
  <si>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</si>
  <si>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</si>
  <si>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</si>
  <si>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</si>
  <si>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</si>
  <si>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</si>
  <si>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</si>
  <si>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</si>
  <si>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</si>
  <si>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</si>
  <si>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</si>
  <si>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</si>
  <si>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</si>
  <si>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</si>
  <si>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</si>
  <si>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</si>
  <si>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</si>
  <si>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</si>
  <si>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</si>
  <si>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</si>
  <si>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</si>
  <si>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</si>
  <si>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</si>
  <si>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</si>
  <si>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</si>
  <si>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</si>
  <si>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</si>
  <si>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</si>
  <si>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</si>
  <si>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</si>
  <si>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</si>
  <si>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</si>
  <si>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</si>
  <si>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</si>
  <si>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</si>
  <si>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</si>
  <si>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</si>
  <si>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</si>
  <si>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</si>
  <si>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</si>
  <si>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</si>
  <si>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</si>
  <si>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</si>
  <si>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</si>
  <si>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</si>
  <si>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</si>
  <si>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</si>
  <si>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</si>
  <si>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</si>
  <si>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</si>
  <si>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</si>
  <si>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</si>
  <si>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</si>
  <si>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</si>
  <si>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</si>
  <si>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</si>
  <si>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</si>
  <si>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</si>
  <si>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</si>
  <si>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</si>
  <si>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</si>
  <si>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</si>
  <si>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</si>
  <si>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</si>
  <si>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</si>
  <si>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</si>
  <si>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</si>
  <si>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</si>
  <si>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</si>
  <si>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</si>
  <si>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</si>
  <si>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</si>
  <si>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</si>
  <si>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</si>
  <si>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</si>
  <si>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</si>
  <si>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</si>
  <si>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</si>
  <si>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</si>
  <si>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</si>
  <si>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</si>
  <si>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</si>
  <si>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</si>
  <si>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</si>
  <si>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</si>
  <si>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</si>
  <si>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</si>
  <si>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</si>
  <si>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</si>
  <si>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</si>
  <si>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</si>
  <si>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</si>
  <si>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</si>
  <si>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</si>
  <si>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</si>
  <si>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</si>
  <si>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</si>
  <si>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</si>
  <si>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</si>
  <si>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</si>
  <si>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</si>
  <si>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</si>
  <si>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</si>
  <si>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</si>
  <si>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</si>
  <si>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</si>
  <si>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</si>
  <si>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</si>
  <si>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</si>
  <si>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</si>
  <si>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</si>
  <si>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</si>
  <si>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</si>
  <si>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</si>
  <si>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</si>
  <si>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</si>
  <si>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</si>
  <si>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</si>
  <si>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</si>
  <si>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</si>
  <si>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</si>
  <si>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</si>
  <si>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</si>
  <si>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</si>
  <si>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</si>
  <si>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</si>
  <si>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</si>
  <si>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</si>
  <si>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</si>
  <si>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</si>
  <si>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</si>
  <si>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</si>
  <si>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</si>
  <si>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</si>
  <si>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</si>
  <si>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</si>
  <si>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</si>
  <si>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</si>
  <si>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</si>
  <si>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</si>
  <si>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</si>
  <si>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</si>
  <si>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</si>
  <si>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</si>
  <si>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</si>
  <si>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</si>
  <si>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</si>
  <si>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</si>
  <si>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</si>
  <si>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</si>
  <si>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</si>
  <si>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</si>
  <si>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</si>
  <si>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</si>
  <si>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</si>
  <si>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</si>
  <si>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</si>
  <si>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</si>
  <si>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</si>
  <si>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</si>
  <si>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</si>
  <si>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</si>
  <si>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</si>
  <si>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</si>
  <si>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</si>
  <si>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</si>
  <si>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</si>
  <si>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</si>
  <si>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</si>
  <si>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</si>
  <si>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</si>
  <si>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</si>
  <si>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</si>
  <si>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</si>
  <si>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</si>
  <si>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</si>
  <si>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</si>
  <si>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</si>
  <si>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</si>
  <si>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</si>
  <si>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</si>
  <si>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</si>
  <si>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</si>
  <si>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</si>
  <si>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</si>
  <si>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</si>
  <si>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</si>
  <si>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</si>
  <si>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</si>
  <si>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</si>
  <si>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</si>
  <si>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</si>
  <si>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</si>
  <si>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</si>
  <si>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</si>
  <si>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</si>
  <si>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</si>
  <si>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</si>
  <si>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</si>
  <si>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</si>
  <si>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</si>
  <si>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</si>
  <si>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</si>
  <si>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</si>
  <si>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</si>
  <si>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</si>
  <si>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</si>
  <si>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</si>
  <si>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</si>
  <si>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</si>
  <si>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</si>
  <si>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</si>
  <si>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</si>
  <si>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</si>
  <si>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</si>
  <si>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</si>
  <si>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</si>
  <si>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</si>
  <si>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</si>
  <si>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</si>
  <si>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</si>
  <si>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</si>
  <si>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</si>
  <si>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</si>
  <si>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</si>
  <si>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</si>
  <si>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</si>
  <si>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</si>
  <si>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</si>
  <si>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</si>
  <si>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</si>
  <si>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</si>
  <si>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</si>
  <si>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</si>
  <si>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</si>
  <si>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</si>
  <si>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</si>
  <si>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</si>
  <si>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</si>
  <si>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</si>
  <si>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</si>
  <si>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</si>
  <si>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</si>
  <si>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</si>
  <si>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</si>
  <si>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</si>
  <si>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</si>
  <si>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</si>
  <si>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</si>
  <si>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</si>
  <si>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</si>
  <si>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</si>
  <si>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</si>
  <si>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</si>
  <si>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</si>
  <si>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</si>
  <si>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</si>
  <si>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</si>
  <si>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</si>
  <si>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</si>
  <si>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</si>
  <si>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</si>
  <si>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</si>
  <si>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</si>
  <si>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</si>
  <si>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</si>
  <si>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</si>
  <si>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</si>
  <si>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</si>
  <si>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</si>
  <si>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</si>
  <si>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</si>
  <si>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</si>
  <si>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</si>
  <si>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</si>
  <si>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</si>
  <si>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</si>
  <si>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</si>
  <si>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</si>
  <si>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</si>
  <si>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</si>
  <si>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</si>
  <si>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</si>
  <si>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</si>
  <si>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</si>
  <si>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</si>
  <si>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</si>
  <si>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</si>
  <si>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</si>
  <si>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</si>
  <si>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</si>
  <si>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</si>
  <si>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</si>
  <si>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</si>
  <si>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</si>
  <si>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</si>
  <si>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</si>
  <si>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</si>
  <si>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</si>
  <si>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</si>
  <si>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</si>
  <si>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</si>
  <si>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</si>
  <si>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</si>
  <si>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</si>
  <si>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</si>
  <si>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</si>
  <si>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</si>
  <si>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</si>
  <si>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</si>
  <si>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</si>
  <si>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</si>
  <si>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</si>
  <si>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</si>
  <si>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</si>
  <si>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</si>
  <si>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</si>
  <si>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</si>
  <si>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</si>
  <si>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</si>
  <si>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</si>
  <si>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</si>
  <si>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</si>
  <si>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</si>
  <si>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</si>
  <si>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</si>
  <si>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</si>
  <si>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</si>
  <si>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</si>
  <si>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</si>
  <si>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</si>
  <si>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</si>
  <si>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</si>
  <si>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</si>
  <si>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</si>
  <si>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</si>
  <si>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</si>
  <si>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</si>
  <si>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</si>
  <si>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</si>
  <si>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</si>
  <si>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</si>
  <si>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</si>
  <si>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</si>
  <si>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</si>
  <si>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</si>
  <si>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</si>
  <si>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</si>
  <si>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</si>
  <si>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</si>
  <si>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</si>
  <si>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</si>
  <si>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</si>
  <si>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</si>
  <si>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</si>
  <si>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</si>
  <si>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</si>
  <si>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</si>
  <si>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</si>
  <si>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</si>
  <si>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</si>
  <si>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</si>
  <si>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</si>
  <si>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</si>
  <si>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</si>
  <si>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</si>
  <si>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</si>
  <si>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</si>
  <si>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</si>
  <si>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</si>
  <si>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</si>
  <si>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</si>
  <si>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</si>
  <si>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</si>
  <si>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</si>
  <si>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</si>
  <si>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</si>
  <si>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</si>
  <si>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</si>
  <si>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</si>
  <si>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</si>
  <si>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</si>
  <si>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</si>
  <si>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</si>
  <si>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</si>
  <si>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</si>
  <si>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</si>
  <si>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</si>
  <si>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</si>
  <si>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</si>
  <si>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</si>
  <si>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</si>
  <si>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</si>
  <si>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</si>
  <si>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</si>
  <si>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</si>
  <si>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</si>
  <si>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</si>
  <si>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</si>
  <si>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</si>
  <si>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</si>
  <si>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</si>
  <si>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</si>
  <si>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</si>
  <si>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</si>
  <si>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</si>
  <si>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</si>
  <si>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</si>
  <si>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</si>
  <si>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</si>
  <si>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</si>
  <si>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</si>
  <si>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</si>
  <si>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</si>
  <si>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</si>
  <si>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</si>
  <si>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</si>
  <si>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</si>
  <si>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</si>
  <si>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</si>
  <si>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</si>
  <si>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</si>
  <si>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</si>
  <si>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</si>
  <si>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</si>
  <si>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</si>
  <si>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</si>
  <si>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</si>
  <si>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</si>
  <si>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</si>
  <si>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</si>
  <si>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</si>
  <si>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</si>
  <si>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</si>
  <si>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</si>
  <si>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</si>
  <si>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</si>
  <si>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</si>
  <si>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</si>
  <si>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</si>
  <si>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</si>
  <si>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</si>
  <si>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</si>
  <si>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</si>
  <si>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</si>
  <si>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</si>
  <si>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</si>
  <si>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</si>
  <si>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</si>
  <si>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</si>
  <si>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</si>
  <si>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</si>
  <si>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</si>
  <si>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</si>
  <si>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</si>
  <si>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</si>
  <si>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</si>
  <si>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</si>
  <si>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</si>
  <si>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</si>
  <si>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</si>
  <si>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</si>
  <si>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</si>
  <si>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</si>
  <si>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</si>
  <si>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</si>
  <si>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</si>
  <si>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</si>
  <si>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</si>
  <si>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</si>
  <si>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</si>
  <si>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</si>
  <si>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</si>
  <si>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</si>
  <si>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</si>
  <si>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</si>
  <si>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</si>
  <si>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</si>
  <si>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</si>
  <si>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</si>
  <si>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</si>
  <si>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</si>
  <si>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</si>
  <si>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</si>
  <si>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</si>
  <si>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</si>
  <si>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</si>
  <si>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</si>
  <si>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</si>
  <si>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</si>
  <si>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</si>
  <si>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</si>
  <si>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</si>
  <si>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</si>
  <si>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</si>
  <si>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</si>
  <si>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</si>
  <si>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</si>
  <si>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</si>
  <si>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</si>
  <si>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</si>
  <si>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</si>
  <si>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</si>
  <si>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</si>
  <si>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</si>
  <si>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</si>
  <si>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</si>
  <si>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</si>
  <si>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</si>
  <si>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</si>
  <si>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</si>
  <si>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</si>
  <si>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</si>
  <si>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</si>
  <si>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</si>
  <si>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</si>
  <si>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</si>
  <si>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</si>
  <si>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</si>
  <si>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</si>
  <si>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</si>
  <si>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</si>
  <si>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</si>
  <si>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</si>
  <si>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</si>
  <si>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</si>
  <si>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</si>
  <si>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</si>
  <si>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</si>
  <si>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</si>
  <si>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</si>
  <si>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</si>
  <si>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</si>
  <si>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</si>
  <si>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</si>
  <si>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</si>
  <si>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</si>
  <si>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</si>
  <si>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</si>
  <si>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</si>
  <si>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</si>
  <si>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</si>
  <si>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</si>
  <si>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</si>
  <si>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</si>
  <si>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</si>
  <si>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</si>
  <si>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</si>
  <si>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</si>
  <si>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</si>
  <si>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</si>
  <si>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</si>
  <si>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</si>
  <si>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</si>
  <si>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</si>
  <si>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</si>
  <si>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</si>
  <si>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</si>
  <si>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</si>
  <si>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</si>
  <si>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</si>
  <si>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</si>
  <si>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</si>
  <si>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</si>
  <si>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</si>
  <si>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</si>
  <si>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</si>
  <si>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</si>
  <si>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</si>
  <si>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</si>
  <si>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</si>
  <si>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</si>
  <si>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</si>
  <si>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</si>
  <si>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</si>
  <si>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</si>
  <si>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</si>
  <si>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</si>
  <si>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</si>
  <si>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</si>
  <si>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</si>
  <si>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</si>
  <si>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</si>
  <si>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</si>
  <si>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</si>
  <si>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</si>
  <si>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</si>
  <si>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</si>
  <si>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</si>
  <si>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</si>
  <si>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</si>
  <si>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</si>
  <si>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</si>
  <si>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</si>
  <si>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</si>
  <si>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</si>
  <si>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</si>
  <si>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</si>
  <si>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</si>
  <si>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</si>
  <si>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</si>
  <si>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</si>
  <si>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</si>
  <si>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</si>
  <si>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</si>
  <si>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</si>
  <si>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</si>
  <si>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</si>
  <si>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</si>
  <si>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</si>
  <si>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</si>
  <si>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</si>
  <si>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</si>
  <si>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</si>
  <si>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</si>
  <si>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</si>
  <si>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</si>
  <si>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</si>
  <si>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</si>
  <si>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</si>
  <si>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</si>
  <si>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</si>
  <si>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</si>
  <si>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</si>
  <si>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</si>
  <si>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</si>
  <si>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</si>
  <si>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</si>
  <si>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</si>
  <si>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</si>
  <si>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</si>
  <si>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</si>
  <si>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</si>
  <si>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</si>
  <si>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</si>
  <si>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</si>
  <si>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</si>
  <si>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</si>
  <si>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</si>
  <si>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</si>
  <si>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</si>
  <si>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</si>
  <si>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</si>
  <si>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</si>
  <si>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</si>
  <si>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</si>
  <si>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</si>
  <si>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</si>
  <si>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</si>
  <si>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</si>
  <si>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</si>
  <si>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</si>
  <si>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</si>
  <si>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</si>
  <si>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</si>
  <si>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</si>
  <si>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</si>
  <si>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</si>
  <si>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</si>
  <si>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</si>
  <si>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</si>
  <si>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</si>
  <si>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</si>
  <si>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</si>
  <si>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</si>
  <si>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</si>
  <si>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</si>
  <si>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</si>
  <si>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</si>
  <si>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</si>
  <si>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</si>
  <si>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</si>
  <si>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</si>
  <si>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</si>
  <si>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</si>
  <si>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</si>
  <si>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</si>
  <si>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</si>
  <si>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</si>
  <si>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</si>
  <si>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</si>
  <si>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</si>
  <si>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</si>
  <si>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</si>
  <si>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</si>
  <si>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</si>
  <si>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</si>
  <si>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</si>
  <si>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</si>
  <si>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</si>
  <si>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</si>
  <si>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</si>
  <si>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</si>
  <si>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</si>
  <si>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</si>
  <si>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</si>
  <si>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</si>
  <si>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</si>
  <si>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</si>
  <si>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</si>
  <si>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</si>
  <si>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</si>
  <si>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</si>
  <si>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</si>
  <si>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</si>
  <si>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</si>
  <si>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</si>
  <si>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</si>
  <si>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</si>
  <si>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</si>
  <si>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</si>
  <si>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</si>
  <si>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</si>
  <si>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</si>
  <si>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</si>
  <si>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</si>
  <si>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</si>
  <si>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</si>
  <si>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</si>
  <si>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</si>
  <si>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</si>
  <si>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</si>
  <si>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</si>
  <si>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</si>
  <si>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</si>
  <si>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</si>
  <si>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</si>
  <si>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</si>
  <si>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</si>
  <si>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</si>
  <si>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</si>
  <si>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</si>
  <si>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</si>
  <si>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</si>
  <si>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</si>
  <si>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</si>
  <si>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</si>
  <si>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</si>
  <si>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</si>
  <si>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</si>
  <si>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</si>
  <si>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</si>
  <si>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</si>
  <si>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</si>
  <si>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</si>
  <si>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</si>
  <si>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</si>
  <si>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</si>
  <si>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</si>
  <si>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</si>
  <si>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</si>
  <si>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</si>
  <si>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</si>
  <si>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</si>
  <si>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</si>
  <si>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</si>
  <si>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</si>
  <si>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</si>
  <si>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</si>
  <si>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</si>
  <si>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</si>
  <si>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</si>
  <si>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</si>
  <si>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</si>
  <si>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</si>
  <si>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</si>
  <si>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</si>
  <si>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</si>
  <si>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</si>
  <si>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</si>
  <si>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</si>
  <si>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</si>
  <si>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</si>
  <si>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</si>
  <si>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</si>
  <si>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</si>
  <si>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</si>
  <si>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</si>
  <si>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</si>
  <si>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</si>
  <si>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</si>
  <si>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</si>
  <si>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</si>
  <si>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</si>
  <si>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</si>
  <si>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</si>
  <si>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</si>
  <si>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</si>
  <si>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</si>
  <si>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</si>
  <si>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</si>
  <si>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</si>
  <si>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</si>
  <si>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</si>
  <si>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</si>
  <si>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</si>
  <si>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</si>
  <si>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</si>
  <si>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</si>
  <si>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</si>
  <si>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</si>
  <si>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</si>
  <si>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</si>
  <si>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</si>
  <si>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</si>
  <si>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</si>
  <si>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</si>
  <si>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</si>
  <si>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</si>
  <si>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</si>
  <si>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</si>
  <si>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</si>
  <si>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</si>
  <si>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</si>
  <si>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</si>
  <si>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</si>
  <si>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</si>
  <si>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</si>
  <si>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</si>
  <si>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</si>
  <si>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</si>
  <si>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</si>
  <si>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</si>
  <si>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</si>
  <si>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</si>
  <si>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</si>
  <si>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</si>
  <si>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</si>
  <si>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</si>
  <si>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</si>
  <si>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</si>
  <si>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</si>
  <si>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</si>
  <si>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</si>
  <si>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</si>
  <si>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</si>
  <si>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</si>
  <si>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</si>
  <si>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</si>
  <si>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</si>
  <si>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</si>
  <si>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</si>
  <si>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</si>
  <si>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</si>
  <si>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</si>
  <si>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</si>
  <si>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</si>
  <si>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</si>
  <si>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</si>
  <si>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</si>
  <si>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</si>
  <si>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</si>
  <si>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</si>
  <si>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</si>
  <si>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</si>
  <si>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</si>
  <si>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</si>
  <si>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</si>
  <si>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</si>
  <si>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</si>
  <si>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</si>
  <si>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</si>
  <si>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</si>
  <si>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</si>
  <si>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</si>
  <si>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</si>
  <si>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</si>
  <si>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</si>
  <si>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</si>
  <si>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</si>
  <si>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</si>
  <si>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</si>
  <si>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</si>
  <si>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</si>
  <si>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</si>
  <si>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</si>
  <si>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</si>
  <si>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</si>
  <si>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</si>
  <si>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</si>
  <si>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</si>
  <si>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</si>
  <si>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</si>
  <si>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</si>
  <si>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</si>
  <si>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</si>
  <si>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</si>
  <si>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</si>
  <si>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</si>
  <si>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</si>
  <si>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</si>
  <si>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</si>
  <si>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</si>
  <si>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</si>
  <si>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</si>
  <si>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</si>
  <si>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</si>
  <si>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</si>
  <si>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</si>
  <si>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</si>
  <si>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</si>
  <si>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</si>
  <si>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</si>
  <si>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</si>
  <si>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</si>
  <si>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</si>
  <si>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</si>
  <si>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</si>
  <si>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</si>
  <si>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</si>
  <si>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</si>
  <si>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</si>
  <si>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</si>
  <si>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</si>
  <si>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</si>
  <si>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</si>
  <si>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</si>
  <si>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</si>
  <si>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</si>
  <si>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</si>
  <si>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</si>
  <si>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</si>
  <si>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</si>
  <si>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</si>
  <si>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</si>
  <si>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</si>
  <si>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</si>
  <si>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</si>
  <si>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</si>
  <si>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</si>
  <si>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</si>
  <si>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</si>
  <si>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</si>
  <si>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</si>
  <si>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</si>
  <si>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</si>
  <si>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</si>
  <si>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</si>
  <si>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</si>
  <si>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</si>
  <si>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</si>
  <si>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</si>
  <si>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</si>
  <si>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</si>
  <si>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</si>
  <si>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</si>
  <si>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</si>
  <si>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</si>
  <si>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</si>
  <si>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</si>
  <si>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</si>
  <si>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</si>
  <si>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</si>
  <si>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</si>
  <si>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</si>
  <si>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</si>
  <si>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</si>
  <si>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</si>
  <si>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</si>
  <si>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</si>
  <si>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</si>
  <si>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</si>
  <si>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</si>
  <si>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</si>
  <si>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</si>
  <si>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</si>
  <si>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</si>
  <si>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</si>
  <si>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</si>
  <si>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</si>
  <si>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</si>
  <si>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</si>
  <si>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</si>
  <si>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</si>
  <si>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</si>
  <si>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</si>
  <si>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</si>
  <si>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</si>
  <si>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</si>
  <si>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</si>
  <si>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</si>
  <si>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</si>
  <si>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</si>
  <si>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</si>
  <si>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</si>
  <si>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</si>
  <si>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</si>
  <si>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</si>
  <si>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</si>
  <si>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</si>
  <si>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</si>
  <si>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</si>
  <si>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</si>
  <si>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</si>
  <si>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</si>
  <si>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</si>
  <si>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</si>
  <si>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</si>
  <si>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</si>
  <si>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</si>
  <si>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</si>
  <si>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</si>
  <si>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</si>
  <si>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</si>
  <si>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</si>
  <si>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</si>
  <si>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</si>
  <si>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</si>
  <si>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</si>
  <si>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</si>
  <si>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</si>
  <si>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</si>
  <si>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</si>
  <si>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</si>
  <si>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</si>
  <si>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</si>
  <si>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</si>
  <si>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</si>
  <si>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</si>
  <si>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</si>
  <si>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</si>
  <si>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</si>
  <si>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</si>
  <si>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</si>
  <si>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</si>
  <si>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</si>
  <si>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</si>
  <si>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</si>
  <si>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</si>
  <si>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</si>
  <si>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</si>
  <si>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</si>
  <si>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</si>
  <si>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</si>
  <si>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</si>
  <si>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</si>
  <si>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</si>
  <si>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</si>
  <si>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</si>
  <si>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</si>
  <si>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</si>
  <si>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</si>
  <si>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</si>
  <si>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</si>
  <si>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</si>
  <si>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</si>
  <si>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</si>
  <si>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</si>
  <si>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</si>
  <si>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</si>
  <si>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</si>
  <si>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</si>
  <si>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</si>
  <si>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</si>
  <si>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</si>
  <si>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</si>
  <si>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</si>
  <si>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</si>
  <si>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</si>
  <si>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</si>
  <si>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</si>
  <si>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</si>
  <si>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</si>
  <si>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</si>
  <si>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</si>
  <si>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</si>
  <si>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</si>
  <si>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</si>
  <si>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</si>
  <si>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</si>
  <si>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</si>
  <si>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</si>
  <si>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</si>
  <si>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</si>
  <si>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</si>
  <si>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</si>
  <si>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</si>
  <si>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</si>
  <si>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</si>
  <si>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</si>
  <si>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</si>
  <si>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</si>
  <si>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</si>
  <si>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</si>
  <si>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</si>
  <si>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</si>
  <si>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</si>
  <si>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</si>
  <si>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</si>
  <si>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</si>
  <si>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</si>
  <si>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</si>
  <si>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</si>
  <si>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</si>
  <si>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</si>
  <si>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</si>
  <si>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</si>
  <si>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</si>
  <si>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</si>
  <si>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</si>
  <si>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</si>
  <si>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</si>
  <si>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</si>
  <si>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</si>
  <si>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</si>
  <si>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</si>
  <si>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</si>
  <si>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</si>
  <si>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</si>
  <si>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</si>
  <si>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</si>
  <si>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</si>
  <si>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</si>
  <si>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</si>
  <si>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</si>
  <si>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</si>
  <si>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</si>
  <si>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</si>
  <si>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</si>
  <si>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</si>
  <si>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</si>
  <si>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</si>
  <si>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</si>
  <si>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</si>
  <si>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</si>
  <si>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</si>
  <si>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</si>
  <si>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</si>
  <si>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</si>
  <si>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</si>
  <si>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</si>
  <si>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</si>
  <si>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</si>
  <si>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</si>
  <si>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</si>
  <si>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</si>
  <si>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</si>
  <si>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</si>
  <si>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</si>
  <si>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</si>
  <si>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</si>
  <si>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</si>
  <si>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</si>
  <si>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</si>
  <si>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</si>
  <si>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</si>
  <si>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</si>
  <si>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</si>
  <si>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</si>
  <si>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</si>
  <si>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</si>
  <si>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</si>
  <si>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</si>
  <si>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</si>
  <si>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</si>
  <si>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</si>
  <si>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</si>
  <si>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</si>
  <si>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</si>
  <si>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</si>
  <si>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</si>
  <si>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</si>
  <si>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</si>
  <si>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</si>
  <si>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</si>
  <si>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</si>
  <si>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</si>
  <si>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</si>
  <si>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</si>
  <si>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</si>
  <si>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</si>
  <si>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</si>
  <si>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</si>
  <si>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</si>
  <si>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</si>
  <si>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</si>
  <si>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</si>
  <si>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</si>
  <si>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</si>
  <si>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</si>
  <si>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</si>
  <si>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</si>
  <si>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</si>
  <si>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</si>
  <si>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</si>
  <si>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</si>
  <si>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</si>
  <si>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</si>
  <si>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</si>
  <si>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</si>
  <si>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</si>
  <si>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</si>
  <si>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</si>
  <si>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</si>
  <si>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</si>
  <si>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</si>
  <si>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</si>
  <si>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</si>
  <si>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</si>
  <si>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</si>
  <si>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</si>
  <si>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</si>
  <si>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</si>
  <si>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</si>
  <si>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</si>
  <si>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</si>
  <si>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</si>
  <si>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</si>
  <si>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</si>
  <si>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</si>
  <si>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</si>
  <si>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</si>
  <si>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</si>
  <si>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</si>
  <si>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</si>
  <si>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</si>
  <si>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</si>
  <si>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</si>
  <si>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</si>
  <si>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</si>
  <si>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</si>
  <si>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</si>
  <si>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</si>
  <si>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</si>
  <si>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</si>
  <si>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</si>
  <si>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</si>
  <si>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</si>
  <si>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</si>
  <si>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</si>
  <si>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</si>
  <si>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</si>
  <si>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</si>
  <si>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</si>
  <si>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</si>
  <si>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</si>
  <si>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</si>
  <si>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</si>
  <si>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</si>
  <si>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</si>
  <si>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</si>
  <si>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</si>
  <si>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</si>
  <si>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</si>
  <si>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</si>
  <si>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</si>
  <si>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</si>
  <si>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</si>
  <si>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</si>
  <si>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</si>
  <si>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</si>
  <si>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</si>
  <si>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</si>
  <si>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</si>
  <si>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</si>
  <si>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</si>
  <si>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</si>
  <si>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</si>
  <si>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</si>
  <si>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</si>
  <si>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</si>
  <si>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</si>
  <si>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</si>
  <si>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</si>
  <si>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</si>
  <si>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</si>
  <si>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</si>
  <si>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</si>
  <si>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</si>
  <si>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</si>
  <si>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</si>
  <si>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</si>
  <si>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</si>
  <si>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</si>
  <si>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</si>
  <si>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</si>
  <si>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</si>
  <si>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</si>
  <si>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</si>
  <si>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</si>
  <si>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</si>
  <si>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</si>
  <si>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</si>
  <si>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</si>
  <si>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</si>
  <si>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</si>
  <si>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</si>
  <si>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</si>
  <si>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</si>
  <si>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</si>
  <si>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</si>
  <si>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</si>
  <si>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</si>
  <si>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</si>
  <si>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</si>
  <si>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</si>
  <si>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</si>
  <si>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</si>
  <si>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</si>
  <si>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</si>
  <si>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</si>
  <si>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</si>
  <si>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</si>
  <si>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</si>
  <si>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</si>
  <si>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</si>
  <si>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</si>
  <si>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</si>
  <si>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</si>
  <si>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</si>
  <si>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</si>
  <si>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</si>
  <si>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</si>
  <si>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</si>
  <si>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</si>
  <si>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</si>
  <si>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</si>
  <si>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</si>
  <si>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</si>
  <si>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</si>
  <si>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</si>
  <si>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</si>
  <si>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</si>
  <si>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</si>
  <si>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</si>
  <si>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</si>
  <si>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</si>
  <si>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</si>
  <si>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</si>
  <si>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</si>
  <si>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</si>
  <si>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</si>
  <si>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</si>
  <si>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</si>
  <si>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</si>
  <si>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</si>
  <si>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</si>
  <si>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</si>
  <si>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</si>
  <si>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</si>
  <si>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</si>
  <si>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</si>
  <si>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</si>
  <si>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</si>
  <si>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</si>
  <si>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</si>
  <si>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</si>
  <si>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</si>
  <si>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</si>
  <si>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</si>
  <si>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</si>
  <si>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</si>
  <si>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</si>
  <si>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</si>
  <si>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</si>
  <si>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</si>
  <si>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</si>
  <si>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</si>
  <si>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</si>
  <si>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</si>
  <si>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</si>
  <si>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</si>
  <si>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</si>
  <si>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</si>
  <si>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</si>
  <si>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</si>
  <si>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</si>
  <si>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</si>
  <si>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</si>
  <si>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</si>
  <si>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</si>
  <si>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</si>
  <si>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</si>
  <si>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</si>
  <si>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</si>
  <si>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</si>
  <si>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</si>
  <si>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</si>
  <si>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</si>
  <si>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</si>
  <si>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</si>
  <si>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</si>
  <si>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</si>
  <si>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</si>
  <si>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</si>
  <si>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</si>
  <si>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</si>
  <si>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</si>
  <si>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</si>
  <si>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</si>
  <si>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</si>
  <si>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</si>
  <si>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</si>
  <si>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</si>
  <si>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</si>
  <si>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</si>
  <si>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</si>
  <si>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</si>
  <si>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</si>
  <si>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</si>
  <si>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</si>
  <si>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</si>
  <si>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</si>
  <si>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</si>
  <si>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</si>
  <si>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</si>
  <si>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</si>
  <si>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</si>
  <si>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</si>
  <si>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</si>
  <si>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</si>
  <si>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</si>
  <si>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</si>
  <si>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</si>
  <si>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</si>
  <si>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</si>
  <si>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</si>
  <si>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</si>
  <si>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</si>
  <si>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</si>
  <si>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</si>
  <si>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</si>
  <si>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</si>
  <si>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</si>
  <si>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</si>
  <si>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</si>
  <si>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</si>
  <si>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</si>
  <si>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</si>
  <si>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</si>
  <si>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</si>
  <si>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</si>
  <si>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</si>
  <si>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</si>
  <si>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</si>
  <si>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</si>
  <si>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</si>
  <si>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</si>
  <si>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</si>
  <si>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</si>
  <si>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</si>
  <si>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</si>
  <si>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</si>
  <si>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</si>
  <si>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</si>
  <si>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</si>
  <si>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</si>
  <si>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</si>
  <si>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</si>
  <si>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</si>
  <si>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</si>
  <si>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</si>
  <si>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</si>
  <si>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</si>
  <si>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</si>
  <si>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</si>
  <si>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</si>
  <si>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</si>
  <si>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</si>
  <si>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</si>
  <si>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</si>
  <si>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</si>
  <si>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</si>
  <si>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</si>
  <si>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</si>
  <si>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</si>
  <si>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</si>
  <si>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</si>
  <si>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</si>
  <si>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</si>
  <si>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</si>
  <si>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</si>
  <si>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</si>
  <si>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</si>
  <si>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</si>
  <si>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</si>
  <si>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</si>
  <si>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</si>
  <si>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</si>
  <si>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</si>
  <si>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</si>
  <si>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</si>
  <si>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</si>
  <si>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</si>
  <si>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</si>
  <si>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</si>
  <si>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</si>
  <si>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</si>
  <si>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</si>
  <si>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</si>
  <si>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</si>
  <si>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</si>
  <si>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</si>
  <si>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</si>
  <si>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</si>
  <si>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</si>
  <si>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</si>
  <si>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</si>
  <si>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</si>
  <si>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</si>
  <si>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</si>
  <si>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</si>
  <si>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</si>
  <si>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</si>
  <si>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</si>
  <si>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</si>
  <si>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</si>
  <si>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</si>
  <si>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</si>
  <si>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</si>
  <si>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</si>
  <si>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</si>
  <si>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</si>
  <si>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</si>
  <si>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</si>
  <si>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</si>
  <si>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</si>
  <si>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</si>
  <si>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</si>
  <si>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</si>
  <si>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</si>
  <si>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</si>
  <si>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</si>
  <si>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</si>
  <si>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</si>
  <si>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</si>
  <si>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</si>
  <si>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</si>
  <si>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</si>
  <si>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</si>
  <si>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</si>
  <si>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</si>
  <si>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</si>
  <si>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</si>
  <si>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</si>
  <si>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</si>
  <si>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</si>
  <si>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</si>
  <si>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</si>
  <si>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</si>
  <si>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</si>
  <si>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</si>
  <si>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</si>
  <si>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</si>
  <si>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</si>
  <si>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</si>
  <si>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</si>
  <si>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</si>
  <si>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</si>
  <si>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</si>
  <si>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</si>
  <si>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</si>
  <si>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</si>
  <si>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</si>
  <si>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</si>
  <si>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</si>
  <si>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</si>
  <si>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</si>
  <si>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</si>
  <si>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</si>
  <si>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</si>
  <si>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</si>
  <si>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</si>
  <si>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</si>
  <si>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</si>
  <si>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</si>
  <si>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</si>
  <si>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</si>
  <si>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</si>
  <si>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</si>
  <si>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</si>
  <si>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</si>
  <si>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</si>
  <si>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</si>
  <si>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</si>
  <si>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</si>
  <si>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</si>
  <si>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</si>
  <si>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</si>
  <si>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</si>
  <si>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</si>
  <si>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</si>
  <si>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</si>
  <si>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</si>
  <si>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</si>
  <si>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</si>
  <si>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</si>
  <si>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</si>
  <si>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</si>
  <si>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</si>
  <si>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</si>
  <si>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</si>
  <si>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</si>
  <si>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</si>
  <si>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</si>
  <si>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</si>
  <si>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</si>
  <si>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</si>
  <si>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</si>
  <si>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</si>
  <si>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</si>
  <si>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</si>
  <si>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</si>
  <si>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</si>
  <si>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</si>
  <si>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</si>
  <si>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</si>
  <si>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</si>
  <si>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</si>
  <si>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</si>
  <si>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</si>
  <si>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</si>
  <si>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</si>
  <si>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</si>
  <si>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</si>
  <si>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</si>
  <si>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</si>
  <si>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</si>
  <si>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</si>
  <si>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</si>
  <si>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</si>
  <si>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</si>
  <si>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</si>
  <si>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</si>
  <si>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</si>
  <si>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</si>
  <si>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</si>
  <si>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</si>
  <si>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</si>
  <si>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</si>
  <si>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</si>
  <si>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</si>
  <si>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</si>
  <si>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</si>
  <si>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</si>
  <si>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</si>
  <si>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</si>
  <si>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</si>
  <si>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</si>
  <si>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</si>
  <si>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</si>
  <si>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</si>
  <si>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</si>
  <si>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</si>
  <si>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</si>
  <si>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</si>
  <si>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</si>
  <si>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</si>
  <si>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</si>
  <si>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</si>
  <si>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</si>
  <si>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</si>
  <si>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</si>
  <si>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</si>
  <si>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</si>
  <si>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</si>
  <si>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</si>
  <si>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</si>
  <si>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</si>
  <si>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</si>
  <si>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</si>
  <si>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</si>
  <si>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</si>
  <si>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</si>
  <si>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</si>
  <si>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</si>
  <si>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</si>
  <si>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</si>
  <si>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</si>
  <si>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</si>
  <si>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</si>
  <si>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</si>
  <si>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</si>
  <si>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</si>
  <si>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</si>
  <si>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</si>
  <si>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</si>
  <si>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</si>
  <si>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</si>
  <si>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</si>
  <si>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</si>
  <si>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</si>
  <si>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</si>
  <si>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</si>
  <si>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</si>
  <si>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</si>
  <si>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</si>
  <si>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</si>
  <si>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</si>
  <si>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</si>
  <si>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</si>
  <si>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</si>
  <si>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</si>
  <si>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</si>
  <si>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</si>
  <si>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</si>
  <si>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</si>
  <si>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</si>
  <si>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</si>
  <si>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</si>
  <si>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</si>
  <si>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</si>
  <si>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</si>
  <si>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</si>
  <si>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</si>
  <si>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</si>
  <si>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</si>
  <si>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</si>
  <si>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</si>
  <si>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</si>
  <si>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</si>
  <si>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</si>
  <si>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</si>
  <si>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</si>
  <si>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</si>
  <si>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</si>
  <si>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</si>
  <si>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</si>
  <si>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</si>
  <si>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</si>
  <si>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</si>
  <si>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</si>
  <si>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</si>
  <si>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</si>
  <si>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</si>
  <si>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</si>
  <si>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</si>
  <si>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</si>
  <si>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</si>
  <si>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</si>
  <si>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</si>
  <si>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</si>
  <si>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</si>
  <si>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</si>
  <si>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</si>
  <si>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</si>
  <si>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</si>
  <si>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</si>
  <si>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</si>
  <si>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</si>
  <si>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</si>
  <si>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</si>
  <si>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</si>
  <si>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</si>
  <si>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</si>
  <si>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</si>
  <si>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</si>
  <si>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</si>
  <si>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</si>
  <si>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</si>
  <si>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</si>
  <si>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</si>
  <si>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</si>
  <si>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</si>
  <si>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</si>
  <si>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</si>
  <si>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</si>
  <si>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</si>
  <si>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</si>
  <si>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</si>
  <si>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</si>
  <si>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</si>
  <si>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</si>
  <si>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</si>
  <si>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</si>
  <si>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</si>
  <si>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</si>
  <si>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</si>
  <si>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</si>
  <si>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</si>
  <si>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</si>
  <si>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</si>
  <si>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</si>
  <si>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</si>
  <si>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</si>
  <si>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</si>
  <si>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</si>
  <si>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</si>
  <si>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</si>
  <si>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</si>
  <si>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</si>
  <si>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</si>
  <si>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</si>
  <si>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</si>
  <si>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</si>
  <si>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</si>
  <si>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</si>
  <si>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</si>
  <si>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</si>
  <si>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</si>
  <si>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</si>
  <si>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</si>
  <si>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</si>
  <si>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</si>
  <si>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</si>
  <si>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</si>
  <si>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</si>
  <si>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</si>
  <si>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</si>
  <si>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</si>
  <si>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</si>
  <si>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</si>
  <si>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</si>
  <si>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</si>
  <si>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</si>
  <si>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</si>
  <si>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</si>
  <si>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</si>
  <si>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</si>
  <si>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</si>
  <si>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</si>
  <si>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</si>
  <si>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</si>
  <si>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</si>
  <si>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</si>
  <si>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</si>
  <si>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</si>
  <si>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</si>
  <si>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</si>
  <si>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</si>
  <si>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</si>
  <si>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</si>
  <si>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</si>
  <si>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</si>
  <si>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</si>
  <si>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</si>
  <si>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</si>
  <si>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</si>
  <si>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</si>
  <si>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</si>
  <si>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</si>
  <si>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</si>
  <si>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</si>
  <si>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</si>
  <si>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</si>
  <si>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</si>
  <si>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</si>
  <si>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</si>
  <si>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</si>
  <si>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</si>
  <si>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</si>
  <si>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</si>
  <si>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</si>
  <si>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</si>
  <si>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</si>
  <si>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</si>
  <si>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</si>
  <si>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</si>
  <si>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</si>
  <si>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</si>
  <si>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</si>
  <si>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</si>
  <si>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</si>
  <si>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</si>
  <si>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</si>
  <si>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</si>
  <si>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</si>
  <si>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</si>
  <si>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</si>
  <si>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</si>
  <si>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</si>
  <si>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</si>
  <si>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</si>
  <si>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</si>
  <si>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</si>
  <si>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</si>
  <si>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</si>
  <si>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</si>
  <si>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</si>
  <si>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</si>
  <si>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</si>
  <si>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</si>
  <si>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</si>
  <si>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</si>
  <si>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</si>
  <si>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</si>
  <si>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</si>
  <si>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</si>
  <si>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</si>
  <si>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</si>
  <si>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</si>
  <si>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</si>
  <si>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</si>
  <si>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</si>
  <si>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</si>
  <si>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</si>
  <si>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</si>
  <si>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</si>
  <si>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</si>
  <si>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</si>
  <si>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</si>
  <si>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</si>
  <si>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</si>
  <si>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</si>
  <si>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</si>
  <si>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</si>
  <si>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</si>
  <si>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</si>
  <si>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</si>
  <si>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</si>
  <si>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</si>
  <si>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</si>
  <si>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</si>
  <si>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</si>
  <si>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</si>
  <si>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</si>
  <si>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</si>
  <si>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</si>
  <si>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</si>
  <si>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</si>
  <si>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</si>
  <si>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</si>
  <si>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</si>
  <si>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</si>
  <si>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</si>
  <si>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</si>
  <si>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</si>
  <si>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</si>
  <si>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</si>
  <si>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</si>
  <si>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</si>
  <si>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</si>
  <si>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</si>
  <si>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</si>
  <si>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</si>
  <si>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</si>
  <si>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</si>
  <si>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</si>
  <si>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</si>
  <si>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</si>
  <si>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</si>
  <si>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</si>
  <si>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</si>
  <si>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</si>
  <si>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</si>
  <si>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</si>
  <si>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</si>
  <si>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</si>
  <si>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</si>
  <si>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</si>
  <si>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</si>
  <si>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</si>
  <si>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</si>
  <si>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</si>
  <si>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</si>
  <si>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</si>
  <si>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</si>
  <si>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</si>
  <si>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</si>
  <si>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</si>
  <si>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</si>
  <si>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</si>
  <si>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</si>
  <si>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</si>
  <si>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</si>
  <si>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</si>
  <si>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</si>
  <si>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</si>
  <si>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</si>
  <si>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</si>
  <si>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</si>
  <si>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</si>
  <si>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</si>
  <si>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</si>
  <si>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</si>
  <si>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</si>
  <si>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</si>
  <si>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</si>
  <si>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</si>
  <si>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</si>
  <si>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</si>
  <si>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</si>
  <si>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</si>
  <si>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</si>
  <si>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</si>
  <si>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</si>
  <si>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</si>
  <si>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</si>
  <si>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</si>
  <si>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</si>
  <si>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</si>
  <si>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</si>
  <si>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</si>
  <si>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</si>
  <si>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</si>
  <si>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</si>
  <si>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</si>
  <si>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</si>
  <si>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</si>
  <si>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</si>
  <si>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</si>
  <si>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</si>
  <si>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</si>
  <si>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</si>
  <si>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</si>
  <si>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</si>
  <si>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</si>
  <si>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</si>
  <si>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</si>
  <si>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</si>
  <si>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</si>
  <si>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</si>
  <si>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</si>
  <si>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</si>
  <si>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</si>
  <si>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</si>
  <si>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</si>
  <si>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</si>
  <si>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</si>
  <si>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</si>
  <si>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</si>
  <si>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</si>
  <si>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</si>
  <si>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</si>
  <si>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</si>
  <si>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</si>
  <si>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</si>
  <si>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</si>
  <si>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</si>
  <si>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</si>
  <si>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</si>
  <si>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</si>
  <si>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</si>
  <si>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</si>
  <si>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</si>
  <si>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</si>
  <si>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</si>
  <si>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</si>
  <si>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</si>
  <si>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</si>
  <si>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</si>
  <si>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</si>
  <si>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</si>
  <si>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</si>
  <si>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</si>
  <si>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</si>
  <si>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</si>
  <si>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</si>
  <si>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</si>
  <si>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</si>
  <si>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</si>
  <si>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</si>
  <si>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</si>
  <si>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</si>
  <si>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</si>
  <si>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</si>
  <si>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</si>
  <si>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</si>
  <si>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</si>
  <si>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</si>
  <si>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</si>
  <si>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</si>
  <si>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</si>
  <si>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</si>
  <si>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</si>
  <si>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</si>
  <si>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</si>
  <si>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</si>
  <si>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</si>
  <si>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</si>
  <si>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</si>
  <si>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</si>
  <si>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</si>
  <si>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</si>
  <si>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</si>
  <si>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</si>
  <si>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</si>
  <si>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</si>
  <si>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</si>
  <si>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</si>
  <si>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</si>
  <si>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</si>
  <si>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</si>
  <si>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</si>
  <si>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</si>
  <si>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</si>
  <si>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</si>
  <si>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</si>
  <si>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</si>
  <si>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</si>
  <si>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</si>
  <si>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</si>
  <si>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</si>
  <si>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</si>
  <si>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</si>
  <si>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</si>
  <si>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</si>
  <si>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</si>
  <si>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</si>
  <si>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</si>
  <si>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</si>
  <si>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</si>
  <si>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</si>
  <si>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</si>
  <si>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</si>
  <si>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</si>
  <si>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</si>
  <si>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</si>
  <si>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</si>
  <si>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</si>
  <si>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</si>
  <si>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</si>
  <si>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</si>
  <si>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</si>
  <si>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</si>
  <si>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</si>
  <si>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</si>
  <si>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</si>
  <si>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</si>
  <si>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</si>
  <si>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</si>
  <si>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</si>
  <si>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</si>
  <si>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</si>
  <si>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</si>
  <si>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</si>
  <si>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</si>
  <si>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</si>
  <si>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</si>
  <si>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</si>
  <si>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</si>
  <si>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</si>
  <si>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</si>
  <si>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</si>
  <si>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</si>
  <si>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</si>
  <si>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</si>
  <si>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</si>
  <si>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</si>
  <si>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</si>
  <si>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</si>
  <si>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</si>
  <si>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</si>
  <si>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</si>
  <si>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</si>
  <si>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</si>
  <si>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</si>
  <si>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</si>
  <si>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</si>
  <si>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</si>
  <si>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</si>
  <si>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</si>
  <si>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</si>
  <si>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</si>
  <si>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</si>
  <si>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</si>
  <si>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</si>
  <si>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</si>
  <si>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</si>
  <si>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</si>
  <si>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</si>
  <si>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</si>
  <si>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</si>
  <si>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</si>
  <si>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</si>
  <si>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</si>
  <si>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</si>
  <si>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</si>
  <si>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</si>
  <si>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</si>
  <si>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</si>
  <si>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</si>
  <si>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</si>
  <si>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</si>
  <si>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</si>
  <si>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</si>
  <si>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</si>
  <si>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</si>
  <si>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</si>
  <si>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</si>
  <si>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</si>
  <si>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</si>
  <si>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</si>
  <si>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</si>
  <si>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</si>
  <si>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</si>
  <si>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</si>
  <si>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</si>
  <si>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</si>
  <si>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</si>
  <si>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</si>
  <si>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</si>
  <si>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</si>
  <si>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</si>
  <si>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</si>
  <si>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</si>
  <si>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</si>
  <si>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</si>
  <si>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</si>
  <si>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</si>
  <si>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</si>
  <si>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</si>
  <si>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</si>
  <si>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</si>
  <si>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</si>
  <si>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</si>
  <si>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</si>
  <si>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</si>
  <si>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</si>
  <si>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</si>
  <si>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</si>
  <si>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</si>
  <si>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</si>
  <si>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</si>
  <si>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</si>
  <si>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</si>
  <si>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</si>
  <si>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</si>
  <si>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</si>
  <si>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</si>
  <si>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</si>
  <si>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</si>
  <si>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</si>
  <si>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</si>
  <si>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</si>
  <si>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</si>
  <si>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</si>
  <si>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</si>
  <si>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</si>
  <si>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</si>
  <si>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</si>
  <si>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</si>
  <si>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</si>
  <si>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</si>
  <si>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</si>
  <si>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</si>
  <si>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</si>
  <si>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</si>
  <si>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</si>
  <si>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</si>
  <si>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</si>
  <si>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</si>
  <si>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</si>
  <si>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</si>
  <si>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</si>
  <si>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</si>
  <si>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</si>
  <si>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</si>
  <si>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</si>
  <si>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</si>
  <si>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</si>
  <si>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</si>
  <si>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</si>
  <si>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</si>
  <si>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</si>
  <si>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</si>
  <si>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</si>
  <si>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</si>
  <si>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</si>
  <si>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</si>
  <si>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</si>
  <si>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</si>
  <si>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</si>
  <si>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</si>
  <si>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</si>
  <si>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</si>
  <si>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</si>
  <si>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</si>
  <si>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</si>
  <si>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</si>
  <si>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</si>
  <si>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</si>
  <si>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</si>
  <si>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</si>
  <si>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</si>
  <si>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</si>
  <si>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</si>
  <si>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</si>
  <si>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</si>
  <si>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</si>
  <si>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</si>
  <si>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</si>
  <si>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</si>
  <si>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</si>
  <si>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</si>
  <si>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</si>
  <si>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</si>
  <si>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</si>
  <si>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</si>
  <si>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</si>
  <si>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</si>
  <si>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</si>
  <si>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</si>
  <si>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</si>
  <si>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</si>
  <si>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</si>
  <si>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</si>
  <si>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</si>
  <si>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</si>
  <si>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</si>
  <si>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</si>
  <si>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</si>
  <si>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</si>
  <si>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</si>
  <si>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</si>
  <si>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</si>
  <si>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</si>
  <si>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</si>
  <si>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</si>
  <si>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</si>
  <si>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</si>
  <si>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</si>
  <si>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</si>
  <si>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</si>
  <si>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</si>
  <si>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</si>
  <si>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</si>
  <si>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</si>
  <si>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</si>
  <si>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</si>
  <si>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</si>
  <si>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</si>
  <si>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</si>
  <si>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</si>
  <si>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</si>
  <si>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</si>
  <si>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</si>
  <si>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</si>
  <si>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</si>
  <si>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</si>
  <si>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</si>
  <si>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</si>
  <si>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</si>
  <si>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</si>
  <si>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</si>
  <si>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</si>
  <si>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</si>
  <si>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</si>
  <si>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</si>
  <si>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</si>
  <si>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</si>
  <si>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</si>
  <si>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</si>
  <si>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</si>
  <si>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</si>
  <si>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</si>
  <si>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</si>
  <si>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</si>
  <si>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</si>
  <si>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</si>
  <si>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</si>
  <si>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</si>
  <si>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</si>
  <si>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</si>
  <si>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</si>
  <si>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</si>
  <si>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</si>
  <si>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</si>
  <si>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</si>
  <si>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</si>
  <si>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</si>
  <si>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</si>
  <si>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</si>
  <si>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</si>
  <si>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</si>
  <si>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</si>
  <si>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</si>
  <si>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</si>
  <si>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</si>
  <si>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</si>
  <si>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</si>
  <si>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</si>
  <si>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</si>
  <si>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</si>
  <si>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</si>
  <si>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</si>
  <si>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</si>
  <si>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</si>
  <si>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</si>
  <si>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</si>
  <si>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</si>
  <si>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</si>
  <si>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</si>
  <si>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</si>
  <si>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</si>
  <si>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</si>
  <si>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</si>
  <si>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</si>
  <si>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</si>
  <si>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</si>
  <si>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</si>
  <si>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</si>
  <si>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</si>
  <si>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</si>
  <si>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</si>
  <si>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</si>
  <si>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</si>
  <si>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</si>
  <si>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</si>
  <si>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</si>
  <si>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</si>
  <si>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</si>
  <si>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</si>
  <si>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</si>
  <si>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</si>
  <si>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</si>
  <si>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</si>
  <si>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</si>
  <si>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</si>
  <si>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</si>
  <si>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</si>
  <si>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</si>
  <si>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</si>
  <si>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</si>
  <si>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</si>
  <si>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</si>
  <si>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</si>
  <si>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</si>
  <si>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</si>
  <si>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</si>
  <si>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</si>
  <si>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</si>
  <si>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</si>
  <si>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</si>
  <si>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</si>
  <si>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</si>
  <si>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</si>
  <si>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</si>
  <si>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</si>
  <si>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</si>
  <si>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</si>
  <si>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</si>
  <si>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</si>
  <si>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</si>
  <si>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</si>
  <si>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</si>
  <si>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</si>
  <si>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</si>
  <si>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</si>
  <si>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</si>
  <si>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</si>
  <si>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</si>
  <si>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</si>
  <si>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</si>
  <si>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</si>
  <si>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</si>
  <si>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</si>
  <si>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</si>
  <si>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</si>
  <si>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</si>
  <si>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</si>
  <si>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</si>
  <si>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</si>
  <si>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</si>
  <si>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</si>
  <si>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</si>
  <si>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</si>
  <si>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</si>
  <si>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</si>
  <si>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</si>
  <si>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</si>
  <si>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</si>
  <si>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</si>
  <si>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</si>
  <si>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</si>
  <si>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</si>
  <si>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</si>
  <si>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</si>
  <si>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</si>
  <si>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</si>
  <si>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</si>
  <si>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</si>
  <si>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</si>
  <si>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</si>
  <si>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</si>
  <si>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</si>
  <si>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</si>
  <si>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</si>
  <si>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</si>
  <si>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</si>
  <si>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</si>
  <si>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</si>
  <si>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</si>
  <si>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</si>
  <si>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</si>
  <si>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</si>
  <si>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</si>
  <si>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</si>
  <si>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</si>
  <si>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</si>
  <si>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</si>
  <si>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</si>
  <si>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</si>
  <si>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</si>
  <si>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</si>
  <si>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</si>
  <si>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</si>
  <si>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</si>
  <si>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</si>
  <si>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</si>
  <si>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</si>
  <si>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</si>
  <si>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</si>
  <si>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</si>
  <si>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</si>
  <si>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</si>
  <si>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</si>
  <si>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</si>
  <si>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</si>
  <si>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</si>
  <si>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</si>
  <si>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</si>
  <si>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</si>
  <si>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</si>
  <si>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</si>
  <si>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</si>
  <si>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</si>
  <si>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</si>
  <si>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</si>
  <si>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</si>
  <si>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</si>
  <si>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</si>
  <si>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</si>
  <si>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</si>
  <si>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</si>
  <si>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</si>
  <si>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</si>
  <si>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</si>
  <si>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</si>
  <si>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</si>
  <si>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</si>
  <si>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</si>
  <si>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</si>
  <si>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</si>
  <si>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</si>
  <si>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</si>
  <si>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</si>
  <si>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</si>
  <si>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</si>
  <si>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</si>
  <si>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</si>
  <si>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</si>
  <si>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</si>
  <si>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</si>
  <si>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</si>
  <si>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</si>
  <si>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</si>
  <si>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</si>
  <si>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</si>
  <si>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</si>
  <si>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</si>
  <si>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</si>
  <si>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</si>
  <si>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</si>
  <si>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</si>
  <si>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</si>
  <si>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</si>
  <si>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</si>
  <si>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</si>
  <si>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</si>
  <si>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</si>
  <si>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</si>
  <si>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</si>
  <si>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</si>
  <si>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</si>
  <si>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</si>
  <si>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</si>
  <si>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</si>
  <si>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</si>
  <si>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</si>
  <si>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</si>
  <si>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</si>
  <si>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</si>
  <si>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</si>
  <si>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</si>
  <si>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</si>
  <si>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</si>
  <si>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</si>
  <si>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</si>
  <si>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</si>
  <si>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</si>
  <si>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</si>
  <si>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</si>
  <si>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</si>
  <si>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</si>
  <si>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</si>
  <si>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</si>
  <si>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</si>
  <si>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</si>
  <si>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</si>
  <si>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</si>
  <si>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</si>
  <si>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</si>
  <si>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</si>
  <si>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</si>
  <si>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</si>
  <si>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</si>
  <si>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</si>
  <si>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</si>
  <si>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</si>
  <si>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</si>
  <si>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</si>
  <si>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</si>
  <si>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</si>
  <si>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</si>
  <si>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</si>
  <si>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</si>
  <si>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</si>
  <si>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</si>
  <si>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</si>
  <si>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</si>
  <si>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</si>
  <si>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</si>
  <si>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</si>
  <si>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</si>
  <si>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</si>
  <si>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</si>
  <si>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</si>
  <si>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</si>
  <si>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</si>
  <si>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</si>
  <si>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</si>
  <si>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</si>
  <si>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</si>
  <si>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</si>
  <si>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</si>
  <si>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</si>
  <si>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</si>
  <si>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</si>
  <si>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</si>
  <si>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</si>
  <si>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</si>
  <si>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</si>
  <si>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</si>
  <si>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</si>
  <si>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</si>
  <si>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</si>
  <si>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</si>
  <si>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</si>
  <si>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</si>
  <si>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</si>
  <si>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</si>
  <si>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</si>
  <si>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</si>
  <si>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</si>
  <si>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</si>
  <si>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</si>
  <si>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</si>
  <si>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</si>
  <si>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</si>
  <si>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</si>
  <si>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</si>
  <si>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</si>
  <si>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</si>
  <si>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</si>
  <si>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</si>
  <si>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</si>
  <si>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</si>
  <si>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</si>
  <si>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</si>
  <si>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</si>
  <si>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</si>
  <si>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</si>
  <si>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</si>
  <si>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</si>
  <si>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</si>
  <si>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</si>
  <si>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</si>
  <si>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</si>
  <si>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</si>
  <si>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</si>
  <si>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</si>
  <si>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</si>
  <si>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</si>
  <si>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</si>
  <si>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</si>
  <si>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</si>
  <si>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</si>
  <si>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</si>
  <si>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</si>
  <si>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</si>
  <si>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</si>
  <si>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</si>
  <si>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</si>
  <si>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</si>
  <si>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</si>
  <si>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</si>
  <si>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</si>
  <si>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</si>
  <si>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</si>
  <si>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</si>
  <si>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</si>
  <si>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</si>
  <si>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</si>
  <si>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</si>
  <si>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</si>
  <si>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</si>
  <si>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</si>
  <si>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</si>
  <si>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</si>
  <si>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</si>
  <si>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</si>
  <si>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</si>
  <si>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</si>
  <si>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</si>
  <si>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</si>
  <si>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</si>
  <si>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</si>
  <si>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</si>
  <si>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</si>
  <si>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</si>
  <si>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</si>
  <si>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</si>
  <si>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</si>
  <si>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</si>
  <si>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</si>
  <si>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</si>
  <si>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</si>
  <si>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</si>
  <si>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</si>
  <si>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</si>
  <si>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</si>
  <si>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</si>
  <si>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</si>
  <si>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</si>
  <si>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</si>
  <si>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</si>
  <si>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</si>
  <si>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</si>
  <si>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</si>
  <si>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</si>
  <si>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</si>
  <si>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</si>
  <si>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</si>
  <si>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</si>
  <si>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</si>
  <si>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</si>
  <si>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</si>
  <si>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</si>
  <si>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</si>
  <si>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</si>
  <si>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</si>
  <si>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</si>
  <si>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</si>
  <si>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</si>
  <si>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</si>
  <si>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</si>
  <si>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</si>
  <si>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</si>
  <si>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</si>
  <si>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</si>
  <si>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</si>
  <si>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</si>
  <si>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</si>
  <si>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</si>
  <si>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</si>
  <si>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</si>
  <si>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</si>
  <si>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</si>
  <si>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</si>
  <si>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</si>
  <si>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</si>
  <si>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</si>
  <si>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</si>
  <si>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</si>
  <si>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</si>
  <si>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</si>
  <si>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</si>
  <si>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</si>
  <si>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</si>
  <si>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</si>
  <si>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</si>
  <si>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</si>
  <si>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</si>
  <si>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</si>
  <si>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</si>
  <si>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</si>
  <si>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</si>
  <si>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</si>
  <si>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</si>
  <si>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</si>
  <si>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</si>
  <si>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</si>
  <si>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</si>
  <si>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</si>
  <si>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</si>
  <si>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</si>
  <si>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</si>
  <si>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</si>
  <si>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</si>
  <si>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</si>
  <si>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</si>
  <si>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</si>
  <si>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</si>
  <si>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</si>
  <si>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</si>
  <si>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</si>
  <si>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</si>
  <si>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</si>
  <si>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</si>
  <si>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</si>
  <si>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</si>
  <si>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</si>
  <si>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</si>
  <si>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</si>
  <si>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</si>
  <si>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</si>
  <si>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</si>
  <si>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</si>
  <si>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</si>
  <si>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</si>
  <si>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</si>
  <si>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</si>
  <si>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</si>
  <si>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</si>
  <si>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</si>
  <si>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</si>
  <si>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</si>
  <si>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</si>
  <si>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</si>
  <si>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</si>
  <si>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</si>
  <si>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</si>
  <si>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</si>
  <si>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</si>
  <si>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</si>
  <si>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</si>
  <si>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</si>
  <si>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</si>
  <si>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</si>
  <si>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</si>
  <si>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</si>
  <si>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</si>
  <si>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</si>
  <si>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</si>
  <si>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</si>
  <si>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</si>
  <si>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</si>
  <si>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</si>
  <si>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</si>
  <si>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</si>
  <si>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</si>
  <si>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</si>
  <si>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</si>
  <si>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</si>
  <si>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</si>
  <si>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</si>
  <si>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</si>
  <si>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</si>
  <si>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</si>
  <si>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</si>
  <si>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</si>
  <si>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</si>
  <si>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</si>
  <si>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</si>
  <si>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</si>
  <si>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</si>
  <si>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</si>
  <si>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</si>
  <si>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</si>
  <si>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</si>
  <si>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</si>
  <si>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</si>
  <si>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</si>
  <si>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</si>
  <si>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</si>
  <si>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</si>
  <si>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</si>
  <si>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</si>
  <si>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</si>
  <si>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</si>
  <si>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</si>
  <si>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</si>
  <si>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</si>
  <si>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</si>
  <si>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</si>
  <si>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</si>
  <si>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</si>
  <si>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</si>
  <si>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</si>
  <si>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</si>
  <si>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</si>
  <si>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</si>
  <si>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</si>
  <si>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</si>
  <si>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</si>
  <si>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</si>
  <si>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</si>
  <si>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</si>
  <si>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</si>
  <si>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</si>
  <si>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</si>
  <si>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</si>
  <si>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</si>
  <si>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</si>
  <si>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</si>
  <si>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</si>
  <si>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</si>
  <si>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</si>
  <si>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</si>
  <si>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</si>
  <si>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</si>
  <si>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</si>
  <si>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</si>
  <si>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</si>
  <si>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</si>
  <si>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</si>
  <si>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</si>
  <si>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</si>
  <si>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</si>
  <si>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</si>
  <si>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</si>
  <si>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</si>
  <si>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</si>
  <si>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</si>
  <si>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</si>
  <si>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</si>
  <si>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</si>
  <si>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</si>
  <si>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</si>
  <si>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</si>
  <si>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</si>
  <si>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</si>
  <si>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</si>
  <si>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</si>
  <si>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</si>
  <si>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</si>
  <si>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</si>
  <si>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</si>
  <si>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</si>
  <si>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</si>
  <si>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</si>
  <si>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</si>
  <si>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</si>
  <si>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</si>
  <si>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</si>
  <si>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</si>
  <si>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</si>
  <si>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</si>
  <si>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</si>
  <si>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</si>
  <si>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</si>
  <si>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</si>
  <si>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</si>
  <si>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</si>
  <si>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</si>
  <si>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</si>
  <si>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</si>
  <si>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</si>
  <si>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</si>
  <si>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</si>
  <si>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</si>
  <si>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</si>
  <si>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</si>
  <si>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</si>
  <si>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</si>
  <si>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</si>
  <si>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</si>
  <si>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</si>
  <si>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</si>
  <si>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</si>
  <si>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</si>
  <si>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</si>
  <si>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</si>
  <si>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</si>
  <si>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</si>
  <si>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</si>
  <si>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</si>
  <si>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</si>
  <si>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</si>
  <si>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</si>
  <si>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</si>
  <si>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</si>
  <si>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</si>
  <si>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</si>
  <si>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</si>
  <si>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</si>
  <si>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</si>
  <si>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</si>
  <si>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</si>
  <si>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</si>
  <si>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</si>
  <si>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</si>
  <si>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</si>
  <si>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</si>
  <si>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</si>
  <si>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</si>
  <si>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</si>
  <si>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</si>
  <si>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</si>
  <si>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</si>
  <si>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</si>
  <si>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</si>
  <si>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</si>
  <si>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</si>
  <si>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</si>
  <si>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</si>
  <si>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</si>
  <si>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</si>
  <si>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</si>
  <si>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</si>
  <si>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</si>
  <si>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</si>
  <si>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</si>
  <si>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</si>
  <si>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</si>
  <si>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</si>
  <si>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</si>
  <si>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</si>
  <si>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</si>
  <si>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</si>
  <si>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</si>
  <si>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</si>
  <si>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</si>
  <si>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</si>
  <si>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</si>
  <si>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</si>
  <si>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</si>
  <si>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</si>
  <si>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</si>
  <si>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</si>
  <si>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</si>
  <si>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</si>
  <si>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</si>
  <si>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</si>
  <si>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</si>
  <si>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</si>
  <si>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</si>
  <si>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</si>
  <si>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</si>
  <si>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</si>
  <si>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</si>
  <si>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</si>
  <si>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</si>
  <si>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</si>
  <si>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</si>
  <si>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</si>
  <si>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</si>
  <si>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</si>
  <si>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</si>
  <si>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</si>
  <si>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</si>
  <si>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</si>
  <si>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</si>
  <si>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</si>
  <si>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</si>
  <si>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</si>
  <si>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</si>
  <si>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</si>
  <si>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</si>
  <si>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</si>
  <si>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</si>
  <si>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</si>
  <si>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</si>
  <si>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</si>
  <si>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</si>
  <si>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</si>
  <si>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</si>
  <si>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</si>
  <si>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</si>
  <si>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</si>
  <si>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</si>
  <si>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</si>
  <si>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</si>
  <si>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</si>
  <si>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</si>
  <si>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</si>
  <si>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</si>
  <si>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</si>
  <si>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</si>
  <si>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</si>
  <si>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</si>
  <si>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</si>
  <si>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</si>
  <si>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</si>
  <si>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</si>
  <si>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</si>
  <si>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</si>
  <si>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</si>
  <si>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</si>
  <si>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</si>
  <si>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</si>
  <si>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</si>
  <si>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</si>
  <si>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</si>
  <si>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</si>
  <si>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</si>
  <si>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</si>
  <si>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</si>
  <si>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</si>
  <si>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</si>
  <si>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</si>
  <si>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</si>
  <si>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</si>
  <si>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</si>
  <si>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</si>
  <si>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</si>
  <si>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</si>
  <si>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</si>
  <si>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</si>
  <si>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</si>
  <si>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</si>
  <si>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</si>
  <si>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</si>
  <si>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</si>
  <si>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</si>
  <si>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</si>
  <si>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</si>
  <si>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</si>
  <si>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</si>
  <si>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</si>
  <si>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</si>
  <si>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</si>
  <si>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</si>
  <si>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</si>
  <si>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</si>
  <si>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</si>
  <si>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</si>
  <si>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</si>
  <si>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</si>
  <si>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</si>
  <si>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</si>
  <si>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</si>
  <si>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</si>
  <si>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</si>
  <si>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</si>
  <si>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</si>
  <si>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</si>
  <si>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</si>
  <si>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</si>
  <si>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</si>
  <si>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</si>
  <si>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</si>
  <si>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</si>
  <si>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</si>
  <si>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</si>
  <si>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</si>
  <si>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</si>
  <si>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</si>
  <si>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</si>
  <si>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</si>
  <si>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</si>
  <si>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</si>
  <si>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</si>
  <si>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</si>
  <si>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</si>
  <si>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</si>
  <si>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</si>
  <si>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</si>
  <si>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</si>
  <si>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</si>
  <si>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</si>
  <si>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</si>
  <si>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</si>
  <si>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</si>
  <si>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</si>
  <si>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</si>
  <si>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</si>
  <si>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</si>
  <si>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</si>
  <si>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</si>
  <si>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</si>
  <si>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</si>
  <si>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</si>
  <si>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</si>
  <si>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</si>
  <si>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</si>
  <si>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</si>
  <si>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</si>
  <si>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</si>
  <si>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</si>
  <si>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</si>
  <si>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</si>
  <si>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</si>
  <si>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</si>
  <si>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</si>
  <si>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</si>
  <si>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</si>
  <si>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</si>
  <si>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</si>
  <si>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</si>
  <si>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</si>
  <si>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</si>
  <si>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</si>
  <si>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</si>
  <si>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</si>
  <si>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</si>
  <si>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</si>
  <si>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</si>
  <si>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</si>
  <si>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</si>
  <si>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</si>
  <si>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</si>
  <si>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</si>
  <si>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</si>
  <si>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</si>
  <si>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</si>
  <si>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</si>
  <si>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</si>
  <si>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</si>
  <si>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</si>
  <si>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</si>
  <si>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</si>
  <si>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</si>
  <si>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</si>
  <si>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</si>
  <si>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</si>
  <si>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</si>
  <si>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</si>
  <si>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</si>
  <si>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</si>
  <si>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</si>
  <si>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</si>
  <si>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</si>
  <si>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</si>
  <si>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</si>
  <si>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</si>
  <si>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</si>
  <si>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</si>
  <si>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</si>
  <si>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</si>
  <si>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</si>
  <si>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</si>
  <si>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</si>
  <si>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</si>
  <si>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</si>
  <si>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</si>
  <si>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</si>
  <si>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</si>
  <si>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</si>
  <si>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</si>
  <si>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</si>
  <si>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</si>
  <si>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</si>
  <si>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</si>
  <si>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</si>
  <si>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</si>
  <si>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</si>
  <si>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</si>
  <si>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</si>
  <si>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</si>
  <si>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</si>
  <si>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</si>
  <si>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</si>
  <si>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</si>
  <si>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</si>
  <si>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</si>
  <si>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</si>
  <si>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</si>
  <si>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</si>
  <si>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</si>
  <si>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</si>
  <si>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</si>
  <si>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</si>
  <si>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</si>
  <si>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</si>
  <si>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</si>
  <si>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</si>
  <si>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</si>
  <si>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</si>
  <si>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</si>
  <si>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</si>
  <si>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</si>
  <si>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</si>
  <si>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</si>
  <si>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</si>
  <si>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</si>
  <si>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</si>
  <si>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</si>
  <si>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</si>
  <si>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</si>
  <si>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</si>
  <si>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</si>
  <si>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</si>
  <si>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</si>
  <si>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</si>
  <si>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</si>
  <si>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</si>
  <si>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</si>
  <si>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</si>
  <si>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</si>
  <si>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</si>
  <si>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</si>
  <si>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</si>
  <si>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</si>
  <si>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</si>
  <si>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</si>
  <si>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</si>
  <si>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</si>
  <si>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</si>
  <si>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</si>
  <si>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</si>
  <si>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</si>
  <si>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</si>
  <si>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</si>
  <si>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</si>
  <si>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</si>
  <si>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</si>
  <si>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</si>
  <si>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</si>
  <si>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</si>
  <si>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</si>
  <si>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</si>
  <si>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</si>
  <si>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</si>
  <si>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</si>
  <si>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</si>
  <si>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</si>
  <si>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</si>
  <si>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</si>
  <si>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</si>
  <si>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</si>
  <si>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</si>
  <si>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</si>
  <si>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</si>
  <si>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</si>
  <si>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</si>
  <si>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</si>
  <si>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</si>
  <si>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</si>
  <si>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</si>
  <si>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</si>
  <si>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</si>
  <si>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</si>
  <si>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</si>
  <si>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</si>
  <si>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</si>
  <si>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</si>
  <si>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</si>
  <si>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</si>
  <si>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</si>
  <si>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</si>
  <si>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</si>
  <si>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</si>
  <si>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</si>
  <si>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</si>
  <si>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</si>
  <si>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</si>
  <si>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</si>
  <si>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</si>
  <si>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</si>
  <si>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</si>
  <si>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</si>
  <si>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</si>
  <si>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</si>
  <si>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</si>
  <si>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</si>
  <si>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</si>
  <si>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</si>
  <si>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</si>
  <si>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</si>
  <si>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</si>
  <si>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</si>
  <si>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</si>
  <si>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</si>
  <si>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</si>
  <si>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</si>
  <si>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</si>
  <si>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</si>
  <si>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</si>
  <si>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</si>
  <si>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</si>
  <si>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</si>
  <si>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</si>
  <si>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</si>
  <si>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</si>
  <si>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</si>
  <si>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</si>
  <si>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</si>
  <si>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</si>
  <si>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</si>
  <si>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</si>
  <si>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</si>
  <si>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</si>
  <si>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</si>
  <si>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</si>
  <si>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</si>
  <si>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</si>
  <si>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</si>
  <si>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</si>
  <si>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</si>
  <si>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</si>
  <si>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</si>
  <si>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</si>
  <si>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</si>
  <si>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</si>
  <si>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</si>
  <si>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</si>
  <si>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</si>
  <si>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</si>
  <si>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</si>
  <si>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</si>
  <si>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</si>
  <si>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</si>
  <si>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</si>
  <si>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</si>
  <si>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</si>
  <si>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</si>
  <si>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</si>
  <si>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</si>
  <si>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</si>
  <si>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</si>
  <si>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</si>
  <si>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</si>
  <si>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</si>
  <si>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</si>
  <si>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</si>
  <si>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</si>
  <si>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</si>
  <si>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</si>
  <si>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</si>
  <si>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</si>
  <si>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</si>
  <si>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</si>
  <si>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</si>
  <si>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</si>
  <si>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</si>
  <si>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</si>
  <si>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</si>
  <si>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</si>
  <si>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</si>
  <si>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</si>
  <si>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</si>
  <si>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</si>
  <si>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</si>
  <si>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</si>
  <si>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</si>
  <si>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</si>
  <si>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</si>
  <si>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</si>
  <si>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</si>
  <si>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</si>
  <si>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</si>
  <si>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</si>
  <si>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</si>
  <si>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</si>
  <si>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</si>
  <si>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</si>
  <si>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</si>
  <si>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</si>
  <si>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</si>
  <si>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</si>
  <si>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</si>
  <si>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</si>
  <si>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</si>
  <si>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</si>
  <si>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</si>
  <si>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</si>
  <si>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</si>
  <si>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</si>
  <si>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</si>
  <si>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</si>
  <si>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</si>
  <si>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</si>
  <si>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</si>
  <si>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</si>
  <si>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</si>
  <si>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</si>
  <si>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</si>
  <si>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</si>
  <si>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</si>
  <si>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</si>
  <si>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</si>
  <si>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</si>
  <si>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</si>
  <si>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</si>
  <si>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</si>
  <si>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</si>
  <si>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</si>
  <si>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</si>
  <si>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</si>
  <si>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</si>
  <si>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</si>
  <si>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</si>
  <si>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</si>
  <si>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</si>
  <si>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</si>
  <si>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</si>
  <si>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</si>
  <si>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</si>
  <si>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</si>
  <si>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</si>
  <si>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</si>
  <si>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</si>
  <si>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</si>
  <si>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</si>
  <si>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</si>
  <si>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</si>
  <si>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</si>
  <si>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</si>
  <si>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</si>
  <si>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</si>
  <si>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</si>
  <si>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</si>
  <si>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</si>
  <si>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</si>
  <si>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</si>
  <si>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</si>
  <si>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</si>
  <si>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</si>
  <si>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</si>
  <si>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</si>
  <si>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</si>
  <si>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</si>
  <si>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</si>
  <si>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</si>
  <si>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</si>
  <si>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</si>
  <si>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</si>
  <si>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</si>
  <si>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</si>
  <si>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</si>
  <si>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</si>
  <si>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</si>
  <si>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</si>
  <si>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</si>
  <si>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</si>
  <si>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</si>
  <si>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</si>
  <si>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</si>
  <si>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</si>
  <si>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</si>
  <si>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</si>
  <si>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</si>
  <si>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</si>
  <si>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</si>
  <si>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</si>
  <si>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</si>
  <si>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</si>
  <si>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</si>
  <si>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</si>
  <si>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</si>
  <si>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</si>
  <si>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</si>
  <si>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</si>
  <si>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</si>
  <si>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</si>
  <si>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</si>
  <si>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</si>
  <si>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</si>
  <si>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</si>
  <si>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</si>
  <si>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</si>
  <si>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</si>
  <si>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</si>
  <si>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</si>
  <si>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</si>
  <si>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</si>
  <si>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</si>
  <si>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</si>
  <si>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</si>
  <si>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</si>
  <si>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</si>
  <si>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</si>
  <si>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</si>
  <si>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</si>
  <si>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</si>
  <si>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</si>
  <si>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</si>
  <si>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</si>
  <si>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</si>
  <si>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</si>
  <si>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</si>
  <si>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</si>
  <si>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</si>
  <si>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</si>
  <si>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</si>
  <si>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</si>
  <si>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</si>
  <si>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</si>
  <si>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</si>
  <si>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</si>
  <si>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</si>
  <si>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</si>
  <si>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</si>
  <si>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</si>
  <si>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</si>
  <si>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</si>
  <si>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</si>
  <si>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</si>
  <si>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</si>
  <si>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</si>
  <si>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</si>
  <si>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</si>
  <si>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</si>
  <si>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</si>
  <si>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</si>
  <si>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</si>
  <si>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</si>
  <si>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</si>
  <si>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</si>
  <si>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</si>
  <si>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</si>
  <si>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</si>
  <si>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</si>
  <si>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</si>
  <si>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</si>
  <si>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</si>
  <si>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</si>
  <si>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</si>
  <si>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</si>
  <si>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</si>
  <si>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</si>
  <si>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</si>
  <si>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</si>
  <si>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</si>
  <si>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</si>
  <si>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</si>
  <si>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</si>
  <si>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</si>
  <si>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</si>
  <si>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</si>
  <si>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</si>
  <si>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</si>
  <si>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</si>
  <si>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</si>
  <si>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</si>
  <si>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</si>
  <si>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</si>
  <si>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</si>
  <si>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</si>
  <si>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</si>
  <si>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</si>
  <si>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</si>
  <si>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</si>
  <si>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</si>
  <si>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</si>
  <si>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</si>
  <si>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</si>
  <si>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</si>
  <si>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</si>
  <si>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</si>
  <si>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</si>
  <si>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</si>
  <si>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</si>
  <si>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</si>
  <si>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</si>
  <si>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</si>
  <si>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</si>
  <si>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</si>
  <si>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</si>
  <si>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</si>
  <si>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</si>
  <si>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</si>
  <si>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</si>
  <si>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</si>
  <si>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</si>
  <si>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</si>
  <si>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</si>
  <si>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</si>
  <si>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</si>
  <si>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</si>
  <si>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</si>
  <si>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</si>
  <si>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</si>
  <si>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</si>
  <si>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</si>
  <si>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</si>
  <si>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</si>
  <si>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</si>
  <si>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</si>
  <si>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</si>
  <si>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</si>
  <si>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</si>
  <si>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</si>
  <si>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</si>
  <si>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</si>
  <si>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</si>
  <si>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</si>
  <si>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</si>
  <si>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</si>
  <si>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</si>
  <si>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</si>
  <si>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</si>
  <si>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</si>
  <si>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</si>
  <si>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</si>
  <si>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</si>
  <si>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</si>
  <si>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</si>
  <si>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</si>
  <si>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</si>
  <si>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</si>
  <si>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</si>
  <si>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</si>
  <si>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</si>
  <si>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</si>
  <si>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</si>
  <si>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</si>
  <si>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</si>
  <si>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</si>
  <si>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</si>
  <si>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</si>
  <si>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</si>
  <si>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</si>
  <si>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</si>
  <si>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</si>
  <si>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</si>
  <si>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</si>
  <si>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</si>
  <si>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</si>
  <si>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</si>
  <si>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</si>
  <si>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</si>
  <si>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</si>
  <si>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</si>
  <si>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</si>
  <si>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</si>
  <si>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</si>
  <si>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</si>
  <si>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</si>
  <si>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</si>
  <si>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</si>
  <si>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</si>
  <si>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</si>
  <si>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</si>
  <si>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</si>
  <si>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</si>
  <si>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</si>
  <si>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</si>
  <si>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</si>
  <si>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</si>
  <si>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</si>
  <si>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</si>
  <si>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</si>
  <si>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</si>
  <si>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</si>
  <si>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</si>
  <si>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</si>
  <si>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</si>
  <si>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</si>
  <si>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</si>
  <si>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</si>
  <si>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</si>
  <si>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</si>
  <si>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</si>
  <si>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</si>
  <si>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</si>
  <si>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</si>
  <si>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</si>
  <si>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</si>
  <si>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</si>
  <si>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</si>
  <si>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</si>
  <si>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</si>
  <si>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</si>
  <si>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</si>
  <si>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</si>
  <si>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</si>
  <si>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</si>
  <si>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</si>
  <si>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</si>
  <si>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</si>
  <si>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</si>
  <si>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</si>
  <si>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</si>
  <si>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</si>
  <si>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</si>
  <si>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</si>
  <si>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</si>
  <si>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</si>
  <si>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</si>
  <si>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</si>
  <si>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</si>
  <si>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</si>
  <si>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</si>
  <si>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</si>
  <si>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</si>
  <si>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</si>
  <si>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</si>
  <si>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</si>
  <si>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</si>
  <si>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</si>
  <si>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</si>
  <si>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</si>
  <si>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</si>
  <si>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</si>
  <si>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</si>
  <si>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</si>
  <si>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</si>
  <si>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</si>
  <si>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</si>
  <si>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</si>
  <si>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</si>
  <si>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</si>
  <si>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</si>
  <si>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</si>
  <si>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</si>
  <si>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</si>
  <si>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</si>
  <si>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</si>
  <si>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</si>
  <si>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</si>
  <si>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</si>
  <si>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</si>
  <si>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</si>
  <si>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</si>
  <si>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</si>
  <si>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</si>
  <si>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</si>
  <si>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</si>
  <si>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</si>
  <si>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</si>
  <si>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</si>
  <si>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</si>
  <si>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</si>
  <si>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</si>
  <si>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</si>
  <si>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</si>
  <si>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</si>
  <si>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</si>
  <si>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</si>
  <si>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</si>
  <si>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</si>
  <si>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</si>
  <si>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</si>
  <si>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</si>
  <si>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</si>
  <si>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</si>
  <si>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</si>
  <si>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</si>
  <si>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</si>
  <si>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</si>
  <si>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</si>
  <si>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</si>
  <si>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</si>
  <si>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</si>
  <si>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</si>
  <si>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</si>
  <si>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</si>
  <si>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</si>
  <si>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</si>
  <si>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</si>
  <si>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</si>
  <si>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</si>
  <si>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</si>
  <si>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</si>
  <si>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</si>
  <si>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</si>
  <si>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</si>
  <si>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</si>
  <si>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</si>
  <si>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</si>
  <si>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</si>
  <si>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</si>
  <si>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</si>
  <si>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</si>
  <si>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</si>
  <si>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</si>
  <si>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</si>
  <si>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</si>
  <si>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</si>
  <si>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</si>
  <si>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</si>
  <si>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</si>
  <si>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</si>
  <si>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</si>
  <si>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</si>
  <si>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</si>
  <si>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</si>
  <si>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</si>
  <si>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</si>
  <si>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</si>
  <si>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</si>
  <si>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</si>
  <si>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</si>
  <si>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</si>
  <si>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</si>
  <si>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</si>
  <si>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</si>
  <si>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</si>
  <si>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</si>
  <si>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</si>
  <si>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</si>
  <si>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</si>
  <si>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</si>
  <si>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</si>
  <si>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</si>
  <si>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</si>
  <si>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</si>
  <si>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</si>
  <si>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</si>
  <si>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</si>
  <si>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</si>
  <si>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</si>
  <si>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</si>
  <si>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</si>
  <si>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</si>
  <si>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</si>
  <si>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</si>
  <si>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</si>
  <si>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</si>
  <si>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</si>
  <si>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</si>
  <si>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</si>
  <si>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</si>
  <si>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</si>
  <si>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</si>
  <si>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</si>
  <si>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</si>
  <si>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</si>
  <si>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</si>
  <si>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</si>
  <si>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</si>
  <si>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</si>
  <si>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</si>
  <si>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</si>
  <si>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</si>
  <si>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</si>
  <si>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</si>
  <si>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</si>
  <si>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</si>
  <si>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</si>
  <si>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</si>
  <si>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</si>
  <si>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</si>
  <si>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</si>
  <si>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</si>
  <si>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</si>
  <si>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</si>
  <si>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</si>
  <si>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</si>
  <si>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</si>
  <si>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</si>
  <si>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</si>
  <si>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</si>
  <si>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</si>
  <si>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</si>
  <si>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</si>
  <si>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</si>
  <si>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</si>
  <si>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</si>
  <si>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</si>
  <si>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</si>
  <si>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</si>
  <si>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</si>
  <si>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</si>
  <si>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</si>
  <si>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</si>
  <si>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</si>
  <si>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</si>
  <si>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</si>
  <si>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</si>
  <si>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</si>
  <si>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</si>
  <si>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</si>
  <si>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</si>
  <si>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</si>
  <si>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</si>
  <si>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</si>
  <si>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</si>
  <si>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</si>
  <si>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</si>
  <si>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</si>
  <si>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</si>
  <si>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</si>
  <si>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</si>
  <si>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</si>
  <si>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</si>
  <si>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</si>
  <si>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</si>
  <si>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</si>
  <si>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</si>
  <si>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</si>
  <si>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</si>
  <si>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</si>
  <si>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</si>
  <si>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</si>
  <si>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</si>
  <si>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</si>
  <si>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</si>
  <si>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</si>
  <si>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</si>
  <si>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</si>
  <si>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</si>
  <si>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</si>
  <si>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</si>
  <si>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</si>
  <si>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</si>
  <si>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</si>
  <si>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</si>
  <si>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</si>
  <si>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</si>
  <si>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</si>
  <si>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</si>
  <si>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</si>
  <si>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</si>
  <si>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</si>
  <si>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</si>
  <si>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</si>
  <si>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</si>
  <si>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</si>
  <si>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</si>
  <si>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</si>
  <si>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</si>
  <si>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</si>
  <si>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</si>
  <si>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</si>
  <si>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</si>
  <si>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</si>
  <si>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</si>
  <si>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</si>
  <si>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</si>
  <si>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</si>
  <si>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</si>
  <si>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</si>
  <si>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</si>
  <si>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</si>
  <si>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</si>
  <si>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</si>
  <si>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</si>
  <si>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</si>
  <si>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</si>
  <si>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</si>
  <si>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</si>
  <si>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</si>
  <si>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</si>
  <si>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</si>
  <si>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</si>
  <si>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</si>
  <si>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</si>
  <si>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</si>
  <si>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</si>
  <si>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</si>
  <si>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</si>
  <si>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</si>
  <si>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</si>
  <si>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</si>
  <si>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</si>
  <si>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</si>
  <si>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</si>
  <si>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</si>
  <si>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</si>
  <si>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</si>
  <si>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</si>
  <si>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</si>
  <si>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</si>
  <si>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</si>
  <si>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</si>
  <si>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</si>
  <si>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</si>
  <si>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</si>
  <si>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</si>
  <si>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</si>
  <si>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</si>
  <si>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</si>
  <si>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</si>
  <si>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</si>
  <si>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</si>
  <si>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</si>
  <si>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</si>
  <si>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</si>
  <si>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</si>
  <si>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</si>
  <si>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</si>
  <si>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</si>
  <si>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</si>
  <si>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</si>
  <si>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</si>
  <si>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</si>
  <si>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</si>
  <si>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</si>
  <si>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</si>
  <si>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</si>
  <si>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</si>
  <si>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</si>
  <si>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</si>
  <si>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</si>
  <si>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</si>
  <si>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</si>
  <si>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</si>
  <si>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</si>
  <si>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</si>
  <si>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</si>
  <si>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</si>
  <si>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</si>
  <si>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</si>
  <si>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</si>
  <si>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</si>
  <si>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</si>
  <si>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</si>
  <si>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</si>
  <si>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</si>
  <si>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</si>
  <si>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</si>
  <si>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</si>
  <si>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</si>
  <si>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</si>
  <si>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</si>
  <si>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</si>
  <si>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</si>
  <si>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</si>
  <si>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</si>
  <si>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</si>
  <si>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</si>
  <si>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</si>
  <si>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</si>
  <si>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</si>
  <si>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</si>
  <si>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</si>
  <si>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</si>
  <si>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</si>
  <si>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</si>
  <si>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</si>
  <si>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</si>
  <si>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</si>
  <si>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</si>
  <si>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</si>
  <si>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</si>
  <si>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</si>
  <si>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</si>
  <si>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</si>
  <si>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</si>
  <si>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</si>
  <si>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</si>
  <si>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</si>
  <si>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</si>
  <si>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</si>
  <si>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</si>
  <si>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</si>
  <si>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</si>
  <si>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</si>
  <si>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</si>
  <si>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</si>
  <si>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</si>
  <si>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</si>
  <si>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</si>
  <si>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</si>
  <si>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</si>
  <si>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</si>
  <si>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</si>
  <si>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</si>
  <si>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</si>
  <si>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</si>
  <si>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</si>
  <si>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</si>
  <si>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</si>
  <si>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</si>
  <si>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</si>
  <si>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</si>
  <si>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</si>
  <si>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</si>
  <si>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</si>
  <si>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</si>
  <si>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</si>
  <si>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</si>
  <si>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</si>
  <si>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</si>
  <si>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</si>
  <si>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</si>
  <si>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</si>
  <si>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</si>
  <si>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</si>
  <si>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</si>
  <si>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</si>
  <si>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</si>
  <si>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</si>
  <si>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</si>
  <si>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</si>
  <si>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</si>
  <si>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</si>
  <si>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</si>
  <si>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</si>
  <si>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</si>
  <si>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</si>
  <si>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</si>
  <si>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</si>
  <si>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</si>
  <si>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</si>
  <si>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</si>
  <si>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</si>
  <si>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</si>
  <si>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</si>
  <si>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</si>
  <si>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</si>
  <si>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</si>
  <si>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</si>
  <si>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</si>
  <si>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</si>
  <si>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</si>
  <si>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</si>
  <si>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</si>
  <si>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</si>
  <si>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</si>
  <si>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</si>
  <si>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</si>
  <si>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</si>
  <si>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</si>
  <si>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</si>
  <si>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</si>
  <si>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</si>
  <si>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</si>
  <si>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</si>
  <si>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</si>
  <si>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</si>
  <si>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</si>
  <si>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</si>
  <si>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</si>
  <si>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</si>
  <si>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</si>
  <si>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</si>
  <si>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</si>
  <si>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</si>
  <si>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</si>
  <si>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</si>
  <si>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</si>
  <si>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</si>
  <si>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</si>
  <si>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</si>
  <si>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</si>
  <si>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</si>
  <si>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</si>
  <si>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</si>
  <si>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</si>
  <si>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</si>
  <si>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</si>
  <si>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</si>
  <si>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</si>
  <si>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</si>
  <si>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</si>
  <si>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</si>
  <si>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</si>
  <si>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</si>
  <si>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</si>
  <si>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</si>
  <si>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</si>
  <si>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</si>
  <si>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</si>
  <si>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</si>
  <si>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</si>
  <si>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</si>
  <si>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</si>
  <si>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</si>
  <si>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</si>
  <si>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</si>
  <si>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</si>
  <si>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</si>
  <si>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</si>
  <si>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</si>
  <si>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</si>
  <si>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</si>
  <si>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</si>
  <si>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</si>
  <si>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</si>
  <si>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</si>
  <si>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</si>
  <si>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</si>
  <si>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</si>
  <si>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</si>
  <si>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</si>
  <si>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</si>
  <si>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</si>
  <si>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</si>
  <si>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</si>
  <si>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</si>
  <si>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</si>
  <si>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</si>
  <si>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</si>
  <si>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</si>
  <si>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</si>
  <si>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</si>
  <si>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</si>
  <si>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</si>
  <si>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</si>
  <si>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</si>
  <si>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</si>
  <si>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</si>
  <si>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</si>
  <si>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</si>
  <si>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</si>
  <si>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</si>
  <si>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</si>
  <si>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</si>
  <si>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</si>
  <si>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</si>
  <si>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</si>
  <si>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</si>
  <si>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</si>
  <si>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</si>
  <si>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</si>
  <si>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</si>
  <si>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</si>
  <si>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</si>
  <si>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</si>
  <si>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</si>
  <si>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</si>
  <si>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</si>
  <si>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</si>
  <si>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</si>
  <si>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</si>
  <si>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</si>
  <si>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</si>
  <si>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</si>
  <si>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</si>
  <si>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</si>
  <si>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</si>
  <si>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</si>
  <si>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</si>
  <si>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</si>
  <si>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</si>
  <si>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</si>
  <si>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</si>
  <si>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</si>
  <si>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</si>
  <si>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</si>
  <si>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</si>
  <si>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</si>
  <si>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</si>
  <si>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</si>
  <si>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</si>
  <si>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</si>
  <si>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</si>
  <si>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</si>
  <si>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</si>
  <si>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</si>
  <si>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</si>
  <si>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</si>
  <si>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</si>
  <si>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</si>
  <si>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</si>
  <si>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</si>
  <si>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</si>
  <si>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</si>
  <si>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</si>
  <si>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</si>
  <si>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</si>
  <si>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</si>
  <si>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</si>
  <si>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</si>
  <si>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</si>
  <si>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</si>
  <si>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</si>
  <si>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</si>
  <si>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</si>
  <si>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</si>
  <si>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</si>
  <si>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</si>
  <si>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</si>
  <si>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</si>
  <si>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</si>
  <si>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</si>
  <si>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</si>
  <si>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</si>
  <si>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</si>
  <si>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</si>
  <si>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</si>
  <si>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</si>
  <si>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</si>
  <si>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</si>
  <si>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</si>
  <si>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</si>
  <si>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</si>
  <si>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</si>
  <si>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</si>
  <si>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</si>
  <si>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</si>
  <si>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</si>
  <si>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</si>
  <si>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</si>
  <si>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</si>
  <si>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</si>
  <si>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</si>
  <si>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</si>
  <si>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</si>
  <si>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</si>
  <si>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</si>
  <si>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</si>
  <si>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</si>
  <si>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</si>
  <si>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</si>
  <si>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</si>
  <si>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</si>
  <si>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</si>
  <si>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</si>
  <si>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</si>
  <si>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</si>
  <si>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</si>
  <si>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</si>
  <si>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</si>
  <si>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</si>
  <si>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</si>
  <si>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</si>
  <si>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</si>
  <si>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</si>
  <si>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</si>
  <si>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</si>
  <si>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</si>
  <si>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</si>
  <si>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</si>
  <si>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</si>
  <si>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</si>
  <si>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</si>
  <si>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</si>
  <si>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</si>
  <si>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</si>
  <si>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</si>
  <si>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</si>
  <si>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</si>
  <si>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</si>
  <si>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</si>
  <si>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</si>
  <si>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</si>
  <si>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</si>
  <si>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</si>
  <si>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</si>
  <si>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</si>
  <si>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</si>
  <si>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</si>
  <si>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</si>
  <si>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</si>
  <si>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</si>
  <si>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</si>
  <si>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</si>
  <si>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</si>
  <si>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</si>
  <si>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</si>
  <si>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</si>
  <si>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</si>
  <si>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</si>
  <si>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</si>
  <si>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</si>
  <si>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</si>
  <si>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</si>
  <si>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</si>
  <si>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</si>
  <si>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</si>
  <si>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</si>
  <si>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</si>
  <si>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</si>
  <si>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</si>
  <si>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</si>
  <si>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</si>
  <si>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</si>
  <si>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</si>
  <si>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</si>
  <si>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</si>
  <si>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</si>
  <si>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</si>
  <si>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</si>
  <si>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</si>
  <si>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</si>
  <si>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</si>
  <si>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</si>
  <si>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</si>
  <si>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</si>
  <si>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</si>
  <si>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</si>
  <si>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</si>
  <si>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</si>
  <si>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</si>
  <si>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</si>
  <si>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</si>
  <si>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</si>
  <si>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</si>
  <si>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</si>
  <si>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</si>
  <si>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</si>
  <si>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</si>
  <si>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</si>
  <si>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</si>
  <si>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</si>
  <si>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</si>
  <si>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</si>
  <si>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</si>
  <si>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</si>
  <si>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</si>
  <si>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</si>
  <si>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</si>
  <si>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</si>
  <si>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</si>
  <si>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</si>
  <si>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</si>
  <si>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</si>
  <si>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</si>
  <si>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</si>
  <si>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</si>
  <si>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</si>
  <si>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</si>
  <si>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</si>
  <si>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</si>
  <si>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</si>
  <si>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</si>
  <si>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</si>
  <si>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</si>
  <si>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</si>
  <si>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</si>
  <si>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</si>
  <si>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</si>
  <si>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</si>
  <si>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</si>
  <si>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</si>
  <si>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</si>
  <si>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</si>
  <si>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</si>
  <si>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</si>
  <si>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</si>
  <si>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</si>
  <si>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</si>
  <si>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</si>
  <si>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</si>
  <si>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</si>
  <si>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</si>
  <si>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</si>
  <si>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</si>
  <si>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</si>
  <si>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</si>
  <si>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</si>
  <si>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</si>
  <si>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</si>
  <si>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</si>
  <si>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</si>
  <si>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</si>
  <si>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</si>
  <si>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</si>
  <si>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</si>
  <si>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</si>
  <si>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</si>
  <si>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</si>
  <si>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</si>
  <si>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</si>
  <si>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</si>
  <si>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</si>
  <si>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</si>
  <si>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</si>
  <si>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</si>
  <si>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</si>
  <si>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</si>
  <si>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</si>
  <si>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</si>
  <si>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</si>
  <si>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</si>
  <si>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</si>
  <si>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</si>
  <si>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</si>
  <si>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</si>
  <si>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</si>
  <si>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</si>
  <si>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</si>
  <si>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</si>
  <si>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</si>
  <si>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</si>
  <si>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</si>
  <si>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</si>
  <si>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</si>
  <si>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</si>
  <si>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</si>
  <si>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</si>
  <si>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</si>
  <si>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</si>
  <si>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</si>
  <si>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</si>
  <si>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</si>
  <si>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</si>
  <si>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</si>
  <si>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</si>
  <si>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</si>
  <si>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</si>
  <si>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</si>
  <si>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</si>
  <si>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</si>
  <si>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</si>
  <si>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</si>
  <si>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</si>
  <si>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</si>
  <si>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</si>
  <si>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</si>
  <si>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</si>
  <si>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</si>
  <si>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</si>
  <si>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</si>
  <si>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</si>
  <si>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</si>
  <si>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</si>
  <si>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</si>
  <si>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</si>
  <si>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</si>
  <si>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</si>
  <si>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</si>
  <si>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</si>
  <si>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</si>
  <si>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</si>
  <si>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</si>
  <si>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</si>
  <si>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</si>
  <si>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</si>
  <si>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</si>
  <si>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</si>
  <si>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</si>
  <si>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</si>
  <si>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</si>
  <si>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</si>
  <si>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</si>
  <si>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</si>
  <si>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</si>
  <si>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</si>
  <si>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</si>
  <si>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</si>
  <si>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</si>
  <si>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</si>
  <si>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</si>
  <si>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</si>
  <si>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</si>
  <si>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</si>
  <si>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</si>
  <si>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</si>
  <si>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</si>
  <si>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</si>
  <si>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</si>
  <si>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</si>
  <si>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</si>
  <si>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</si>
  <si>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</si>
  <si>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</si>
  <si>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</si>
  <si>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</si>
  <si>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</si>
  <si>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</si>
  <si>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</si>
  <si>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</si>
  <si>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</si>
  <si>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</si>
  <si>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</si>
  <si>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</si>
  <si>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</si>
  <si>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</si>
  <si>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</si>
  <si>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</si>
  <si>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</si>
  <si>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</si>
  <si>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</si>
  <si>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</si>
  <si>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</si>
  <si>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</si>
  <si>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</si>
  <si>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</si>
  <si>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</si>
  <si>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</si>
  <si>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</si>
  <si>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</si>
  <si>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</si>
  <si>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</si>
  <si>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</si>
  <si>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</si>
  <si>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</si>
  <si>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</si>
  <si>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</si>
  <si>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</si>
  <si>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</si>
  <si>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</si>
  <si>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</si>
  <si>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</si>
  <si>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</si>
  <si>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</si>
  <si>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</si>
  <si>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</si>
  <si>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</si>
  <si>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</si>
  <si>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</si>
  <si>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</si>
  <si>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</si>
  <si>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</si>
  <si>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</si>
  <si>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</si>
  <si>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</si>
  <si>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</si>
  <si>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</si>
  <si>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</si>
  <si>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</si>
  <si>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</si>
  <si>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</si>
  <si>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</si>
  <si>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</si>
  <si>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</si>
  <si>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</si>
  <si>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</si>
  <si>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</si>
  <si>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</si>
  <si>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</si>
  <si>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</si>
  <si>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</si>
  <si>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</si>
  <si>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</si>
  <si>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</si>
  <si>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</si>
  <si>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</si>
  <si>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</si>
  <si>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</si>
  <si>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</si>
  <si>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</si>
  <si>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</si>
  <si>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</si>
  <si>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</si>
  <si>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</si>
  <si>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</si>
  <si>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</si>
  <si>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</si>
  <si>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</si>
  <si>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</si>
  <si>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</si>
  <si>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</si>
  <si>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</si>
  <si>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</si>
  <si>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</si>
  <si>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</si>
  <si>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</si>
  <si>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</si>
  <si>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</si>
  <si>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</si>
  <si>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</si>
  <si>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</si>
  <si>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</si>
  <si>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</si>
  <si>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</si>
  <si>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</si>
  <si>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</si>
  <si>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</si>
  <si>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</si>
  <si>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</si>
  <si>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</si>
  <si>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</si>
  <si>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</si>
  <si>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</si>
  <si>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</si>
  <si>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</si>
  <si>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</si>
  <si>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</si>
  <si>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</si>
  <si>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</si>
  <si>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</si>
  <si>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</si>
  <si>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</si>
  <si>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</si>
  <si>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</si>
  <si>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</si>
  <si>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</si>
  <si>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</si>
  <si>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</si>
  <si>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</si>
  <si>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</si>
  <si>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</si>
  <si>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</si>
  <si>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</si>
  <si>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</si>
  <si>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</si>
  <si>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</si>
  <si>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</si>
  <si>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</si>
  <si>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</si>
  <si>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</si>
  <si>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</si>
  <si>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</si>
  <si>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</si>
  <si>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</si>
  <si>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</si>
  <si>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</si>
  <si>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</si>
  <si>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</si>
  <si>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</si>
  <si>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</si>
  <si>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</si>
  <si>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</si>
  <si>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</si>
  <si>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</si>
  <si>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</si>
  <si>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</si>
  <si>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</si>
  <si>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</si>
  <si>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</si>
  <si>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</si>
  <si>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</si>
  <si>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</si>
  <si>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</si>
  <si>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</si>
  <si>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</si>
  <si>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</si>
  <si>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</si>
  <si>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</si>
  <si>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</si>
  <si>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</si>
  <si>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</si>
  <si>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</si>
  <si>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</si>
  <si>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</si>
  <si>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</si>
  <si>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</si>
  <si>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</si>
  <si>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</si>
  <si>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</si>
  <si>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</si>
  <si>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</si>
  <si>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</si>
  <si>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</si>
  <si>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</si>
  <si>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</si>
  <si>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</si>
  <si>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</si>
  <si>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</si>
  <si>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</si>
  <si>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</si>
  <si>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</si>
  <si>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</si>
  <si>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</si>
  <si>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</si>
  <si>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</si>
  <si>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</si>
  <si>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</si>
  <si>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</si>
  <si>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</si>
  <si>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</si>
  <si>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</si>
  <si>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</si>
  <si>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</si>
  <si>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</si>
  <si>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</si>
  <si>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</si>
  <si>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</si>
  <si>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</si>
  <si>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</si>
  <si>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</si>
  <si>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</si>
  <si>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</si>
  <si>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</si>
  <si>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</si>
  <si>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</si>
  <si>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</si>
  <si>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</si>
  <si>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</si>
  <si>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</si>
  <si>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</si>
  <si>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</si>
  <si>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</si>
  <si>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</si>
  <si>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</si>
  <si>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</si>
  <si>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</si>
  <si>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</si>
  <si>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</si>
  <si>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</si>
  <si>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</si>
  <si>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</si>
  <si>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</si>
  <si>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</si>
  <si>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</si>
  <si>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</si>
  <si>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</si>
  <si>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</si>
  <si>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</si>
  <si>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</si>
  <si>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</si>
  <si>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</si>
  <si>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</si>
  <si>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</si>
  <si>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</si>
  <si>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</si>
  <si>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</si>
  <si>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</si>
  <si>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</si>
  <si>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</si>
  <si>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</si>
  <si>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</si>
  <si>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</si>
  <si>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</si>
  <si>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</si>
  <si>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</si>
  <si>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</si>
  <si>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</si>
  <si>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</si>
  <si>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</si>
  <si>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</si>
  <si>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</si>
  <si>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</si>
  <si>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</si>
  <si>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</si>
  <si>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</si>
  <si>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</si>
  <si>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</si>
  <si>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</si>
  <si>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</si>
  <si>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</si>
  <si>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</si>
  <si>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</si>
  <si>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</si>
  <si>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</si>
  <si>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</si>
  <si>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</si>
  <si>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</si>
  <si>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</si>
  <si>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</si>
  <si>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</si>
  <si>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</si>
  <si>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</si>
  <si>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</si>
  <si>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</si>
  <si>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</si>
  <si>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</si>
  <si>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</si>
  <si>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</si>
  <si>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</si>
  <si>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</si>
  <si>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</si>
  <si>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</si>
  <si>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</si>
  <si>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</si>
  <si>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</si>
  <si>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</si>
  <si>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</si>
  <si>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</si>
  <si>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</si>
  <si>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</si>
  <si>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</si>
  <si>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</si>
  <si>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</si>
  <si>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</si>
  <si>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</si>
  <si>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</si>
  <si>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</si>
  <si>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</si>
  <si>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</si>
  <si>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</si>
  <si>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</si>
  <si>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</si>
  <si>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</si>
  <si>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</si>
  <si>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</si>
  <si>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</si>
  <si>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</si>
  <si>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</si>
  <si>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</si>
  <si>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</si>
  <si>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</si>
  <si>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</si>
  <si>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</si>
  <si>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</si>
  <si>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</si>
  <si>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</si>
  <si>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</si>
  <si>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</si>
  <si>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</si>
  <si>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</si>
  <si>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</si>
  <si>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</si>
  <si>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</si>
  <si>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</si>
  <si>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</si>
  <si>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</si>
  <si>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</si>
  <si>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</si>
  <si>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</si>
  <si>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</si>
  <si>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</si>
  <si>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</si>
  <si>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</si>
  <si>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</si>
  <si>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</si>
  <si>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</si>
  <si>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</si>
  <si>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</si>
  <si>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</si>
  <si>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</si>
  <si>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</si>
  <si>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</si>
  <si>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</si>
  <si>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</si>
  <si>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</si>
  <si>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</si>
  <si>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</si>
  <si>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</si>
  <si>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</si>
  <si>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</si>
  <si>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</si>
  <si>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</si>
  <si>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</si>
  <si>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</si>
  <si>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</si>
  <si>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</si>
  <si>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</si>
  <si>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</si>
  <si>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</si>
  <si>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</si>
  <si>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</si>
  <si>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</si>
  <si>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</si>
  <si>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</si>
  <si>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</si>
  <si>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</si>
  <si>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</si>
  <si>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</si>
  <si>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</si>
  <si>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</si>
  <si>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</si>
  <si>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</si>
  <si>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</si>
  <si>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</si>
  <si>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</si>
  <si>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</si>
  <si>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</si>
  <si>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</si>
  <si>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</si>
  <si>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</si>
  <si>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</si>
  <si>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</si>
  <si>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</si>
  <si>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</si>
  <si>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</si>
  <si>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</si>
  <si>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</si>
  <si>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</si>
  <si>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</si>
  <si>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</si>
  <si>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</si>
  <si>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</si>
  <si>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</si>
  <si>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</si>
  <si>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</si>
  <si>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</si>
  <si>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</si>
  <si>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</si>
  <si>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</si>
  <si>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</si>
  <si>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</si>
  <si>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</si>
  <si>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</si>
  <si>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</si>
  <si>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</si>
  <si>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</si>
  <si>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</si>
  <si>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</si>
  <si>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</si>
  <si>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</si>
  <si>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</si>
  <si>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</si>
  <si>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</si>
  <si>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</si>
  <si>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</si>
  <si>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</si>
  <si>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</si>
  <si>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</si>
  <si>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</si>
  <si>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</si>
  <si>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</si>
  <si>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</si>
  <si>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</si>
  <si>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</si>
  <si>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</si>
  <si>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</si>
  <si>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</si>
  <si>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</si>
  <si>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</si>
  <si>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</si>
  <si>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</si>
  <si>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</si>
  <si>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</si>
  <si>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</si>
  <si>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</si>
  <si>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</si>
  <si>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</si>
  <si>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</si>
  <si>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</si>
  <si>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</si>
  <si>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</si>
  <si>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</si>
  <si>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</si>
  <si>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</si>
  <si>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</si>
  <si>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</si>
  <si>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</si>
  <si>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</si>
  <si>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</si>
  <si>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</si>
  <si>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</si>
  <si>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</si>
  <si>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</si>
  <si>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</si>
  <si>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</si>
  <si>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</si>
  <si>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</si>
  <si>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</si>
  <si>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</si>
  <si>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</si>
  <si>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</si>
  <si>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</si>
  <si>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</si>
  <si>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</si>
  <si>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</si>
  <si>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</si>
  <si>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</si>
  <si>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</si>
  <si>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</si>
  <si>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</si>
  <si>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</si>
  <si>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</si>
  <si>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</si>
  <si>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</si>
  <si>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</si>
  <si>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</si>
  <si>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</si>
  <si>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</si>
  <si>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</si>
  <si>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</si>
  <si>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</si>
  <si>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</si>
  <si>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</si>
  <si>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</si>
  <si>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</si>
  <si>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</si>
  <si>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</si>
  <si>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</si>
  <si>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</si>
  <si>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</si>
  <si>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</si>
  <si>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</si>
  <si>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</si>
  <si>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</si>
  <si>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</si>
  <si>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</si>
  <si>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</si>
  <si>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</si>
  <si>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</si>
  <si>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</si>
  <si>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</si>
  <si>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</si>
  <si>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</si>
  <si>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</si>
  <si>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</si>
  <si>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</si>
  <si>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</si>
  <si>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</si>
  <si>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</si>
  <si>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</si>
  <si>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</si>
  <si>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</si>
  <si>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</si>
  <si>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</si>
  <si>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</si>
  <si>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</si>
  <si>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</si>
  <si>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</si>
  <si>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</si>
  <si>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</si>
  <si>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</si>
  <si>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</si>
  <si>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</si>
  <si>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</si>
  <si>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</si>
  <si>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</si>
  <si>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</si>
  <si>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</si>
  <si>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</si>
  <si>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</si>
  <si>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</si>
  <si>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</si>
  <si>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</si>
  <si>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</si>
  <si>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</si>
  <si>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</si>
  <si>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</si>
  <si>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</si>
  <si>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</si>
  <si>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</si>
  <si>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</si>
  <si>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</si>
  <si>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</si>
  <si>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</si>
  <si>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</si>
  <si>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</si>
  <si>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</si>
  <si>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</si>
  <si>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</si>
  <si>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</si>
  <si>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</si>
  <si>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</si>
  <si>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</si>
  <si>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</si>
  <si>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</si>
  <si>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</si>
  <si>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</si>
  <si>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</si>
  <si>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</si>
  <si>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</si>
  <si>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</si>
  <si>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</si>
  <si>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</si>
  <si>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</si>
  <si>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</si>
  <si>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</si>
  <si>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</si>
  <si>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</si>
  <si>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</si>
  <si>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</si>
  <si>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</si>
  <si>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</si>
  <si>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</si>
  <si>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</si>
  <si>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</si>
  <si>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</si>
  <si>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</si>
  <si>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</si>
  <si>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</si>
  <si>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</si>
  <si>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</si>
  <si>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</si>
  <si>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</si>
  <si>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</si>
  <si>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</si>
  <si>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</si>
  <si>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</si>
  <si>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</si>
  <si>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</si>
  <si>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</si>
  <si>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</si>
  <si>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</si>
  <si>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</si>
  <si>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</si>
  <si>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</si>
  <si>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</si>
  <si>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</si>
  <si>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</si>
  <si>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</si>
  <si>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</si>
  <si>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</si>
  <si>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</si>
  <si>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</si>
  <si>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</si>
  <si>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</si>
  <si>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</si>
  <si>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</si>
  <si>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</si>
  <si>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</si>
  <si>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</si>
  <si>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</si>
  <si>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</si>
  <si>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</si>
  <si>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</si>
  <si>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</si>
  <si>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</si>
  <si>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</si>
  <si>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</si>
  <si>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</si>
  <si>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</si>
  <si>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</si>
  <si>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</si>
  <si>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</si>
  <si>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</si>
  <si>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</si>
  <si>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</si>
  <si>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</si>
  <si>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</si>
  <si>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</si>
  <si>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</si>
  <si>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</si>
  <si>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</si>
  <si>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</si>
  <si>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</si>
  <si>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</si>
  <si>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</si>
  <si>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</si>
  <si>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</si>
  <si>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</si>
  <si>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</si>
  <si>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</si>
  <si>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</si>
  <si>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</si>
  <si>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</si>
  <si>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</si>
  <si>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</si>
  <si>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</si>
  <si>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</si>
  <si>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</si>
  <si>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</si>
  <si>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</si>
  <si>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</si>
  <si>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</si>
  <si>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</si>
  <si>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</si>
  <si>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</si>
  <si>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</si>
  <si>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</si>
  <si>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</si>
  <si>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</si>
  <si>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</si>
  <si>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</si>
  <si>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</si>
  <si>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</si>
  <si>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</si>
  <si>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</si>
  <si>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</si>
  <si>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</si>
  <si>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</si>
  <si>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</si>
  <si>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</si>
  <si>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</si>
  <si>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</si>
  <si>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</si>
  <si>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</si>
  <si>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</si>
  <si>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</si>
  <si>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</si>
  <si>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</si>
  <si>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</si>
  <si>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</si>
  <si>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</si>
  <si>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</si>
  <si>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</si>
  <si>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Thôn Chánh Lợi, xã Cát Khánh, huyện Phù Cát, tỉnh Bình Định</t>
  </si>
  <si>
    <t>C01994111119TG05</t>
  </si>
  <si>
    <t>1900416/19/TG/TT3</t>
  </si>
  <si>
    <t>Thôn 4, xã Quảng Điền, huyện Krông Ana, tỉnh Đắk Lắk</t>
  </si>
  <si>
    <t>C01995111119TG05</t>
  </si>
  <si>
    <t>1900417/19/TG/TT3</t>
  </si>
  <si>
    <t>Thôn 5, xã Ea Kiết, huyện Cư M'Gar, tỉnh Đắk Lắk</t>
  </si>
  <si>
    <t>C01996111119TG05</t>
  </si>
  <si>
    <t>1900418/19/TG/TT3</t>
  </si>
  <si>
    <t>Thôn Đoàn Kết 1, xã Buôn Triết, huyện Lắk, tỉnh Đắk Lắk</t>
  </si>
  <si>
    <t>C01997111119TG05</t>
  </si>
  <si>
    <t>1900419/19/TG/TT3</t>
  </si>
  <si>
    <t>Tổ dân phố 4, thị trấn Ea T'Ling, huyện Cư Jút, tỉnh Đắk Nông</t>
  </si>
  <si>
    <t>C01998111119TG05</t>
  </si>
  <si>
    <t>1900420/19/TG/TT3</t>
  </si>
  <si>
    <t>Thôn Đại An II, xã Ia Khươl, huyện Chư Păh, tỉnh Gia Lai</t>
  </si>
  <si>
    <t>C01999111119TG05</t>
  </si>
  <si>
    <t>1900421/19/TG/TT3</t>
  </si>
  <si>
    <t>Số 277/1, đường Âu Cơ, phường Bùi Thị Xuân, thành phố Quy Nhơn, tỉnh Bình Định</t>
  </si>
  <si>
    <t>C01936111119TG05</t>
  </si>
  <si>
    <t>1900001/19/TG/TT3</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</si>
  <si>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</si>
  <si>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</si>
  <si>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</si>
  <si>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</si>
  <si>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</si>
  <si>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</si>
  <si>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</si>
  <si>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</si>
  <si>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</si>
  <si>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</si>
  <si>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</si>
  <si>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</si>
  <si>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</si>
  <si>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</si>
  <si>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</si>
  <si>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</si>
  <si>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</si>
  <si>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</si>
  <si>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</si>
  <si>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</si>
  <si>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</si>
  <si>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</si>
  <si>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</si>
  <si>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</si>
  <si>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</si>
  <si>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</si>
  <si>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</si>
  <si>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</si>
  <si>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</si>
  <si>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</si>
  <si>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</si>
  <si>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</si>
  <si>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</si>
  <si>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</si>
  <si>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</si>
  <si>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</si>
  <si>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</si>
  <si>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</si>
  <si>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</si>
  <si>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</si>
  <si>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</si>
  <si>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</si>
  <si>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</si>
  <si>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</si>
  <si>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</si>
  <si>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</si>
  <si>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</si>
  <si>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</si>
  <si>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</si>
  <si>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</si>
  <si>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</si>
  <si>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</si>
  <si>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</si>
  <si>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</si>
  <si>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</si>
  <si>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t>
  </si>
  <si>
    <t>209089_1</t>
  </si>
  <si>
    <t>HUAWEI BTS 3900</t>
  </si>
  <si>
    <t>1/1/1</t>
  </si>
  <si>
    <t>90/90/90</t>
  </si>
  <si>
    <t>42/42/42</t>
  </si>
  <si>
    <t>VCC3</t>
  </si>
  <si>
    <t>19/06/2019</t>
  </si>
  <si>
    <t>Cao Minh Mẫn</t>
  </si>
  <si>
    <t>Trần Tiến</t>
  </si>
  <si>
    <t>TRUNG TÂM KIỂM ĐỊNH VÀ CHỨNG NHẬN 3</t>
  </si>
  <si>
    <t>TP. Đà Nẵng</t>
  </si>
  <si>
    <t>Vũ Long</t>
  </si>
  <si>
    <t>Công ty Cổ phần Viễn thông Di động Vietnamobile</t>
  </si>
  <si>
    <t>tỉnh Bình Định</t>
  </si>
  <si>
    <t>huyện Phù Cát</t>
  </si>
  <si>
    <t>xã Cát Khánh</t>
  </si>
  <si>
    <t/>
  </si>
  <si>
    <t>90W/ 90W/ 90W</t>
  </si>
  <si>
    <t>42m/ 42m/ 42m</t>
  </si>
  <si>
    <t>Trung tâm Kiểm định và Chứng nhận 3</t>
  </si>
  <si>
    <t>01994</t>
  </si>
  <si>
    <t>111119</t>
  </si>
  <si>
    <t>TG05</t>
  </si>
  <si>
    <t>216115_1</t>
  </si>
  <si>
    <t>tỉnh Đắk Lắk</t>
  </si>
  <si>
    <t>huyện Krông Ana</t>
  </si>
  <si>
    <t>xã Quảng Điền</t>
  </si>
  <si>
    <t>01995</t>
  </si>
  <si>
    <t>216501_1</t>
  </si>
  <si>
    <t>huyện Cư M'Gar</t>
  </si>
  <si>
    <t>xã Ea Kiết</t>
  </si>
  <si>
    <t>216502_1</t>
  </si>
  <si>
    <t>huyện Lắk</t>
  </si>
  <si>
    <t>xã Buôn Triết</t>
  </si>
  <si>
    <t>01997</t>
  </si>
  <si>
    <t>217501_1</t>
  </si>
  <si>
    <t>tỉnh Đắk Nông</t>
  </si>
  <si>
    <t>huyện Cư Jút</t>
  </si>
  <si>
    <t>thị trấn Ea T'Ling</t>
  </si>
  <si>
    <t>01998</t>
  </si>
  <si>
    <t>221501_1</t>
  </si>
  <si>
    <t>1/1</t>
  </si>
  <si>
    <t>90/90</t>
  </si>
  <si>
    <t>42/42</t>
  </si>
  <si>
    <t>tỉnh Gia Lai</t>
  </si>
  <si>
    <t>huyện Chư Păh</t>
  </si>
  <si>
    <t>xã Ia Khươl</t>
  </si>
  <si>
    <t>90W/ 90W</t>
  </si>
  <si>
    <t>42m/ 42m</t>
  </si>
  <si>
    <t>CÔNG TY CỔ PHẦN VIỄN THÔNG DI ĐỘNG VIETNAMOBILE;CÔNG TY CỔ PHẦN VIỄN THÔNG DI ĐỘNG VIETNAMOBILE</t>
  </si>
  <si>
    <t>209050_1;209050_2</t>
  </si>
  <si>
    <t>HUAWEI BTS 3900;ZTE ZXSDR BS8700</t>
  </si>
  <si>
    <t>3;3</t>
  </si>
  <si>
    <t>2/2/2;1/1/1</t>
  </si>
  <si>
    <t>90/90/90;20/20/20</t>
  </si>
  <si>
    <t>900;2100</t>
  </si>
  <si>
    <t>21/21/21;21/21/21</t>
  </si>
  <si>
    <t>thành phố Quy Nhơn</t>
  </si>
  <si>
    <t>phường Bùi Thị Xuân</t>
  </si>
  <si>
    <t>VNMOBILE;VNMOBILE</t>
  </si>
  <si>
    <t>209050_1</t>
  </si>
  <si>
    <t>209050_2</t>
  </si>
  <si>
    <t>ZTE ZXSDR BS8700</t>
  </si>
  <si>
    <t>20/20/20</t>
  </si>
  <si>
    <t>20W/ 20W/ 20W</t>
  </si>
  <si>
    <t>2100</t>
  </si>
  <si>
    <t>21/21/21</t>
  </si>
  <si>
    <t>21m/ 21m/ 21m</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</si>
  <si>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</si>
  <si>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</si>
  <si>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</si>
  <si>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</si>
  <si>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</si>
  <si>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</si>
  <si>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</si>
  <si>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</si>
  <si>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</si>
  <si>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</si>
  <si>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</si>
  <si>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</si>
  <si>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</si>
  <si>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</si>
  <si>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</si>
  <si>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</si>
  <si>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</si>
  <si>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</si>
  <si>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</si>
  <si>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</si>
  <si>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</si>
  <si>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</si>
  <si>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</si>
  <si>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</si>
  <si>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</si>
  <si>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</si>
  <si>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</si>
  <si>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</si>
  <si>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</si>
  <si>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</si>
  <si>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</si>
  <si>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</si>
  <si>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</si>
  <si>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</si>
  <si>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</si>
  <si>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</si>
  <si>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</si>
  <si>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</si>
  <si>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</si>
  <si>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</si>
  <si>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</si>
  <si>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</si>
  <si>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</si>
  <si>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</si>
  <si>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</si>
  <si>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</si>
  <si>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</si>
  <si>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</si>
  <si>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</si>
  <si>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</si>
  <si>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</si>
  <si>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</si>
  <si>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</si>
  <si>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</si>
  <si>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</si>
  <si>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</si>
  <si>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</si>
  <si>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</si>
  <si>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</si>
  <si>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</si>
  <si>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</si>
  <si>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</si>
  <si>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</si>
  <si>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</si>
  <si>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</si>
  <si>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</si>
  <si>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</si>
  <si>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</si>
  <si>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</si>
  <si>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</si>
  <si>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</si>
  <si>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</si>
  <si>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</si>
  <si>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</si>
  <si>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</si>
  <si>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</si>
  <si>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</si>
  <si>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</si>
  <si>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</si>
  <si>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</si>
  <si>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</si>
  <si>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</si>
  <si>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</si>
  <si>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</si>
  <si>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</si>
  <si>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</si>
  <si>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</si>
  <si>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</si>
  <si>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</si>
  <si>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</si>
  <si>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</si>
  <si>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</si>
  <si>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</si>
  <si>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</si>
  <si>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</si>
  <si>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</si>
  <si>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</si>
  <si>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</si>
  <si>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</si>
  <si>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</si>
  <si>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</si>
  <si>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</si>
  <si>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</si>
  <si>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</si>
  <si>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</si>
  <si>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</si>
  <si>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</si>
  <si>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</si>
  <si>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</si>
  <si>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</si>
  <si>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</si>
  <si>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</si>
  <si>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</si>
  <si>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</si>
  <si>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</si>
  <si>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</si>
  <si>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</si>
  <si>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</si>
  <si>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</si>
  <si>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</si>
  <si>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</si>
  <si>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</si>
  <si>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</si>
  <si>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</si>
  <si>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</si>
  <si>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</si>
  <si>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</si>
  <si>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</si>
  <si>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</si>
  <si>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</si>
  <si>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</si>
  <si>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</si>
  <si>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</si>
  <si>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</si>
  <si>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</si>
  <si>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</si>
  <si>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</si>
  <si>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</si>
  <si>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</si>
  <si>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</si>
  <si>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</si>
  <si>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</si>
  <si>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</si>
  <si>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</si>
  <si>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</si>
  <si>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</si>
  <si>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</si>
  <si>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</si>
  <si>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</si>
  <si>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</si>
  <si>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</si>
  <si>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</si>
  <si>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</si>
  <si>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</si>
  <si>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</si>
  <si>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</si>
  <si>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</si>
  <si>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</si>
  <si>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</si>
  <si>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</si>
  <si>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</si>
  <si>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</si>
  <si>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</si>
  <si>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</si>
  <si>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</si>
  <si>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</si>
  <si>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</si>
  <si>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</si>
  <si>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</si>
  <si>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</si>
  <si>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</si>
  <si>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</si>
  <si>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</si>
  <si>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</si>
  <si>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</si>
  <si>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</si>
  <si>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</si>
  <si>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</si>
  <si>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</si>
  <si>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</si>
  <si>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</si>
  <si>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</si>
  <si>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</si>
  <si>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</si>
  <si>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</si>
  <si>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</si>
  <si>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</si>
  <si>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</si>
  <si>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</si>
  <si>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</si>
  <si>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</si>
  <si>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</si>
  <si>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</si>
  <si>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</si>
  <si>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</si>
  <si>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</si>
  <si>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</si>
  <si>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</si>
  <si>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</si>
  <si>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</si>
  <si>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</si>
  <si>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</si>
  <si>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</si>
  <si>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</si>
  <si>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</si>
  <si>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</si>
  <si>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</si>
  <si>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</si>
  <si>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</si>
  <si>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</si>
  <si>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</si>
  <si>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</si>
  <si>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</si>
  <si>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</si>
  <si>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</si>
  <si>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</si>
  <si>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</si>
  <si>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</si>
  <si>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</si>
  <si>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</si>
  <si>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</si>
  <si>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</si>
  <si>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</si>
  <si>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</si>
  <si>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</si>
  <si>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</si>
  <si>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</si>
  <si>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</si>
  <si>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</si>
  <si>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</si>
  <si>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</si>
  <si>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</si>
  <si>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</si>
  <si>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</si>
  <si>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</si>
  <si>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</si>
  <si>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</si>
  <si>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</si>
  <si>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</si>
  <si>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</si>
  <si>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</si>
  <si>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</si>
  <si>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</si>
  <si>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</si>
  <si>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</si>
  <si>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</si>
  <si>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</si>
  <si>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</si>
  <si>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</si>
  <si>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</si>
  <si>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</si>
  <si>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</si>
  <si>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</si>
  <si>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</si>
  <si>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</si>
  <si>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</si>
  <si>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</si>
  <si>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</si>
  <si>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</si>
  <si>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</si>
  <si>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</si>
  <si>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</si>
  <si>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</si>
  <si>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</si>
  <si>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</si>
  <si>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</si>
  <si>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</si>
  <si>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</si>
  <si>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</si>
  <si>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</si>
  <si>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</si>
  <si>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</si>
  <si>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</si>
  <si>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</si>
  <si>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</si>
  <si>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</si>
  <si>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</si>
  <si>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</si>
  <si>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</si>
  <si>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</si>
  <si>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</si>
  <si>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</si>
  <si>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</si>
  <si>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</si>
  <si>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</si>
  <si>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</si>
  <si>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</si>
  <si>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</si>
  <si>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</si>
  <si>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</si>
  <si>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</si>
  <si>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</si>
  <si>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</si>
  <si>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</si>
  <si>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</si>
  <si>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</si>
  <si>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</si>
  <si>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</si>
  <si>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</si>
  <si>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</si>
  <si>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</si>
  <si>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</si>
  <si>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</si>
  <si>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</si>
  <si>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</si>
  <si>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</si>
  <si>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</si>
  <si>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</si>
  <si>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</si>
  <si>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</si>
  <si>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</si>
  <si>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</si>
  <si>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</si>
  <si>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</si>
  <si>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</si>
  <si>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</si>
  <si>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</si>
  <si>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</si>
  <si>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</si>
  <si>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</si>
  <si>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</si>
  <si>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</si>
  <si>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</si>
  <si>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</si>
  <si>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</si>
  <si>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</si>
  <si>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</si>
  <si>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</si>
  <si>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</si>
  <si>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</si>
  <si>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</si>
  <si>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</si>
  <si>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</si>
  <si>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</si>
  <si>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</si>
  <si>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</si>
  <si>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</si>
  <si>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</si>
  <si>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</si>
  <si>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</si>
  <si>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</si>
  <si>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</si>
  <si>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</si>
  <si>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</si>
  <si>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</si>
  <si>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</si>
  <si>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</si>
  <si>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</si>
  <si>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</si>
  <si>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</si>
  <si>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</si>
  <si>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</si>
  <si>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</si>
  <si>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</si>
  <si>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</si>
  <si>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</si>
  <si>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</si>
  <si>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</si>
  <si>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</si>
  <si>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</si>
  <si>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</si>
  <si>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</si>
  <si>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</si>
  <si>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</si>
  <si>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</si>
  <si>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</si>
  <si>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</si>
  <si>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</si>
  <si>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</si>
  <si>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</si>
  <si>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</si>
  <si>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</si>
  <si>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</si>
  <si>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</si>
  <si>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</si>
  <si>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</si>
  <si>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</si>
  <si>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</si>
  <si>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</si>
  <si>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</si>
  <si>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</si>
  <si>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</si>
  <si>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</si>
  <si>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</si>
  <si>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</si>
  <si>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</si>
  <si>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</si>
  <si>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</si>
  <si>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</si>
  <si>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</si>
  <si>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</si>
  <si>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</si>
  <si>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</si>
  <si>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</si>
  <si>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</si>
  <si>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</si>
  <si>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</si>
  <si>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</si>
  <si>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</si>
  <si>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</si>
  <si>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</si>
  <si>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</si>
  <si>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</si>
  <si>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</si>
  <si>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</si>
  <si>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</si>
  <si>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</si>
  <si>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</si>
  <si>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</si>
  <si>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</si>
  <si>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</si>
  <si>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</si>
  <si>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</si>
  <si>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</si>
  <si>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</si>
  <si>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</si>
  <si>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</si>
  <si>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</si>
  <si>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</si>
  <si>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</si>
  <si>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</si>
  <si>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</si>
  <si>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</si>
  <si>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</si>
  <si>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</si>
  <si>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</si>
  <si>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</si>
  <si>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</si>
  <si>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</si>
  <si>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</si>
  <si>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</si>
  <si>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</si>
  <si>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</si>
  <si>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</si>
  <si>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</si>
  <si>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</si>
  <si>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</si>
  <si>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</si>
  <si>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</si>
  <si>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</si>
  <si>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</si>
  <si>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</si>
  <si>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</si>
  <si>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</si>
  <si>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</si>
  <si>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</si>
  <si>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</si>
  <si>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</si>
  <si>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</si>
  <si>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</si>
  <si>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3xx/VNM</t>
  </si>
  <si>
    <t>3xx/PKĐ-TT3</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</si>
  <si>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</si>
  <si>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</si>
  <si>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</si>
  <si>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</si>
  <si>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</si>
  <si>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</si>
  <si>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</si>
  <si>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</si>
  <si>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</si>
  <si>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</si>
  <si>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</si>
  <si>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</si>
  <si>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</si>
  <si>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</si>
  <si>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</si>
  <si>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</si>
  <si>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</si>
  <si>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</si>
  <si>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</si>
  <si>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</si>
  <si>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</si>
  <si>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</si>
  <si>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</si>
  <si>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</si>
  <si>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</si>
  <si>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</si>
  <si>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</si>
  <si>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</si>
  <si>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</si>
  <si>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</si>
  <si>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</si>
  <si>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</si>
  <si>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</si>
  <si>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</si>
  <si>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</si>
  <si>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</si>
  <si>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</si>
  <si>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</si>
  <si>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</si>
  <si>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</si>
  <si>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</si>
  <si>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</si>
  <si>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</si>
  <si>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</si>
  <si>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</si>
  <si>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</si>
  <si>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</si>
  <si>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</si>
  <si>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</si>
  <si>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</si>
  <si>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</si>
  <si>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</si>
  <si>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</si>
  <si>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</si>
  <si>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</si>
  <si>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</si>
  <si>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</si>
  <si>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</si>
  <si>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</si>
  <si>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</si>
  <si>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</si>
  <si>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</si>
  <si>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</si>
  <si>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</si>
  <si>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</si>
  <si>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</si>
  <si>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</si>
  <si>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</si>
  <si>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</si>
  <si>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</si>
  <si>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</si>
  <si>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</si>
  <si>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</si>
  <si>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</si>
  <si>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</si>
  <si>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</si>
  <si>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</si>
  <si>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</si>
  <si>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</si>
  <si>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</si>
  <si>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</si>
  <si>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</si>
  <si>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</si>
  <si>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</si>
  <si>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</si>
  <si>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</si>
  <si>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</si>
  <si>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</si>
  <si>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</si>
  <si>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</si>
  <si>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</si>
  <si>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</si>
  <si>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</si>
  <si>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</si>
  <si>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</si>
  <si>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</si>
  <si>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</si>
  <si>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</si>
  <si>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</si>
  <si>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</si>
  <si>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</si>
  <si>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</si>
  <si>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</si>
  <si>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</si>
  <si>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</si>
  <si>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</si>
  <si>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</si>
  <si>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</si>
  <si>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</si>
  <si>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</si>
  <si>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</si>
  <si>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</si>
  <si>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</si>
  <si>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</si>
  <si>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</si>
  <si>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</si>
  <si>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</si>
  <si>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</si>
  <si>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</si>
  <si>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</si>
  <si>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</si>
  <si>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</si>
  <si>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</si>
  <si>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</si>
  <si>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</si>
  <si>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</si>
  <si>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</si>
  <si>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</si>
  <si>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</si>
  <si>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</si>
  <si>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</si>
  <si>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</si>
  <si>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</si>
  <si>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</si>
  <si>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</si>
  <si>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</si>
  <si>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</si>
  <si>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</si>
  <si>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</si>
  <si>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</si>
  <si>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</si>
  <si>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</si>
  <si>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</si>
  <si>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</si>
  <si>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</si>
  <si>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</si>
  <si>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</si>
  <si>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</si>
  <si>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</si>
  <si>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</si>
  <si>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</si>
  <si>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</si>
  <si>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</si>
  <si>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</si>
  <si>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</si>
  <si>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</si>
  <si>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Tổng công ty viễn thông MobiFone</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</si>
  <si>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</si>
  <si>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</si>
  <si>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</si>
  <si>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</si>
  <si>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</si>
  <si>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</si>
  <si>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</si>
  <si>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</si>
  <si>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</si>
  <si>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</si>
  <si>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</si>
  <si>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</si>
  <si>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</si>
  <si>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</si>
  <si>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</si>
  <si>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</si>
  <si>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</si>
  <si>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</si>
  <si>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</si>
  <si>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</si>
  <si>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</si>
  <si>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</si>
  <si>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</si>
  <si>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</si>
  <si>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</si>
  <si>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</si>
  <si>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</si>
  <si>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</si>
  <si>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</si>
  <si>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</si>
  <si>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ERICSSON RBS 6601</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</si>
  <si>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</si>
  <si>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</si>
  <si>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</si>
  <si>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</si>
  <si>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</si>
  <si>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</si>
  <si>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</si>
  <si>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</si>
  <si>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</si>
  <si>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</si>
  <si>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</si>
  <si>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</si>
  <si>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</si>
  <si>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</si>
  <si>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</si>
  <si>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</si>
  <si>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</si>
  <si>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</si>
  <si>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</si>
  <si>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</si>
  <si>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</si>
  <si>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</si>
  <si>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</si>
  <si>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</si>
  <si>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</si>
  <si>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</si>
  <si>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</si>
  <si>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</si>
  <si>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</si>
  <si>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</si>
  <si>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</si>
  <si>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</si>
  <si>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</si>
  <si>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</si>
  <si>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</si>
  <si>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</si>
  <si>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</si>
  <si>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</si>
  <si>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</si>
  <si>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</si>
  <si>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</si>
  <si>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</si>
  <si>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</si>
  <si>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</si>
  <si>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</si>
  <si>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</si>
  <si>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</si>
  <si>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</si>
  <si>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</si>
  <si>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</si>
  <si>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</si>
  <si>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</si>
  <si>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</si>
  <si>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VCC1</t>
  </si>
  <si>
    <t>Trung tâm Kiểm định và Chứng nhận 1</t>
  </si>
  <si>
    <t>Dương Đình Nghệ, Q. Cầu Giấy, TP. Hà Nội.</t>
  </si>
  <si>
    <t>42 Trần Quốc Toản, TP. Đà Nẵng</t>
  </si>
  <si>
    <t>TT08</t>
  </si>
  <si>
    <t>ConvertOperator</t>
  </si>
  <si>
    <t>RawData</t>
  </si>
  <si>
    <t>DefaultValue</t>
  </si>
  <si>
    <t>Input</t>
  </si>
  <si>
    <t>Description</t>
  </si>
  <si>
    <t>BẢNG KHAI BÁO CHUẨN HÓA DỮ LIỆU LOẠI LOGIC</t>
  </si>
  <si>
    <t>FIRSTROW</t>
  </si>
  <si>
    <t>Số thứ tự</t>
  </si>
  <si>
    <t>TRUE_FALSE</t>
  </si>
  <si>
    <t>CO_KHONG</t>
  </si>
  <si>
    <t>YES_NO</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</si>
  <si>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</si>
  <si>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</si>
  <si>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</si>
  <si>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</si>
  <si>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</si>
  <si>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</si>
  <si>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</si>
  <si>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</si>
  <si>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</si>
  <si>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</si>
  <si>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</si>
  <si>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</si>
  <si>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</si>
  <si>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</si>
  <si>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</si>
  <si>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</si>
  <si>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</si>
  <si>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</si>
  <si>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</si>
  <si>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COUNT</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</si>
  <si>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</si>
  <si>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</si>
  <si>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</si>
  <si>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</si>
  <si>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</si>
  <si>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</si>
  <si>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</si>
  <si>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</si>
  <si>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</si>
  <si>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</si>
  <si>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SubBtsCode</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</si>
  <si>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</si>
  <si>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</si>
  <si>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</si>
  <si>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</si>
  <si>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</si>
  <si>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</si>
  <si>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</si>
  <si>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</si>
  <si>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</si>
  <si>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</si>
  <si>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</si>
  <si>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</si>
  <si>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</si>
  <si>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</si>
  <si>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</si>
  <si>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</si>
  <si>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</si>
  <si>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</si>
  <si>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</si>
  <si>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</si>
  <si>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</si>
  <si>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</si>
  <si>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</si>
  <si>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TRUNG TÂM KIỂM ĐỊNH VÀ CHỨNG NHẬN 1</t>
  </si>
  <si>
    <t>TP. Hà Nội</t>
  </si>
  <si>
    <t>Số Giấy Chứng nhận được cấp</t>
  </si>
  <si>
    <t>Lý do trạm BTS không được cấp Giấy CNKĐ</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</si>
  <si>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</si>
  <si>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</si>
  <si>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</si>
  <si>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</si>
  <si>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</si>
  <si>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</si>
  <si>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</si>
  <si>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</si>
  <si>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</si>
  <si>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</si>
  <si>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</si>
  <si>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</si>
  <si>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</si>
  <si>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</si>
  <si>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</si>
  <si>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</si>
  <si>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</si>
  <si>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</si>
  <si>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</si>
  <si>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Mặc định chuyên viên Kiểm định 1</t>
  </si>
  <si>
    <t>= Check!HZ2</t>
  </si>
  <si>
    <t>Độ cao (m) chênh lệch giữa Anten phát thấp nhất và công trình cao nhất trong phạm vi 100m</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</si>
  <si>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</si>
  <si>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</si>
  <si>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</si>
  <si>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</si>
  <si>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</si>
  <si>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</si>
  <si>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</si>
  <si>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</si>
  <si>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</si>
  <si>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</si>
  <si>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</si>
  <si>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</si>
  <si>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</si>
  <si>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</si>
  <si>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</si>
  <si>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</si>
  <si>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</si>
  <si>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</si>
  <si>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</si>
  <si>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19/6/2019</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</si>
  <si>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</si>
  <si>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</si>
  <si>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</si>
  <si>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</si>
  <si>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</si>
  <si>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</si>
  <si>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</si>
  <si>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</si>
  <si>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</si>
  <si>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</si>
  <si>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</si>
  <si>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</si>
  <si>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</si>
  <si>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</si>
  <si>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</si>
  <si>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</si>
  <si>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AntColHigh</t>
  </si>
  <si>
    <t>HouseHigh</t>
  </si>
  <si>
    <t>AntHigh</t>
  </si>
  <si>
    <t>Northem</t>
  </si>
  <si>
    <t>Image1</t>
  </si>
  <si>
    <t>Image2</t>
  </si>
  <si>
    <t>AntName</t>
  </si>
  <si>
    <t>Azimuth</t>
  </si>
  <si>
    <t>TotalTilt</t>
  </si>
  <si>
    <t>JumpLen</t>
  </si>
  <si>
    <t>FeedLen</t>
  </si>
  <si>
    <t>OtherLoss</t>
  </si>
  <si>
    <t>THKD</t>
  </si>
  <si>
    <t>GHAT</t>
  </si>
  <si>
    <t>View</t>
  </si>
  <si>
    <t>Direction</t>
  </si>
  <si>
    <t>MinAnt</t>
  </si>
  <si>
    <t>Offset</t>
  </si>
  <si>
    <t>Kinh độ;Vĩ độ</t>
  </si>
  <si>
    <t>Số Giấy chứng nhận Kiểm định</t>
  </si>
  <si>
    <t>Số Biên bản Kiểm định</t>
  </si>
  <si>
    <t>Ngày Biên bản Kiểm định</t>
  </si>
  <si>
    <t>Chuyên viên Kiểm định 1</t>
  </si>
  <si>
    <t>Chuyên viên Kiểm định 2</t>
  </si>
  <si>
    <t>Độ cao cột Anten</t>
  </si>
  <si>
    <t>Độ cao nhà đặt cột Anten</t>
  </si>
  <si>
    <t>Băng tần phát</t>
  </si>
  <si>
    <t>Độ cao từng Anten</t>
  </si>
  <si>
    <t>Hướng Bắc</t>
  </si>
  <si>
    <t>Ảnh khung cảnh nhà trạm</t>
  </si>
  <si>
    <t>Ảnh cột Anten</t>
  </si>
  <si>
    <t>Mã từng Site</t>
  </si>
  <si>
    <t>Số Lượng Anten</t>
  </si>
  <si>
    <t>Chủng loại Anten phát</t>
  </si>
  <si>
    <t>Góc phương vị từng Anten</t>
  </si>
  <si>
    <t>Downtilt tổng</t>
  </si>
  <si>
    <t>Chủng loại máy phát TRX</t>
  </si>
  <si>
    <t>Số máy thu phát/atenna</t>
  </si>
  <si>
    <t>Chiều dài Jumper</t>
  </si>
  <si>
    <t>Chiều dài Feeder</t>
  </si>
  <si>
    <t>Suy hao khác (dB)</t>
  </si>
  <si>
    <t>Có/Không GHAT</t>
  </si>
  <si>
    <t>Mặt cắt</t>
  </si>
  <si>
    <t>Hướng</t>
  </si>
  <si>
    <t>Nhà cao nhất</t>
  </si>
  <si>
    <t>Anten thấp nhất</t>
  </si>
  <si>
    <t>Độ cao chênh lệch</t>
  </si>
  <si>
    <t>Số lượng trạm gốc</t>
  </si>
  <si>
    <t>Tổng công suất phát từng anten (W)</t>
  </si>
  <si>
    <t>109.19875, 14.10187</t>
  </si>
  <si>
    <t>1.jpg</t>
  </si>
  <si>
    <t>2.jpg</t>
  </si>
  <si>
    <t>ANDREW DB856DG65EXY</t>
  </si>
  <si>
    <t>0/140/310</t>
  </si>
  <si>
    <t>3/0/2</t>
  </si>
  <si>
    <t>C4</t>
  </si>
  <si>
    <t>108.04336, 12.45295</t>
  </si>
  <si>
    <t>0/2/2</t>
  </si>
  <si>
    <t>108.02293, 12.93722</t>
  </si>
  <si>
    <t>2/1/1</t>
  </si>
  <si>
    <t>108.08707, 12.39463</t>
  </si>
  <si>
    <t>107.88986, 12.55385</t>
  </si>
  <si>
    <t>3/3/2</t>
  </si>
  <si>
    <t>107.98520, 14.22198</t>
  </si>
  <si>
    <t>0/140</t>
  </si>
  <si>
    <t>3/3</t>
  </si>
  <si>
    <t>109.1499, 13.7644</t>
  </si>
  <si>
    <t>2T</t>
  </si>
  <si>
    <t xml:space="preserve">; </t>
  </si>
  <si>
    <t>KATHREIN 742215</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</si>
</sst>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603">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49" applyNumberFormat="1" fontId="2" applyFont="1" fillId="39" applyFill="1" borderId="1" applyBorder="1" xfId="128" applyAlignment="1">
      <alignment horizontal="center" vertical="center" wrapText="1"/>
      <protection locked="0"/>
    </xf>
    <xf numFmtId="49" applyNumberFormat="1" fontId="101" applyFont="1" fillId="45" applyFill="1" borderId="1" applyBorder="1" xfId="0" applyAlignment="1">
      <alignment horizontal="center" vertical="center" wrapText="1"/>
      <protection locked="0"/>
    </xf>
    <xf numFmtId="0" applyNumberFormat="1" fontId="75" applyFont="1" fillId="0" applyFill="1" borderId="17" applyBorder="1" xfId="0" applyAlignment="1">
      <alignment vertical="center" wrapText="1"/>
      <protection locked="0"/>
    </xf>
    <xf numFmtId="0" applyNumberFormat="1" fontId="6" applyFont="1" fillId="6" applyFill="1" borderId="17" applyBorder="1" xfId="128" applyAlignment="1">
      <alignment horizontal="center" vertical="center" wrapText="1"/>
      <protection locked="0"/>
    </xf>
    <xf numFmtId="14" applyNumberFormat="1" fontId="2" applyFont="1" fillId="6" applyFill="1" borderId="1" applyBorder="1" xfId="128" applyAlignment="1">
      <alignment horizontal="center" vertical="center" wrapText="1"/>
      <protection locked="0"/>
    </xf>
    <xf numFmtId="14" applyNumberFormat="1" fontId="103" applyFont="1" fillId="45" applyFill="1" borderId="17" applyBorder="1" xfId="128" applyAlignment="1">
      <alignment horizontal="center" vertical="center" wrapText="1"/>
      <protection locked="0"/>
    </xf>
    <xf numFmtId="14" applyNumberFormat="1" fontId="74" applyFont="1" fillId="0" applyFill="1" borderId="0" applyBorder="1" xfId="128" applyAlignment="1">
      <alignment vertical="center" wrapText="1"/>
      <protection locked="0"/>
    </xf>
    <xf numFmtId="14" applyNumberFormat="1" fontId="2" applyFont="1" fillId="39" applyFill="1" borderId="17" applyBorder="1" xfId="128" applyAlignment="1">
      <alignment horizontal="center" vertical="center" wrapText="1"/>
      <protection locked="0"/>
    </xf>
    <xf numFmtId="14" applyNumberFormat="1" fontId="74" applyFont="1" fillId="0" applyFill="1" borderId="17" applyBorder="1" xfId="128"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6"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0" applyFont="1" fillId="0" applyFill="1" borderId="0" applyBorder="1" xfId="128" applyAlignment="1">
      <alignment horizontal="left" vertical="top" wrapText="1"/>
      <protection locked="0"/>
    </xf>
    <xf numFmtId="49"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79" applyFont="1" fillId="0" applyFill="1" borderId="0" applyBorder="1" xfId="128" applyAlignment="1">
      <alignment horizontal="center"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81"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0" applyNumberFormat="1" fontId="74"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769">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FFFFCC"/>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0]!ReturnMenu"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0]!ReturnMenu"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0]!ReturnMenu"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0]!ReturnMenu"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0]!ReturnMenu"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0]!ReturnMenu"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7620</xdr:rowOff>
        </xdr:from>
        <xdr:to>
          <xdr:col>0</xdr:col>
          <xdr:colOff>342900</xdr:colOff>
          <xdr:row>0</xdr:row>
          <xdr:rowOff>160020</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0]!ReturnMenu"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0]!ReturnMenu"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0]!ReturnMenu"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0]!ReturnMenu"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0]!ReturnMenu"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tabSelected="1" zoomScaleNormal="100" workbookViewId="0"/>
  </sheetViews>
  <sheetFormatPr defaultColWidth="9.109375" defaultRowHeight="13.8"/>
  <cols>
    <col min="1" max="1" width="9.109375" customWidth="1" style="366"/>
    <col min="2" max="2" width="9.109375" customWidth="1" style="366"/>
    <col min="3" max="3" width="9.109375" customWidth="1" style="366"/>
    <col min="4" max="4" width="9.109375" customWidth="1" style="366"/>
    <col min="5" max="5" width="9.109375" customWidth="1" style="366"/>
    <col min="6" max="6" width="9.109375" customWidth="1" style="366"/>
    <col min="7" max="7" width="9.109375" customWidth="1" style="366"/>
    <col min="8" max="8" width="9.109375" customWidth="1" style="366"/>
    <col min="9" max="9" width="9.109375" customWidth="1" style="366"/>
    <col min="10" max="10" width="9.109375" customWidth="1" style="366"/>
    <col min="11" max="11" width="9.109375" customWidth="1" style="366"/>
    <col min="12" max="12" width="9.109375" customWidth="1" style="366"/>
    <col min="13" max="13" width="9.109375" customWidth="1" style="366"/>
    <col min="14" max="14" width="9.109375" customWidth="1" style="366"/>
    <col min="15" max="15" width="9.109375" customWidth="1" style="366"/>
    <col min="16" max="16" width="9.109375" customWidth="1" style="366"/>
    <col min="17" max="20" width="9.109375" customWidth="1" style="366"/>
    <col min="21" max="16384" width="9.109375" customWidth="1" style="366"/>
  </cols>
  <sheetData>
    <row r="23">
      <c r="J23" s="365"/>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sqref="A1:C1"/>
    </sheetView>
  </sheetViews>
  <sheetFormatPr defaultColWidth="9.109375" defaultRowHeight="15.6"/>
  <cols>
    <col min="1" max="1" width="5.44140625" customWidth="1" style="389"/>
    <col min="2" max="2" width="34.33203125" customWidth="1" style="387"/>
    <col min="3" max="3" width="74.109375" customWidth="1" style="387"/>
    <col min="4" max="16384" width="9.109375" customWidth="1" style="387"/>
  </cols>
  <sheetData>
    <row r="1" ht="41.25" customHeight="1">
      <c r="A1" s="470" t="s">
        <v>20972</v>
      </c>
      <c r="B1" s="471"/>
      <c r="C1" s="471"/>
    </row>
    <row r="3">
      <c r="A3" s="390" t="s">
        <v>20973</v>
      </c>
      <c r="B3" s="390" t="s">
        <v>20974</v>
      </c>
      <c r="C3" s="390" t="s">
        <v>20975</v>
      </c>
    </row>
    <row r="4">
      <c r="A4" s="476" t="s">
        <v>20976</v>
      </c>
      <c r="B4" s="476"/>
      <c r="C4" s="476"/>
    </row>
    <row r="5">
      <c r="A5" s="391">
        <v>1</v>
      </c>
      <c r="B5" s="392" t="s">
        <v>20977</v>
      </c>
      <c r="C5" s="392"/>
    </row>
    <row r="6" ht="62.4">
      <c r="A6" s="391">
        <v>2</v>
      </c>
      <c r="B6" s="392" t="s">
        <v>20978</v>
      </c>
      <c r="C6" s="393" t="s">
        <v>20979</v>
      </c>
    </row>
    <row r="7" s="388" customFormat="1">
      <c r="A7" s="476" t="s">
        <v>20980</v>
      </c>
      <c r="B7" s="476"/>
      <c r="C7" s="476"/>
    </row>
    <row r="8" s="388" customFormat="1">
      <c r="A8" s="394" t="s">
        <v>20981</v>
      </c>
      <c r="B8" s="472" t="s">
        <v>20982</v>
      </c>
      <c r="C8" s="472"/>
    </row>
    <row r="9" ht="46.8">
      <c r="A9" s="391">
        <v>1</v>
      </c>
      <c r="B9" s="392" t="s">
        <v>20983</v>
      </c>
      <c r="C9" s="393" t="s">
        <v>20984</v>
      </c>
    </row>
    <row r="10" ht="31.2">
      <c r="A10" s="391">
        <v>2</v>
      </c>
      <c r="B10" s="392" t="s">
        <v>20985</v>
      </c>
      <c r="C10" s="392" t="s">
        <v>20986</v>
      </c>
    </row>
    <row r="11">
      <c r="A11" s="391">
        <v>3</v>
      </c>
      <c r="B11" s="392" t="s">
        <v>20987</v>
      </c>
      <c r="C11" s="393" t="s">
        <v>20988</v>
      </c>
    </row>
    <row r="12" ht="62.4">
      <c r="A12" s="391">
        <v>4</v>
      </c>
      <c r="B12" s="392" t="s">
        <v>20989</v>
      </c>
      <c r="C12" s="393" t="s">
        <v>20990</v>
      </c>
    </row>
    <row r="13" ht="31.2">
      <c r="A13" s="391">
        <v>5</v>
      </c>
      <c r="B13" s="392" t="s">
        <v>20991</v>
      </c>
      <c r="C13" s="393" t="s">
        <v>20988</v>
      </c>
    </row>
    <row r="14">
      <c r="A14" s="391">
        <v>6</v>
      </c>
      <c r="B14" s="392" t="s">
        <v>20992</v>
      </c>
      <c r="C14" s="393" t="s">
        <v>20988</v>
      </c>
    </row>
    <row r="15">
      <c r="A15" s="391">
        <v>7</v>
      </c>
      <c r="B15" s="392" t="s">
        <v>20993</v>
      </c>
      <c r="C15" s="392" t="s">
        <v>20994</v>
      </c>
    </row>
    <row r="16">
      <c r="A16" s="394" t="s">
        <v>20995</v>
      </c>
      <c r="B16" s="472" t="s">
        <v>20996</v>
      </c>
      <c r="C16" s="472"/>
    </row>
    <row r="17" ht="46.8">
      <c r="A17" s="391">
        <v>8</v>
      </c>
      <c r="B17" s="392" t="s">
        <v>20997</v>
      </c>
      <c r="C17" s="392" t="s">
        <v>20998</v>
      </c>
    </row>
    <row r="18" ht="46.8">
      <c r="A18" s="391">
        <v>9</v>
      </c>
      <c r="B18" s="392" t="s">
        <v>20999</v>
      </c>
      <c r="C18" s="393" t="s">
        <v>21000</v>
      </c>
    </row>
    <row r="19" ht="93.6">
      <c r="A19" s="391">
        <v>10</v>
      </c>
      <c r="B19" s="392" t="s">
        <v>21001</v>
      </c>
      <c r="C19" s="393" t="s">
        <v>21002</v>
      </c>
    </row>
    <row r="20" ht="31.2">
      <c r="A20" s="391">
        <v>11</v>
      </c>
      <c r="B20" s="392" t="s">
        <v>21003</v>
      </c>
      <c r="C20" s="392" t="s">
        <v>21004</v>
      </c>
    </row>
    <row r="21" ht="109.2">
      <c r="A21" s="391">
        <v>12</v>
      </c>
      <c r="B21" s="392" t="s">
        <v>21005</v>
      </c>
      <c r="C21" s="392" t="s">
        <v>21006</v>
      </c>
    </row>
    <row r="22">
      <c r="A22" s="394" t="s">
        <v>21007</v>
      </c>
      <c r="B22" s="474" t="s">
        <v>21008</v>
      </c>
      <c r="C22" s="475"/>
    </row>
    <row r="23">
      <c r="A23" s="391">
        <v>13</v>
      </c>
      <c r="B23" s="392" t="s">
        <v>21009</v>
      </c>
      <c r="C23" s="392" t="s">
        <v>21010</v>
      </c>
    </row>
    <row r="24" ht="31.2">
      <c r="A24" s="391">
        <v>14</v>
      </c>
      <c r="B24" s="392" t="s">
        <v>21011</v>
      </c>
      <c r="C24" s="392" t="s">
        <v>21012</v>
      </c>
    </row>
    <row r="25" ht="31.2">
      <c r="A25" s="391">
        <v>15</v>
      </c>
      <c r="B25" s="392" t="s">
        <v>21013</v>
      </c>
      <c r="C25" s="392" t="s">
        <v>21014</v>
      </c>
    </row>
    <row r="26" ht="31.2">
      <c r="A26" s="391">
        <v>16</v>
      </c>
      <c r="B26" s="392" t="s">
        <v>21015</v>
      </c>
      <c r="C26" s="392" t="s">
        <v>21016</v>
      </c>
    </row>
    <row r="27" ht="26.25" customHeight="1">
      <c r="A27" s="473" t="s">
        <v>21017</v>
      </c>
      <c r="B27" s="473"/>
      <c r="C27" s="473"/>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 activePane="bottomRight" state="frozen"/>
      <selection activeCell="G5" sqref="G5"/>
      <selection pane="topRight" activeCell="G5" sqref="G5"/>
      <selection pane="bottomLeft" activeCell="G5" sqref="G5"/>
      <selection pane="bottomRight" sqref="A1:E64"/>
    </sheetView>
  </sheetViews>
  <sheetFormatPr defaultRowHeight="14.4"/>
  <cols>
    <col min="1" max="1" width="6.109375" customWidth="1"/>
    <col min="2" max="2" width="5.88671875" customWidth="1"/>
    <col min="3" max="3" width="16.6640625" customWidth="1"/>
    <col min="4" max="4" width="13" customWidth="1"/>
    <col min="5" max="5" width="9.109375" customWidth="1"/>
  </cols>
  <sheetData>
    <row r="1" ht="33.75" customHeight="1">
      <c r="A1" s="312" t="s">
        <v>0</v>
      </c>
      <c r="B1" s="312" t="s">
        <v>20833</v>
      </c>
      <c r="C1" s="312" t="s">
        <v>20834</v>
      </c>
      <c r="D1" s="312" t="s">
        <v>20835</v>
      </c>
      <c r="E1" s="312" t="s">
        <v>20836</v>
      </c>
    </row>
    <row r="2">
      <c r="A2" s="396">
        <v>1</v>
      </c>
      <c r="B2" s="396" t="s">
        <v>5685</v>
      </c>
      <c r="C2" s="396" t="s">
        <v>20837</v>
      </c>
      <c r="D2" s="396" t="s">
        <v>20838</v>
      </c>
      <c r="E2" s="396" t="s">
        <v>20839</v>
      </c>
    </row>
    <row r="3">
      <c r="A3" s="396">
        <v>2</v>
      </c>
      <c r="B3" s="396" t="s">
        <v>2030</v>
      </c>
      <c r="C3" s="396" t="s">
        <v>20840</v>
      </c>
      <c r="D3" s="396" t="s">
        <v>20838</v>
      </c>
      <c r="E3" s="396" t="s">
        <v>20841</v>
      </c>
    </row>
    <row r="4">
      <c r="A4" s="396">
        <v>3</v>
      </c>
      <c r="B4" s="396" t="s">
        <v>6891</v>
      </c>
      <c r="C4" s="396" t="s">
        <v>20842</v>
      </c>
      <c r="D4" s="396" t="s">
        <v>20838</v>
      </c>
      <c r="E4" s="396" t="s">
        <v>20843</v>
      </c>
    </row>
    <row r="5">
      <c r="A5" s="396">
        <v>4</v>
      </c>
      <c r="B5" s="396" t="s">
        <v>1622</v>
      </c>
      <c r="C5" s="396" t="s">
        <v>20844</v>
      </c>
      <c r="D5" s="396" t="s">
        <v>20838</v>
      </c>
      <c r="E5" s="396" t="s">
        <v>20845</v>
      </c>
    </row>
    <row r="6">
      <c r="A6" s="396">
        <v>5</v>
      </c>
      <c r="B6" s="396" t="s">
        <v>20846</v>
      </c>
      <c r="C6" s="396" t="s">
        <v>20847</v>
      </c>
      <c r="D6" s="396" t="s">
        <v>20838</v>
      </c>
      <c r="E6" s="396" t="s">
        <v>20848</v>
      </c>
    </row>
    <row r="7">
      <c r="A7" s="396">
        <v>6</v>
      </c>
      <c r="B7" s="396" t="s">
        <v>4173</v>
      </c>
      <c r="C7" s="396" t="s">
        <v>20849</v>
      </c>
      <c r="D7" s="396" t="s">
        <v>20838</v>
      </c>
      <c r="E7" s="396" t="s">
        <v>20850</v>
      </c>
    </row>
    <row r="8">
      <c r="A8" s="396">
        <v>7</v>
      </c>
      <c r="B8" s="396" t="s">
        <v>7134</v>
      </c>
      <c r="C8" s="396" t="s">
        <v>20851</v>
      </c>
      <c r="D8" s="396" t="s">
        <v>20838</v>
      </c>
      <c r="E8" s="396" t="s">
        <v>20852</v>
      </c>
    </row>
    <row r="9">
      <c r="A9" s="396">
        <v>8</v>
      </c>
      <c r="B9" s="396" t="s">
        <v>1224</v>
      </c>
      <c r="C9" s="396" t="s">
        <v>20853</v>
      </c>
      <c r="D9" s="396" t="s">
        <v>20838</v>
      </c>
      <c r="E9" s="396" t="s">
        <v>20854</v>
      </c>
    </row>
    <row r="10">
      <c r="A10" s="396">
        <v>9</v>
      </c>
      <c r="B10" s="396" t="s">
        <v>10</v>
      </c>
      <c r="C10" s="396" t="s">
        <v>20855</v>
      </c>
      <c r="D10" s="396" t="s">
        <v>20838</v>
      </c>
      <c r="E10" s="396" t="s">
        <v>20856</v>
      </c>
    </row>
    <row r="11">
      <c r="A11" s="396">
        <v>10</v>
      </c>
      <c r="B11" s="396" t="s">
        <v>8758</v>
      </c>
      <c r="C11" s="396" t="s">
        <v>20857</v>
      </c>
      <c r="D11" s="396" t="s">
        <v>20838</v>
      </c>
      <c r="E11" s="396" t="s">
        <v>20858</v>
      </c>
    </row>
    <row r="12">
      <c r="A12" s="396">
        <v>11</v>
      </c>
      <c r="B12" s="396" t="s">
        <v>7600</v>
      </c>
      <c r="C12" s="396" t="s">
        <v>20859</v>
      </c>
      <c r="D12" s="396" t="s">
        <v>20838</v>
      </c>
      <c r="E12" s="396" t="s">
        <v>20860</v>
      </c>
    </row>
    <row r="13">
      <c r="A13" s="396">
        <v>12</v>
      </c>
      <c r="B13" s="396" t="s">
        <v>11642</v>
      </c>
      <c r="C13" s="396" t="s">
        <v>20861</v>
      </c>
      <c r="D13" s="396" t="s">
        <v>20838</v>
      </c>
      <c r="E13" s="396" t="s">
        <v>20862</v>
      </c>
    </row>
    <row r="14">
      <c r="A14" s="396">
        <v>13</v>
      </c>
      <c r="B14" s="396" t="s">
        <v>7996</v>
      </c>
      <c r="C14" s="396" t="s">
        <v>20863</v>
      </c>
      <c r="D14" s="396" t="s">
        <v>20838</v>
      </c>
      <c r="E14" s="396" t="s">
        <v>20864</v>
      </c>
    </row>
    <row r="15">
      <c r="A15" s="396">
        <v>14</v>
      </c>
      <c r="B15" s="396" t="s">
        <v>2561</v>
      </c>
      <c r="C15" s="396" t="s">
        <v>20865</v>
      </c>
      <c r="D15" s="396" t="s">
        <v>20838</v>
      </c>
      <c r="E15" s="396" t="s">
        <v>20866</v>
      </c>
    </row>
    <row r="16">
      <c r="A16" s="396">
        <v>15</v>
      </c>
      <c r="B16" s="396" t="s">
        <v>3172</v>
      </c>
      <c r="C16" s="396" t="s">
        <v>20867</v>
      </c>
      <c r="D16" s="396" t="s">
        <v>20838</v>
      </c>
      <c r="E16" s="396" t="s">
        <v>20868</v>
      </c>
    </row>
    <row r="17">
      <c r="A17" s="396">
        <v>16</v>
      </c>
      <c r="B17" s="396" t="s">
        <v>4912</v>
      </c>
      <c r="C17" s="396" t="s">
        <v>20869</v>
      </c>
      <c r="D17" s="396" t="s">
        <v>20838</v>
      </c>
      <c r="E17" s="396" t="s">
        <v>20870</v>
      </c>
    </row>
    <row r="18">
      <c r="A18" s="396">
        <v>17</v>
      </c>
      <c r="B18" s="396" t="s">
        <v>10793</v>
      </c>
      <c r="C18" s="396" t="s">
        <v>20871</v>
      </c>
      <c r="D18" s="396" t="s">
        <v>20838</v>
      </c>
      <c r="E18" s="396" t="s">
        <v>20872</v>
      </c>
    </row>
    <row r="19">
      <c r="A19" s="396">
        <v>18</v>
      </c>
      <c r="B19" s="396" t="s">
        <v>9383</v>
      </c>
      <c r="C19" s="396" t="s">
        <v>20873</v>
      </c>
      <c r="D19" s="396" t="s">
        <v>20838</v>
      </c>
      <c r="E19" s="396" t="s">
        <v>20874</v>
      </c>
    </row>
    <row r="20">
      <c r="A20" s="396">
        <v>19</v>
      </c>
      <c r="B20" s="396" t="s">
        <v>20875</v>
      </c>
      <c r="C20" s="396" t="s">
        <v>20876</v>
      </c>
      <c r="D20" s="396" t="s">
        <v>20838</v>
      </c>
      <c r="E20" s="396" t="s">
        <v>20877</v>
      </c>
    </row>
    <row r="21">
      <c r="A21" s="396">
        <v>20</v>
      </c>
      <c r="B21" s="396" t="s">
        <v>6099</v>
      </c>
      <c r="C21" s="396" t="s">
        <v>20878</v>
      </c>
      <c r="D21" s="396" t="s">
        <v>20838</v>
      </c>
      <c r="E21" s="396" t="s">
        <v>20879</v>
      </c>
    </row>
    <row r="22">
      <c r="A22" s="396">
        <v>21</v>
      </c>
      <c r="B22" s="396" t="s">
        <v>5320</v>
      </c>
      <c r="C22" s="396" t="s">
        <v>20880</v>
      </c>
      <c r="D22" s="396" t="s">
        <v>20838</v>
      </c>
      <c r="E22" s="396" t="s">
        <v>20881</v>
      </c>
    </row>
    <row r="23">
      <c r="A23" s="396">
        <v>22</v>
      </c>
      <c r="B23" s="396" t="s">
        <v>3398</v>
      </c>
      <c r="C23" s="396" t="s">
        <v>20882</v>
      </c>
      <c r="D23" s="396" t="s">
        <v>20838</v>
      </c>
      <c r="E23" s="396" t="s">
        <v>20883</v>
      </c>
    </row>
    <row r="24">
      <c r="A24" s="396">
        <v>23</v>
      </c>
      <c r="B24" s="396" t="s">
        <v>8281</v>
      </c>
      <c r="C24" s="396" t="s">
        <v>20884</v>
      </c>
      <c r="D24" s="396" t="s">
        <v>20838</v>
      </c>
      <c r="E24" s="396" t="s">
        <v>20885</v>
      </c>
    </row>
    <row r="25">
      <c r="A25" s="396">
        <v>24</v>
      </c>
      <c r="B25" s="396" t="s">
        <v>9647</v>
      </c>
      <c r="C25" s="396" t="s">
        <v>20886</v>
      </c>
      <c r="D25" s="396" t="s">
        <v>20838</v>
      </c>
      <c r="E25" s="396" t="s">
        <v>20887</v>
      </c>
    </row>
    <row r="26">
      <c r="A26" s="396">
        <v>25</v>
      </c>
      <c r="B26" s="396" t="s">
        <v>4565</v>
      </c>
      <c r="C26" s="396" t="s">
        <v>20888</v>
      </c>
      <c r="D26" s="396" t="s">
        <v>20838</v>
      </c>
      <c r="E26" s="396" t="s">
        <v>20889</v>
      </c>
    </row>
    <row r="27">
      <c r="A27" s="396">
        <v>26</v>
      </c>
      <c r="B27" s="396" t="s">
        <v>2282</v>
      </c>
      <c r="C27" s="396" t="s">
        <v>20890</v>
      </c>
      <c r="D27" s="396" t="s">
        <v>20838</v>
      </c>
      <c r="E27" s="396" t="s">
        <v>20891</v>
      </c>
    </row>
    <row r="28">
      <c r="A28" s="396">
        <v>27</v>
      </c>
      <c r="B28" s="396" t="s">
        <v>6635</v>
      </c>
      <c r="C28" s="396" t="s">
        <v>20892</v>
      </c>
      <c r="D28" s="396" t="s">
        <v>20838</v>
      </c>
      <c r="E28" s="396" t="s">
        <v>20893</v>
      </c>
    </row>
    <row r="29">
      <c r="A29" s="396">
        <v>28</v>
      </c>
      <c r="B29" s="396" t="s">
        <v>3820</v>
      </c>
      <c r="C29" s="396" t="s">
        <v>20894</v>
      </c>
      <c r="D29" s="396" t="s">
        <v>20838</v>
      </c>
      <c r="E29" s="396" t="s">
        <v>20895</v>
      </c>
    </row>
    <row r="30">
      <c r="A30" s="396">
        <v>29</v>
      </c>
      <c r="B30" s="311" t="s">
        <v>19532</v>
      </c>
      <c r="C30" s="311" t="s">
        <v>20896</v>
      </c>
      <c r="D30" s="311" t="s">
        <v>20897</v>
      </c>
      <c r="E30" s="311" t="s">
        <v>20898</v>
      </c>
    </row>
    <row r="31">
      <c r="A31" s="396">
        <v>30</v>
      </c>
      <c r="B31" s="311" t="s">
        <v>16929</v>
      </c>
      <c r="C31" s="311" t="s">
        <v>20899</v>
      </c>
      <c r="D31" s="311" t="s">
        <v>20897</v>
      </c>
      <c r="E31" s="311" t="s">
        <v>20900</v>
      </c>
    </row>
    <row r="32">
      <c r="A32" s="396">
        <v>31</v>
      </c>
      <c r="B32" s="311" t="s">
        <v>20540</v>
      </c>
      <c r="C32" s="311" t="s">
        <v>20901</v>
      </c>
      <c r="D32" s="311" t="s">
        <v>20897</v>
      </c>
      <c r="E32" s="311" t="s">
        <v>20902</v>
      </c>
    </row>
    <row r="33">
      <c r="A33" s="396">
        <v>32</v>
      </c>
      <c r="B33" s="311" t="s">
        <v>16564</v>
      </c>
      <c r="C33" s="311" t="s">
        <v>20903</v>
      </c>
      <c r="D33" s="311" t="s">
        <v>20897</v>
      </c>
      <c r="E33" s="311" t="s">
        <v>20904</v>
      </c>
    </row>
    <row r="34">
      <c r="A34" s="396">
        <v>33</v>
      </c>
      <c r="B34" s="311" t="s">
        <v>18679</v>
      </c>
      <c r="C34" s="311" t="s">
        <v>20905</v>
      </c>
      <c r="D34" s="311" t="s">
        <v>20897</v>
      </c>
      <c r="E34" s="311" t="s">
        <v>20906</v>
      </c>
    </row>
    <row r="35">
      <c r="A35" s="396">
        <v>34</v>
      </c>
      <c r="B35" s="311" t="s">
        <v>14883</v>
      </c>
      <c r="C35" s="311" t="s">
        <v>20907</v>
      </c>
      <c r="D35" s="311" t="s">
        <v>20897</v>
      </c>
      <c r="E35" s="311" t="s">
        <v>20908</v>
      </c>
    </row>
    <row r="36">
      <c r="A36" s="396">
        <v>35</v>
      </c>
      <c r="B36" s="311" t="s">
        <v>20657</v>
      </c>
      <c r="C36" s="311" t="s">
        <v>20909</v>
      </c>
      <c r="D36" s="311" t="s">
        <v>20897</v>
      </c>
      <c r="E36" s="311" t="s">
        <v>20910</v>
      </c>
    </row>
    <row r="37">
      <c r="A37" s="396">
        <v>36</v>
      </c>
      <c r="B37" s="311" t="s">
        <v>20052</v>
      </c>
      <c r="C37" s="311" t="s">
        <v>20911</v>
      </c>
      <c r="D37" s="311" t="s">
        <v>20897</v>
      </c>
      <c r="E37" s="311" t="s">
        <v>20912</v>
      </c>
    </row>
    <row r="38">
      <c r="A38" s="396">
        <v>37</v>
      </c>
      <c r="B38" s="311" t="s">
        <v>17102</v>
      </c>
      <c r="C38" s="311" t="s">
        <v>20913</v>
      </c>
      <c r="D38" s="311" t="s">
        <v>20897</v>
      </c>
      <c r="E38" s="311" t="s">
        <v>20914</v>
      </c>
    </row>
    <row r="39">
      <c r="A39" s="396">
        <v>38</v>
      </c>
      <c r="B39" s="311" t="s">
        <v>19297</v>
      </c>
      <c r="C39" s="311" t="s">
        <v>20915</v>
      </c>
      <c r="D39" s="311" t="s">
        <v>20897</v>
      </c>
      <c r="E39" s="311" t="s">
        <v>20916</v>
      </c>
    </row>
    <row r="40">
      <c r="A40" s="396">
        <v>39</v>
      </c>
      <c r="B40" s="311" t="s">
        <v>17532</v>
      </c>
      <c r="C40" s="311" t="s">
        <v>20917</v>
      </c>
      <c r="D40" s="311" t="s">
        <v>20897</v>
      </c>
      <c r="E40" s="311" t="s">
        <v>20918</v>
      </c>
    </row>
    <row r="41">
      <c r="A41" s="396">
        <v>40</v>
      </c>
      <c r="B41" s="311" t="s">
        <v>20209</v>
      </c>
      <c r="C41" s="311" t="s">
        <v>20919</v>
      </c>
      <c r="D41" s="311" t="s">
        <v>20897</v>
      </c>
      <c r="E41" s="311" t="s">
        <v>20920</v>
      </c>
    </row>
    <row r="42">
      <c r="A42" s="396">
        <v>41</v>
      </c>
      <c r="B42" s="311" t="s">
        <v>19793</v>
      </c>
      <c r="C42" s="311" t="s">
        <v>20921</v>
      </c>
      <c r="D42" s="311" t="s">
        <v>20897</v>
      </c>
      <c r="E42" s="311" t="s">
        <v>20922</v>
      </c>
    </row>
    <row r="43">
      <c r="A43" s="396">
        <v>42</v>
      </c>
      <c r="B43" s="311" t="s">
        <v>18044</v>
      </c>
      <c r="C43" s="311" t="s">
        <v>20923</v>
      </c>
      <c r="D43" s="311" t="s">
        <v>20897</v>
      </c>
      <c r="E43" s="311" t="s">
        <v>20924</v>
      </c>
    </row>
    <row r="44">
      <c r="A44" s="396">
        <v>43</v>
      </c>
      <c r="B44" s="311" t="s">
        <v>16289</v>
      </c>
      <c r="C44" s="311" t="s">
        <v>20925</v>
      </c>
      <c r="D44" s="311" t="s">
        <v>20897</v>
      </c>
      <c r="E44" s="311" t="s">
        <v>20926</v>
      </c>
    </row>
    <row r="45">
      <c r="A45" s="396">
        <v>44</v>
      </c>
      <c r="B45" s="311" t="s">
        <v>14759</v>
      </c>
      <c r="C45" s="311" t="s">
        <v>20927</v>
      </c>
      <c r="D45" s="311" t="s">
        <v>20897</v>
      </c>
      <c r="E45" s="311" t="s">
        <v>20928</v>
      </c>
    </row>
    <row r="46">
      <c r="A46" s="396">
        <v>45</v>
      </c>
      <c r="B46" s="311" t="s">
        <v>20354</v>
      </c>
      <c r="C46" s="311" t="s">
        <v>20929</v>
      </c>
      <c r="D46" s="311" t="s">
        <v>20897</v>
      </c>
      <c r="E46" s="311" t="s">
        <v>20930</v>
      </c>
    </row>
    <row r="47">
      <c r="A47" s="396">
        <v>46</v>
      </c>
      <c r="B47" s="311" t="s">
        <v>18395</v>
      </c>
      <c r="C47" s="311" t="s">
        <v>20931</v>
      </c>
      <c r="D47" s="311" t="s">
        <v>20897</v>
      </c>
      <c r="E47" s="311" t="s">
        <v>20932</v>
      </c>
    </row>
    <row r="48">
      <c r="A48" s="396">
        <v>47</v>
      </c>
      <c r="B48" s="311" t="s">
        <v>16753</v>
      </c>
      <c r="C48" s="311" t="s">
        <v>20933</v>
      </c>
      <c r="D48" s="311" t="s">
        <v>20897</v>
      </c>
      <c r="E48" s="311" t="s">
        <v>20934</v>
      </c>
    </row>
    <row r="49">
      <c r="A49" s="396">
        <v>48</v>
      </c>
      <c r="B49" s="311" t="s">
        <v>18939</v>
      </c>
      <c r="C49" s="311" t="s">
        <v>20935</v>
      </c>
      <c r="D49" s="311" t="s">
        <v>20897</v>
      </c>
      <c r="E49" s="311" t="s">
        <v>20936</v>
      </c>
    </row>
    <row r="50">
      <c r="A50" s="396">
        <v>49</v>
      </c>
      <c r="B50" s="311" t="s">
        <v>19117</v>
      </c>
      <c r="C50" s="311" t="s">
        <v>20937</v>
      </c>
      <c r="D50" s="311" t="s">
        <v>20897</v>
      </c>
      <c r="E50" s="311" t="s">
        <v>20938</v>
      </c>
    </row>
    <row r="51">
      <c r="A51" s="396">
        <v>50</v>
      </c>
      <c r="B51" s="311" t="s">
        <v>17389</v>
      </c>
      <c r="C51" s="311" t="s">
        <v>20939</v>
      </c>
      <c r="D51" s="311" t="s">
        <v>20897</v>
      </c>
      <c r="E51" s="311" t="s">
        <v>20940</v>
      </c>
    </row>
    <row r="52">
      <c r="A52" s="396">
        <v>51</v>
      </c>
      <c r="B52" s="396" t="s">
        <v>20941</v>
      </c>
      <c r="C52" s="396" t="s">
        <v>20942</v>
      </c>
      <c r="D52" s="396" t="s">
        <v>20943</v>
      </c>
      <c r="E52" s="396" t="s">
        <v>20944</v>
      </c>
    </row>
    <row r="53">
      <c r="A53" s="396">
        <v>52</v>
      </c>
      <c r="B53" s="396" t="s">
        <v>20945</v>
      </c>
      <c r="C53" s="396" t="s">
        <v>20946</v>
      </c>
      <c r="D53" s="396" t="s">
        <v>20943</v>
      </c>
      <c r="E53" s="396" t="s">
        <v>20947</v>
      </c>
    </row>
    <row r="54">
      <c r="A54" s="396">
        <v>53</v>
      </c>
      <c r="B54" s="396" t="s">
        <v>20948</v>
      </c>
      <c r="C54" s="396" t="s">
        <v>20949</v>
      </c>
      <c r="D54" s="396" t="s">
        <v>20943</v>
      </c>
      <c r="E54" s="396" t="s">
        <v>20950</v>
      </c>
    </row>
    <row r="55">
      <c r="A55" s="396">
        <v>54</v>
      </c>
      <c r="B55" s="396" t="s">
        <v>20951</v>
      </c>
      <c r="C55" s="396" t="s">
        <v>20952</v>
      </c>
      <c r="D55" s="396" t="s">
        <v>20943</v>
      </c>
      <c r="E55" s="396" t="s">
        <v>20953</v>
      </c>
    </row>
    <row r="56">
      <c r="A56" s="396">
        <v>55</v>
      </c>
      <c r="B56" s="396" t="s">
        <v>15327</v>
      </c>
      <c r="C56" s="396" t="s">
        <v>20954</v>
      </c>
      <c r="D56" s="396" t="s">
        <v>20943</v>
      </c>
      <c r="E56" s="396" t="s">
        <v>20955</v>
      </c>
    </row>
    <row r="57">
      <c r="A57" s="396">
        <v>56</v>
      </c>
      <c r="B57" s="396" t="s">
        <v>14483</v>
      </c>
      <c r="C57" s="396" t="s">
        <v>20956</v>
      </c>
      <c r="D57" s="396" t="s">
        <v>20943</v>
      </c>
      <c r="E57" s="396" t="s">
        <v>20957</v>
      </c>
    </row>
    <row r="58">
      <c r="A58" s="396">
        <v>57</v>
      </c>
      <c r="B58" s="396" t="s">
        <v>15116</v>
      </c>
      <c r="C58" s="396" t="s">
        <v>20958</v>
      </c>
      <c r="D58" s="396" t="s">
        <v>20943</v>
      </c>
      <c r="E58" s="396" t="s">
        <v>20959</v>
      </c>
    </row>
    <row r="59">
      <c r="A59" s="396">
        <v>58</v>
      </c>
      <c r="B59" s="396" t="s">
        <v>14268</v>
      </c>
      <c r="C59" s="396" t="s">
        <v>20960</v>
      </c>
      <c r="D59" s="396" t="s">
        <v>20943</v>
      </c>
      <c r="E59" s="396" t="s">
        <v>20961</v>
      </c>
    </row>
    <row r="60">
      <c r="A60" s="396">
        <v>59</v>
      </c>
      <c r="B60" s="396" t="s">
        <v>12138</v>
      </c>
      <c r="C60" s="396" t="s">
        <v>20962</v>
      </c>
      <c r="D60" s="396" t="s">
        <v>20943</v>
      </c>
      <c r="E60" s="396" t="s">
        <v>20963</v>
      </c>
    </row>
    <row r="61">
      <c r="A61" s="396">
        <v>60</v>
      </c>
      <c r="B61" s="396" t="s">
        <v>13614</v>
      </c>
      <c r="C61" s="396" t="s">
        <v>20964</v>
      </c>
      <c r="D61" s="396" t="s">
        <v>20943</v>
      </c>
      <c r="E61" s="396" t="s">
        <v>20965</v>
      </c>
    </row>
    <row r="62">
      <c r="A62" s="396">
        <v>61</v>
      </c>
      <c r="B62" s="396" t="s">
        <v>13124</v>
      </c>
      <c r="C62" s="396" t="s">
        <v>20966</v>
      </c>
      <c r="D62" s="396" t="s">
        <v>20943</v>
      </c>
      <c r="E62" s="396" t="s">
        <v>20967</v>
      </c>
    </row>
    <row r="63">
      <c r="A63" s="396">
        <v>62</v>
      </c>
      <c r="B63" s="396" t="s">
        <v>12439</v>
      </c>
      <c r="C63" s="396" t="s">
        <v>20968</v>
      </c>
      <c r="D63" s="396" t="s">
        <v>20943</v>
      </c>
      <c r="E63" s="396" t="s">
        <v>20969</v>
      </c>
    </row>
    <row r="64">
      <c r="A64" s="396">
        <v>63</v>
      </c>
      <c r="B64" s="396" t="s">
        <v>12714</v>
      </c>
      <c r="C64" s="396" t="s">
        <v>20970</v>
      </c>
      <c r="D64" s="396" t="s">
        <v>20943</v>
      </c>
      <c r="E64" s="396" t="s">
        <v>20971</v>
      </c>
    </row>
  </sheetData>
  <sheetProtection formatCells="0" formatColumns="0" formatRows="0" sort="0" autoFilter="0" pivotTables="0"/>
  <autoFilter ref="A1:E64"/>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4.4"/>
  <cols>
    <col min="1" max="1" bestFit="1" width="8.109375" customWidth="1"/>
    <col min="2" max="2" width="10.109375" customWidth="1"/>
    <col min="3" max="3" width="24.6640625" customWidth="1"/>
    <col min="4" max="4" width="11.5546875" customWidth="1"/>
    <col min="5" max="5" width="31.6640625" customWidth="1"/>
    <col min="6" max="6" width="8.664062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28.8">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28.8">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6" t="s">
        <v>5688</v>
      </c>
      <c r="C2833" s="396" t="s">
        <v>594</v>
      </c>
      <c r="D2833" s="396" t="s">
        <v>5683</v>
      </c>
      <c r="E2833" s="396" t="s">
        <v>5684</v>
      </c>
      <c r="F2833" s="396" t="s">
        <v>5685</v>
      </c>
    </row>
    <row r="2834">
      <c r="A2834" s="311">
        <v>2833</v>
      </c>
      <c r="B2834" s="396" t="s">
        <v>5689</v>
      </c>
      <c r="C2834" s="396" t="s">
        <v>244</v>
      </c>
      <c r="D2834" s="396" t="s">
        <v>5683</v>
      </c>
      <c r="E2834" s="396" t="s">
        <v>5684</v>
      </c>
      <c r="F2834" s="396" t="s">
        <v>5685</v>
      </c>
    </row>
    <row r="2835">
      <c r="A2835" s="311">
        <v>2834</v>
      </c>
      <c r="B2835" s="396" t="s">
        <v>5690</v>
      </c>
      <c r="C2835" s="396" t="s">
        <v>252</v>
      </c>
      <c r="D2835" s="396" t="s">
        <v>5683</v>
      </c>
      <c r="E2835" s="396" t="s">
        <v>5684</v>
      </c>
      <c r="F2835" s="396" t="s">
        <v>5685</v>
      </c>
    </row>
    <row r="2836">
      <c r="A2836" s="311">
        <v>2835</v>
      </c>
      <c r="B2836" s="396" t="s">
        <v>5691</v>
      </c>
      <c r="C2836" s="396" t="s">
        <v>5692</v>
      </c>
      <c r="D2836" s="396" t="s">
        <v>5683</v>
      </c>
      <c r="E2836" s="396" t="s">
        <v>5684</v>
      </c>
      <c r="F2836" s="396" t="s">
        <v>5685</v>
      </c>
    </row>
    <row r="2837">
      <c r="A2837" s="311">
        <v>2836</v>
      </c>
      <c r="B2837" s="396" t="s">
        <v>5693</v>
      </c>
      <c r="C2837" s="396" t="s">
        <v>588</v>
      </c>
      <c r="D2837" s="396" t="s">
        <v>5683</v>
      </c>
      <c r="E2837" s="396" t="s">
        <v>5684</v>
      </c>
      <c r="F2837" s="396" t="s">
        <v>5685</v>
      </c>
    </row>
    <row r="2838">
      <c r="A2838" s="311">
        <v>2837</v>
      </c>
      <c r="B2838" s="396" t="s">
        <v>5694</v>
      </c>
      <c r="C2838" s="396" t="s">
        <v>5695</v>
      </c>
      <c r="D2838" s="396" t="s">
        <v>5683</v>
      </c>
      <c r="E2838" s="396" t="s">
        <v>5684</v>
      </c>
      <c r="F2838" s="396" t="s">
        <v>5685</v>
      </c>
    </row>
    <row r="2839">
      <c r="A2839" s="311">
        <v>2838</v>
      </c>
      <c r="B2839" s="396" t="s">
        <v>5696</v>
      </c>
      <c r="C2839" s="396" t="s">
        <v>5697</v>
      </c>
      <c r="D2839" s="396" t="s">
        <v>5683</v>
      </c>
      <c r="E2839" s="396" t="s">
        <v>5684</v>
      </c>
      <c r="F2839" s="396" t="s">
        <v>5685</v>
      </c>
    </row>
    <row r="2840">
      <c r="A2840" s="311">
        <v>2839</v>
      </c>
      <c r="B2840" s="396" t="s">
        <v>5698</v>
      </c>
      <c r="C2840" s="396" t="s">
        <v>5699</v>
      </c>
      <c r="D2840" s="396" t="s">
        <v>5683</v>
      </c>
      <c r="E2840" s="396" t="s">
        <v>5684</v>
      </c>
      <c r="F2840" s="396" t="s">
        <v>5685</v>
      </c>
    </row>
    <row r="2841">
      <c r="A2841" s="311">
        <v>2840</v>
      </c>
      <c r="B2841" s="396" t="s">
        <v>5700</v>
      </c>
      <c r="C2841" s="396" t="s">
        <v>5701</v>
      </c>
      <c r="D2841" s="396" t="s">
        <v>5683</v>
      </c>
      <c r="E2841" s="396" t="s">
        <v>5684</v>
      </c>
      <c r="F2841" s="396" t="s">
        <v>5685</v>
      </c>
    </row>
    <row r="2842">
      <c r="A2842" s="311">
        <v>2841</v>
      </c>
      <c r="B2842" s="396" t="s">
        <v>5702</v>
      </c>
      <c r="C2842" s="396" t="s">
        <v>5703</v>
      </c>
      <c r="D2842" s="396" t="s">
        <v>5683</v>
      </c>
      <c r="E2842" s="396" t="s">
        <v>5684</v>
      </c>
      <c r="F2842" s="396" t="s">
        <v>5685</v>
      </c>
    </row>
    <row r="2843">
      <c r="A2843" s="311">
        <v>2842</v>
      </c>
      <c r="B2843" s="396" t="s">
        <v>5704</v>
      </c>
      <c r="C2843" s="396" t="s">
        <v>2358</v>
      </c>
      <c r="D2843" s="396" t="s">
        <v>5683</v>
      </c>
      <c r="E2843" s="396" t="s">
        <v>5684</v>
      </c>
      <c r="F2843" s="396" t="s">
        <v>5685</v>
      </c>
    </row>
    <row r="2844">
      <c r="A2844" s="311">
        <v>2843</v>
      </c>
      <c r="B2844" s="396" t="s">
        <v>5705</v>
      </c>
      <c r="C2844" s="396" t="s">
        <v>5581</v>
      </c>
      <c r="D2844" s="396" t="s">
        <v>5683</v>
      </c>
      <c r="E2844" s="396" t="s">
        <v>5684</v>
      </c>
      <c r="F2844" s="396" t="s">
        <v>5685</v>
      </c>
    </row>
    <row r="2845">
      <c r="A2845" s="311">
        <v>2844</v>
      </c>
      <c r="B2845" s="396" t="s">
        <v>5706</v>
      </c>
      <c r="C2845" s="396" t="s">
        <v>926</v>
      </c>
      <c r="D2845" s="396" t="s">
        <v>5683</v>
      </c>
      <c r="E2845" s="396" t="s">
        <v>5684</v>
      </c>
      <c r="F2845" s="396" t="s">
        <v>5685</v>
      </c>
    </row>
    <row r="2846">
      <c r="A2846" s="311">
        <v>2845</v>
      </c>
      <c r="B2846" s="396" t="s">
        <v>5707</v>
      </c>
      <c r="C2846" s="396" t="s">
        <v>5708</v>
      </c>
      <c r="D2846" s="396" t="s">
        <v>5683</v>
      </c>
      <c r="E2846" s="396" t="s">
        <v>5684</v>
      </c>
      <c r="F2846" s="396" t="s">
        <v>5685</v>
      </c>
    </row>
    <row r="2847">
      <c r="A2847" s="311">
        <v>2846</v>
      </c>
      <c r="B2847" s="396" t="s">
        <v>5709</v>
      </c>
      <c r="C2847" s="396" t="s">
        <v>5710</v>
      </c>
      <c r="D2847" s="396" t="s">
        <v>5711</v>
      </c>
      <c r="E2847" s="396" t="s">
        <v>5712</v>
      </c>
      <c r="F2847" s="396" t="s">
        <v>5685</v>
      </c>
    </row>
    <row r="2848">
      <c r="A2848" s="311">
        <v>2847</v>
      </c>
      <c r="B2848" s="396" t="s">
        <v>5713</v>
      </c>
      <c r="C2848" s="396" t="s">
        <v>5714</v>
      </c>
      <c r="D2848" s="396" t="s">
        <v>5711</v>
      </c>
      <c r="E2848" s="396" t="s">
        <v>5712</v>
      </c>
      <c r="F2848" s="396" t="s">
        <v>5685</v>
      </c>
    </row>
    <row r="2849">
      <c r="A2849" s="311">
        <v>2848</v>
      </c>
      <c r="B2849" s="396" t="s">
        <v>5715</v>
      </c>
      <c r="C2849" s="396" t="s">
        <v>1137</v>
      </c>
      <c r="D2849" s="396" t="s">
        <v>5711</v>
      </c>
      <c r="E2849" s="396" t="s">
        <v>5712</v>
      </c>
      <c r="F2849" s="396" t="s">
        <v>5685</v>
      </c>
    </row>
    <row r="2850">
      <c r="A2850" s="311">
        <v>2849</v>
      </c>
      <c r="B2850" s="396" t="s">
        <v>5716</v>
      </c>
      <c r="C2850" s="396" t="s">
        <v>864</v>
      </c>
      <c r="D2850" s="396" t="s">
        <v>5711</v>
      </c>
      <c r="E2850" s="396" t="s">
        <v>5712</v>
      </c>
      <c r="F2850" s="396" t="s">
        <v>5685</v>
      </c>
    </row>
    <row r="2851">
      <c r="A2851" s="311">
        <v>2850</v>
      </c>
      <c r="B2851" s="396" t="s">
        <v>5717</v>
      </c>
      <c r="C2851" s="396" t="s">
        <v>5718</v>
      </c>
      <c r="D2851" s="396" t="s">
        <v>5711</v>
      </c>
      <c r="E2851" s="396" t="s">
        <v>5712</v>
      </c>
      <c r="F2851" s="396" t="s">
        <v>5685</v>
      </c>
    </row>
    <row r="2852">
      <c r="A2852" s="311">
        <v>2851</v>
      </c>
      <c r="B2852" s="396" t="s">
        <v>5719</v>
      </c>
      <c r="C2852" s="396" t="s">
        <v>5720</v>
      </c>
      <c r="D2852" s="396" t="s">
        <v>5711</v>
      </c>
      <c r="E2852" s="396" t="s">
        <v>5712</v>
      </c>
      <c r="F2852" s="396" t="s">
        <v>5685</v>
      </c>
    </row>
    <row r="2853">
      <c r="A2853" s="311">
        <v>2852</v>
      </c>
      <c r="B2853" s="396" t="s">
        <v>5721</v>
      </c>
      <c r="C2853" s="396" t="s">
        <v>5722</v>
      </c>
      <c r="D2853" s="396" t="s">
        <v>5711</v>
      </c>
      <c r="E2853" s="396" t="s">
        <v>5712</v>
      </c>
      <c r="F2853" s="396" t="s">
        <v>5685</v>
      </c>
    </row>
    <row r="2854">
      <c r="A2854" s="311">
        <v>2853</v>
      </c>
      <c r="B2854" s="396" t="s">
        <v>5723</v>
      </c>
      <c r="C2854" s="396" t="s">
        <v>5724</v>
      </c>
      <c r="D2854" s="396" t="s">
        <v>5711</v>
      </c>
      <c r="E2854" s="396" t="s">
        <v>5712</v>
      </c>
      <c r="F2854" s="396" t="s">
        <v>5685</v>
      </c>
    </row>
    <row r="2855">
      <c r="A2855" s="311">
        <v>2854</v>
      </c>
      <c r="B2855" s="396" t="s">
        <v>5725</v>
      </c>
      <c r="C2855" s="396" t="s">
        <v>1181</v>
      </c>
      <c r="D2855" s="396" t="s">
        <v>5711</v>
      </c>
      <c r="E2855" s="396" t="s">
        <v>5712</v>
      </c>
      <c r="F2855" s="396" t="s">
        <v>5685</v>
      </c>
    </row>
    <row r="2856">
      <c r="A2856" s="311">
        <v>2855</v>
      </c>
      <c r="B2856" s="396" t="s">
        <v>5726</v>
      </c>
      <c r="C2856" s="396" t="s">
        <v>466</v>
      </c>
      <c r="D2856" s="396" t="s">
        <v>5711</v>
      </c>
      <c r="E2856" s="396" t="s">
        <v>5712</v>
      </c>
      <c r="F2856" s="396" t="s">
        <v>5685</v>
      </c>
    </row>
    <row r="2857">
      <c r="A2857" s="311">
        <v>2856</v>
      </c>
      <c r="B2857" s="396" t="s">
        <v>5727</v>
      </c>
      <c r="C2857" s="396" t="s">
        <v>525</v>
      </c>
      <c r="D2857" s="396" t="s">
        <v>5711</v>
      </c>
      <c r="E2857" s="396" t="s">
        <v>5712</v>
      </c>
      <c r="F2857" s="396" t="s">
        <v>5685</v>
      </c>
    </row>
    <row r="2858">
      <c r="A2858" s="311">
        <v>2857</v>
      </c>
      <c r="B2858" s="396" t="s">
        <v>5728</v>
      </c>
      <c r="C2858" s="396" t="s">
        <v>290</v>
      </c>
      <c r="D2858" s="396" t="s">
        <v>5711</v>
      </c>
      <c r="E2858" s="396" t="s">
        <v>5712</v>
      </c>
      <c r="F2858" s="396" t="s">
        <v>5685</v>
      </c>
    </row>
    <row r="2859">
      <c r="A2859" s="311">
        <v>2858</v>
      </c>
      <c r="B2859" s="396" t="s">
        <v>5729</v>
      </c>
      <c r="C2859" s="396" t="s">
        <v>952</v>
      </c>
      <c r="D2859" s="396" t="s">
        <v>5711</v>
      </c>
      <c r="E2859" s="396" t="s">
        <v>5712</v>
      </c>
      <c r="F2859" s="396" t="s">
        <v>5685</v>
      </c>
    </row>
    <row r="2860">
      <c r="A2860" s="311">
        <v>2859</v>
      </c>
      <c r="B2860" s="396" t="s">
        <v>5730</v>
      </c>
      <c r="C2860" s="396" t="s">
        <v>902</v>
      </c>
      <c r="D2860" s="396" t="s">
        <v>5711</v>
      </c>
      <c r="E2860" s="396" t="s">
        <v>5712</v>
      </c>
      <c r="F2860" s="396" t="s">
        <v>5685</v>
      </c>
    </row>
    <row r="2861">
      <c r="A2861" s="311">
        <v>2860</v>
      </c>
      <c r="B2861" s="396" t="s">
        <v>5731</v>
      </c>
      <c r="C2861" s="396" t="s">
        <v>5732</v>
      </c>
      <c r="D2861" s="396" t="s">
        <v>5711</v>
      </c>
      <c r="E2861" s="396" t="s">
        <v>5712</v>
      </c>
      <c r="F2861" s="396" t="s">
        <v>5685</v>
      </c>
    </row>
    <row r="2862">
      <c r="A2862" s="311">
        <v>2861</v>
      </c>
      <c r="B2862" s="396" t="s">
        <v>5733</v>
      </c>
      <c r="C2862" s="396" t="s">
        <v>5734</v>
      </c>
      <c r="D2862" s="396" t="s">
        <v>5711</v>
      </c>
      <c r="E2862" s="396" t="s">
        <v>5712</v>
      </c>
      <c r="F2862" s="396" t="s">
        <v>5685</v>
      </c>
    </row>
    <row r="2863">
      <c r="A2863" s="311">
        <v>2862</v>
      </c>
      <c r="B2863" s="396" t="s">
        <v>5735</v>
      </c>
      <c r="C2863" s="396" t="s">
        <v>5736</v>
      </c>
      <c r="D2863" s="396" t="s">
        <v>5711</v>
      </c>
      <c r="E2863" s="396" t="s">
        <v>5712</v>
      </c>
      <c r="F2863" s="396" t="s">
        <v>5685</v>
      </c>
    </row>
    <row r="2864">
      <c r="A2864" s="311">
        <v>2863</v>
      </c>
      <c r="B2864" s="396" t="s">
        <v>5737</v>
      </c>
      <c r="C2864" s="396" t="s">
        <v>793</v>
      </c>
      <c r="D2864" s="396" t="s">
        <v>5711</v>
      </c>
      <c r="E2864" s="396" t="s">
        <v>5712</v>
      </c>
      <c r="F2864" s="396" t="s">
        <v>5685</v>
      </c>
    </row>
    <row r="2865">
      <c r="A2865" s="311">
        <v>2864</v>
      </c>
      <c r="B2865" s="396" t="s">
        <v>5738</v>
      </c>
      <c r="C2865" s="396" t="s">
        <v>5739</v>
      </c>
      <c r="D2865" s="396" t="s">
        <v>5711</v>
      </c>
      <c r="E2865" s="396" t="s">
        <v>5712</v>
      </c>
      <c r="F2865" s="396" t="s">
        <v>5685</v>
      </c>
    </row>
    <row r="2866">
      <c r="A2866" s="311">
        <v>2865</v>
      </c>
      <c r="B2866" s="396" t="s">
        <v>5740</v>
      </c>
      <c r="C2866" s="396" t="s">
        <v>5741</v>
      </c>
      <c r="D2866" s="396" t="s">
        <v>5711</v>
      </c>
      <c r="E2866" s="396" t="s">
        <v>5712</v>
      </c>
      <c r="F2866" s="396" t="s">
        <v>5685</v>
      </c>
    </row>
    <row r="2867">
      <c r="A2867" s="311">
        <v>2866</v>
      </c>
      <c r="B2867" s="396" t="s">
        <v>5742</v>
      </c>
      <c r="C2867" s="396" t="s">
        <v>5743</v>
      </c>
      <c r="D2867" s="396" t="s">
        <v>5711</v>
      </c>
      <c r="E2867" s="396" t="s">
        <v>5712</v>
      </c>
      <c r="F2867" s="396" t="s">
        <v>5685</v>
      </c>
    </row>
    <row r="2868">
      <c r="A2868" s="311">
        <v>2867</v>
      </c>
      <c r="B2868" s="396" t="s">
        <v>5744</v>
      </c>
      <c r="C2868" s="396" t="s">
        <v>5745</v>
      </c>
      <c r="D2868" s="396" t="s">
        <v>5746</v>
      </c>
      <c r="E2868" s="396" t="s">
        <v>5747</v>
      </c>
      <c r="F2868" s="396" t="s">
        <v>5685</v>
      </c>
    </row>
    <row r="2869">
      <c r="A2869" s="311">
        <v>2868</v>
      </c>
      <c r="B2869" s="396" t="s">
        <v>5748</v>
      </c>
      <c r="C2869" s="396" t="s">
        <v>5749</v>
      </c>
      <c r="D2869" s="396" t="s">
        <v>5746</v>
      </c>
      <c r="E2869" s="396" t="s">
        <v>5747</v>
      </c>
      <c r="F2869" s="396" t="s">
        <v>5685</v>
      </c>
    </row>
    <row r="2870">
      <c r="A2870" s="311">
        <v>2869</v>
      </c>
      <c r="B2870" s="396" t="s">
        <v>5750</v>
      </c>
      <c r="C2870" s="396" t="s">
        <v>5751</v>
      </c>
      <c r="D2870" s="396" t="s">
        <v>5746</v>
      </c>
      <c r="E2870" s="396" t="s">
        <v>5747</v>
      </c>
      <c r="F2870" s="396" t="s">
        <v>5685</v>
      </c>
    </row>
    <row r="2871">
      <c r="A2871" s="311">
        <v>2870</v>
      </c>
      <c r="B2871" s="396" t="s">
        <v>5752</v>
      </c>
      <c r="C2871" s="396" t="s">
        <v>5753</v>
      </c>
      <c r="D2871" s="396" t="s">
        <v>5746</v>
      </c>
      <c r="E2871" s="396" t="s">
        <v>5747</v>
      </c>
      <c r="F2871" s="396" t="s">
        <v>5685</v>
      </c>
    </row>
    <row r="2872">
      <c r="A2872" s="311">
        <v>2871</v>
      </c>
      <c r="B2872" s="396" t="s">
        <v>5754</v>
      </c>
      <c r="C2872" s="396" t="s">
        <v>5755</v>
      </c>
      <c r="D2872" s="396" t="s">
        <v>5746</v>
      </c>
      <c r="E2872" s="396" t="s">
        <v>5747</v>
      </c>
      <c r="F2872" s="396" t="s">
        <v>5685</v>
      </c>
    </row>
    <row r="2873">
      <c r="A2873" s="311">
        <v>2872</v>
      </c>
      <c r="B2873" s="396" t="s">
        <v>5756</v>
      </c>
      <c r="C2873" s="396" t="s">
        <v>5757</v>
      </c>
      <c r="D2873" s="396" t="s">
        <v>5746</v>
      </c>
      <c r="E2873" s="396" t="s">
        <v>5747</v>
      </c>
      <c r="F2873" s="396" t="s">
        <v>5685</v>
      </c>
    </row>
    <row r="2874">
      <c r="A2874" s="311">
        <v>2873</v>
      </c>
      <c r="B2874" s="396" t="s">
        <v>5758</v>
      </c>
      <c r="C2874" s="396" t="s">
        <v>306</v>
      </c>
      <c r="D2874" s="396" t="s">
        <v>5746</v>
      </c>
      <c r="E2874" s="396" t="s">
        <v>5747</v>
      </c>
      <c r="F2874" s="396" t="s">
        <v>5685</v>
      </c>
    </row>
    <row r="2875">
      <c r="A2875" s="311">
        <v>2874</v>
      </c>
      <c r="B2875" s="396" t="s">
        <v>5759</v>
      </c>
      <c r="C2875" s="396" t="s">
        <v>2353</v>
      </c>
      <c r="D2875" s="396" t="s">
        <v>5746</v>
      </c>
      <c r="E2875" s="396" t="s">
        <v>5747</v>
      </c>
      <c r="F2875" s="396" t="s">
        <v>5685</v>
      </c>
    </row>
    <row r="2876">
      <c r="A2876" s="311">
        <v>2875</v>
      </c>
      <c r="B2876" s="396" t="s">
        <v>5760</v>
      </c>
      <c r="C2876" s="396" t="s">
        <v>5761</v>
      </c>
      <c r="D2876" s="396" t="s">
        <v>5746</v>
      </c>
      <c r="E2876" s="396" t="s">
        <v>5747</v>
      </c>
      <c r="F2876" s="396" t="s">
        <v>5685</v>
      </c>
    </row>
    <row r="2877">
      <c r="A2877" s="311">
        <v>2876</v>
      </c>
      <c r="B2877" s="396" t="s">
        <v>5762</v>
      </c>
      <c r="C2877" s="396" t="s">
        <v>714</v>
      </c>
      <c r="D2877" s="396" t="s">
        <v>5746</v>
      </c>
      <c r="E2877" s="396" t="s">
        <v>5747</v>
      </c>
      <c r="F2877" s="396" t="s">
        <v>5685</v>
      </c>
    </row>
    <row r="2878">
      <c r="A2878" s="311">
        <v>2877</v>
      </c>
      <c r="B2878" s="396" t="s">
        <v>5763</v>
      </c>
      <c r="C2878" s="396" t="s">
        <v>4273</v>
      </c>
      <c r="D2878" s="396" t="s">
        <v>5746</v>
      </c>
      <c r="E2878" s="396" t="s">
        <v>5747</v>
      </c>
      <c r="F2878" s="396" t="s">
        <v>5685</v>
      </c>
    </row>
    <row r="2879">
      <c r="A2879" s="311">
        <v>2878</v>
      </c>
      <c r="B2879" s="396" t="s">
        <v>5764</v>
      </c>
      <c r="C2879" s="396" t="s">
        <v>5765</v>
      </c>
      <c r="D2879" s="396" t="s">
        <v>5746</v>
      </c>
      <c r="E2879" s="396" t="s">
        <v>5747</v>
      </c>
      <c r="F2879" s="396" t="s">
        <v>5685</v>
      </c>
    </row>
    <row r="2880">
      <c r="A2880" s="311">
        <v>2879</v>
      </c>
      <c r="B2880" s="396" t="s">
        <v>5766</v>
      </c>
      <c r="C2880" s="396" t="s">
        <v>5767</v>
      </c>
      <c r="D2880" s="396" t="s">
        <v>5746</v>
      </c>
      <c r="E2880" s="396" t="s">
        <v>5747</v>
      </c>
      <c r="F2880" s="396" t="s">
        <v>5685</v>
      </c>
    </row>
    <row r="2881">
      <c r="A2881" s="311">
        <v>2880</v>
      </c>
      <c r="B2881" s="396" t="s">
        <v>5768</v>
      </c>
      <c r="C2881" s="396" t="s">
        <v>5769</v>
      </c>
      <c r="D2881" s="396" t="s">
        <v>5746</v>
      </c>
      <c r="E2881" s="396" t="s">
        <v>5747</v>
      </c>
      <c r="F2881" s="396" t="s">
        <v>5685</v>
      </c>
    </row>
    <row r="2882">
      <c r="A2882" s="311">
        <v>2881</v>
      </c>
      <c r="B2882" s="396" t="s">
        <v>5770</v>
      </c>
      <c r="C2882" s="396" t="s">
        <v>2077</v>
      </c>
      <c r="D2882" s="396" t="s">
        <v>5746</v>
      </c>
      <c r="E2882" s="396" t="s">
        <v>5747</v>
      </c>
      <c r="F2882" s="396" t="s">
        <v>5685</v>
      </c>
    </row>
    <row r="2883">
      <c r="A2883" s="311">
        <v>2882</v>
      </c>
      <c r="B2883" s="396" t="s">
        <v>5771</v>
      </c>
      <c r="C2883" s="396" t="s">
        <v>5772</v>
      </c>
      <c r="D2883" s="396" t="s">
        <v>5746</v>
      </c>
      <c r="E2883" s="396" t="s">
        <v>5747</v>
      </c>
      <c r="F2883" s="396" t="s">
        <v>5685</v>
      </c>
    </row>
    <row r="2884">
      <c r="A2884" s="311">
        <v>2883</v>
      </c>
      <c r="B2884" s="396" t="s">
        <v>5773</v>
      </c>
      <c r="C2884" s="396" t="s">
        <v>5774</v>
      </c>
      <c r="D2884" s="396" t="s">
        <v>5746</v>
      </c>
      <c r="E2884" s="396" t="s">
        <v>5747</v>
      </c>
      <c r="F2884" s="396" t="s">
        <v>5685</v>
      </c>
    </row>
    <row r="2885">
      <c r="A2885" s="311">
        <v>2884</v>
      </c>
      <c r="B2885" s="396" t="s">
        <v>5775</v>
      </c>
      <c r="C2885" s="396" t="s">
        <v>5776</v>
      </c>
      <c r="D2885" s="396" t="s">
        <v>5746</v>
      </c>
      <c r="E2885" s="396" t="s">
        <v>5747</v>
      </c>
      <c r="F2885" s="396" t="s">
        <v>5685</v>
      </c>
    </row>
    <row r="2886">
      <c r="A2886" s="311">
        <v>2885</v>
      </c>
      <c r="B2886" s="396" t="s">
        <v>5777</v>
      </c>
      <c r="C2886" s="396" t="s">
        <v>5778</v>
      </c>
      <c r="D2886" s="396" t="s">
        <v>5746</v>
      </c>
      <c r="E2886" s="396" t="s">
        <v>5747</v>
      </c>
      <c r="F2886" s="396" t="s">
        <v>5685</v>
      </c>
    </row>
    <row r="2887">
      <c r="A2887" s="311">
        <v>2886</v>
      </c>
      <c r="B2887" s="396" t="s">
        <v>5779</v>
      </c>
      <c r="C2887" s="396" t="s">
        <v>5780</v>
      </c>
      <c r="D2887" s="396" t="s">
        <v>5746</v>
      </c>
      <c r="E2887" s="396" t="s">
        <v>5747</v>
      </c>
      <c r="F2887" s="396" t="s">
        <v>5685</v>
      </c>
    </row>
    <row r="2888">
      <c r="A2888" s="311">
        <v>2887</v>
      </c>
      <c r="B2888" s="396" t="s">
        <v>5781</v>
      </c>
      <c r="C2888" s="396" t="s">
        <v>5782</v>
      </c>
      <c r="D2888" s="396" t="s">
        <v>5746</v>
      </c>
      <c r="E2888" s="396" t="s">
        <v>5747</v>
      </c>
      <c r="F2888" s="396" t="s">
        <v>5685</v>
      </c>
    </row>
    <row r="2889">
      <c r="A2889" s="311">
        <v>2888</v>
      </c>
      <c r="B2889" s="396" t="s">
        <v>5783</v>
      </c>
      <c r="C2889" s="396" t="s">
        <v>5784</v>
      </c>
      <c r="D2889" s="396" t="s">
        <v>5746</v>
      </c>
      <c r="E2889" s="396" t="s">
        <v>5747</v>
      </c>
      <c r="F2889" s="396" t="s">
        <v>5685</v>
      </c>
    </row>
    <row r="2890">
      <c r="A2890" s="311">
        <v>2889</v>
      </c>
      <c r="B2890" s="396" t="s">
        <v>5785</v>
      </c>
      <c r="C2890" s="396" t="s">
        <v>5786</v>
      </c>
      <c r="D2890" s="396" t="s">
        <v>5746</v>
      </c>
      <c r="E2890" s="396" t="s">
        <v>5747</v>
      </c>
      <c r="F2890" s="396" t="s">
        <v>5685</v>
      </c>
    </row>
    <row r="2891">
      <c r="A2891" s="311">
        <v>2890</v>
      </c>
      <c r="B2891" s="396" t="s">
        <v>5787</v>
      </c>
      <c r="C2891" s="396" t="s">
        <v>5788</v>
      </c>
      <c r="D2891" s="396" t="s">
        <v>5746</v>
      </c>
      <c r="E2891" s="396" t="s">
        <v>5747</v>
      </c>
      <c r="F2891" s="396" t="s">
        <v>5685</v>
      </c>
    </row>
    <row r="2892">
      <c r="A2892" s="311">
        <v>2891</v>
      </c>
      <c r="B2892" s="396" t="s">
        <v>5789</v>
      </c>
      <c r="C2892" s="396" t="s">
        <v>5790</v>
      </c>
      <c r="D2892" s="396" t="s">
        <v>5791</v>
      </c>
      <c r="E2892" s="396" t="s">
        <v>5792</v>
      </c>
      <c r="F2892" s="396" t="s">
        <v>5685</v>
      </c>
    </row>
    <row r="2893">
      <c r="A2893" s="311">
        <v>2892</v>
      </c>
      <c r="B2893" s="396" t="s">
        <v>5793</v>
      </c>
      <c r="C2893" s="396" t="s">
        <v>5794</v>
      </c>
      <c r="D2893" s="396" t="s">
        <v>5791</v>
      </c>
      <c r="E2893" s="396" t="s">
        <v>5792</v>
      </c>
      <c r="F2893" s="396" t="s">
        <v>5685</v>
      </c>
    </row>
    <row r="2894">
      <c r="A2894" s="311">
        <v>2893</v>
      </c>
      <c r="B2894" s="396" t="s">
        <v>5795</v>
      </c>
      <c r="C2894" s="396" t="s">
        <v>5796</v>
      </c>
      <c r="D2894" s="396" t="s">
        <v>5791</v>
      </c>
      <c r="E2894" s="396" t="s">
        <v>5792</v>
      </c>
      <c r="F2894" s="396" t="s">
        <v>5685</v>
      </c>
    </row>
    <row r="2895">
      <c r="A2895" s="311">
        <v>2894</v>
      </c>
      <c r="B2895" s="396" t="s">
        <v>5797</v>
      </c>
      <c r="C2895" s="396" t="s">
        <v>5798</v>
      </c>
      <c r="D2895" s="396" t="s">
        <v>5791</v>
      </c>
      <c r="E2895" s="396" t="s">
        <v>5792</v>
      </c>
      <c r="F2895" s="396" t="s">
        <v>5685</v>
      </c>
    </row>
    <row r="2896">
      <c r="A2896" s="311">
        <v>2895</v>
      </c>
      <c r="B2896" s="396" t="s">
        <v>5799</v>
      </c>
      <c r="C2896" s="396" t="s">
        <v>5800</v>
      </c>
      <c r="D2896" s="396" t="s">
        <v>5791</v>
      </c>
      <c r="E2896" s="396" t="s">
        <v>5792</v>
      </c>
      <c r="F2896" s="396" t="s">
        <v>5685</v>
      </c>
    </row>
    <row r="2897">
      <c r="A2897" s="311">
        <v>2896</v>
      </c>
      <c r="B2897" s="396" t="s">
        <v>5801</v>
      </c>
      <c r="C2897" s="396" t="s">
        <v>1210</v>
      </c>
      <c r="D2897" s="396" t="s">
        <v>5791</v>
      </c>
      <c r="E2897" s="396" t="s">
        <v>5792</v>
      </c>
      <c r="F2897" s="396" t="s">
        <v>5685</v>
      </c>
    </row>
    <row r="2898">
      <c r="A2898" s="311">
        <v>2897</v>
      </c>
      <c r="B2898" s="396" t="s">
        <v>5802</v>
      </c>
      <c r="C2898" s="396" t="s">
        <v>5803</v>
      </c>
      <c r="D2898" s="396" t="s">
        <v>5791</v>
      </c>
      <c r="E2898" s="396" t="s">
        <v>5792</v>
      </c>
      <c r="F2898" s="396" t="s">
        <v>5685</v>
      </c>
    </row>
    <row r="2899">
      <c r="A2899" s="311">
        <v>2898</v>
      </c>
      <c r="B2899" s="396" t="s">
        <v>5804</v>
      </c>
      <c r="C2899" s="396" t="s">
        <v>5805</v>
      </c>
      <c r="D2899" s="396" t="s">
        <v>5791</v>
      </c>
      <c r="E2899" s="396" t="s">
        <v>5792</v>
      </c>
      <c r="F2899" s="396" t="s">
        <v>5685</v>
      </c>
    </row>
    <row r="2900">
      <c r="A2900" s="311">
        <v>2899</v>
      </c>
      <c r="B2900" s="396" t="s">
        <v>5806</v>
      </c>
      <c r="C2900" s="396" t="s">
        <v>5807</v>
      </c>
      <c r="D2900" s="396" t="s">
        <v>5791</v>
      </c>
      <c r="E2900" s="396" t="s">
        <v>5792</v>
      </c>
      <c r="F2900" s="396" t="s">
        <v>5685</v>
      </c>
    </row>
    <row r="2901">
      <c r="A2901" s="311">
        <v>2900</v>
      </c>
      <c r="B2901" s="396" t="s">
        <v>5808</v>
      </c>
      <c r="C2901" s="396" t="s">
        <v>2380</v>
      </c>
      <c r="D2901" s="396" t="s">
        <v>5791</v>
      </c>
      <c r="E2901" s="396" t="s">
        <v>5792</v>
      </c>
      <c r="F2901" s="396" t="s">
        <v>5685</v>
      </c>
    </row>
    <row r="2902">
      <c r="A2902" s="311">
        <v>2901</v>
      </c>
      <c r="B2902" s="396" t="s">
        <v>5809</v>
      </c>
      <c r="C2902" s="396" t="s">
        <v>5810</v>
      </c>
      <c r="D2902" s="396" t="s">
        <v>5791</v>
      </c>
      <c r="E2902" s="396" t="s">
        <v>5792</v>
      </c>
      <c r="F2902" s="396" t="s">
        <v>5685</v>
      </c>
    </row>
    <row r="2903">
      <c r="A2903" s="311">
        <v>2902</v>
      </c>
      <c r="B2903" s="396" t="s">
        <v>5811</v>
      </c>
      <c r="C2903" s="396" t="s">
        <v>5812</v>
      </c>
      <c r="D2903" s="396" t="s">
        <v>5791</v>
      </c>
      <c r="E2903" s="396" t="s">
        <v>5792</v>
      </c>
      <c r="F2903" s="396" t="s">
        <v>5685</v>
      </c>
    </row>
    <row r="2904">
      <c r="A2904" s="311">
        <v>2903</v>
      </c>
      <c r="B2904" s="396" t="s">
        <v>5813</v>
      </c>
      <c r="C2904" s="396" t="s">
        <v>5814</v>
      </c>
      <c r="D2904" s="396" t="s">
        <v>5791</v>
      </c>
      <c r="E2904" s="396" t="s">
        <v>5792</v>
      </c>
      <c r="F2904" s="396" t="s">
        <v>5685</v>
      </c>
    </row>
    <row r="2905">
      <c r="A2905" s="311">
        <v>2904</v>
      </c>
      <c r="B2905" s="396" t="s">
        <v>5815</v>
      </c>
      <c r="C2905" s="396" t="s">
        <v>5022</v>
      </c>
      <c r="D2905" s="396" t="s">
        <v>5791</v>
      </c>
      <c r="E2905" s="396" t="s">
        <v>5792</v>
      </c>
      <c r="F2905" s="396" t="s">
        <v>5685</v>
      </c>
    </row>
    <row r="2906">
      <c r="A2906" s="311">
        <v>2905</v>
      </c>
      <c r="B2906" s="396" t="s">
        <v>5816</v>
      </c>
      <c r="C2906" s="396" t="s">
        <v>470</v>
      </c>
      <c r="D2906" s="396" t="s">
        <v>5791</v>
      </c>
      <c r="E2906" s="396" t="s">
        <v>5792</v>
      </c>
      <c r="F2906" s="396" t="s">
        <v>5685</v>
      </c>
    </row>
    <row r="2907">
      <c r="A2907" s="311">
        <v>2906</v>
      </c>
      <c r="B2907" s="396" t="s">
        <v>5817</v>
      </c>
      <c r="C2907" s="396" t="s">
        <v>296</v>
      </c>
      <c r="D2907" s="396" t="s">
        <v>5791</v>
      </c>
      <c r="E2907" s="396" t="s">
        <v>5792</v>
      </c>
      <c r="F2907" s="396" t="s">
        <v>5685</v>
      </c>
    </row>
    <row r="2908">
      <c r="A2908" s="311">
        <v>2907</v>
      </c>
      <c r="B2908" s="396" t="s">
        <v>5818</v>
      </c>
      <c r="C2908" s="396" t="s">
        <v>5819</v>
      </c>
      <c r="D2908" s="396" t="s">
        <v>5791</v>
      </c>
      <c r="E2908" s="396" t="s">
        <v>5792</v>
      </c>
      <c r="F2908" s="396" t="s">
        <v>5685</v>
      </c>
    </row>
    <row r="2909">
      <c r="A2909" s="311">
        <v>2908</v>
      </c>
      <c r="B2909" s="396" t="s">
        <v>5820</v>
      </c>
      <c r="C2909" s="396" t="s">
        <v>5821</v>
      </c>
      <c r="D2909" s="396" t="s">
        <v>5791</v>
      </c>
      <c r="E2909" s="396" t="s">
        <v>5792</v>
      </c>
      <c r="F2909" s="396" t="s">
        <v>5685</v>
      </c>
    </row>
    <row r="2910">
      <c r="A2910" s="311">
        <v>2909</v>
      </c>
      <c r="B2910" s="396" t="s">
        <v>5822</v>
      </c>
      <c r="C2910" s="396" t="s">
        <v>5823</v>
      </c>
      <c r="D2910" s="396" t="s">
        <v>5791</v>
      </c>
      <c r="E2910" s="396" t="s">
        <v>5792</v>
      </c>
      <c r="F2910" s="396" t="s">
        <v>5685</v>
      </c>
    </row>
    <row r="2911">
      <c r="A2911" s="311">
        <v>2910</v>
      </c>
      <c r="B2911" s="396" t="s">
        <v>5824</v>
      </c>
      <c r="C2911" s="396" t="s">
        <v>5825</v>
      </c>
      <c r="D2911" s="396" t="s">
        <v>5791</v>
      </c>
      <c r="E2911" s="396" t="s">
        <v>5792</v>
      </c>
      <c r="F2911" s="396" t="s">
        <v>5685</v>
      </c>
    </row>
    <row r="2912">
      <c r="A2912" s="311">
        <v>2911</v>
      </c>
      <c r="B2912" s="396" t="s">
        <v>5826</v>
      </c>
      <c r="C2912" s="396" t="s">
        <v>5827</v>
      </c>
      <c r="D2912" s="396" t="s">
        <v>5791</v>
      </c>
      <c r="E2912" s="396" t="s">
        <v>5792</v>
      </c>
      <c r="F2912" s="396" t="s">
        <v>5685</v>
      </c>
    </row>
    <row r="2913">
      <c r="A2913" s="311">
        <v>2912</v>
      </c>
      <c r="B2913" s="396" t="s">
        <v>5828</v>
      </c>
      <c r="C2913" s="396" t="s">
        <v>5829</v>
      </c>
      <c r="D2913" s="396" t="s">
        <v>5791</v>
      </c>
      <c r="E2913" s="396" t="s">
        <v>5792</v>
      </c>
      <c r="F2913" s="396" t="s">
        <v>5685</v>
      </c>
    </row>
    <row r="2914">
      <c r="A2914" s="311">
        <v>2913</v>
      </c>
      <c r="B2914" s="396" t="s">
        <v>5830</v>
      </c>
      <c r="C2914" s="396" t="s">
        <v>5831</v>
      </c>
      <c r="D2914" s="396" t="s">
        <v>5791</v>
      </c>
      <c r="E2914" s="396" t="s">
        <v>5792</v>
      </c>
      <c r="F2914" s="396" t="s">
        <v>5685</v>
      </c>
    </row>
    <row r="2915">
      <c r="A2915" s="311">
        <v>2914</v>
      </c>
      <c r="B2915" s="396" t="s">
        <v>5832</v>
      </c>
      <c r="C2915" s="396" t="s">
        <v>5833</v>
      </c>
      <c r="D2915" s="396" t="s">
        <v>5834</v>
      </c>
      <c r="E2915" s="396" t="s">
        <v>5835</v>
      </c>
      <c r="F2915" s="396" t="s">
        <v>5685</v>
      </c>
    </row>
    <row r="2916">
      <c r="A2916" s="311">
        <v>2915</v>
      </c>
      <c r="B2916" s="396" t="s">
        <v>5836</v>
      </c>
      <c r="C2916" s="396" t="s">
        <v>5837</v>
      </c>
      <c r="D2916" s="396" t="s">
        <v>5834</v>
      </c>
      <c r="E2916" s="396" t="s">
        <v>5835</v>
      </c>
      <c r="F2916" s="396" t="s">
        <v>5685</v>
      </c>
    </row>
    <row r="2917">
      <c r="A2917" s="311">
        <v>2916</v>
      </c>
      <c r="B2917" s="396" t="s">
        <v>5838</v>
      </c>
      <c r="C2917" s="396" t="s">
        <v>5839</v>
      </c>
      <c r="D2917" s="396" t="s">
        <v>5834</v>
      </c>
      <c r="E2917" s="396" t="s">
        <v>5835</v>
      </c>
      <c r="F2917" s="396" t="s">
        <v>5685</v>
      </c>
    </row>
    <row r="2918">
      <c r="A2918" s="311">
        <v>2917</v>
      </c>
      <c r="B2918" s="396" t="s">
        <v>5840</v>
      </c>
      <c r="C2918" s="396" t="s">
        <v>5841</v>
      </c>
      <c r="D2918" s="396" t="s">
        <v>5834</v>
      </c>
      <c r="E2918" s="396" t="s">
        <v>5835</v>
      </c>
      <c r="F2918" s="396" t="s">
        <v>5685</v>
      </c>
    </row>
    <row r="2919">
      <c r="A2919" s="311">
        <v>2918</v>
      </c>
      <c r="B2919" s="396" t="s">
        <v>5842</v>
      </c>
      <c r="C2919" s="396" t="s">
        <v>5843</v>
      </c>
      <c r="D2919" s="396" t="s">
        <v>5834</v>
      </c>
      <c r="E2919" s="396" t="s">
        <v>5835</v>
      </c>
      <c r="F2919" s="396" t="s">
        <v>5685</v>
      </c>
    </row>
    <row r="2920">
      <c r="A2920" s="311">
        <v>2919</v>
      </c>
      <c r="B2920" s="396" t="s">
        <v>5844</v>
      </c>
      <c r="C2920" s="396" t="s">
        <v>5845</v>
      </c>
      <c r="D2920" s="396" t="s">
        <v>5834</v>
      </c>
      <c r="E2920" s="396" t="s">
        <v>5835</v>
      </c>
      <c r="F2920" s="396" t="s">
        <v>5685</v>
      </c>
    </row>
    <row r="2921">
      <c r="A2921" s="311">
        <v>2920</v>
      </c>
      <c r="B2921" s="396" t="s">
        <v>5846</v>
      </c>
      <c r="C2921" s="396" t="s">
        <v>5847</v>
      </c>
      <c r="D2921" s="396" t="s">
        <v>5834</v>
      </c>
      <c r="E2921" s="396" t="s">
        <v>5835</v>
      </c>
      <c r="F2921" s="396" t="s">
        <v>5685</v>
      </c>
    </row>
    <row r="2922">
      <c r="A2922" s="311">
        <v>2921</v>
      </c>
      <c r="B2922" s="396" t="s">
        <v>5848</v>
      </c>
      <c r="C2922" s="396" t="s">
        <v>531</v>
      </c>
      <c r="D2922" s="396" t="s">
        <v>5834</v>
      </c>
      <c r="E2922" s="396" t="s">
        <v>5835</v>
      </c>
      <c r="F2922" s="396" t="s">
        <v>5685</v>
      </c>
    </row>
    <row r="2923">
      <c r="A2923" s="311">
        <v>2922</v>
      </c>
      <c r="B2923" s="396" t="s">
        <v>5849</v>
      </c>
      <c r="C2923" s="396" t="s">
        <v>5850</v>
      </c>
      <c r="D2923" s="396" t="s">
        <v>5834</v>
      </c>
      <c r="E2923" s="396" t="s">
        <v>5835</v>
      </c>
      <c r="F2923" s="396" t="s">
        <v>5685</v>
      </c>
    </row>
    <row r="2924">
      <c r="A2924" s="311">
        <v>2923</v>
      </c>
      <c r="B2924" s="396" t="s">
        <v>5851</v>
      </c>
      <c r="C2924" s="396" t="s">
        <v>5852</v>
      </c>
      <c r="D2924" s="396" t="s">
        <v>5834</v>
      </c>
      <c r="E2924" s="396" t="s">
        <v>5835</v>
      </c>
      <c r="F2924" s="396" t="s">
        <v>5685</v>
      </c>
    </row>
    <row r="2925">
      <c r="A2925" s="311">
        <v>2924</v>
      </c>
      <c r="B2925" s="396" t="s">
        <v>5853</v>
      </c>
      <c r="C2925" s="396" t="s">
        <v>5854</v>
      </c>
      <c r="D2925" s="396" t="s">
        <v>5834</v>
      </c>
      <c r="E2925" s="396" t="s">
        <v>5835</v>
      </c>
      <c r="F2925" s="396" t="s">
        <v>5685</v>
      </c>
    </row>
    <row r="2926">
      <c r="A2926" s="311">
        <v>2925</v>
      </c>
      <c r="B2926" s="396" t="s">
        <v>5855</v>
      </c>
      <c r="C2926" s="396" t="s">
        <v>5856</v>
      </c>
      <c r="D2926" s="396" t="s">
        <v>5834</v>
      </c>
      <c r="E2926" s="396" t="s">
        <v>5835</v>
      </c>
      <c r="F2926" s="396" t="s">
        <v>5685</v>
      </c>
    </row>
    <row r="2927">
      <c r="A2927" s="311">
        <v>2926</v>
      </c>
      <c r="B2927" s="396" t="s">
        <v>5857</v>
      </c>
      <c r="C2927" s="396" t="s">
        <v>5858</v>
      </c>
      <c r="D2927" s="396" t="s">
        <v>5834</v>
      </c>
      <c r="E2927" s="396" t="s">
        <v>5835</v>
      </c>
      <c r="F2927" s="396" t="s">
        <v>5685</v>
      </c>
    </row>
    <row r="2928">
      <c r="A2928" s="311">
        <v>2927</v>
      </c>
      <c r="B2928" s="396" t="s">
        <v>5859</v>
      </c>
      <c r="C2928" s="396" t="s">
        <v>5860</v>
      </c>
      <c r="D2928" s="396" t="s">
        <v>5834</v>
      </c>
      <c r="E2928" s="396" t="s">
        <v>5835</v>
      </c>
      <c r="F2928" s="396" t="s">
        <v>5685</v>
      </c>
    </row>
    <row r="2929">
      <c r="A2929" s="311">
        <v>2928</v>
      </c>
      <c r="B2929" s="396" t="s">
        <v>5861</v>
      </c>
      <c r="C2929" s="396" t="s">
        <v>5862</v>
      </c>
      <c r="D2929" s="396" t="s">
        <v>5834</v>
      </c>
      <c r="E2929" s="396" t="s">
        <v>5835</v>
      </c>
      <c r="F2929" s="396" t="s">
        <v>5685</v>
      </c>
    </row>
    <row r="2930">
      <c r="A2930" s="311">
        <v>2929</v>
      </c>
      <c r="B2930" s="396" t="s">
        <v>5863</v>
      </c>
      <c r="C2930" s="396" t="s">
        <v>4718</v>
      </c>
      <c r="D2930" s="396" t="s">
        <v>5834</v>
      </c>
      <c r="E2930" s="396" t="s">
        <v>5835</v>
      </c>
      <c r="F2930" s="396" t="s">
        <v>5685</v>
      </c>
    </row>
    <row r="2931">
      <c r="A2931" s="311">
        <v>2930</v>
      </c>
      <c r="B2931" s="396" t="s">
        <v>5864</v>
      </c>
      <c r="C2931" s="396" t="s">
        <v>4297</v>
      </c>
      <c r="D2931" s="396" t="s">
        <v>5834</v>
      </c>
      <c r="E2931" s="396" t="s">
        <v>5835</v>
      </c>
      <c r="F2931" s="396" t="s">
        <v>5685</v>
      </c>
    </row>
    <row r="2932">
      <c r="A2932" s="311">
        <v>2931</v>
      </c>
      <c r="B2932" s="396" t="s">
        <v>5865</v>
      </c>
      <c r="C2932" s="396" t="s">
        <v>5866</v>
      </c>
      <c r="D2932" s="396" t="s">
        <v>5834</v>
      </c>
      <c r="E2932" s="396" t="s">
        <v>5835</v>
      </c>
      <c r="F2932" s="396" t="s">
        <v>5685</v>
      </c>
    </row>
    <row r="2933">
      <c r="A2933" s="311">
        <v>2932</v>
      </c>
      <c r="B2933" s="396" t="s">
        <v>5867</v>
      </c>
      <c r="C2933" s="396" t="s">
        <v>810</v>
      </c>
      <c r="D2933" s="396" t="s">
        <v>5834</v>
      </c>
      <c r="E2933" s="396" t="s">
        <v>5835</v>
      </c>
      <c r="F2933" s="396" t="s">
        <v>5685</v>
      </c>
    </row>
    <row r="2934">
      <c r="A2934" s="311">
        <v>2933</v>
      </c>
      <c r="B2934" s="396" t="s">
        <v>5868</v>
      </c>
      <c r="C2934" s="396" t="s">
        <v>5869</v>
      </c>
      <c r="D2934" s="396" t="s">
        <v>5834</v>
      </c>
      <c r="E2934" s="396" t="s">
        <v>5835</v>
      </c>
      <c r="F2934" s="396" t="s">
        <v>5685</v>
      </c>
    </row>
    <row r="2935">
      <c r="A2935" s="311">
        <v>2934</v>
      </c>
      <c r="B2935" s="396" t="s">
        <v>5870</v>
      </c>
      <c r="C2935" s="396" t="s">
        <v>5871</v>
      </c>
      <c r="D2935" s="396" t="s">
        <v>5834</v>
      </c>
      <c r="E2935" s="396" t="s">
        <v>5835</v>
      </c>
      <c r="F2935" s="396" t="s">
        <v>5685</v>
      </c>
    </row>
    <row r="2936">
      <c r="A2936" s="311">
        <v>2935</v>
      </c>
      <c r="B2936" s="396" t="s">
        <v>5872</v>
      </c>
      <c r="C2936" s="396" t="s">
        <v>4262</v>
      </c>
      <c r="D2936" s="396" t="s">
        <v>5834</v>
      </c>
      <c r="E2936" s="396" t="s">
        <v>5835</v>
      </c>
      <c r="F2936" s="396" t="s">
        <v>5685</v>
      </c>
    </row>
    <row r="2937">
      <c r="A2937" s="311">
        <v>2936</v>
      </c>
      <c r="B2937" s="396" t="s">
        <v>5873</v>
      </c>
      <c r="C2937" s="396" t="s">
        <v>5874</v>
      </c>
      <c r="D2937" s="396" t="s">
        <v>5834</v>
      </c>
      <c r="E2937" s="396" t="s">
        <v>5835</v>
      </c>
      <c r="F2937" s="396" t="s">
        <v>5685</v>
      </c>
    </row>
    <row r="2938">
      <c r="A2938" s="311">
        <v>2937</v>
      </c>
      <c r="B2938" s="396" t="s">
        <v>5875</v>
      </c>
      <c r="C2938" s="396" t="s">
        <v>5876</v>
      </c>
      <c r="D2938" s="396" t="s">
        <v>5834</v>
      </c>
      <c r="E2938" s="396" t="s">
        <v>5835</v>
      </c>
      <c r="F2938" s="396" t="s">
        <v>5685</v>
      </c>
    </row>
    <row r="2939">
      <c r="A2939" s="311">
        <v>2938</v>
      </c>
      <c r="B2939" s="396" t="s">
        <v>5877</v>
      </c>
      <c r="C2939" s="396" t="s">
        <v>5878</v>
      </c>
      <c r="D2939" s="396" t="s">
        <v>5834</v>
      </c>
      <c r="E2939" s="396" t="s">
        <v>5835</v>
      </c>
      <c r="F2939" s="396" t="s">
        <v>5685</v>
      </c>
    </row>
    <row r="2940">
      <c r="A2940" s="311">
        <v>2939</v>
      </c>
      <c r="B2940" s="396" t="s">
        <v>5879</v>
      </c>
      <c r="C2940" s="396" t="s">
        <v>5880</v>
      </c>
      <c r="D2940" s="396" t="s">
        <v>5834</v>
      </c>
      <c r="E2940" s="396" t="s">
        <v>5835</v>
      </c>
      <c r="F2940" s="396" t="s">
        <v>5685</v>
      </c>
    </row>
    <row r="2941">
      <c r="A2941" s="311">
        <v>2940</v>
      </c>
      <c r="B2941" s="396" t="s">
        <v>5881</v>
      </c>
      <c r="C2941" s="396" t="s">
        <v>5882</v>
      </c>
      <c r="D2941" s="396" t="s">
        <v>5834</v>
      </c>
      <c r="E2941" s="396" t="s">
        <v>5835</v>
      </c>
      <c r="F2941" s="396" t="s">
        <v>5685</v>
      </c>
    </row>
    <row r="2942">
      <c r="A2942" s="311">
        <v>2941</v>
      </c>
      <c r="B2942" s="396" t="s">
        <v>5883</v>
      </c>
      <c r="C2942" s="396" t="s">
        <v>5884</v>
      </c>
      <c r="D2942" s="396" t="s">
        <v>5885</v>
      </c>
      <c r="E2942" s="396" t="s">
        <v>5886</v>
      </c>
      <c r="F2942" s="396" t="s">
        <v>5685</v>
      </c>
    </row>
    <row r="2943">
      <c r="A2943" s="311">
        <v>2942</v>
      </c>
      <c r="B2943" s="396" t="s">
        <v>5887</v>
      </c>
      <c r="C2943" s="396" t="s">
        <v>5888</v>
      </c>
      <c r="D2943" s="396" t="s">
        <v>5885</v>
      </c>
      <c r="E2943" s="396" t="s">
        <v>5886</v>
      </c>
      <c r="F2943" s="396" t="s">
        <v>5685</v>
      </c>
    </row>
    <row r="2944">
      <c r="A2944" s="311">
        <v>2943</v>
      </c>
      <c r="B2944" s="396" t="s">
        <v>5889</v>
      </c>
      <c r="C2944" s="396" t="s">
        <v>2206</v>
      </c>
      <c r="D2944" s="396" t="s">
        <v>5885</v>
      </c>
      <c r="E2944" s="396" t="s">
        <v>5886</v>
      </c>
      <c r="F2944" s="396" t="s">
        <v>5685</v>
      </c>
    </row>
    <row r="2945">
      <c r="A2945" s="311">
        <v>2944</v>
      </c>
      <c r="B2945" s="396" t="s">
        <v>5890</v>
      </c>
      <c r="C2945" s="396" t="s">
        <v>5891</v>
      </c>
      <c r="D2945" s="396" t="s">
        <v>5885</v>
      </c>
      <c r="E2945" s="396" t="s">
        <v>5886</v>
      </c>
      <c r="F2945" s="396" t="s">
        <v>5685</v>
      </c>
    </row>
    <row r="2946">
      <c r="A2946" s="311">
        <v>2945</v>
      </c>
      <c r="B2946" s="396" t="s">
        <v>5892</v>
      </c>
      <c r="C2946" s="396" t="s">
        <v>631</v>
      </c>
      <c r="D2946" s="396" t="s">
        <v>5885</v>
      </c>
      <c r="E2946" s="396" t="s">
        <v>5886</v>
      </c>
      <c r="F2946" s="396" t="s">
        <v>5685</v>
      </c>
    </row>
    <row r="2947">
      <c r="A2947" s="311">
        <v>2946</v>
      </c>
      <c r="B2947" s="396" t="s">
        <v>5893</v>
      </c>
      <c r="C2947" s="396" t="s">
        <v>5894</v>
      </c>
      <c r="D2947" s="396" t="s">
        <v>5885</v>
      </c>
      <c r="E2947" s="396" t="s">
        <v>5886</v>
      </c>
      <c r="F2947" s="396" t="s">
        <v>5685</v>
      </c>
    </row>
    <row r="2948">
      <c r="A2948" s="311">
        <v>2947</v>
      </c>
      <c r="B2948" s="396" t="s">
        <v>5895</v>
      </c>
      <c r="C2948" s="396" t="s">
        <v>5896</v>
      </c>
      <c r="D2948" s="396" t="s">
        <v>5885</v>
      </c>
      <c r="E2948" s="396" t="s">
        <v>5886</v>
      </c>
      <c r="F2948" s="396" t="s">
        <v>5685</v>
      </c>
    </row>
    <row r="2949">
      <c r="A2949" s="311">
        <v>2948</v>
      </c>
      <c r="B2949" s="396" t="s">
        <v>5897</v>
      </c>
      <c r="C2949" s="396" t="s">
        <v>2765</v>
      </c>
      <c r="D2949" s="396" t="s">
        <v>5885</v>
      </c>
      <c r="E2949" s="396" t="s">
        <v>5886</v>
      </c>
      <c r="F2949" s="396" t="s">
        <v>5685</v>
      </c>
    </row>
    <row r="2950">
      <c r="A2950" s="311">
        <v>2949</v>
      </c>
      <c r="B2950" s="396" t="s">
        <v>5898</v>
      </c>
      <c r="C2950" s="396" t="s">
        <v>5899</v>
      </c>
      <c r="D2950" s="396" t="s">
        <v>5885</v>
      </c>
      <c r="E2950" s="396" t="s">
        <v>5886</v>
      </c>
      <c r="F2950" s="396" t="s">
        <v>5685</v>
      </c>
    </row>
    <row r="2951">
      <c r="A2951" s="311">
        <v>2950</v>
      </c>
      <c r="B2951" s="396" t="s">
        <v>5900</v>
      </c>
      <c r="C2951" s="396" t="s">
        <v>5901</v>
      </c>
      <c r="D2951" s="396" t="s">
        <v>5885</v>
      </c>
      <c r="E2951" s="396" t="s">
        <v>5886</v>
      </c>
      <c r="F2951" s="396" t="s">
        <v>5685</v>
      </c>
    </row>
    <row r="2952">
      <c r="A2952" s="311">
        <v>2951</v>
      </c>
      <c r="B2952" s="396" t="s">
        <v>5902</v>
      </c>
      <c r="C2952" s="396" t="s">
        <v>5903</v>
      </c>
      <c r="D2952" s="396" t="s">
        <v>5885</v>
      </c>
      <c r="E2952" s="396" t="s">
        <v>5886</v>
      </c>
      <c r="F2952" s="396" t="s">
        <v>5685</v>
      </c>
    </row>
    <row r="2953">
      <c r="A2953" s="311">
        <v>2952</v>
      </c>
      <c r="B2953" s="396" t="s">
        <v>5904</v>
      </c>
      <c r="C2953" s="396" t="s">
        <v>4011</v>
      </c>
      <c r="D2953" s="396" t="s">
        <v>5885</v>
      </c>
      <c r="E2953" s="396" t="s">
        <v>5886</v>
      </c>
      <c r="F2953" s="396" t="s">
        <v>5685</v>
      </c>
    </row>
    <row r="2954">
      <c r="A2954" s="311">
        <v>2953</v>
      </c>
      <c r="B2954" s="396" t="s">
        <v>5905</v>
      </c>
      <c r="C2954" s="396" t="s">
        <v>5906</v>
      </c>
      <c r="D2954" s="396" t="s">
        <v>5885</v>
      </c>
      <c r="E2954" s="396" t="s">
        <v>5886</v>
      </c>
      <c r="F2954" s="396" t="s">
        <v>5685</v>
      </c>
    </row>
    <row r="2955">
      <c r="A2955" s="311">
        <v>2954</v>
      </c>
      <c r="B2955" s="396" t="s">
        <v>5907</v>
      </c>
      <c r="C2955" s="396" t="s">
        <v>412</v>
      </c>
      <c r="D2955" s="396" t="s">
        <v>5885</v>
      </c>
      <c r="E2955" s="396" t="s">
        <v>5886</v>
      </c>
      <c r="F2955" s="396" t="s">
        <v>5685</v>
      </c>
    </row>
    <row r="2956">
      <c r="A2956" s="311">
        <v>2955</v>
      </c>
      <c r="B2956" s="396" t="s">
        <v>5908</v>
      </c>
      <c r="C2956" s="396" t="s">
        <v>5909</v>
      </c>
      <c r="D2956" s="396" t="s">
        <v>5885</v>
      </c>
      <c r="E2956" s="396" t="s">
        <v>5886</v>
      </c>
      <c r="F2956" s="396" t="s">
        <v>5685</v>
      </c>
    </row>
    <row r="2957">
      <c r="A2957" s="311">
        <v>2956</v>
      </c>
      <c r="B2957" s="396" t="s">
        <v>5910</v>
      </c>
      <c r="C2957" s="396" t="s">
        <v>5911</v>
      </c>
      <c r="D2957" s="396" t="s">
        <v>5885</v>
      </c>
      <c r="E2957" s="396" t="s">
        <v>5886</v>
      </c>
      <c r="F2957" s="396" t="s">
        <v>5685</v>
      </c>
    </row>
    <row r="2958">
      <c r="A2958" s="311">
        <v>2957</v>
      </c>
      <c r="B2958" s="396" t="s">
        <v>5912</v>
      </c>
      <c r="C2958" s="396" t="s">
        <v>5913</v>
      </c>
      <c r="D2958" s="396" t="s">
        <v>5885</v>
      </c>
      <c r="E2958" s="396" t="s">
        <v>5886</v>
      </c>
      <c r="F2958" s="396" t="s">
        <v>5685</v>
      </c>
    </row>
    <row r="2959">
      <c r="A2959" s="311">
        <v>2958</v>
      </c>
      <c r="B2959" s="396" t="s">
        <v>5914</v>
      </c>
      <c r="C2959" s="396" t="s">
        <v>5915</v>
      </c>
      <c r="D2959" s="396" t="s">
        <v>5885</v>
      </c>
      <c r="E2959" s="396" t="s">
        <v>5886</v>
      </c>
      <c r="F2959" s="396" t="s">
        <v>5685</v>
      </c>
    </row>
    <row r="2960">
      <c r="A2960" s="311">
        <v>2959</v>
      </c>
      <c r="B2960" s="396" t="s">
        <v>5916</v>
      </c>
      <c r="C2960" s="396" t="s">
        <v>5917</v>
      </c>
      <c r="D2960" s="396" t="s">
        <v>5885</v>
      </c>
      <c r="E2960" s="396" t="s">
        <v>5886</v>
      </c>
      <c r="F2960" s="396" t="s">
        <v>5685</v>
      </c>
    </row>
    <row r="2961">
      <c r="A2961" s="311">
        <v>2960</v>
      </c>
      <c r="B2961" s="396" t="s">
        <v>5918</v>
      </c>
      <c r="C2961" s="396" t="s">
        <v>5919</v>
      </c>
      <c r="D2961" s="396" t="s">
        <v>5885</v>
      </c>
      <c r="E2961" s="396" t="s">
        <v>5886</v>
      </c>
      <c r="F2961" s="396" t="s">
        <v>5685</v>
      </c>
    </row>
    <row r="2962">
      <c r="A2962" s="311">
        <v>2961</v>
      </c>
      <c r="B2962" s="396" t="s">
        <v>5920</v>
      </c>
      <c r="C2962" s="396" t="s">
        <v>5921</v>
      </c>
      <c r="D2962" s="396" t="s">
        <v>5885</v>
      </c>
      <c r="E2962" s="396" t="s">
        <v>5886</v>
      </c>
      <c r="F2962" s="396" t="s">
        <v>5685</v>
      </c>
    </row>
    <row r="2963">
      <c r="A2963" s="311">
        <v>2962</v>
      </c>
      <c r="B2963" s="396" t="s">
        <v>5922</v>
      </c>
      <c r="C2963" s="396" t="s">
        <v>1556</v>
      </c>
      <c r="D2963" s="396" t="s">
        <v>5885</v>
      </c>
      <c r="E2963" s="396" t="s">
        <v>5886</v>
      </c>
      <c r="F2963" s="396" t="s">
        <v>5685</v>
      </c>
    </row>
    <row r="2964">
      <c r="A2964" s="311">
        <v>2963</v>
      </c>
      <c r="B2964" s="396" t="s">
        <v>5923</v>
      </c>
      <c r="C2964" s="396" t="s">
        <v>5924</v>
      </c>
      <c r="D2964" s="396" t="s">
        <v>5885</v>
      </c>
      <c r="E2964" s="396" t="s">
        <v>5886</v>
      </c>
      <c r="F2964" s="396" t="s">
        <v>5685</v>
      </c>
    </row>
    <row r="2965">
      <c r="A2965" s="311">
        <v>2964</v>
      </c>
      <c r="B2965" s="396" t="s">
        <v>5925</v>
      </c>
      <c r="C2965" s="396" t="s">
        <v>752</v>
      </c>
      <c r="D2965" s="396" t="s">
        <v>5885</v>
      </c>
      <c r="E2965" s="396" t="s">
        <v>5886</v>
      </c>
      <c r="F2965" s="396" t="s">
        <v>5685</v>
      </c>
    </row>
    <row r="2966">
      <c r="A2966" s="311">
        <v>2965</v>
      </c>
      <c r="B2966" s="396" t="s">
        <v>5926</v>
      </c>
      <c r="C2966" s="396" t="s">
        <v>2774</v>
      </c>
      <c r="D2966" s="396" t="s">
        <v>5885</v>
      </c>
      <c r="E2966" s="396" t="s">
        <v>5886</v>
      </c>
      <c r="F2966" s="396" t="s">
        <v>5685</v>
      </c>
    </row>
    <row r="2967">
      <c r="A2967" s="311">
        <v>2966</v>
      </c>
      <c r="B2967" s="396" t="s">
        <v>5927</v>
      </c>
      <c r="C2967" s="396" t="s">
        <v>5928</v>
      </c>
      <c r="D2967" s="396" t="s">
        <v>5885</v>
      </c>
      <c r="E2967" s="396" t="s">
        <v>5886</v>
      </c>
      <c r="F2967" s="396" t="s">
        <v>5685</v>
      </c>
    </row>
    <row r="2968">
      <c r="A2968" s="311">
        <v>2967</v>
      </c>
      <c r="B2968" s="396" t="s">
        <v>5929</v>
      </c>
      <c r="C2968" s="396" t="s">
        <v>5930</v>
      </c>
      <c r="D2968" s="396" t="s">
        <v>5885</v>
      </c>
      <c r="E2968" s="396" t="s">
        <v>5886</v>
      </c>
      <c r="F2968" s="396" t="s">
        <v>5685</v>
      </c>
    </row>
    <row r="2969">
      <c r="A2969" s="311">
        <v>2968</v>
      </c>
      <c r="B2969" s="396" t="s">
        <v>5931</v>
      </c>
      <c r="C2969" s="396" t="s">
        <v>5932</v>
      </c>
      <c r="D2969" s="396" t="s">
        <v>5885</v>
      </c>
      <c r="E2969" s="396" t="s">
        <v>5886</v>
      </c>
      <c r="F2969" s="396" t="s">
        <v>5685</v>
      </c>
    </row>
    <row r="2970">
      <c r="A2970" s="311">
        <v>2969</v>
      </c>
      <c r="B2970" s="396" t="s">
        <v>5933</v>
      </c>
      <c r="C2970" s="396" t="s">
        <v>5934</v>
      </c>
      <c r="D2970" s="396" t="s">
        <v>5885</v>
      </c>
      <c r="E2970" s="396" t="s">
        <v>5886</v>
      </c>
      <c r="F2970" s="396" t="s">
        <v>5685</v>
      </c>
    </row>
    <row r="2971">
      <c r="A2971" s="311">
        <v>2970</v>
      </c>
      <c r="B2971" s="396" t="s">
        <v>5935</v>
      </c>
      <c r="C2971" s="396" t="s">
        <v>5936</v>
      </c>
      <c r="D2971" s="396" t="s">
        <v>5885</v>
      </c>
      <c r="E2971" s="396" t="s">
        <v>5886</v>
      </c>
      <c r="F2971" s="396" t="s">
        <v>5685</v>
      </c>
    </row>
    <row r="2972">
      <c r="A2972" s="311">
        <v>2971</v>
      </c>
      <c r="B2972" s="396" t="s">
        <v>5937</v>
      </c>
      <c r="C2972" s="396" t="s">
        <v>5938</v>
      </c>
      <c r="D2972" s="396" t="s">
        <v>5939</v>
      </c>
      <c r="E2972" s="396" t="s">
        <v>5940</v>
      </c>
      <c r="F2972" s="396" t="s">
        <v>5685</v>
      </c>
    </row>
    <row r="2973">
      <c r="A2973" s="311">
        <v>2972</v>
      </c>
      <c r="B2973" s="396" t="s">
        <v>5941</v>
      </c>
      <c r="C2973" s="396" t="s">
        <v>5942</v>
      </c>
      <c r="D2973" s="396" t="s">
        <v>5939</v>
      </c>
      <c r="E2973" s="396" t="s">
        <v>5940</v>
      </c>
      <c r="F2973" s="396" t="s">
        <v>5685</v>
      </c>
    </row>
    <row r="2974">
      <c r="A2974" s="311">
        <v>2973</v>
      </c>
      <c r="B2974" s="396" t="s">
        <v>5943</v>
      </c>
      <c r="C2974" s="396" t="s">
        <v>5944</v>
      </c>
      <c r="D2974" s="396" t="s">
        <v>5939</v>
      </c>
      <c r="E2974" s="396" t="s">
        <v>5940</v>
      </c>
      <c r="F2974" s="396" t="s">
        <v>5685</v>
      </c>
    </row>
    <row r="2975">
      <c r="A2975" s="311">
        <v>2974</v>
      </c>
      <c r="B2975" s="396" t="s">
        <v>5945</v>
      </c>
      <c r="C2975" s="396" t="s">
        <v>2531</v>
      </c>
      <c r="D2975" s="396" t="s">
        <v>5939</v>
      </c>
      <c r="E2975" s="396" t="s">
        <v>5940</v>
      </c>
      <c r="F2975" s="396" t="s">
        <v>5685</v>
      </c>
    </row>
    <row r="2976">
      <c r="A2976" s="311">
        <v>2975</v>
      </c>
      <c r="B2976" s="396" t="s">
        <v>5946</v>
      </c>
      <c r="C2976" s="396" t="s">
        <v>1560</v>
      </c>
      <c r="D2976" s="396" t="s">
        <v>5939</v>
      </c>
      <c r="E2976" s="396" t="s">
        <v>5940</v>
      </c>
      <c r="F2976" s="396" t="s">
        <v>5685</v>
      </c>
    </row>
    <row r="2977">
      <c r="A2977" s="311">
        <v>2976</v>
      </c>
      <c r="B2977" s="396" t="s">
        <v>5947</v>
      </c>
      <c r="C2977" s="396" t="s">
        <v>5948</v>
      </c>
      <c r="D2977" s="396" t="s">
        <v>5939</v>
      </c>
      <c r="E2977" s="396" t="s">
        <v>5940</v>
      </c>
      <c r="F2977" s="396" t="s">
        <v>5685</v>
      </c>
    </row>
    <row r="2978">
      <c r="A2978" s="311">
        <v>2977</v>
      </c>
      <c r="B2978" s="396" t="s">
        <v>5949</v>
      </c>
      <c r="C2978" s="396" t="s">
        <v>5950</v>
      </c>
      <c r="D2978" s="396" t="s">
        <v>5939</v>
      </c>
      <c r="E2978" s="396" t="s">
        <v>5940</v>
      </c>
      <c r="F2978" s="396" t="s">
        <v>5685</v>
      </c>
    </row>
    <row r="2979">
      <c r="A2979" s="311">
        <v>2978</v>
      </c>
      <c r="B2979" s="396" t="s">
        <v>5951</v>
      </c>
      <c r="C2979" s="396" t="s">
        <v>5952</v>
      </c>
      <c r="D2979" s="396" t="s">
        <v>5939</v>
      </c>
      <c r="E2979" s="396" t="s">
        <v>5940</v>
      </c>
      <c r="F2979" s="396" t="s">
        <v>5685</v>
      </c>
    </row>
    <row r="2980">
      <c r="A2980" s="311">
        <v>2979</v>
      </c>
      <c r="B2980" s="396" t="s">
        <v>5953</v>
      </c>
      <c r="C2980" s="396" t="s">
        <v>5954</v>
      </c>
      <c r="D2980" s="396" t="s">
        <v>5939</v>
      </c>
      <c r="E2980" s="396" t="s">
        <v>5940</v>
      </c>
      <c r="F2980" s="396" t="s">
        <v>5685</v>
      </c>
    </row>
    <row r="2981">
      <c r="A2981" s="311">
        <v>2980</v>
      </c>
      <c r="B2981" s="396" t="s">
        <v>5955</v>
      </c>
      <c r="C2981" s="396" t="s">
        <v>5956</v>
      </c>
      <c r="D2981" s="396" t="s">
        <v>5939</v>
      </c>
      <c r="E2981" s="396" t="s">
        <v>5940</v>
      </c>
      <c r="F2981" s="396" t="s">
        <v>5685</v>
      </c>
    </row>
    <row r="2982">
      <c r="A2982" s="311">
        <v>2981</v>
      </c>
      <c r="B2982" s="396" t="s">
        <v>5957</v>
      </c>
      <c r="C2982" s="396" t="s">
        <v>5958</v>
      </c>
      <c r="D2982" s="396" t="s">
        <v>5939</v>
      </c>
      <c r="E2982" s="396" t="s">
        <v>5940</v>
      </c>
      <c r="F2982" s="396" t="s">
        <v>5685</v>
      </c>
    </row>
    <row r="2983">
      <c r="A2983" s="311">
        <v>2982</v>
      </c>
      <c r="B2983" s="396" t="s">
        <v>5959</v>
      </c>
      <c r="C2983" s="396" t="s">
        <v>1849</v>
      </c>
      <c r="D2983" s="396" t="s">
        <v>5939</v>
      </c>
      <c r="E2983" s="396" t="s">
        <v>5940</v>
      </c>
      <c r="F2983" s="396" t="s">
        <v>5685</v>
      </c>
    </row>
    <row r="2984">
      <c r="A2984" s="311">
        <v>2983</v>
      </c>
      <c r="B2984" s="396" t="s">
        <v>5960</v>
      </c>
      <c r="C2984" s="396" t="s">
        <v>5961</v>
      </c>
      <c r="D2984" s="396" t="s">
        <v>5939</v>
      </c>
      <c r="E2984" s="396" t="s">
        <v>5940</v>
      </c>
      <c r="F2984" s="396" t="s">
        <v>5685</v>
      </c>
    </row>
    <row r="2985">
      <c r="A2985" s="311">
        <v>2984</v>
      </c>
      <c r="B2985" s="396" t="s">
        <v>5962</v>
      </c>
      <c r="C2985" s="396" t="s">
        <v>1433</v>
      </c>
      <c r="D2985" s="396" t="s">
        <v>5939</v>
      </c>
      <c r="E2985" s="396" t="s">
        <v>5940</v>
      </c>
      <c r="F2985" s="396" t="s">
        <v>5685</v>
      </c>
    </row>
    <row r="2986">
      <c r="A2986" s="311">
        <v>2985</v>
      </c>
      <c r="B2986" s="396" t="s">
        <v>5963</v>
      </c>
      <c r="C2986" s="396" t="s">
        <v>5964</v>
      </c>
      <c r="D2986" s="396" t="s">
        <v>5939</v>
      </c>
      <c r="E2986" s="396" t="s">
        <v>5940</v>
      </c>
      <c r="F2986" s="396" t="s">
        <v>5685</v>
      </c>
    </row>
    <row r="2987">
      <c r="A2987" s="311">
        <v>2986</v>
      </c>
      <c r="B2987" s="396" t="s">
        <v>5965</v>
      </c>
      <c r="C2987" s="396" t="s">
        <v>5966</v>
      </c>
      <c r="D2987" s="396" t="s">
        <v>5939</v>
      </c>
      <c r="E2987" s="396" t="s">
        <v>5940</v>
      </c>
      <c r="F2987" s="396" t="s">
        <v>5685</v>
      </c>
    </row>
    <row r="2988">
      <c r="A2988" s="311">
        <v>2987</v>
      </c>
      <c r="B2988" s="396" t="s">
        <v>5967</v>
      </c>
      <c r="C2988" s="396" t="s">
        <v>5968</v>
      </c>
      <c r="D2988" s="396" t="s">
        <v>5939</v>
      </c>
      <c r="E2988" s="396" t="s">
        <v>5940</v>
      </c>
      <c r="F2988" s="396" t="s">
        <v>5685</v>
      </c>
    </row>
    <row r="2989">
      <c r="A2989" s="311">
        <v>2988</v>
      </c>
      <c r="B2989" s="396" t="s">
        <v>5969</v>
      </c>
      <c r="C2989" s="396" t="s">
        <v>5970</v>
      </c>
      <c r="D2989" s="396" t="s">
        <v>5939</v>
      </c>
      <c r="E2989" s="396" t="s">
        <v>5940</v>
      </c>
      <c r="F2989" s="396" t="s">
        <v>5685</v>
      </c>
    </row>
    <row r="2990">
      <c r="A2990" s="311">
        <v>2989</v>
      </c>
      <c r="B2990" s="396" t="s">
        <v>5971</v>
      </c>
      <c r="C2990" s="396" t="s">
        <v>5972</v>
      </c>
      <c r="D2990" s="396" t="s">
        <v>5939</v>
      </c>
      <c r="E2990" s="396" t="s">
        <v>5940</v>
      </c>
      <c r="F2990" s="396" t="s">
        <v>5685</v>
      </c>
    </row>
    <row r="2991">
      <c r="A2991" s="311">
        <v>2990</v>
      </c>
      <c r="B2991" s="396" t="s">
        <v>5973</v>
      </c>
      <c r="C2991" s="396" t="s">
        <v>5974</v>
      </c>
      <c r="D2991" s="396" t="s">
        <v>5939</v>
      </c>
      <c r="E2991" s="396" t="s">
        <v>5940</v>
      </c>
      <c r="F2991" s="396" t="s">
        <v>5685</v>
      </c>
    </row>
    <row r="2992">
      <c r="A2992" s="311">
        <v>2991</v>
      </c>
      <c r="B2992" s="396" t="s">
        <v>5975</v>
      </c>
      <c r="C2992" s="396" t="s">
        <v>4284</v>
      </c>
      <c r="D2992" s="396" t="s">
        <v>5939</v>
      </c>
      <c r="E2992" s="396" t="s">
        <v>5940</v>
      </c>
      <c r="F2992" s="396" t="s">
        <v>5685</v>
      </c>
    </row>
    <row r="2993">
      <c r="A2993" s="311">
        <v>2992</v>
      </c>
      <c r="B2993" s="396" t="s">
        <v>5976</v>
      </c>
      <c r="C2993" s="396" t="s">
        <v>5977</v>
      </c>
      <c r="D2993" s="396" t="s">
        <v>5939</v>
      </c>
      <c r="E2993" s="396" t="s">
        <v>5940</v>
      </c>
      <c r="F2993" s="396" t="s">
        <v>5685</v>
      </c>
    </row>
    <row r="2994">
      <c r="A2994" s="311">
        <v>2993</v>
      </c>
      <c r="B2994" s="396" t="s">
        <v>5978</v>
      </c>
      <c r="C2994" s="396" t="s">
        <v>5979</v>
      </c>
      <c r="D2994" s="396" t="s">
        <v>5939</v>
      </c>
      <c r="E2994" s="396" t="s">
        <v>5940</v>
      </c>
      <c r="F2994" s="396" t="s">
        <v>5685</v>
      </c>
    </row>
    <row r="2995">
      <c r="A2995" s="311">
        <v>2994</v>
      </c>
      <c r="B2995" s="396" t="s">
        <v>5980</v>
      </c>
      <c r="C2995" s="396" t="s">
        <v>5981</v>
      </c>
      <c r="D2995" s="396" t="s">
        <v>5982</v>
      </c>
      <c r="E2995" s="396" t="s">
        <v>5983</v>
      </c>
      <c r="F2995" s="396" t="s">
        <v>5685</v>
      </c>
    </row>
    <row r="2996">
      <c r="A2996" s="311">
        <v>2995</v>
      </c>
      <c r="B2996" s="396" t="s">
        <v>5984</v>
      </c>
      <c r="C2996" s="396" t="s">
        <v>5985</v>
      </c>
      <c r="D2996" s="396" t="s">
        <v>5982</v>
      </c>
      <c r="E2996" s="396" t="s">
        <v>5983</v>
      </c>
      <c r="F2996" s="396" t="s">
        <v>5685</v>
      </c>
    </row>
    <row r="2997">
      <c r="A2997" s="311">
        <v>2996</v>
      </c>
      <c r="B2997" s="396" t="s">
        <v>5986</v>
      </c>
      <c r="C2997" s="396" t="s">
        <v>5987</v>
      </c>
      <c r="D2997" s="396" t="s">
        <v>5982</v>
      </c>
      <c r="E2997" s="396" t="s">
        <v>5983</v>
      </c>
      <c r="F2997" s="396" t="s">
        <v>5685</v>
      </c>
    </row>
    <row r="2998">
      <c r="A2998" s="311">
        <v>2997</v>
      </c>
      <c r="B2998" s="396" t="s">
        <v>5988</v>
      </c>
      <c r="C2998" s="396" t="s">
        <v>5989</v>
      </c>
      <c r="D2998" s="396" t="s">
        <v>5982</v>
      </c>
      <c r="E2998" s="396" t="s">
        <v>5983</v>
      </c>
      <c r="F2998" s="396" t="s">
        <v>5685</v>
      </c>
    </row>
    <row r="2999">
      <c r="A2999" s="311">
        <v>2998</v>
      </c>
      <c r="B2999" s="396" t="s">
        <v>5990</v>
      </c>
      <c r="C2999" s="396" t="s">
        <v>2366</v>
      </c>
      <c r="D2999" s="396" t="s">
        <v>5982</v>
      </c>
      <c r="E2999" s="396" t="s">
        <v>5983</v>
      </c>
      <c r="F2999" s="396" t="s">
        <v>5685</v>
      </c>
    </row>
    <row r="3000">
      <c r="A3000" s="311">
        <v>2999</v>
      </c>
      <c r="B3000" s="396" t="s">
        <v>5991</v>
      </c>
      <c r="C3000" s="396" t="s">
        <v>5129</v>
      </c>
      <c r="D3000" s="396" t="s">
        <v>5982</v>
      </c>
      <c r="E3000" s="396" t="s">
        <v>5983</v>
      </c>
      <c r="F3000" s="396" t="s">
        <v>5685</v>
      </c>
    </row>
    <row r="3001">
      <c r="A3001" s="311">
        <v>3000</v>
      </c>
      <c r="B3001" s="396" t="s">
        <v>5992</v>
      </c>
      <c r="C3001" s="396" t="s">
        <v>5993</v>
      </c>
      <c r="D3001" s="396" t="s">
        <v>5982</v>
      </c>
      <c r="E3001" s="396" t="s">
        <v>5983</v>
      </c>
      <c r="F3001" s="396" t="s">
        <v>5685</v>
      </c>
    </row>
    <row r="3002">
      <c r="A3002" s="311">
        <v>3001</v>
      </c>
      <c r="B3002" s="396" t="s">
        <v>5994</v>
      </c>
      <c r="C3002" s="396" t="s">
        <v>549</v>
      </c>
      <c r="D3002" s="396" t="s">
        <v>5982</v>
      </c>
      <c r="E3002" s="396" t="s">
        <v>5983</v>
      </c>
      <c r="F3002" s="396" t="s">
        <v>5685</v>
      </c>
    </row>
    <row r="3003">
      <c r="A3003" s="311">
        <v>3002</v>
      </c>
      <c r="B3003" s="396" t="s">
        <v>5995</v>
      </c>
      <c r="C3003" s="396" t="s">
        <v>690</v>
      </c>
      <c r="D3003" s="396" t="s">
        <v>5982</v>
      </c>
      <c r="E3003" s="396" t="s">
        <v>5983</v>
      </c>
      <c r="F3003" s="396" t="s">
        <v>5685</v>
      </c>
    </row>
    <row r="3004">
      <c r="A3004" s="311">
        <v>3003</v>
      </c>
      <c r="B3004" s="396" t="s">
        <v>5996</v>
      </c>
      <c r="C3004" s="396" t="s">
        <v>5997</v>
      </c>
      <c r="D3004" s="396" t="s">
        <v>5982</v>
      </c>
      <c r="E3004" s="396" t="s">
        <v>5983</v>
      </c>
      <c r="F3004" s="396" t="s">
        <v>5685</v>
      </c>
    </row>
    <row r="3005">
      <c r="A3005" s="311">
        <v>3004</v>
      </c>
      <c r="B3005" s="396" t="s">
        <v>5998</v>
      </c>
      <c r="C3005" s="396" t="s">
        <v>5999</v>
      </c>
      <c r="D3005" s="396" t="s">
        <v>5982</v>
      </c>
      <c r="E3005" s="396" t="s">
        <v>5983</v>
      </c>
      <c r="F3005" s="396" t="s">
        <v>5685</v>
      </c>
    </row>
    <row r="3006">
      <c r="A3006" s="311">
        <v>3005</v>
      </c>
      <c r="B3006" s="396" t="s">
        <v>6000</v>
      </c>
      <c r="C3006" s="396" t="s">
        <v>6001</v>
      </c>
      <c r="D3006" s="396" t="s">
        <v>5982</v>
      </c>
      <c r="E3006" s="396" t="s">
        <v>5983</v>
      </c>
      <c r="F3006" s="396" t="s">
        <v>5685</v>
      </c>
    </row>
    <row r="3007">
      <c r="A3007" s="311">
        <v>3006</v>
      </c>
      <c r="B3007" s="396" t="s">
        <v>6002</v>
      </c>
      <c r="C3007" s="396" t="s">
        <v>6003</v>
      </c>
      <c r="D3007" s="396" t="s">
        <v>5982</v>
      </c>
      <c r="E3007" s="396" t="s">
        <v>5983</v>
      </c>
      <c r="F3007" s="396" t="s">
        <v>5685</v>
      </c>
    </row>
    <row r="3008">
      <c r="A3008" s="311">
        <v>3007</v>
      </c>
      <c r="B3008" s="396" t="s">
        <v>6004</v>
      </c>
      <c r="C3008" s="396" t="s">
        <v>6005</v>
      </c>
      <c r="D3008" s="396" t="s">
        <v>5982</v>
      </c>
      <c r="E3008" s="396" t="s">
        <v>5983</v>
      </c>
      <c r="F3008" s="396" t="s">
        <v>5685</v>
      </c>
    </row>
    <row r="3009">
      <c r="A3009" s="311">
        <v>3008</v>
      </c>
      <c r="B3009" s="396" t="s">
        <v>6006</v>
      </c>
      <c r="C3009" s="396" t="s">
        <v>6007</v>
      </c>
      <c r="D3009" s="396" t="s">
        <v>5982</v>
      </c>
      <c r="E3009" s="396" t="s">
        <v>5983</v>
      </c>
      <c r="F3009" s="396" t="s">
        <v>5685</v>
      </c>
    </row>
    <row r="3010">
      <c r="A3010" s="311">
        <v>3009</v>
      </c>
      <c r="B3010" s="396" t="s">
        <v>6008</v>
      </c>
      <c r="C3010" s="396" t="s">
        <v>772</v>
      </c>
      <c r="D3010" s="396" t="s">
        <v>5982</v>
      </c>
      <c r="E3010" s="396" t="s">
        <v>5983</v>
      </c>
      <c r="F3010" s="396" t="s">
        <v>5685</v>
      </c>
    </row>
    <row r="3011">
      <c r="A3011" s="311">
        <v>3010</v>
      </c>
      <c r="B3011" s="396" t="s">
        <v>6009</v>
      </c>
      <c r="C3011" s="396" t="s">
        <v>6010</v>
      </c>
      <c r="D3011" s="396" t="s">
        <v>5982</v>
      </c>
      <c r="E3011" s="396" t="s">
        <v>5983</v>
      </c>
      <c r="F3011" s="396" t="s">
        <v>5685</v>
      </c>
    </row>
    <row r="3012">
      <c r="A3012" s="311">
        <v>3011</v>
      </c>
      <c r="B3012" s="396" t="s">
        <v>6011</v>
      </c>
      <c r="C3012" s="396" t="s">
        <v>6012</v>
      </c>
      <c r="D3012" s="396" t="s">
        <v>5982</v>
      </c>
      <c r="E3012" s="396" t="s">
        <v>5983</v>
      </c>
      <c r="F3012" s="396" t="s">
        <v>5685</v>
      </c>
    </row>
    <row r="3013">
      <c r="A3013" s="311">
        <v>3012</v>
      </c>
      <c r="B3013" s="396" t="s">
        <v>6013</v>
      </c>
      <c r="C3013" s="396" t="s">
        <v>6014</v>
      </c>
      <c r="D3013" s="396" t="s">
        <v>5982</v>
      </c>
      <c r="E3013" s="396" t="s">
        <v>5983</v>
      </c>
      <c r="F3013" s="396" t="s">
        <v>5685</v>
      </c>
    </row>
    <row r="3014">
      <c r="A3014" s="311">
        <v>3013</v>
      </c>
      <c r="B3014" s="396" t="s">
        <v>6015</v>
      </c>
      <c r="C3014" s="396" t="s">
        <v>6016</v>
      </c>
      <c r="D3014" s="396" t="s">
        <v>5982</v>
      </c>
      <c r="E3014" s="396" t="s">
        <v>5983</v>
      </c>
      <c r="F3014" s="396" t="s">
        <v>5685</v>
      </c>
    </row>
    <row r="3015">
      <c r="A3015" s="311">
        <v>3014</v>
      </c>
      <c r="B3015" s="396" t="s">
        <v>6017</v>
      </c>
      <c r="C3015" s="396" t="s">
        <v>2099</v>
      </c>
      <c r="D3015" s="396" t="s">
        <v>5982</v>
      </c>
      <c r="E3015" s="396" t="s">
        <v>5983</v>
      </c>
      <c r="F3015" s="396" t="s">
        <v>5685</v>
      </c>
    </row>
    <row r="3016">
      <c r="A3016" s="311">
        <v>3015</v>
      </c>
      <c r="B3016" s="396" t="s">
        <v>6018</v>
      </c>
      <c r="C3016" s="396" t="s">
        <v>6019</v>
      </c>
      <c r="D3016" s="396" t="s">
        <v>6020</v>
      </c>
      <c r="E3016" s="396" t="s">
        <v>6021</v>
      </c>
      <c r="F3016" s="396" t="s">
        <v>5685</v>
      </c>
    </row>
    <row r="3017">
      <c r="A3017" s="311">
        <v>3016</v>
      </c>
      <c r="B3017" s="396" t="s">
        <v>6022</v>
      </c>
      <c r="C3017" s="396" t="s">
        <v>6023</v>
      </c>
      <c r="D3017" s="396" t="s">
        <v>6020</v>
      </c>
      <c r="E3017" s="396" t="s">
        <v>6021</v>
      </c>
      <c r="F3017" s="396" t="s">
        <v>5685</v>
      </c>
    </row>
    <row r="3018">
      <c r="A3018" s="311">
        <v>3017</v>
      </c>
      <c r="B3018" s="396" t="s">
        <v>6024</v>
      </c>
      <c r="C3018" s="396" t="s">
        <v>6025</v>
      </c>
      <c r="D3018" s="396" t="s">
        <v>6020</v>
      </c>
      <c r="E3018" s="396" t="s">
        <v>6021</v>
      </c>
      <c r="F3018" s="396" t="s">
        <v>5685</v>
      </c>
    </row>
    <row r="3019">
      <c r="A3019" s="311">
        <v>3018</v>
      </c>
      <c r="B3019" s="396" t="s">
        <v>6026</v>
      </c>
      <c r="C3019" s="396" t="s">
        <v>2798</v>
      </c>
      <c r="D3019" s="396" t="s">
        <v>6020</v>
      </c>
      <c r="E3019" s="396" t="s">
        <v>6021</v>
      </c>
      <c r="F3019" s="396" t="s">
        <v>5685</v>
      </c>
    </row>
    <row r="3020">
      <c r="A3020" s="311">
        <v>3019</v>
      </c>
      <c r="B3020" s="396" t="s">
        <v>6027</v>
      </c>
      <c r="C3020" s="396" t="s">
        <v>6028</v>
      </c>
      <c r="D3020" s="396" t="s">
        <v>6020</v>
      </c>
      <c r="E3020" s="396" t="s">
        <v>6021</v>
      </c>
      <c r="F3020" s="396" t="s">
        <v>5685</v>
      </c>
    </row>
    <row r="3021">
      <c r="A3021" s="311">
        <v>3020</v>
      </c>
      <c r="B3021" s="396" t="s">
        <v>6029</v>
      </c>
      <c r="C3021" s="396" t="s">
        <v>1149</v>
      </c>
      <c r="D3021" s="396" t="s">
        <v>6020</v>
      </c>
      <c r="E3021" s="396" t="s">
        <v>6021</v>
      </c>
      <c r="F3021" s="396" t="s">
        <v>5685</v>
      </c>
    </row>
    <row r="3022">
      <c r="A3022" s="311">
        <v>3021</v>
      </c>
      <c r="B3022" s="396" t="s">
        <v>6030</v>
      </c>
      <c r="C3022" s="396" t="s">
        <v>6031</v>
      </c>
      <c r="D3022" s="396" t="s">
        <v>6020</v>
      </c>
      <c r="E3022" s="396" t="s">
        <v>6021</v>
      </c>
      <c r="F3022" s="396" t="s">
        <v>5685</v>
      </c>
    </row>
    <row r="3023">
      <c r="A3023" s="311">
        <v>3022</v>
      </c>
      <c r="B3023" s="396" t="s">
        <v>6032</v>
      </c>
      <c r="C3023" s="396" t="s">
        <v>6033</v>
      </c>
      <c r="D3023" s="396" t="s">
        <v>6020</v>
      </c>
      <c r="E3023" s="396" t="s">
        <v>6021</v>
      </c>
      <c r="F3023" s="396" t="s">
        <v>5685</v>
      </c>
    </row>
    <row r="3024">
      <c r="A3024" s="311">
        <v>3023</v>
      </c>
      <c r="B3024" s="396" t="s">
        <v>6034</v>
      </c>
      <c r="C3024" s="396" t="s">
        <v>6035</v>
      </c>
      <c r="D3024" s="396" t="s">
        <v>6020</v>
      </c>
      <c r="E3024" s="396" t="s">
        <v>6021</v>
      </c>
      <c r="F3024" s="396" t="s">
        <v>5685</v>
      </c>
    </row>
    <row r="3025">
      <c r="A3025" s="311">
        <v>3024</v>
      </c>
      <c r="B3025" s="396" t="s">
        <v>6036</v>
      </c>
      <c r="C3025" s="396" t="s">
        <v>2455</v>
      </c>
      <c r="D3025" s="396" t="s">
        <v>6020</v>
      </c>
      <c r="E3025" s="396" t="s">
        <v>6021</v>
      </c>
      <c r="F3025" s="396" t="s">
        <v>5685</v>
      </c>
    </row>
    <row r="3026">
      <c r="A3026" s="311">
        <v>3025</v>
      </c>
      <c r="B3026" s="396" t="s">
        <v>6037</v>
      </c>
      <c r="C3026" s="396" t="s">
        <v>1082</v>
      </c>
      <c r="D3026" s="396" t="s">
        <v>6020</v>
      </c>
      <c r="E3026" s="396" t="s">
        <v>6021</v>
      </c>
      <c r="F3026" s="396" t="s">
        <v>5685</v>
      </c>
    </row>
    <row r="3027">
      <c r="A3027" s="311">
        <v>3026</v>
      </c>
      <c r="B3027" s="396" t="s">
        <v>6038</v>
      </c>
      <c r="C3027" s="396" t="s">
        <v>6039</v>
      </c>
      <c r="D3027" s="396" t="s">
        <v>6020</v>
      </c>
      <c r="E3027" s="396" t="s">
        <v>6021</v>
      </c>
      <c r="F3027" s="396" t="s">
        <v>5685</v>
      </c>
    </row>
    <row r="3028">
      <c r="A3028" s="311">
        <v>3027</v>
      </c>
      <c r="B3028" s="396" t="s">
        <v>6040</v>
      </c>
      <c r="C3028" s="396" t="s">
        <v>6041</v>
      </c>
      <c r="D3028" s="396" t="s">
        <v>6020</v>
      </c>
      <c r="E3028" s="396" t="s">
        <v>6021</v>
      </c>
      <c r="F3028" s="396" t="s">
        <v>5685</v>
      </c>
    </row>
    <row r="3029">
      <c r="A3029" s="311">
        <v>3028</v>
      </c>
      <c r="B3029" s="396" t="s">
        <v>6042</v>
      </c>
      <c r="C3029" s="396" t="s">
        <v>5519</v>
      </c>
      <c r="D3029" s="396" t="s">
        <v>6020</v>
      </c>
      <c r="E3029" s="396" t="s">
        <v>6021</v>
      </c>
      <c r="F3029" s="396" t="s">
        <v>5685</v>
      </c>
    </row>
    <row r="3030">
      <c r="A3030" s="311">
        <v>3029</v>
      </c>
      <c r="B3030" s="396" t="s">
        <v>6043</v>
      </c>
      <c r="C3030" s="396" t="s">
        <v>6044</v>
      </c>
      <c r="D3030" s="396" t="s">
        <v>6020</v>
      </c>
      <c r="E3030" s="396" t="s">
        <v>6021</v>
      </c>
      <c r="F3030" s="396" t="s">
        <v>5685</v>
      </c>
    </row>
    <row r="3031">
      <c r="A3031" s="311">
        <v>3030</v>
      </c>
      <c r="B3031" s="396" t="s">
        <v>6045</v>
      </c>
      <c r="C3031" s="396" t="s">
        <v>6046</v>
      </c>
      <c r="D3031" s="396" t="s">
        <v>6020</v>
      </c>
      <c r="E3031" s="396" t="s">
        <v>6021</v>
      </c>
      <c r="F3031" s="396" t="s">
        <v>5685</v>
      </c>
    </row>
    <row r="3032">
      <c r="A3032" s="311">
        <v>3031</v>
      </c>
      <c r="B3032" s="396" t="s">
        <v>6047</v>
      </c>
      <c r="C3032" s="396" t="s">
        <v>6048</v>
      </c>
      <c r="D3032" s="396" t="s">
        <v>6020</v>
      </c>
      <c r="E3032" s="396" t="s">
        <v>6021</v>
      </c>
      <c r="F3032" s="396" t="s">
        <v>5685</v>
      </c>
    </row>
    <row r="3033">
      <c r="A3033" s="311">
        <v>3032</v>
      </c>
      <c r="B3033" s="396" t="s">
        <v>6049</v>
      </c>
      <c r="C3033" s="396" t="s">
        <v>352</v>
      </c>
      <c r="D3033" s="396" t="s">
        <v>6020</v>
      </c>
      <c r="E3033" s="396" t="s">
        <v>6021</v>
      </c>
      <c r="F3033" s="396" t="s">
        <v>5685</v>
      </c>
    </row>
    <row r="3034">
      <c r="A3034" s="311">
        <v>3033</v>
      </c>
      <c r="B3034" s="396" t="s">
        <v>6050</v>
      </c>
      <c r="C3034" s="396" t="s">
        <v>6051</v>
      </c>
      <c r="D3034" s="396" t="s">
        <v>6020</v>
      </c>
      <c r="E3034" s="396" t="s">
        <v>6021</v>
      </c>
      <c r="F3034" s="396" t="s">
        <v>5685</v>
      </c>
    </row>
    <row r="3035">
      <c r="A3035" s="311">
        <v>3034</v>
      </c>
      <c r="B3035" s="396" t="s">
        <v>6052</v>
      </c>
      <c r="C3035" s="396" t="s">
        <v>6053</v>
      </c>
      <c r="D3035" s="396" t="s">
        <v>6054</v>
      </c>
      <c r="E3035" s="396" t="s">
        <v>6055</v>
      </c>
      <c r="F3035" s="396" t="s">
        <v>5685</v>
      </c>
    </row>
    <row r="3036">
      <c r="A3036" s="311">
        <v>3035</v>
      </c>
      <c r="B3036" s="396" t="s">
        <v>6056</v>
      </c>
      <c r="C3036" s="396" t="s">
        <v>1143</v>
      </c>
      <c r="D3036" s="396" t="s">
        <v>6054</v>
      </c>
      <c r="E3036" s="396" t="s">
        <v>6055</v>
      </c>
      <c r="F3036" s="396" t="s">
        <v>5685</v>
      </c>
    </row>
    <row r="3037">
      <c r="A3037" s="311">
        <v>3036</v>
      </c>
      <c r="B3037" s="396" t="s">
        <v>6057</v>
      </c>
      <c r="C3037" s="396" t="s">
        <v>1362</v>
      </c>
      <c r="D3037" s="396" t="s">
        <v>6054</v>
      </c>
      <c r="E3037" s="396" t="s">
        <v>6055</v>
      </c>
      <c r="F3037" s="396" t="s">
        <v>5685</v>
      </c>
    </row>
    <row r="3038">
      <c r="A3038" s="311">
        <v>3037</v>
      </c>
      <c r="B3038" s="396" t="s">
        <v>6058</v>
      </c>
      <c r="C3038" s="396" t="s">
        <v>6059</v>
      </c>
      <c r="D3038" s="396" t="s">
        <v>6054</v>
      </c>
      <c r="E3038" s="396" t="s">
        <v>6055</v>
      </c>
      <c r="F3038" s="396" t="s">
        <v>5685</v>
      </c>
    </row>
    <row r="3039">
      <c r="A3039" s="311">
        <v>3038</v>
      </c>
      <c r="B3039" s="396" t="s">
        <v>6060</v>
      </c>
      <c r="C3039" s="396" t="s">
        <v>6061</v>
      </c>
      <c r="D3039" s="396" t="s">
        <v>6054</v>
      </c>
      <c r="E3039" s="396" t="s">
        <v>6055</v>
      </c>
      <c r="F3039" s="396" t="s">
        <v>5685</v>
      </c>
    </row>
    <row r="3040">
      <c r="A3040" s="311">
        <v>3039</v>
      </c>
      <c r="B3040" s="396" t="s">
        <v>6062</v>
      </c>
      <c r="C3040" s="396" t="s">
        <v>6063</v>
      </c>
      <c r="D3040" s="396" t="s">
        <v>6054</v>
      </c>
      <c r="E3040" s="396" t="s">
        <v>6055</v>
      </c>
      <c r="F3040" s="396" t="s">
        <v>5685</v>
      </c>
    </row>
    <row r="3041">
      <c r="A3041" s="311">
        <v>3040</v>
      </c>
      <c r="B3041" s="396" t="s">
        <v>6064</v>
      </c>
      <c r="C3041" s="396" t="s">
        <v>6065</v>
      </c>
      <c r="D3041" s="396" t="s">
        <v>6054</v>
      </c>
      <c r="E3041" s="396" t="s">
        <v>6055</v>
      </c>
      <c r="F3041" s="396" t="s">
        <v>5685</v>
      </c>
    </row>
    <row r="3042">
      <c r="A3042" s="311">
        <v>3041</v>
      </c>
      <c r="B3042" s="396" t="s">
        <v>6066</v>
      </c>
      <c r="C3042" s="396" t="s">
        <v>4494</v>
      </c>
      <c r="D3042" s="396" t="s">
        <v>6054</v>
      </c>
      <c r="E3042" s="396" t="s">
        <v>6055</v>
      </c>
      <c r="F3042" s="396" t="s">
        <v>5685</v>
      </c>
    </row>
    <row r="3043">
      <c r="A3043" s="311">
        <v>3042</v>
      </c>
      <c r="B3043" s="396" t="s">
        <v>6067</v>
      </c>
      <c r="C3043" s="396" t="s">
        <v>1669</v>
      </c>
      <c r="D3043" s="396" t="s">
        <v>6054</v>
      </c>
      <c r="E3043" s="396" t="s">
        <v>6055</v>
      </c>
      <c r="F3043" s="396" t="s">
        <v>5685</v>
      </c>
    </row>
    <row r="3044">
      <c r="A3044" s="311">
        <v>3043</v>
      </c>
      <c r="B3044" s="396" t="s">
        <v>6068</v>
      </c>
      <c r="C3044" s="396" t="s">
        <v>4260</v>
      </c>
      <c r="D3044" s="396" t="s">
        <v>6054</v>
      </c>
      <c r="E3044" s="396" t="s">
        <v>6055</v>
      </c>
      <c r="F3044" s="396" t="s">
        <v>5685</v>
      </c>
    </row>
    <row r="3045">
      <c r="A3045" s="311">
        <v>3044</v>
      </c>
      <c r="B3045" s="396" t="s">
        <v>6069</v>
      </c>
      <c r="C3045" s="396" t="s">
        <v>6070</v>
      </c>
      <c r="D3045" s="396" t="s">
        <v>6054</v>
      </c>
      <c r="E3045" s="396" t="s">
        <v>6055</v>
      </c>
      <c r="F3045" s="396" t="s">
        <v>5685</v>
      </c>
    </row>
    <row r="3046">
      <c r="A3046" s="311">
        <v>3045</v>
      </c>
      <c r="B3046" s="396" t="s">
        <v>6071</v>
      </c>
      <c r="C3046" s="396" t="s">
        <v>1568</v>
      </c>
      <c r="D3046" s="396" t="s">
        <v>6054</v>
      </c>
      <c r="E3046" s="396" t="s">
        <v>6055</v>
      </c>
      <c r="F3046" s="396" t="s">
        <v>5685</v>
      </c>
    </row>
    <row r="3047">
      <c r="A3047" s="311">
        <v>3046</v>
      </c>
      <c r="B3047" s="396" t="s">
        <v>6072</v>
      </c>
      <c r="C3047" s="396" t="s">
        <v>6073</v>
      </c>
      <c r="D3047" s="396" t="s">
        <v>6054</v>
      </c>
      <c r="E3047" s="396" t="s">
        <v>6055</v>
      </c>
      <c r="F3047" s="396" t="s">
        <v>5685</v>
      </c>
    </row>
    <row r="3048">
      <c r="A3048" s="311">
        <v>3047</v>
      </c>
      <c r="B3048" s="396" t="s">
        <v>6074</v>
      </c>
      <c r="C3048" s="396" t="s">
        <v>4961</v>
      </c>
      <c r="D3048" s="396" t="s">
        <v>6054</v>
      </c>
      <c r="E3048" s="396" t="s">
        <v>6055</v>
      </c>
      <c r="F3048" s="396" t="s">
        <v>5685</v>
      </c>
    </row>
    <row r="3049">
      <c r="A3049" s="311">
        <v>3048</v>
      </c>
      <c r="B3049" s="396" t="s">
        <v>6075</v>
      </c>
      <c r="C3049" s="396" t="s">
        <v>832</v>
      </c>
      <c r="D3049" s="396" t="s">
        <v>6054</v>
      </c>
      <c r="E3049" s="396" t="s">
        <v>6055</v>
      </c>
      <c r="F3049" s="396" t="s">
        <v>5685</v>
      </c>
    </row>
    <row r="3050">
      <c r="A3050" s="311">
        <v>3049</v>
      </c>
      <c r="B3050" s="396" t="s">
        <v>6076</v>
      </c>
      <c r="C3050" s="396" t="s">
        <v>6077</v>
      </c>
      <c r="D3050" s="396" t="s">
        <v>6054</v>
      </c>
      <c r="E3050" s="396" t="s">
        <v>6055</v>
      </c>
      <c r="F3050" s="396" t="s">
        <v>5685</v>
      </c>
    </row>
    <row r="3051">
      <c r="A3051" s="311">
        <v>3050</v>
      </c>
      <c r="B3051" s="396" t="s">
        <v>6078</v>
      </c>
      <c r="C3051" s="396" t="s">
        <v>4241</v>
      </c>
      <c r="D3051" s="396" t="s">
        <v>6054</v>
      </c>
      <c r="E3051" s="396" t="s">
        <v>6055</v>
      </c>
      <c r="F3051" s="396" t="s">
        <v>5685</v>
      </c>
    </row>
    <row r="3052">
      <c r="A3052" s="311">
        <v>3051</v>
      </c>
      <c r="B3052" s="396" t="s">
        <v>6079</v>
      </c>
      <c r="C3052" s="396" t="s">
        <v>6080</v>
      </c>
      <c r="D3052" s="396" t="s">
        <v>6054</v>
      </c>
      <c r="E3052" s="396" t="s">
        <v>6055</v>
      </c>
      <c r="F3052" s="396" t="s">
        <v>5685</v>
      </c>
    </row>
    <row r="3053">
      <c r="A3053" s="311">
        <v>3052</v>
      </c>
      <c r="B3053" s="396" t="s">
        <v>6081</v>
      </c>
      <c r="C3053" s="396" t="s">
        <v>6082</v>
      </c>
      <c r="D3053" s="396" t="s">
        <v>6054</v>
      </c>
      <c r="E3053" s="396" t="s">
        <v>6055</v>
      </c>
      <c r="F3053" s="396" t="s">
        <v>5685</v>
      </c>
    </row>
    <row r="3054">
      <c r="A3054" s="311">
        <v>3053</v>
      </c>
      <c r="B3054" s="396" t="s">
        <v>6083</v>
      </c>
      <c r="C3054" s="396" t="s">
        <v>6084</v>
      </c>
      <c r="D3054" s="396" t="s">
        <v>6054</v>
      </c>
      <c r="E3054" s="396" t="s">
        <v>6055</v>
      </c>
      <c r="F3054" s="396" t="s">
        <v>5685</v>
      </c>
    </row>
    <row r="3055">
      <c r="A3055" s="311">
        <v>3054</v>
      </c>
      <c r="B3055" s="396" t="s">
        <v>6085</v>
      </c>
      <c r="C3055" s="396" t="s">
        <v>6086</v>
      </c>
      <c r="D3055" s="396" t="s">
        <v>6054</v>
      </c>
      <c r="E3055" s="396" t="s">
        <v>6055</v>
      </c>
      <c r="F3055" s="396" t="s">
        <v>5685</v>
      </c>
    </row>
    <row r="3056">
      <c r="A3056" s="311">
        <v>3055</v>
      </c>
      <c r="B3056" s="396" t="s">
        <v>6087</v>
      </c>
      <c r="C3056" s="396" t="s">
        <v>6088</v>
      </c>
      <c r="D3056" s="396" t="s">
        <v>6054</v>
      </c>
      <c r="E3056" s="396" t="s">
        <v>6055</v>
      </c>
      <c r="F3056" s="396" t="s">
        <v>5685</v>
      </c>
    </row>
    <row r="3057">
      <c r="A3057" s="311">
        <v>3056</v>
      </c>
      <c r="B3057" s="396" t="s">
        <v>6089</v>
      </c>
      <c r="C3057" s="396" t="s">
        <v>6090</v>
      </c>
      <c r="D3057" s="396" t="s">
        <v>6054</v>
      </c>
      <c r="E3057" s="396" t="s">
        <v>6055</v>
      </c>
      <c r="F3057" s="396" t="s">
        <v>5685</v>
      </c>
    </row>
    <row r="3058">
      <c r="A3058" s="311">
        <v>3057</v>
      </c>
      <c r="B3058" s="396" t="s">
        <v>6091</v>
      </c>
      <c r="C3058" s="396" t="s">
        <v>1167</v>
      </c>
      <c r="D3058" s="396" t="s">
        <v>6054</v>
      </c>
      <c r="E3058" s="396" t="s">
        <v>6055</v>
      </c>
      <c r="F3058" s="396" t="s">
        <v>5685</v>
      </c>
    </row>
    <row r="3059">
      <c r="A3059" s="311">
        <v>3058</v>
      </c>
      <c r="B3059" s="396" t="s">
        <v>6092</v>
      </c>
      <c r="C3059" s="396" t="s">
        <v>6093</v>
      </c>
      <c r="D3059" s="396" t="s">
        <v>6054</v>
      </c>
      <c r="E3059" s="396" t="s">
        <v>6055</v>
      </c>
      <c r="F3059" s="396" t="s">
        <v>5685</v>
      </c>
    </row>
    <row r="3060">
      <c r="A3060" s="311">
        <v>3059</v>
      </c>
      <c r="B3060" s="396" t="s">
        <v>6094</v>
      </c>
      <c r="C3060" s="396" t="s">
        <v>318</v>
      </c>
      <c r="D3060" s="396" t="s">
        <v>6054</v>
      </c>
      <c r="E3060" s="396" t="s">
        <v>6055</v>
      </c>
      <c r="F3060" s="396" t="s">
        <v>5685</v>
      </c>
    </row>
    <row r="3061">
      <c r="A3061" s="311">
        <v>3060</v>
      </c>
      <c r="B3061" s="396" t="s">
        <v>6095</v>
      </c>
      <c r="C3061" s="396" t="s">
        <v>6096</v>
      </c>
      <c r="D3061" s="396" t="s">
        <v>6097</v>
      </c>
      <c r="E3061" s="396" t="s">
        <v>6098</v>
      </c>
      <c r="F3061" s="396" t="s">
        <v>6099</v>
      </c>
    </row>
    <row r="3062">
      <c r="A3062" s="311">
        <v>3061</v>
      </c>
      <c r="B3062" s="396" t="s">
        <v>6100</v>
      </c>
      <c r="C3062" s="396" t="s">
        <v>6101</v>
      </c>
      <c r="D3062" s="396" t="s">
        <v>6097</v>
      </c>
      <c r="E3062" s="396" t="s">
        <v>6098</v>
      </c>
      <c r="F3062" s="396" t="s">
        <v>6099</v>
      </c>
    </row>
    <row r="3063">
      <c r="A3063" s="311">
        <v>3062</v>
      </c>
      <c r="B3063" s="396" t="s">
        <v>6102</v>
      </c>
      <c r="C3063" s="396" t="s">
        <v>6103</v>
      </c>
      <c r="D3063" s="396" t="s">
        <v>6097</v>
      </c>
      <c r="E3063" s="396" t="s">
        <v>6098</v>
      </c>
      <c r="F3063" s="396" t="s">
        <v>6099</v>
      </c>
    </row>
    <row r="3064">
      <c r="A3064" s="311">
        <v>3063</v>
      </c>
      <c r="B3064" s="396" t="s">
        <v>6104</v>
      </c>
      <c r="C3064" s="396" t="s">
        <v>6105</v>
      </c>
      <c r="D3064" s="396" t="s">
        <v>6097</v>
      </c>
      <c r="E3064" s="396" t="s">
        <v>6098</v>
      </c>
      <c r="F3064" s="396" t="s">
        <v>6099</v>
      </c>
    </row>
    <row r="3065">
      <c r="A3065" s="311">
        <v>3064</v>
      </c>
      <c r="B3065" s="396" t="s">
        <v>6106</v>
      </c>
      <c r="C3065" s="396" t="s">
        <v>6107</v>
      </c>
      <c r="D3065" s="396" t="s">
        <v>6097</v>
      </c>
      <c r="E3065" s="396" t="s">
        <v>6098</v>
      </c>
      <c r="F3065" s="396" t="s">
        <v>6099</v>
      </c>
    </row>
    <row r="3066">
      <c r="A3066" s="311">
        <v>3065</v>
      </c>
      <c r="B3066" s="396" t="s">
        <v>6108</v>
      </c>
      <c r="C3066" s="396" t="s">
        <v>6109</v>
      </c>
      <c r="D3066" s="396" t="s">
        <v>6097</v>
      </c>
      <c r="E3066" s="396" t="s">
        <v>6098</v>
      </c>
      <c r="F3066" s="396" t="s">
        <v>6099</v>
      </c>
    </row>
    <row r="3067">
      <c r="A3067" s="311">
        <v>3066</v>
      </c>
      <c r="B3067" s="396" t="s">
        <v>6110</v>
      </c>
      <c r="C3067" s="396" t="s">
        <v>6111</v>
      </c>
      <c r="D3067" s="396" t="s">
        <v>6097</v>
      </c>
      <c r="E3067" s="396" t="s">
        <v>6098</v>
      </c>
      <c r="F3067" s="396" t="s">
        <v>6099</v>
      </c>
    </row>
    <row r="3068">
      <c r="A3068" s="311">
        <v>3067</v>
      </c>
      <c r="B3068" s="396" t="s">
        <v>6112</v>
      </c>
      <c r="C3068" s="396" t="s">
        <v>6113</v>
      </c>
      <c r="D3068" s="396" t="s">
        <v>6097</v>
      </c>
      <c r="E3068" s="396" t="s">
        <v>6098</v>
      </c>
      <c r="F3068" s="396" t="s">
        <v>6099</v>
      </c>
    </row>
    <row r="3069">
      <c r="A3069" s="311">
        <v>3068</v>
      </c>
      <c r="B3069" s="396" t="s">
        <v>6114</v>
      </c>
      <c r="C3069" s="396" t="s">
        <v>6115</v>
      </c>
      <c r="D3069" s="396" t="s">
        <v>6097</v>
      </c>
      <c r="E3069" s="396" t="s">
        <v>6098</v>
      </c>
      <c r="F3069" s="396" t="s">
        <v>6099</v>
      </c>
    </row>
    <row r="3070">
      <c r="A3070" s="311">
        <v>3069</v>
      </c>
      <c r="B3070" s="396" t="s">
        <v>6116</v>
      </c>
      <c r="C3070" s="396" t="s">
        <v>6117</v>
      </c>
      <c r="D3070" s="396" t="s">
        <v>6097</v>
      </c>
      <c r="E3070" s="396" t="s">
        <v>6098</v>
      </c>
      <c r="F3070" s="396" t="s">
        <v>6099</v>
      </c>
    </row>
    <row r="3071">
      <c r="A3071" s="311">
        <v>3070</v>
      </c>
      <c r="B3071" s="396" t="s">
        <v>6118</v>
      </c>
      <c r="C3071" s="396" t="s">
        <v>6119</v>
      </c>
      <c r="D3071" s="396" t="s">
        <v>6097</v>
      </c>
      <c r="E3071" s="396" t="s">
        <v>6098</v>
      </c>
      <c r="F3071" s="396" t="s">
        <v>6099</v>
      </c>
    </row>
    <row r="3072">
      <c r="A3072" s="311">
        <v>3071</v>
      </c>
      <c r="B3072" s="396" t="s">
        <v>6120</v>
      </c>
      <c r="C3072" s="396" t="s">
        <v>6121</v>
      </c>
      <c r="D3072" s="396" t="s">
        <v>6097</v>
      </c>
      <c r="E3072" s="396" t="s">
        <v>6098</v>
      </c>
      <c r="F3072" s="396" t="s">
        <v>6099</v>
      </c>
    </row>
    <row r="3073">
      <c r="A3073" s="311">
        <v>3072</v>
      </c>
      <c r="B3073" s="396" t="s">
        <v>6122</v>
      </c>
      <c r="C3073" s="396" t="s">
        <v>6123</v>
      </c>
      <c r="D3073" s="396" t="s">
        <v>6097</v>
      </c>
      <c r="E3073" s="396" t="s">
        <v>6098</v>
      </c>
      <c r="F3073" s="396" t="s">
        <v>6099</v>
      </c>
    </row>
    <row r="3074">
      <c r="A3074" s="311">
        <v>3073</v>
      </c>
      <c r="B3074" s="396" t="s">
        <v>6124</v>
      </c>
      <c r="C3074" s="396" t="s">
        <v>6125</v>
      </c>
      <c r="D3074" s="396" t="s">
        <v>6097</v>
      </c>
      <c r="E3074" s="396" t="s">
        <v>6098</v>
      </c>
      <c r="F3074" s="396" t="s">
        <v>6099</v>
      </c>
    </row>
    <row r="3075">
      <c r="A3075" s="311">
        <v>3074</v>
      </c>
      <c r="B3075" s="396" t="s">
        <v>6126</v>
      </c>
      <c r="C3075" s="396" t="s">
        <v>6127</v>
      </c>
      <c r="D3075" s="396" t="s">
        <v>6097</v>
      </c>
      <c r="E3075" s="396" t="s">
        <v>6098</v>
      </c>
      <c r="F3075" s="396" t="s">
        <v>6099</v>
      </c>
    </row>
    <row r="3076">
      <c r="A3076" s="311">
        <v>3075</v>
      </c>
      <c r="B3076" s="396" t="s">
        <v>6128</v>
      </c>
      <c r="C3076" s="396" t="s">
        <v>6129</v>
      </c>
      <c r="D3076" s="396" t="s">
        <v>6097</v>
      </c>
      <c r="E3076" s="396" t="s">
        <v>6098</v>
      </c>
      <c r="F3076" s="396" t="s">
        <v>6099</v>
      </c>
    </row>
    <row r="3077">
      <c r="A3077" s="311">
        <v>3076</v>
      </c>
      <c r="B3077" s="396" t="s">
        <v>6130</v>
      </c>
      <c r="C3077" s="396" t="s">
        <v>6131</v>
      </c>
      <c r="D3077" s="396" t="s">
        <v>6097</v>
      </c>
      <c r="E3077" s="396" t="s">
        <v>6098</v>
      </c>
      <c r="F3077" s="396" t="s">
        <v>6099</v>
      </c>
    </row>
    <row r="3078">
      <c r="A3078" s="311">
        <v>3077</v>
      </c>
      <c r="B3078" s="396" t="s">
        <v>6132</v>
      </c>
      <c r="C3078" s="396" t="s">
        <v>6133</v>
      </c>
      <c r="D3078" s="396" t="s">
        <v>6097</v>
      </c>
      <c r="E3078" s="396" t="s">
        <v>6098</v>
      </c>
      <c r="F3078" s="396" t="s">
        <v>6099</v>
      </c>
    </row>
    <row r="3079">
      <c r="A3079" s="311">
        <v>3078</v>
      </c>
      <c r="B3079" s="396" t="s">
        <v>6134</v>
      </c>
      <c r="C3079" s="396" t="s">
        <v>6135</v>
      </c>
      <c r="D3079" s="396" t="s">
        <v>6097</v>
      </c>
      <c r="E3079" s="396" t="s">
        <v>6098</v>
      </c>
      <c r="F3079" s="396" t="s">
        <v>6099</v>
      </c>
    </row>
    <row r="3080">
      <c r="A3080" s="311">
        <v>3079</v>
      </c>
      <c r="B3080" s="396" t="s">
        <v>6136</v>
      </c>
      <c r="C3080" s="396" t="s">
        <v>6137</v>
      </c>
      <c r="D3080" s="396" t="s">
        <v>6097</v>
      </c>
      <c r="E3080" s="396" t="s">
        <v>6098</v>
      </c>
      <c r="F3080" s="396" t="s">
        <v>6099</v>
      </c>
    </row>
    <row r="3081">
      <c r="A3081" s="311">
        <v>3080</v>
      </c>
      <c r="B3081" s="396" t="s">
        <v>6138</v>
      </c>
      <c r="C3081" s="396" t="s">
        <v>6139</v>
      </c>
      <c r="D3081" s="396" t="s">
        <v>6097</v>
      </c>
      <c r="E3081" s="396" t="s">
        <v>6098</v>
      </c>
      <c r="F3081" s="396" t="s">
        <v>6099</v>
      </c>
    </row>
    <row r="3082">
      <c r="A3082" s="311">
        <v>3081</v>
      </c>
      <c r="B3082" s="396" t="s">
        <v>6140</v>
      </c>
      <c r="C3082" s="396" t="s">
        <v>6141</v>
      </c>
      <c r="D3082" s="396" t="s">
        <v>6097</v>
      </c>
      <c r="E3082" s="396" t="s">
        <v>6098</v>
      </c>
      <c r="F3082" s="396" t="s">
        <v>6099</v>
      </c>
    </row>
    <row r="3083">
      <c r="A3083" s="311">
        <v>3082</v>
      </c>
      <c r="B3083" s="396" t="s">
        <v>6142</v>
      </c>
      <c r="C3083" s="396" t="s">
        <v>4894</v>
      </c>
      <c r="D3083" s="396" t="s">
        <v>6097</v>
      </c>
      <c r="E3083" s="396" t="s">
        <v>6098</v>
      </c>
      <c r="F3083" s="396" t="s">
        <v>6099</v>
      </c>
    </row>
    <row r="3084">
      <c r="A3084" s="311">
        <v>3083</v>
      </c>
      <c r="B3084" s="396" t="s">
        <v>6143</v>
      </c>
      <c r="C3084" s="396" t="s">
        <v>6144</v>
      </c>
      <c r="D3084" s="396" t="s">
        <v>6145</v>
      </c>
      <c r="E3084" s="396" t="s">
        <v>6146</v>
      </c>
      <c r="F3084" s="396" t="s">
        <v>6099</v>
      </c>
    </row>
    <row r="3085">
      <c r="A3085" s="311">
        <v>3084</v>
      </c>
      <c r="B3085" s="396" t="s">
        <v>6147</v>
      </c>
      <c r="C3085" s="396" t="s">
        <v>6148</v>
      </c>
      <c r="D3085" s="396" t="s">
        <v>6145</v>
      </c>
      <c r="E3085" s="396" t="s">
        <v>6146</v>
      </c>
      <c r="F3085" s="396" t="s">
        <v>6099</v>
      </c>
    </row>
    <row r="3086">
      <c r="A3086" s="311">
        <v>3085</v>
      </c>
      <c r="B3086" s="396" t="s">
        <v>6149</v>
      </c>
      <c r="C3086" s="396" t="s">
        <v>6150</v>
      </c>
      <c r="D3086" s="396" t="s">
        <v>6145</v>
      </c>
      <c r="E3086" s="396" t="s">
        <v>6146</v>
      </c>
      <c r="F3086" s="396" t="s">
        <v>6099</v>
      </c>
    </row>
    <row r="3087">
      <c r="A3087" s="311">
        <v>3086</v>
      </c>
      <c r="B3087" s="396" t="s">
        <v>6151</v>
      </c>
      <c r="C3087" s="396" t="s">
        <v>6152</v>
      </c>
      <c r="D3087" s="396" t="s">
        <v>6145</v>
      </c>
      <c r="E3087" s="396" t="s">
        <v>6146</v>
      </c>
      <c r="F3087" s="396" t="s">
        <v>6099</v>
      </c>
    </row>
    <row r="3088">
      <c r="A3088" s="311">
        <v>3087</v>
      </c>
      <c r="B3088" s="396" t="s">
        <v>6153</v>
      </c>
      <c r="C3088" s="396" t="s">
        <v>6154</v>
      </c>
      <c r="D3088" s="396" t="s">
        <v>6145</v>
      </c>
      <c r="E3088" s="396" t="s">
        <v>6146</v>
      </c>
      <c r="F3088" s="396" t="s">
        <v>6099</v>
      </c>
    </row>
    <row r="3089">
      <c r="A3089" s="311">
        <v>3088</v>
      </c>
      <c r="B3089" s="396" t="s">
        <v>6155</v>
      </c>
      <c r="C3089" s="396" t="s">
        <v>6156</v>
      </c>
      <c r="D3089" s="396" t="s">
        <v>6145</v>
      </c>
      <c r="E3089" s="396" t="s">
        <v>6146</v>
      </c>
      <c r="F3089" s="396" t="s">
        <v>6099</v>
      </c>
    </row>
    <row r="3090">
      <c r="A3090" s="311">
        <v>3089</v>
      </c>
      <c r="B3090" s="396" t="s">
        <v>6157</v>
      </c>
      <c r="C3090" s="396" t="s">
        <v>6158</v>
      </c>
      <c r="D3090" s="396" t="s">
        <v>6145</v>
      </c>
      <c r="E3090" s="396" t="s">
        <v>6146</v>
      </c>
      <c r="F3090" s="396" t="s">
        <v>6099</v>
      </c>
    </row>
    <row r="3091">
      <c r="A3091" s="311">
        <v>3090</v>
      </c>
      <c r="B3091" s="396" t="s">
        <v>6159</v>
      </c>
      <c r="C3091" s="396" t="s">
        <v>2910</v>
      </c>
      <c r="D3091" s="396" t="s">
        <v>6145</v>
      </c>
      <c r="E3091" s="396" t="s">
        <v>6146</v>
      </c>
      <c r="F3091" s="396" t="s">
        <v>6099</v>
      </c>
    </row>
    <row r="3092">
      <c r="A3092" s="311">
        <v>3091</v>
      </c>
      <c r="B3092" s="396" t="s">
        <v>6160</v>
      </c>
      <c r="C3092" s="396" t="s">
        <v>6161</v>
      </c>
      <c r="D3092" s="396" t="s">
        <v>6145</v>
      </c>
      <c r="E3092" s="396" t="s">
        <v>6146</v>
      </c>
      <c r="F3092" s="396" t="s">
        <v>6099</v>
      </c>
    </row>
    <row r="3093">
      <c r="A3093" s="311">
        <v>3092</v>
      </c>
      <c r="B3093" s="396" t="s">
        <v>6162</v>
      </c>
      <c r="C3093" s="396" t="s">
        <v>6163</v>
      </c>
      <c r="D3093" s="396" t="s">
        <v>6145</v>
      </c>
      <c r="E3093" s="396" t="s">
        <v>6146</v>
      </c>
      <c r="F3093" s="396" t="s">
        <v>6099</v>
      </c>
    </row>
    <row r="3094">
      <c r="A3094" s="311">
        <v>3093</v>
      </c>
      <c r="B3094" s="396" t="s">
        <v>6164</v>
      </c>
      <c r="C3094" s="396" t="s">
        <v>6165</v>
      </c>
      <c r="D3094" s="396" t="s">
        <v>6166</v>
      </c>
      <c r="E3094" s="396" t="s">
        <v>6167</v>
      </c>
      <c r="F3094" s="396" t="s">
        <v>6099</v>
      </c>
    </row>
    <row r="3095">
      <c r="A3095" s="311">
        <v>3094</v>
      </c>
      <c r="B3095" s="396" t="s">
        <v>6168</v>
      </c>
      <c r="C3095" s="396" t="s">
        <v>6169</v>
      </c>
      <c r="D3095" s="396" t="s">
        <v>6166</v>
      </c>
      <c r="E3095" s="396" t="s">
        <v>6167</v>
      </c>
      <c r="F3095" s="396" t="s">
        <v>6099</v>
      </c>
    </row>
    <row r="3096">
      <c r="A3096" s="311">
        <v>3095</v>
      </c>
      <c r="B3096" s="396" t="s">
        <v>6170</v>
      </c>
      <c r="C3096" s="396" t="s">
        <v>6171</v>
      </c>
      <c r="D3096" s="396" t="s">
        <v>6166</v>
      </c>
      <c r="E3096" s="396" t="s">
        <v>6167</v>
      </c>
      <c r="F3096" s="396" t="s">
        <v>6099</v>
      </c>
    </row>
    <row r="3097">
      <c r="A3097" s="311">
        <v>3096</v>
      </c>
      <c r="B3097" s="396" t="s">
        <v>6172</v>
      </c>
      <c r="C3097" s="396" t="s">
        <v>6173</v>
      </c>
      <c r="D3097" s="396" t="s">
        <v>6166</v>
      </c>
      <c r="E3097" s="396" t="s">
        <v>6167</v>
      </c>
      <c r="F3097" s="396" t="s">
        <v>6099</v>
      </c>
    </row>
    <row r="3098">
      <c r="A3098" s="311">
        <v>3097</v>
      </c>
      <c r="B3098" s="396" t="s">
        <v>6174</v>
      </c>
      <c r="C3098" s="396" t="s">
        <v>6175</v>
      </c>
      <c r="D3098" s="396" t="s">
        <v>6166</v>
      </c>
      <c r="E3098" s="396" t="s">
        <v>6167</v>
      </c>
      <c r="F3098" s="396" t="s">
        <v>6099</v>
      </c>
    </row>
    <row r="3099">
      <c r="A3099" s="311">
        <v>3098</v>
      </c>
      <c r="B3099" s="396" t="s">
        <v>6176</v>
      </c>
      <c r="C3099" s="396" t="s">
        <v>6177</v>
      </c>
      <c r="D3099" s="396" t="s">
        <v>6166</v>
      </c>
      <c r="E3099" s="396" t="s">
        <v>6167</v>
      </c>
      <c r="F3099" s="396" t="s">
        <v>6099</v>
      </c>
    </row>
    <row r="3100">
      <c r="A3100" s="311">
        <v>3099</v>
      </c>
      <c r="B3100" s="396" t="s">
        <v>6178</v>
      </c>
      <c r="C3100" s="396" t="s">
        <v>988</v>
      </c>
      <c r="D3100" s="396" t="s">
        <v>6166</v>
      </c>
      <c r="E3100" s="396" t="s">
        <v>6167</v>
      </c>
      <c r="F3100" s="396" t="s">
        <v>6099</v>
      </c>
    </row>
    <row r="3101">
      <c r="A3101" s="311">
        <v>3100</v>
      </c>
      <c r="B3101" s="396" t="s">
        <v>6179</v>
      </c>
      <c r="C3101" s="396" t="s">
        <v>6180</v>
      </c>
      <c r="D3101" s="396" t="s">
        <v>6166</v>
      </c>
      <c r="E3101" s="396" t="s">
        <v>6167</v>
      </c>
      <c r="F3101" s="396" t="s">
        <v>6099</v>
      </c>
    </row>
    <row r="3102">
      <c r="A3102" s="311">
        <v>3101</v>
      </c>
      <c r="B3102" s="396" t="s">
        <v>6181</v>
      </c>
      <c r="C3102" s="396" t="s">
        <v>2883</v>
      </c>
      <c r="D3102" s="396" t="s">
        <v>6166</v>
      </c>
      <c r="E3102" s="396" t="s">
        <v>6167</v>
      </c>
      <c r="F3102" s="396" t="s">
        <v>6099</v>
      </c>
    </row>
    <row r="3103">
      <c r="A3103" s="311">
        <v>3102</v>
      </c>
      <c r="B3103" s="396" t="s">
        <v>6182</v>
      </c>
      <c r="C3103" s="396" t="s">
        <v>6183</v>
      </c>
      <c r="D3103" s="396" t="s">
        <v>6166</v>
      </c>
      <c r="E3103" s="396" t="s">
        <v>6167</v>
      </c>
      <c r="F3103" s="396" t="s">
        <v>6099</v>
      </c>
    </row>
    <row r="3104">
      <c r="A3104" s="311">
        <v>3103</v>
      </c>
      <c r="B3104" s="396" t="s">
        <v>6184</v>
      </c>
      <c r="C3104" s="396" t="s">
        <v>6185</v>
      </c>
      <c r="D3104" s="396" t="s">
        <v>6166</v>
      </c>
      <c r="E3104" s="396" t="s">
        <v>6167</v>
      </c>
      <c r="F3104" s="396" t="s">
        <v>6099</v>
      </c>
    </row>
    <row r="3105">
      <c r="A3105" s="311">
        <v>3104</v>
      </c>
      <c r="B3105" s="396" t="s">
        <v>6186</v>
      </c>
      <c r="C3105" s="396" t="s">
        <v>4380</v>
      </c>
      <c r="D3105" s="396" t="s">
        <v>6166</v>
      </c>
      <c r="E3105" s="396" t="s">
        <v>6167</v>
      </c>
      <c r="F3105" s="396" t="s">
        <v>6099</v>
      </c>
    </row>
    <row r="3106">
      <c r="A3106" s="311">
        <v>3105</v>
      </c>
      <c r="B3106" s="396" t="s">
        <v>6187</v>
      </c>
      <c r="C3106" s="396" t="s">
        <v>6188</v>
      </c>
      <c r="D3106" s="396" t="s">
        <v>6166</v>
      </c>
      <c r="E3106" s="396" t="s">
        <v>6167</v>
      </c>
      <c r="F3106" s="396" t="s">
        <v>6099</v>
      </c>
    </row>
    <row r="3107">
      <c r="A3107" s="311">
        <v>3106</v>
      </c>
      <c r="B3107" s="396" t="s">
        <v>6189</v>
      </c>
      <c r="C3107" s="396" t="s">
        <v>6190</v>
      </c>
      <c r="D3107" s="396" t="s">
        <v>6166</v>
      </c>
      <c r="E3107" s="396" t="s">
        <v>6167</v>
      </c>
      <c r="F3107" s="396" t="s">
        <v>6099</v>
      </c>
    </row>
    <row r="3108">
      <c r="A3108" s="311">
        <v>3107</v>
      </c>
      <c r="B3108" s="396" t="s">
        <v>6191</v>
      </c>
      <c r="C3108" s="396" t="s">
        <v>6192</v>
      </c>
      <c r="D3108" s="396" t="s">
        <v>6166</v>
      </c>
      <c r="E3108" s="396" t="s">
        <v>6167</v>
      </c>
      <c r="F3108" s="396" t="s">
        <v>6099</v>
      </c>
    </row>
    <row r="3109">
      <c r="A3109" s="311">
        <v>3108</v>
      </c>
      <c r="B3109" s="396" t="s">
        <v>6193</v>
      </c>
      <c r="C3109" s="396" t="s">
        <v>6194</v>
      </c>
      <c r="D3109" s="396" t="s">
        <v>6166</v>
      </c>
      <c r="E3109" s="396" t="s">
        <v>6167</v>
      </c>
      <c r="F3109" s="396" t="s">
        <v>6099</v>
      </c>
    </row>
    <row r="3110">
      <c r="A3110" s="311">
        <v>3109</v>
      </c>
      <c r="B3110" s="396" t="s">
        <v>6195</v>
      </c>
      <c r="C3110" s="396" t="s">
        <v>6196</v>
      </c>
      <c r="D3110" s="396" t="s">
        <v>6166</v>
      </c>
      <c r="E3110" s="396" t="s">
        <v>6167</v>
      </c>
      <c r="F3110" s="396" t="s">
        <v>6099</v>
      </c>
    </row>
    <row r="3111">
      <c r="A3111" s="311">
        <v>3110</v>
      </c>
      <c r="B3111" s="396" t="s">
        <v>6197</v>
      </c>
      <c r="C3111" s="396" t="s">
        <v>6198</v>
      </c>
      <c r="D3111" s="396" t="s">
        <v>6166</v>
      </c>
      <c r="E3111" s="396" t="s">
        <v>6167</v>
      </c>
      <c r="F3111" s="396" t="s">
        <v>6099</v>
      </c>
    </row>
    <row r="3112">
      <c r="A3112" s="311">
        <v>3111</v>
      </c>
      <c r="B3112" s="396" t="s">
        <v>6199</v>
      </c>
      <c r="C3112" s="396" t="s">
        <v>6200</v>
      </c>
      <c r="D3112" s="396" t="s">
        <v>6166</v>
      </c>
      <c r="E3112" s="396" t="s">
        <v>6167</v>
      </c>
      <c r="F3112" s="396" t="s">
        <v>6099</v>
      </c>
    </row>
    <row r="3113">
      <c r="A3113" s="311">
        <v>3112</v>
      </c>
      <c r="B3113" s="396" t="s">
        <v>6201</v>
      </c>
      <c r="C3113" s="396" t="s">
        <v>6202</v>
      </c>
      <c r="D3113" s="396" t="s">
        <v>6166</v>
      </c>
      <c r="E3113" s="396" t="s">
        <v>6167</v>
      </c>
      <c r="F3113" s="396" t="s">
        <v>6099</v>
      </c>
    </row>
    <row r="3114">
      <c r="A3114" s="311">
        <v>3113</v>
      </c>
      <c r="B3114" s="396" t="s">
        <v>6203</v>
      </c>
      <c r="C3114" s="396" t="s">
        <v>6204</v>
      </c>
      <c r="D3114" s="396" t="s">
        <v>6166</v>
      </c>
      <c r="E3114" s="396" t="s">
        <v>6167</v>
      </c>
      <c r="F3114" s="396" t="s">
        <v>6099</v>
      </c>
    </row>
    <row r="3115">
      <c r="A3115" s="311">
        <v>3114</v>
      </c>
      <c r="B3115" s="396" t="s">
        <v>6205</v>
      </c>
      <c r="C3115" s="396" t="s">
        <v>6206</v>
      </c>
      <c r="D3115" s="396" t="s">
        <v>6166</v>
      </c>
      <c r="E3115" s="396" t="s">
        <v>6167</v>
      </c>
      <c r="F3115" s="396" t="s">
        <v>6099</v>
      </c>
    </row>
    <row r="3116">
      <c r="A3116" s="311">
        <v>3115</v>
      </c>
      <c r="B3116" s="396" t="s">
        <v>6207</v>
      </c>
      <c r="C3116" s="396" t="s">
        <v>6208</v>
      </c>
      <c r="D3116" s="396" t="s">
        <v>6166</v>
      </c>
      <c r="E3116" s="396" t="s">
        <v>6167</v>
      </c>
      <c r="F3116" s="396" t="s">
        <v>6099</v>
      </c>
    </row>
    <row r="3117">
      <c r="A3117" s="311">
        <v>3116</v>
      </c>
      <c r="B3117" s="396" t="s">
        <v>6209</v>
      </c>
      <c r="C3117" s="396" t="s">
        <v>6210</v>
      </c>
      <c r="D3117" s="396" t="s">
        <v>6166</v>
      </c>
      <c r="E3117" s="396" t="s">
        <v>6167</v>
      </c>
      <c r="F3117" s="396" t="s">
        <v>6099</v>
      </c>
    </row>
    <row r="3118">
      <c r="A3118" s="311">
        <v>3117</v>
      </c>
      <c r="B3118" s="396" t="s">
        <v>6211</v>
      </c>
      <c r="C3118" s="396" t="s">
        <v>3901</v>
      </c>
      <c r="D3118" s="396" t="s">
        <v>6166</v>
      </c>
      <c r="E3118" s="396" t="s">
        <v>6167</v>
      </c>
      <c r="F3118" s="396" t="s">
        <v>6099</v>
      </c>
    </row>
    <row r="3119">
      <c r="A3119" s="311">
        <v>3118</v>
      </c>
      <c r="B3119" s="396" t="s">
        <v>6212</v>
      </c>
      <c r="C3119" s="396" t="s">
        <v>298</v>
      </c>
      <c r="D3119" s="396" t="s">
        <v>6166</v>
      </c>
      <c r="E3119" s="396" t="s">
        <v>6167</v>
      </c>
      <c r="F3119" s="396" t="s">
        <v>6099</v>
      </c>
    </row>
    <row r="3120">
      <c r="A3120" s="311">
        <v>3119</v>
      </c>
      <c r="B3120" s="396" t="s">
        <v>6213</v>
      </c>
      <c r="C3120" s="396" t="s">
        <v>6214</v>
      </c>
      <c r="D3120" s="396" t="s">
        <v>6166</v>
      </c>
      <c r="E3120" s="396" t="s">
        <v>6167</v>
      </c>
      <c r="F3120" s="396" t="s">
        <v>6099</v>
      </c>
    </row>
    <row r="3121">
      <c r="A3121" s="311">
        <v>3120</v>
      </c>
      <c r="B3121" s="396" t="s">
        <v>6215</v>
      </c>
      <c r="C3121" s="396" t="s">
        <v>6216</v>
      </c>
      <c r="D3121" s="396" t="s">
        <v>6166</v>
      </c>
      <c r="E3121" s="396" t="s">
        <v>6167</v>
      </c>
      <c r="F3121" s="396" t="s">
        <v>6099</v>
      </c>
    </row>
    <row r="3122">
      <c r="A3122" s="311">
        <v>3121</v>
      </c>
      <c r="B3122" s="396" t="s">
        <v>6217</v>
      </c>
      <c r="C3122" s="396" t="s">
        <v>6218</v>
      </c>
      <c r="D3122" s="396" t="s">
        <v>6219</v>
      </c>
      <c r="E3122" s="396" t="s">
        <v>6220</v>
      </c>
      <c r="F3122" s="396" t="s">
        <v>6099</v>
      </c>
    </row>
    <row r="3123">
      <c r="A3123" s="311">
        <v>3122</v>
      </c>
      <c r="B3123" s="396" t="s">
        <v>6221</v>
      </c>
      <c r="C3123" s="396" t="s">
        <v>6222</v>
      </c>
      <c r="D3123" s="396" t="s">
        <v>6219</v>
      </c>
      <c r="E3123" s="396" t="s">
        <v>6220</v>
      </c>
      <c r="F3123" s="396" t="s">
        <v>6099</v>
      </c>
    </row>
    <row r="3124">
      <c r="A3124" s="311">
        <v>3123</v>
      </c>
      <c r="B3124" s="396" t="s">
        <v>6223</v>
      </c>
      <c r="C3124" s="396" t="s">
        <v>6224</v>
      </c>
      <c r="D3124" s="396" t="s">
        <v>6219</v>
      </c>
      <c r="E3124" s="396" t="s">
        <v>6220</v>
      </c>
      <c r="F3124" s="396" t="s">
        <v>6099</v>
      </c>
    </row>
    <row r="3125">
      <c r="A3125" s="311">
        <v>3124</v>
      </c>
      <c r="B3125" s="396" t="s">
        <v>6225</v>
      </c>
      <c r="C3125" s="396" t="s">
        <v>6226</v>
      </c>
      <c r="D3125" s="396" t="s">
        <v>6219</v>
      </c>
      <c r="E3125" s="396" t="s">
        <v>6220</v>
      </c>
      <c r="F3125" s="396" t="s">
        <v>6099</v>
      </c>
    </row>
    <row r="3126">
      <c r="A3126" s="311">
        <v>3125</v>
      </c>
      <c r="B3126" s="396" t="s">
        <v>6227</v>
      </c>
      <c r="C3126" s="396" t="s">
        <v>6228</v>
      </c>
      <c r="D3126" s="396" t="s">
        <v>6219</v>
      </c>
      <c r="E3126" s="396" t="s">
        <v>6220</v>
      </c>
      <c r="F3126" s="396" t="s">
        <v>6099</v>
      </c>
    </row>
    <row r="3127">
      <c r="A3127" s="311">
        <v>3126</v>
      </c>
      <c r="B3127" s="396" t="s">
        <v>6229</v>
      </c>
      <c r="C3127" s="396" t="s">
        <v>6230</v>
      </c>
      <c r="D3127" s="396" t="s">
        <v>6219</v>
      </c>
      <c r="E3127" s="396" t="s">
        <v>6220</v>
      </c>
      <c r="F3127" s="396" t="s">
        <v>6099</v>
      </c>
    </row>
    <row r="3128">
      <c r="A3128" s="311">
        <v>3127</v>
      </c>
      <c r="B3128" s="396" t="s">
        <v>6231</v>
      </c>
      <c r="C3128" s="396" t="s">
        <v>6232</v>
      </c>
      <c r="D3128" s="396" t="s">
        <v>6219</v>
      </c>
      <c r="E3128" s="396" t="s">
        <v>6220</v>
      </c>
      <c r="F3128" s="396" t="s">
        <v>6099</v>
      </c>
    </row>
    <row r="3129">
      <c r="A3129" s="311">
        <v>3128</v>
      </c>
      <c r="B3129" s="396" t="s">
        <v>6233</v>
      </c>
      <c r="C3129" s="396" t="s">
        <v>1024</v>
      </c>
      <c r="D3129" s="396" t="s">
        <v>6219</v>
      </c>
      <c r="E3129" s="396" t="s">
        <v>6220</v>
      </c>
      <c r="F3129" s="396" t="s">
        <v>6099</v>
      </c>
    </row>
    <row r="3130">
      <c r="A3130" s="311">
        <v>3129</v>
      </c>
      <c r="B3130" s="396" t="s">
        <v>6234</v>
      </c>
      <c r="C3130" s="396" t="s">
        <v>6235</v>
      </c>
      <c r="D3130" s="396" t="s">
        <v>6219</v>
      </c>
      <c r="E3130" s="396" t="s">
        <v>6220</v>
      </c>
      <c r="F3130" s="396" t="s">
        <v>6099</v>
      </c>
    </row>
    <row r="3131">
      <c r="A3131" s="311">
        <v>3130</v>
      </c>
      <c r="B3131" s="396" t="s">
        <v>6236</v>
      </c>
      <c r="C3131" s="396" t="s">
        <v>4232</v>
      </c>
      <c r="D3131" s="396" t="s">
        <v>6219</v>
      </c>
      <c r="E3131" s="396" t="s">
        <v>6220</v>
      </c>
      <c r="F3131" s="396" t="s">
        <v>6099</v>
      </c>
    </row>
    <row r="3132">
      <c r="A3132" s="311">
        <v>3131</v>
      </c>
      <c r="B3132" s="396" t="s">
        <v>6237</v>
      </c>
      <c r="C3132" s="396" t="s">
        <v>6238</v>
      </c>
      <c r="D3132" s="396" t="s">
        <v>6219</v>
      </c>
      <c r="E3132" s="396" t="s">
        <v>6220</v>
      </c>
      <c r="F3132" s="396" t="s">
        <v>6099</v>
      </c>
    </row>
    <row r="3133">
      <c r="A3133" s="311">
        <v>3132</v>
      </c>
      <c r="B3133" s="396" t="s">
        <v>6239</v>
      </c>
      <c r="C3133" s="396" t="s">
        <v>6240</v>
      </c>
      <c r="D3133" s="396" t="s">
        <v>6219</v>
      </c>
      <c r="E3133" s="396" t="s">
        <v>6220</v>
      </c>
      <c r="F3133" s="396" t="s">
        <v>6099</v>
      </c>
    </row>
    <row r="3134">
      <c r="A3134" s="311">
        <v>3133</v>
      </c>
      <c r="B3134" s="396" t="s">
        <v>6241</v>
      </c>
      <c r="C3134" s="396" t="s">
        <v>2179</v>
      </c>
      <c r="D3134" s="396" t="s">
        <v>6219</v>
      </c>
      <c r="E3134" s="396" t="s">
        <v>6220</v>
      </c>
      <c r="F3134" s="396" t="s">
        <v>6099</v>
      </c>
    </row>
    <row r="3135">
      <c r="A3135" s="311">
        <v>3134</v>
      </c>
      <c r="B3135" s="396" t="s">
        <v>6242</v>
      </c>
      <c r="C3135" s="396" t="s">
        <v>6243</v>
      </c>
      <c r="D3135" s="396" t="s">
        <v>6219</v>
      </c>
      <c r="E3135" s="396" t="s">
        <v>6220</v>
      </c>
      <c r="F3135" s="396" t="s">
        <v>6099</v>
      </c>
    </row>
    <row r="3136">
      <c r="A3136" s="311">
        <v>3135</v>
      </c>
      <c r="B3136" s="396" t="s">
        <v>6244</v>
      </c>
      <c r="C3136" s="396" t="s">
        <v>6245</v>
      </c>
      <c r="D3136" s="396" t="s">
        <v>6219</v>
      </c>
      <c r="E3136" s="396" t="s">
        <v>6220</v>
      </c>
      <c r="F3136" s="396" t="s">
        <v>6099</v>
      </c>
    </row>
    <row r="3137">
      <c r="A3137" s="311">
        <v>3136</v>
      </c>
      <c r="B3137" s="396" t="s">
        <v>6246</v>
      </c>
      <c r="C3137" s="396" t="s">
        <v>6247</v>
      </c>
      <c r="D3137" s="396" t="s">
        <v>6219</v>
      </c>
      <c r="E3137" s="396" t="s">
        <v>6220</v>
      </c>
      <c r="F3137" s="396" t="s">
        <v>6099</v>
      </c>
    </row>
    <row r="3138">
      <c r="A3138" s="311">
        <v>3137</v>
      </c>
      <c r="B3138" s="396" t="s">
        <v>6248</v>
      </c>
      <c r="C3138" s="396" t="s">
        <v>6249</v>
      </c>
      <c r="D3138" s="396" t="s">
        <v>6219</v>
      </c>
      <c r="E3138" s="396" t="s">
        <v>6220</v>
      </c>
      <c r="F3138" s="396" t="s">
        <v>6099</v>
      </c>
    </row>
    <row r="3139">
      <c r="A3139" s="311">
        <v>3138</v>
      </c>
      <c r="B3139" s="396" t="s">
        <v>6250</v>
      </c>
      <c r="C3139" s="396" t="s">
        <v>6251</v>
      </c>
      <c r="D3139" s="396" t="s">
        <v>6219</v>
      </c>
      <c r="E3139" s="396" t="s">
        <v>6220</v>
      </c>
      <c r="F3139" s="396" t="s">
        <v>6099</v>
      </c>
    </row>
    <row r="3140">
      <c r="A3140" s="311">
        <v>3139</v>
      </c>
      <c r="B3140" s="396" t="s">
        <v>6252</v>
      </c>
      <c r="C3140" s="396" t="s">
        <v>6253</v>
      </c>
      <c r="D3140" s="396" t="s">
        <v>6219</v>
      </c>
      <c r="E3140" s="396" t="s">
        <v>6220</v>
      </c>
      <c r="F3140" s="396" t="s">
        <v>6099</v>
      </c>
    </row>
    <row r="3141">
      <c r="A3141" s="311">
        <v>3140</v>
      </c>
      <c r="B3141" s="396" t="s">
        <v>6254</v>
      </c>
      <c r="C3141" s="396" t="s">
        <v>6255</v>
      </c>
      <c r="D3141" s="396" t="s">
        <v>6219</v>
      </c>
      <c r="E3141" s="396" t="s">
        <v>6220</v>
      </c>
      <c r="F3141" s="396" t="s">
        <v>6099</v>
      </c>
    </row>
    <row r="3142">
      <c r="A3142" s="311">
        <v>3141</v>
      </c>
      <c r="B3142" s="396" t="s">
        <v>6256</v>
      </c>
      <c r="C3142" s="396" t="s">
        <v>6257</v>
      </c>
      <c r="D3142" s="396" t="s">
        <v>6219</v>
      </c>
      <c r="E3142" s="396" t="s">
        <v>6220</v>
      </c>
      <c r="F3142" s="396" t="s">
        <v>6099</v>
      </c>
    </row>
    <row r="3143">
      <c r="A3143" s="311">
        <v>3142</v>
      </c>
      <c r="B3143" s="396" t="s">
        <v>6258</v>
      </c>
      <c r="C3143" s="396" t="s">
        <v>6259</v>
      </c>
      <c r="D3143" s="396" t="s">
        <v>6219</v>
      </c>
      <c r="E3143" s="396" t="s">
        <v>6220</v>
      </c>
      <c r="F3143" s="396" t="s">
        <v>6099</v>
      </c>
    </row>
    <row r="3144">
      <c r="A3144" s="311">
        <v>3143</v>
      </c>
      <c r="B3144" s="396" t="s">
        <v>6260</v>
      </c>
      <c r="C3144" s="396" t="s">
        <v>6261</v>
      </c>
      <c r="D3144" s="396" t="s">
        <v>6219</v>
      </c>
      <c r="E3144" s="396" t="s">
        <v>6220</v>
      </c>
      <c r="F3144" s="396" t="s">
        <v>6099</v>
      </c>
    </row>
    <row r="3145">
      <c r="A3145" s="311">
        <v>3144</v>
      </c>
      <c r="B3145" s="396" t="s">
        <v>6262</v>
      </c>
      <c r="C3145" s="396" t="s">
        <v>6263</v>
      </c>
      <c r="D3145" s="396" t="s">
        <v>6219</v>
      </c>
      <c r="E3145" s="396" t="s">
        <v>6220</v>
      </c>
      <c r="F3145" s="396" t="s">
        <v>6099</v>
      </c>
    </row>
    <row r="3146">
      <c r="A3146" s="311">
        <v>3145</v>
      </c>
      <c r="B3146" s="396" t="s">
        <v>6264</v>
      </c>
      <c r="C3146" s="396" t="s">
        <v>6265</v>
      </c>
      <c r="D3146" s="396" t="s">
        <v>6219</v>
      </c>
      <c r="E3146" s="396" t="s">
        <v>6220</v>
      </c>
      <c r="F3146" s="396" t="s">
        <v>6099</v>
      </c>
    </row>
    <row r="3147">
      <c r="A3147" s="311">
        <v>3146</v>
      </c>
      <c r="B3147" s="396" t="s">
        <v>6266</v>
      </c>
      <c r="C3147" s="396" t="s">
        <v>6267</v>
      </c>
      <c r="D3147" s="396" t="s">
        <v>6219</v>
      </c>
      <c r="E3147" s="396" t="s">
        <v>6220</v>
      </c>
      <c r="F3147" s="396" t="s">
        <v>6099</v>
      </c>
    </row>
    <row r="3148">
      <c r="A3148" s="311">
        <v>3147</v>
      </c>
      <c r="B3148" s="396" t="s">
        <v>6268</v>
      </c>
      <c r="C3148" s="396" t="s">
        <v>4718</v>
      </c>
      <c r="D3148" s="396" t="s">
        <v>6219</v>
      </c>
      <c r="E3148" s="396" t="s">
        <v>6220</v>
      </c>
      <c r="F3148" s="396" t="s">
        <v>6099</v>
      </c>
    </row>
    <row r="3149">
      <c r="A3149" s="311">
        <v>3148</v>
      </c>
      <c r="B3149" s="396" t="s">
        <v>6269</v>
      </c>
      <c r="C3149" s="396" t="s">
        <v>6270</v>
      </c>
      <c r="D3149" s="396" t="s">
        <v>6219</v>
      </c>
      <c r="E3149" s="396" t="s">
        <v>6220</v>
      </c>
      <c r="F3149" s="396" t="s">
        <v>6099</v>
      </c>
    </row>
    <row r="3150">
      <c r="A3150" s="311">
        <v>3149</v>
      </c>
      <c r="B3150" s="396" t="s">
        <v>6271</v>
      </c>
      <c r="C3150" s="396" t="s">
        <v>6272</v>
      </c>
      <c r="D3150" s="396" t="s">
        <v>6219</v>
      </c>
      <c r="E3150" s="396" t="s">
        <v>6220</v>
      </c>
      <c r="F3150" s="396" t="s">
        <v>6099</v>
      </c>
    </row>
    <row r="3151">
      <c r="A3151" s="311">
        <v>3150</v>
      </c>
      <c r="B3151" s="396" t="s">
        <v>6273</v>
      </c>
      <c r="C3151" s="396" t="s">
        <v>6274</v>
      </c>
      <c r="D3151" s="396" t="s">
        <v>6219</v>
      </c>
      <c r="E3151" s="396" t="s">
        <v>6220</v>
      </c>
      <c r="F3151" s="396" t="s">
        <v>6099</v>
      </c>
    </row>
    <row r="3152">
      <c r="A3152" s="311">
        <v>3151</v>
      </c>
      <c r="B3152" s="396" t="s">
        <v>6275</v>
      </c>
      <c r="C3152" s="396" t="s">
        <v>6276</v>
      </c>
      <c r="D3152" s="396" t="s">
        <v>6219</v>
      </c>
      <c r="E3152" s="396" t="s">
        <v>6220</v>
      </c>
      <c r="F3152" s="396" t="s">
        <v>6099</v>
      </c>
    </row>
    <row r="3153">
      <c r="A3153" s="311">
        <v>3152</v>
      </c>
      <c r="B3153" s="396" t="s">
        <v>6277</v>
      </c>
      <c r="C3153" s="396" t="s">
        <v>6278</v>
      </c>
      <c r="D3153" s="396" t="s">
        <v>6219</v>
      </c>
      <c r="E3153" s="396" t="s">
        <v>6220</v>
      </c>
      <c r="F3153" s="396" t="s">
        <v>6099</v>
      </c>
    </row>
    <row r="3154">
      <c r="A3154" s="311">
        <v>3153</v>
      </c>
      <c r="B3154" s="396" t="s">
        <v>6279</v>
      </c>
      <c r="C3154" s="396" t="s">
        <v>6280</v>
      </c>
      <c r="D3154" s="396" t="s">
        <v>6219</v>
      </c>
      <c r="E3154" s="396" t="s">
        <v>6220</v>
      </c>
      <c r="F3154" s="396" t="s">
        <v>6099</v>
      </c>
    </row>
    <row r="3155">
      <c r="A3155" s="311">
        <v>3154</v>
      </c>
      <c r="B3155" s="396" t="s">
        <v>6281</v>
      </c>
      <c r="C3155" s="396" t="s">
        <v>6282</v>
      </c>
      <c r="D3155" s="396" t="s">
        <v>6283</v>
      </c>
      <c r="E3155" s="396" t="s">
        <v>6284</v>
      </c>
      <c r="F3155" s="396" t="s">
        <v>6099</v>
      </c>
    </row>
    <row r="3156">
      <c r="A3156" s="311">
        <v>3155</v>
      </c>
      <c r="B3156" s="396" t="s">
        <v>6285</v>
      </c>
      <c r="C3156" s="396" t="s">
        <v>1362</v>
      </c>
      <c r="D3156" s="396" t="s">
        <v>6283</v>
      </c>
      <c r="E3156" s="396" t="s">
        <v>6284</v>
      </c>
      <c r="F3156" s="396" t="s">
        <v>6099</v>
      </c>
    </row>
    <row r="3157">
      <c r="A3157" s="311">
        <v>3156</v>
      </c>
      <c r="B3157" s="396" t="s">
        <v>6286</v>
      </c>
      <c r="C3157" s="396" t="s">
        <v>6287</v>
      </c>
      <c r="D3157" s="396" t="s">
        <v>6283</v>
      </c>
      <c r="E3157" s="396" t="s">
        <v>6284</v>
      </c>
      <c r="F3157" s="396" t="s">
        <v>6099</v>
      </c>
    </row>
    <row r="3158">
      <c r="A3158" s="311">
        <v>3157</v>
      </c>
      <c r="B3158" s="396" t="s">
        <v>6288</v>
      </c>
      <c r="C3158" s="396" t="s">
        <v>6289</v>
      </c>
      <c r="D3158" s="396" t="s">
        <v>6283</v>
      </c>
      <c r="E3158" s="396" t="s">
        <v>6284</v>
      </c>
      <c r="F3158" s="396" t="s">
        <v>6099</v>
      </c>
    </row>
    <row r="3159">
      <c r="A3159" s="311">
        <v>3158</v>
      </c>
      <c r="B3159" s="396" t="s">
        <v>6290</v>
      </c>
      <c r="C3159" s="396" t="s">
        <v>5093</v>
      </c>
      <c r="D3159" s="396" t="s">
        <v>6283</v>
      </c>
      <c r="E3159" s="396" t="s">
        <v>6284</v>
      </c>
      <c r="F3159" s="396" t="s">
        <v>6099</v>
      </c>
    </row>
    <row r="3160">
      <c r="A3160" s="311">
        <v>3159</v>
      </c>
      <c r="B3160" s="396" t="s">
        <v>6291</v>
      </c>
      <c r="C3160" s="396" t="s">
        <v>6292</v>
      </c>
      <c r="D3160" s="396" t="s">
        <v>6283</v>
      </c>
      <c r="E3160" s="396" t="s">
        <v>6284</v>
      </c>
      <c r="F3160" s="396" t="s">
        <v>6099</v>
      </c>
    </row>
    <row r="3161">
      <c r="A3161" s="311">
        <v>3160</v>
      </c>
      <c r="B3161" s="396" t="s">
        <v>6293</v>
      </c>
      <c r="C3161" s="396" t="s">
        <v>6294</v>
      </c>
      <c r="D3161" s="396" t="s">
        <v>6283</v>
      </c>
      <c r="E3161" s="396" t="s">
        <v>6284</v>
      </c>
      <c r="F3161" s="396" t="s">
        <v>6099</v>
      </c>
    </row>
    <row r="3162">
      <c r="A3162" s="311">
        <v>3161</v>
      </c>
      <c r="B3162" s="396" t="s">
        <v>6295</v>
      </c>
      <c r="C3162" s="396" t="s">
        <v>6296</v>
      </c>
      <c r="D3162" s="396" t="s">
        <v>6283</v>
      </c>
      <c r="E3162" s="396" t="s">
        <v>6284</v>
      </c>
      <c r="F3162" s="396" t="s">
        <v>6099</v>
      </c>
    </row>
    <row r="3163">
      <c r="A3163" s="311">
        <v>3162</v>
      </c>
      <c r="B3163" s="396" t="s">
        <v>6297</v>
      </c>
      <c r="C3163" s="396" t="s">
        <v>6298</v>
      </c>
      <c r="D3163" s="396" t="s">
        <v>6283</v>
      </c>
      <c r="E3163" s="396" t="s">
        <v>6284</v>
      </c>
      <c r="F3163" s="396" t="s">
        <v>6099</v>
      </c>
    </row>
    <row r="3164">
      <c r="A3164" s="311">
        <v>3163</v>
      </c>
      <c r="B3164" s="396" t="s">
        <v>6299</v>
      </c>
      <c r="C3164" s="396" t="s">
        <v>6300</v>
      </c>
      <c r="D3164" s="396" t="s">
        <v>6283</v>
      </c>
      <c r="E3164" s="396" t="s">
        <v>6284</v>
      </c>
      <c r="F3164" s="396" t="s">
        <v>6099</v>
      </c>
    </row>
    <row r="3165">
      <c r="A3165" s="311">
        <v>3164</v>
      </c>
      <c r="B3165" s="396" t="s">
        <v>6301</v>
      </c>
      <c r="C3165" s="396" t="s">
        <v>6302</v>
      </c>
      <c r="D3165" s="396" t="s">
        <v>6283</v>
      </c>
      <c r="E3165" s="396" t="s">
        <v>6284</v>
      </c>
      <c r="F3165" s="396" t="s">
        <v>6099</v>
      </c>
    </row>
    <row r="3166">
      <c r="A3166" s="311">
        <v>3165</v>
      </c>
      <c r="B3166" s="396" t="s">
        <v>6303</v>
      </c>
      <c r="C3166" s="396" t="s">
        <v>6304</v>
      </c>
      <c r="D3166" s="396" t="s">
        <v>6283</v>
      </c>
      <c r="E3166" s="396" t="s">
        <v>6284</v>
      </c>
      <c r="F3166" s="396" t="s">
        <v>6099</v>
      </c>
    </row>
    <row r="3167">
      <c r="A3167" s="311">
        <v>3166</v>
      </c>
      <c r="B3167" s="396" t="s">
        <v>6305</v>
      </c>
      <c r="C3167" s="396" t="s">
        <v>6306</v>
      </c>
      <c r="D3167" s="396" t="s">
        <v>6283</v>
      </c>
      <c r="E3167" s="396" t="s">
        <v>6284</v>
      </c>
      <c r="F3167" s="396" t="s">
        <v>6099</v>
      </c>
    </row>
    <row r="3168">
      <c r="A3168" s="311">
        <v>3167</v>
      </c>
      <c r="B3168" s="396" t="s">
        <v>6307</v>
      </c>
      <c r="C3168" s="396" t="s">
        <v>6308</v>
      </c>
      <c r="D3168" s="396" t="s">
        <v>6283</v>
      </c>
      <c r="E3168" s="396" t="s">
        <v>6284</v>
      </c>
      <c r="F3168" s="396" t="s">
        <v>6099</v>
      </c>
    </row>
    <row r="3169">
      <c r="A3169" s="311">
        <v>3168</v>
      </c>
      <c r="B3169" s="396" t="s">
        <v>6309</v>
      </c>
      <c r="C3169" s="396" t="s">
        <v>6310</v>
      </c>
      <c r="D3169" s="396" t="s">
        <v>6283</v>
      </c>
      <c r="E3169" s="396" t="s">
        <v>6284</v>
      </c>
      <c r="F3169" s="396" t="s">
        <v>6099</v>
      </c>
    </row>
    <row r="3170">
      <c r="A3170" s="311">
        <v>3169</v>
      </c>
      <c r="B3170" s="396" t="s">
        <v>6311</v>
      </c>
      <c r="C3170" s="396" t="s">
        <v>2850</v>
      </c>
      <c r="D3170" s="396" t="s">
        <v>6283</v>
      </c>
      <c r="E3170" s="396" t="s">
        <v>6284</v>
      </c>
      <c r="F3170" s="396" t="s">
        <v>6099</v>
      </c>
    </row>
    <row r="3171">
      <c r="A3171" s="311">
        <v>3170</v>
      </c>
      <c r="B3171" s="396" t="s">
        <v>6312</v>
      </c>
      <c r="C3171" s="396" t="s">
        <v>6313</v>
      </c>
      <c r="D3171" s="396" t="s">
        <v>6283</v>
      </c>
      <c r="E3171" s="396" t="s">
        <v>6284</v>
      </c>
      <c r="F3171" s="396" t="s">
        <v>6099</v>
      </c>
    </row>
    <row r="3172">
      <c r="A3172" s="311">
        <v>3171</v>
      </c>
      <c r="B3172" s="396" t="s">
        <v>6314</v>
      </c>
      <c r="C3172" s="396" t="s">
        <v>6315</v>
      </c>
      <c r="D3172" s="396" t="s">
        <v>6283</v>
      </c>
      <c r="E3172" s="396" t="s">
        <v>6284</v>
      </c>
      <c r="F3172" s="396" t="s">
        <v>6099</v>
      </c>
    </row>
    <row r="3173">
      <c r="A3173" s="311">
        <v>3172</v>
      </c>
      <c r="B3173" s="396" t="s">
        <v>6316</v>
      </c>
      <c r="C3173" s="396" t="s">
        <v>6317</v>
      </c>
      <c r="D3173" s="396" t="s">
        <v>6283</v>
      </c>
      <c r="E3173" s="396" t="s">
        <v>6284</v>
      </c>
      <c r="F3173" s="396" t="s">
        <v>6099</v>
      </c>
    </row>
    <row r="3174">
      <c r="A3174" s="311">
        <v>3173</v>
      </c>
      <c r="B3174" s="396" t="s">
        <v>6318</v>
      </c>
      <c r="C3174" s="396" t="s">
        <v>6319</v>
      </c>
      <c r="D3174" s="396" t="s">
        <v>6283</v>
      </c>
      <c r="E3174" s="396" t="s">
        <v>6284</v>
      </c>
      <c r="F3174" s="396" t="s">
        <v>6099</v>
      </c>
    </row>
    <row r="3175">
      <c r="A3175" s="311">
        <v>3174</v>
      </c>
      <c r="B3175" s="396" t="s">
        <v>6320</v>
      </c>
      <c r="C3175" s="396" t="s">
        <v>1587</v>
      </c>
      <c r="D3175" s="396" t="s">
        <v>6283</v>
      </c>
      <c r="E3175" s="396" t="s">
        <v>6284</v>
      </c>
      <c r="F3175" s="396" t="s">
        <v>6099</v>
      </c>
    </row>
    <row r="3176">
      <c r="A3176" s="311">
        <v>3175</v>
      </c>
      <c r="B3176" s="396" t="s">
        <v>6321</v>
      </c>
      <c r="C3176" s="396" t="s">
        <v>6322</v>
      </c>
      <c r="D3176" s="396" t="s">
        <v>6283</v>
      </c>
      <c r="E3176" s="396" t="s">
        <v>6284</v>
      </c>
      <c r="F3176" s="396" t="s">
        <v>6099</v>
      </c>
    </row>
    <row r="3177">
      <c r="A3177" s="311">
        <v>3176</v>
      </c>
      <c r="B3177" s="396" t="s">
        <v>6323</v>
      </c>
      <c r="C3177" s="396" t="s">
        <v>6324</v>
      </c>
      <c r="D3177" s="396" t="s">
        <v>6283</v>
      </c>
      <c r="E3177" s="396" t="s">
        <v>6284</v>
      </c>
      <c r="F3177" s="396" t="s">
        <v>6099</v>
      </c>
    </row>
    <row r="3178">
      <c r="A3178" s="311">
        <v>3177</v>
      </c>
      <c r="B3178" s="396" t="s">
        <v>6325</v>
      </c>
      <c r="C3178" s="396" t="s">
        <v>6326</v>
      </c>
      <c r="D3178" s="396" t="s">
        <v>6283</v>
      </c>
      <c r="E3178" s="396" t="s">
        <v>6284</v>
      </c>
      <c r="F3178" s="396" t="s">
        <v>6099</v>
      </c>
    </row>
    <row r="3179">
      <c r="A3179" s="311">
        <v>3178</v>
      </c>
      <c r="B3179" s="396" t="s">
        <v>6327</v>
      </c>
      <c r="C3179" s="396" t="s">
        <v>6328</v>
      </c>
      <c r="D3179" s="396" t="s">
        <v>6283</v>
      </c>
      <c r="E3179" s="396" t="s">
        <v>6284</v>
      </c>
      <c r="F3179" s="396" t="s">
        <v>6099</v>
      </c>
    </row>
    <row r="3180">
      <c r="A3180" s="311">
        <v>3179</v>
      </c>
      <c r="B3180" s="396" t="s">
        <v>6329</v>
      </c>
      <c r="C3180" s="396" t="s">
        <v>6330</v>
      </c>
      <c r="D3180" s="396" t="s">
        <v>6283</v>
      </c>
      <c r="E3180" s="396" t="s">
        <v>6284</v>
      </c>
      <c r="F3180" s="396" t="s">
        <v>6099</v>
      </c>
    </row>
    <row r="3181">
      <c r="A3181" s="311">
        <v>3180</v>
      </c>
      <c r="B3181" s="396" t="s">
        <v>6331</v>
      </c>
      <c r="C3181" s="396" t="s">
        <v>6332</v>
      </c>
      <c r="D3181" s="396" t="s">
        <v>6283</v>
      </c>
      <c r="E3181" s="396" t="s">
        <v>6284</v>
      </c>
      <c r="F3181" s="396" t="s">
        <v>6099</v>
      </c>
    </row>
    <row r="3182">
      <c r="A3182" s="311">
        <v>3181</v>
      </c>
      <c r="B3182" s="396" t="s">
        <v>6333</v>
      </c>
      <c r="C3182" s="396" t="s">
        <v>6334</v>
      </c>
      <c r="D3182" s="396" t="s">
        <v>6335</v>
      </c>
      <c r="E3182" s="396" t="s">
        <v>6336</v>
      </c>
      <c r="F3182" s="396" t="s">
        <v>6099</v>
      </c>
    </row>
    <row r="3183">
      <c r="A3183" s="311">
        <v>3182</v>
      </c>
      <c r="B3183" s="396" t="s">
        <v>6337</v>
      </c>
      <c r="C3183" s="396" t="s">
        <v>5078</v>
      </c>
      <c r="D3183" s="396" t="s">
        <v>6335</v>
      </c>
      <c r="E3183" s="396" t="s">
        <v>6336</v>
      </c>
      <c r="F3183" s="396" t="s">
        <v>6099</v>
      </c>
    </row>
    <row r="3184">
      <c r="A3184" s="311">
        <v>3183</v>
      </c>
      <c r="B3184" s="396" t="s">
        <v>6338</v>
      </c>
      <c r="C3184" s="396" t="s">
        <v>6339</v>
      </c>
      <c r="D3184" s="396" t="s">
        <v>6335</v>
      </c>
      <c r="E3184" s="396" t="s">
        <v>6336</v>
      </c>
      <c r="F3184" s="396" t="s">
        <v>6099</v>
      </c>
    </row>
    <row r="3185">
      <c r="A3185" s="311">
        <v>3184</v>
      </c>
      <c r="B3185" s="396" t="s">
        <v>6340</v>
      </c>
      <c r="C3185" s="396" t="s">
        <v>6341</v>
      </c>
      <c r="D3185" s="396" t="s">
        <v>6335</v>
      </c>
      <c r="E3185" s="396" t="s">
        <v>6336</v>
      </c>
      <c r="F3185" s="396" t="s">
        <v>6099</v>
      </c>
    </row>
    <row r="3186">
      <c r="A3186" s="311">
        <v>3185</v>
      </c>
      <c r="B3186" s="396" t="s">
        <v>6342</v>
      </c>
      <c r="C3186" s="396" t="s">
        <v>6343</v>
      </c>
      <c r="D3186" s="396" t="s">
        <v>6335</v>
      </c>
      <c r="E3186" s="396" t="s">
        <v>6336</v>
      </c>
      <c r="F3186" s="396" t="s">
        <v>6099</v>
      </c>
    </row>
    <row r="3187">
      <c r="A3187" s="311">
        <v>3186</v>
      </c>
      <c r="B3187" s="396" t="s">
        <v>6344</v>
      </c>
      <c r="C3187" s="396" t="s">
        <v>6345</v>
      </c>
      <c r="D3187" s="396" t="s">
        <v>6335</v>
      </c>
      <c r="E3187" s="396" t="s">
        <v>6336</v>
      </c>
      <c r="F3187" s="396" t="s">
        <v>6099</v>
      </c>
    </row>
    <row r="3188">
      <c r="A3188" s="311">
        <v>3187</v>
      </c>
      <c r="B3188" s="396" t="s">
        <v>6346</v>
      </c>
      <c r="C3188" s="396" t="s">
        <v>6347</v>
      </c>
      <c r="D3188" s="396" t="s">
        <v>6335</v>
      </c>
      <c r="E3188" s="396" t="s">
        <v>6336</v>
      </c>
      <c r="F3188" s="396" t="s">
        <v>6099</v>
      </c>
    </row>
    <row r="3189">
      <c r="A3189" s="311">
        <v>3188</v>
      </c>
      <c r="B3189" s="396" t="s">
        <v>6348</v>
      </c>
      <c r="C3189" s="396" t="s">
        <v>6349</v>
      </c>
      <c r="D3189" s="396" t="s">
        <v>6335</v>
      </c>
      <c r="E3189" s="396" t="s">
        <v>6336</v>
      </c>
      <c r="F3189" s="396" t="s">
        <v>6099</v>
      </c>
    </row>
    <row r="3190">
      <c r="A3190" s="311">
        <v>3189</v>
      </c>
      <c r="B3190" s="396" t="s">
        <v>6350</v>
      </c>
      <c r="C3190" s="396" t="s">
        <v>6351</v>
      </c>
      <c r="D3190" s="396" t="s">
        <v>6335</v>
      </c>
      <c r="E3190" s="396" t="s">
        <v>6336</v>
      </c>
      <c r="F3190" s="396" t="s">
        <v>6099</v>
      </c>
    </row>
    <row r="3191">
      <c r="A3191" s="311">
        <v>3190</v>
      </c>
      <c r="B3191" s="396" t="s">
        <v>6352</v>
      </c>
      <c r="C3191" s="396" t="s">
        <v>6353</v>
      </c>
      <c r="D3191" s="396" t="s">
        <v>6335</v>
      </c>
      <c r="E3191" s="396" t="s">
        <v>6336</v>
      </c>
      <c r="F3191" s="396" t="s">
        <v>6099</v>
      </c>
    </row>
    <row r="3192">
      <c r="A3192" s="311">
        <v>3191</v>
      </c>
      <c r="B3192" s="396" t="s">
        <v>6354</v>
      </c>
      <c r="C3192" s="396" t="s">
        <v>6355</v>
      </c>
      <c r="D3192" s="396" t="s">
        <v>6335</v>
      </c>
      <c r="E3192" s="396" t="s">
        <v>6336</v>
      </c>
      <c r="F3192" s="396" t="s">
        <v>6099</v>
      </c>
    </row>
    <row r="3193">
      <c r="A3193" s="311">
        <v>3192</v>
      </c>
      <c r="B3193" s="396" t="s">
        <v>6356</v>
      </c>
      <c r="C3193" s="396" t="s">
        <v>6357</v>
      </c>
      <c r="D3193" s="396" t="s">
        <v>6335</v>
      </c>
      <c r="E3193" s="396" t="s">
        <v>6336</v>
      </c>
      <c r="F3193" s="396" t="s">
        <v>6099</v>
      </c>
    </row>
    <row r="3194">
      <c r="A3194" s="311">
        <v>3193</v>
      </c>
      <c r="B3194" s="396" t="s">
        <v>6358</v>
      </c>
      <c r="C3194" s="396" t="s">
        <v>6359</v>
      </c>
      <c r="D3194" s="396" t="s">
        <v>6335</v>
      </c>
      <c r="E3194" s="396" t="s">
        <v>6336</v>
      </c>
      <c r="F3194" s="396" t="s">
        <v>6099</v>
      </c>
    </row>
    <row r="3195">
      <c r="A3195" s="311">
        <v>3194</v>
      </c>
      <c r="B3195" s="396" t="s">
        <v>6360</v>
      </c>
      <c r="C3195" s="396" t="s">
        <v>6361</v>
      </c>
      <c r="D3195" s="396" t="s">
        <v>6335</v>
      </c>
      <c r="E3195" s="396" t="s">
        <v>6336</v>
      </c>
      <c r="F3195" s="396" t="s">
        <v>6099</v>
      </c>
    </row>
    <row r="3196">
      <c r="A3196" s="311">
        <v>3195</v>
      </c>
      <c r="B3196" s="396" t="s">
        <v>6362</v>
      </c>
      <c r="C3196" s="396" t="s">
        <v>6363</v>
      </c>
      <c r="D3196" s="396" t="s">
        <v>6335</v>
      </c>
      <c r="E3196" s="396" t="s">
        <v>6336</v>
      </c>
      <c r="F3196" s="396" t="s">
        <v>6099</v>
      </c>
    </row>
    <row r="3197">
      <c r="A3197" s="311">
        <v>3196</v>
      </c>
      <c r="B3197" s="396" t="s">
        <v>6364</v>
      </c>
      <c r="C3197" s="396" t="s">
        <v>6365</v>
      </c>
      <c r="D3197" s="396" t="s">
        <v>6335</v>
      </c>
      <c r="E3197" s="396" t="s">
        <v>6336</v>
      </c>
      <c r="F3197" s="396" t="s">
        <v>6099</v>
      </c>
    </row>
    <row r="3198">
      <c r="A3198" s="311">
        <v>3197</v>
      </c>
      <c r="B3198" s="396" t="s">
        <v>6366</v>
      </c>
      <c r="C3198" s="396" t="s">
        <v>6367</v>
      </c>
      <c r="D3198" s="396" t="s">
        <v>6335</v>
      </c>
      <c r="E3198" s="396" t="s">
        <v>6336</v>
      </c>
      <c r="F3198" s="396" t="s">
        <v>6099</v>
      </c>
    </row>
    <row r="3199">
      <c r="A3199" s="311">
        <v>3198</v>
      </c>
      <c r="B3199" s="396" t="s">
        <v>6368</v>
      </c>
      <c r="C3199" s="396" t="s">
        <v>6369</v>
      </c>
      <c r="D3199" s="396" t="s">
        <v>6335</v>
      </c>
      <c r="E3199" s="396" t="s">
        <v>6336</v>
      </c>
      <c r="F3199" s="396" t="s">
        <v>6099</v>
      </c>
    </row>
    <row r="3200">
      <c r="A3200" s="311">
        <v>3199</v>
      </c>
      <c r="B3200" s="396" t="s">
        <v>6370</v>
      </c>
      <c r="C3200" s="396" t="s">
        <v>6371</v>
      </c>
      <c r="D3200" s="396" t="s">
        <v>6335</v>
      </c>
      <c r="E3200" s="396" t="s">
        <v>6336</v>
      </c>
      <c r="F3200" s="396" t="s">
        <v>6099</v>
      </c>
    </row>
    <row r="3201">
      <c r="A3201" s="311">
        <v>3200</v>
      </c>
      <c r="B3201" s="396" t="s">
        <v>6372</v>
      </c>
      <c r="C3201" s="396" t="s">
        <v>6373</v>
      </c>
      <c r="D3201" s="396" t="s">
        <v>6374</v>
      </c>
      <c r="E3201" s="396" t="s">
        <v>6375</v>
      </c>
      <c r="F3201" s="396" t="s">
        <v>6099</v>
      </c>
    </row>
    <row r="3202">
      <c r="A3202" s="311">
        <v>3201</v>
      </c>
      <c r="B3202" s="396" t="s">
        <v>6376</v>
      </c>
      <c r="C3202" s="396" t="s">
        <v>6377</v>
      </c>
      <c r="D3202" s="396" t="s">
        <v>6374</v>
      </c>
      <c r="E3202" s="396" t="s">
        <v>6375</v>
      </c>
      <c r="F3202" s="396" t="s">
        <v>6099</v>
      </c>
    </row>
    <row r="3203">
      <c r="A3203" s="311">
        <v>3202</v>
      </c>
      <c r="B3203" s="396" t="s">
        <v>6378</v>
      </c>
      <c r="C3203" s="396" t="s">
        <v>940</v>
      </c>
      <c r="D3203" s="396" t="s">
        <v>6374</v>
      </c>
      <c r="E3203" s="396" t="s">
        <v>6375</v>
      </c>
      <c r="F3203" s="396" t="s">
        <v>6099</v>
      </c>
    </row>
    <row r="3204">
      <c r="A3204" s="311">
        <v>3203</v>
      </c>
      <c r="B3204" s="396" t="s">
        <v>6379</v>
      </c>
      <c r="C3204" s="396" t="s">
        <v>2803</v>
      </c>
      <c r="D3204" s="396" t="s">
        <v>6374</v>
      </c>
      <c r="E3204" s="396" t="s">
        <v>6375</v>
      </c>
      <c r="F3204" s="396" t="s">
        <v>6099</v>
      </c>
    </row>
    <row r="3205">
      <c r="A3205" s="311">
        <v>3204</v>
      </c>
      <c r="B3205" s="396" t="s">
        <v>6380</v>
      </c>
      <c r="C3205" s="396" t="s">
        <v>6381</v>
      </c>
      <c r="D3205" s="396" t="s">
        <v>6374</v>
      </c>
      <c r="E3205" s="396" t="s">
        <v>6375</v>
      </c>
      <c r="F3205" s="396" t="s">
        <v>6099</v>
      </c>
    </row>
    <row r="3206">
      <c r="A3206" s="311">
        <v>3205</v>
      </c>
      <c r="B3206" s="396" t="s">
        <v>6382</v>
      </c>
      <c r="C3206" s="396" t="s">
        <v>6383</v>
      </c>
      <c r="D3206" s="396" t="s">
        <v>6374</v>
      </c>
      <c r="E3206" s="396" t="s">
        <v>6375</v>
      </c>
      <c r="F3206" s="396" t="s">
        <v>6099</v>
      </c>
    </row>
    <row r="3207">
      <c r="A3207" s="311">
        <v>3206</v>
      </c>
      <c r="B3207" s="396" t="s">
        <v>6384</v>
      </c>
      <c r="C3207" s="396" t="s">
        <v>6385</v>
      </c>
      <c r="D3207" s="396" t="s">
        <v>6374</v>
      </c>
      <c r="E3207" s="396" t="s">
        <v>6375</v>
      </c>
      <c r="F3207" s="396" t="s">
        <v>6099</v>
      </c>
    </row>
    <row r="3208">
      <c r="A3208" s="311">
        <v>3207</v>
      </c>
      <c r="B3208" s="396" t="s">
        <v>6386</v>
      </c>
      <c r="C3208" s="396" t="s">
        <v>2455</v>
      </c>
      <c r="D3208" s="396" t="s">
        <v>6374</v>
      </c>
      <c r="E3208" s="396" t="s">
        <v>6375</v>
      </c>
      <c r="F3208" s="396" t="s">
        <v>6099</v>
      </c>
    </row>
    <row r="3209">
      <c r="A3209" s="311">
        <v>3208</v>
      </c>
      <c r="B3209" s="396" t="s">
        <v>6387</v>
      </c>
      <c r="C3209" s="396" t="s">
        <v>6388</v>
      </c>
      <c r="D3209" s="396" t="s">
        <v>6374</v>
      </c>
      <c r="E3209" s="396" t="s">
        <v>6375</v>
      </c>
      <c r="F3209" s="396" t="s">
        <v>6099</v>
      </c>
    </row>
    <row r="3210">
      <c r="A3210" s="311">
        <v>3209</v>
      </c>
      <c r="B3210" s="396" t="s">
        <v>6389</v>
      </c>
      <c r="C3210" s="396" t="s">
        <v>6390</v>
      </c>
      <c r="D3210" s="396" t="s">
        <v>6374</v>
      </c>
      <c r="E3210" s="396" t="s">
        <v>6375</v>
      </c>
      <c r="F3210" s="396" t="s">
        <v>6099</v>
      </c>
    </row>
    <row r="3211">
      <c r="A3211" s="311">
        <v>3210</v>
      </c>
      <c r="B3211" s="396" t="s">
        <v>6391</v>
      </c>
      <c r="C3211" s="396" t="s">
        <v>952</v>
      </c>
      <c r="D3211" s="396" t="s">
        <v>6374</v>
      </c>
      <c r="E3211" s="396" t="s">
        <v>6375</v>
      </c>
      <c r="F3211" s="396" t="s">
        <v>6099</v>
      </c>
    </row>
    <row r="3212">
      <c r="A3212" s="311">
        <v>3211</v>
      </c>
      <c r="B3212" s="396" t="s">
        <v>6392</v>
      </c>
      <c r="C3212" s="396" t="s">
        <v>6393</v>
      </c>
      <c r="D3212" s="396" t="s">
        <v>6374</v>
      </c>
      <c r="E3212" s="396" t="s">
        <v>6375</v>
      </c>
      <c r="F3212" s="396" t="s">
        <v>6099</v>
      </c>
    </row>
    <row r="3213">
      <c r="A3213" s="311">
        <v>3212</v>
      </c>
      <c r="B3213" s="396" t="s">
        <v>6394</v>
      </c>
      <c r="C3213" s="396" t="s">
        <v>4670</v>
      </c>
      <c r="D3213" s="396" t="s">
        <v>6374</v>
      </c>
      <c r="E3213" s="396" t="s">
        <v>6375</v>
      </c>
      <c r="F3213" s="396" t="s">
        <v>6099</v>
      </c>
    </row>
    <row r="3214">
      <c r="A3214" s="311">
        <v>3213</v>
      </c>
      <c r="B3214" s="396" t="s">
        <v>6395</v>
      </c>
      <c r="C3214" s="396" t="s">
        <v>6396</v>
      </c>
      <c r="D3214" s="396" t="s">
        <v>6374</v>
      </c>
      <c r="E3214" s="396" t="s">
        <v>6375</v>
      </c>
      <c r="F3214" s="396" t="s">
        <v>6099</v>
      </c>
    </row>
    <row r="3215">
      <c r="A3215" s="311">
        <v>3214</v>
      </c>
      <c r="B3215" s="396" t="s">
        <v>6397</v>
      </c>
      <c r="C3215" s="396" t="s">
        <v>5196</v>
      </c>
      <c r="D3215" s="396" t="s">
        <v>6374</v>
      </c>
      <c r="E3215" s="396" t="s">
        <v>6375</v>
      </c>
      <c r="F3215" s="396" t="s">
        <v>6099</v>
      </c>
    </row>
    <row r="3216">
      <c r="A3216" s="311">
        <v>3215</v>
      </c>
      <c r="B3216" s="396" t="s">
        <v>6398</v>
      </c>
      <c r="C3216" s="396" t="s">
        <v>6399</v>
      </c>
      <c r="D3216" s="396" t="s">
        <v>6374</v>
      </c>
      <c r="E3216" s="396" t="s">
        <v>6375</v>
      </c>
      <c r="F3216" s="396" t="s">
        <v>6099</v>
      </c>
    </row>
    <row r="3217">
      <c r="A3217" s="311">
        <v>3216</v>
      </c>
      <c r="B3217" s="396" t="s">
        <v>6400</v>
      </c>
      <c r="C3217" s="396" t="s">
        <v>6401</v>
      </c>
      <c r="D3217" s="396" t="s">
        <v>6374</v>
      </c>
      <c r="E3217" s="396" t="s">
        <v>6375</v>
      </c>
      <c r="F3217" s="396" t="s">
        <v>6099</v>
      </c>
    </row>
    <row r="3218">
      <c r="A3218" s="311">
        <v>3217</v>
      </c>
      <c r="B3218" s="396" t="s">
        <v>6402</v>
      </c>
      <c r="C3218" s="396" t="s">
        <v>6403</v>
      </c>
      <c r="D3218" s="396" t="s">
        <v>6404</v>
      </c>
      <c r="E3218" s="396" t="s">
        <v>6405</v>
      </c>
      <c r="F3218" s="396" t="s">
        <v>6099</v>
      </c>
    </row>
    <row r="3219">
      <c r="A3219" s="311">
        <v>3218</v>
      </c>
      <c r="B3219" s="396" t="s">
        <v>6406</v>
      </c>
      <c r="C3219" s="396" t="s">
        <v>6407</v>
      </c>
      <c r="D3219" s="396" t="s">
        <v>6404</v>
      </c>
      <c r="E3219" s="396" t="s">
        <v>6405</v>
      </c>
      <c r="F3219" s="396" t="s">
        <v>6099</v>
      </c>
    </row>
    <row r="3220">
      <c r="A3220" s="311">
        <v>3219</v>
      </c>
      <c r="B3220" s="396" t="s">
        <v>6408</v>
      </c>
      <c r="C3220" s="396" t="s">
        <v>3836</v>
      </c>
      <c r="D3220" s="396" t="s">
        <v>6404</v>
      </c>
      <c r="E3220" s="396" t="s">
        <v>6405</v>
      </c>
      <c r="F3220" s="396" t="s">
        <v>6099</v>
      </c>
    </row>
    <row r="3221">
      <c r="A3221" s="311">
        <v>3220</v>
      </c>
      <c r="B3221" s="396" t="s">
        <v>6409</v>
      </c>
      <c r="C3221" s="396" t="s">
        <v>6410</v>
      </c>
      <c r="D3221" s="396" t="s">
        <v>6404</v>
      </c>
      <c r="E3221" s="396" t="s">
        <v>6405</v>
      </c>
      <c r="F3221" s="396" t="s">
        <v>6099</v>
      </c>
    </row>
    <row r="3222">
      <c r="A3222" s="311">
        <v>3221</v>
      </c>
      <c r="B3222" s="396" t="s">
        <v>6411</v>
      </c>
      <c r="C3222" s="396" t="s">
        <v>6412</v>
      </c>
      <c r="D3222" s="396" t="s">
        <v>6404</v>
      </c>
      <c r="E3222" s="396" t="s">
        <v>6405</v>
      </c>
      <c r="F3222" s="396" t="s">
        <v>6099</v>
      </c>
    </row>
    <row r="3223">
      <c r="A3223" s="311">
        <v>3222</v>
      </c>
      <c r="B3223" s="396" t="s">
        <v>6413</v>
      </c>
      <c r="C3223" s="396" t="s">
        <v>6414</v>
      </c>
      <c r="D3223" s="396" t="s">
        <v>6404</v>
      </c>
      <c r="E3223" s="396" t="s">
        <v>6405</v>
      </c>
      <c r="F3223" s="396" t="s">
        <v>6099</v>
      </c>
    </row>
    <row r="3224">
      <c r="A3224" s="311">
        <v>3223</v>
      </c>
      <c r="B3224" s="396" t="s">
        <v>6415</v>
      </c>
      <c r="C3224" s="396" t="s">
        <v>6416</v>
      </c>
      <c r="D3224" s="396" t="s">
        <v>6404</v>
      </c>
      <c r="E3224" s="396" t="s">
        <v>6405</v>
      </c>
      <c r="F3224" s="396" t="s">
        <v>6099</v>
      </c>
    </row>
    <row r="3225">
      <c r="A3225" s="311">
        <v>3224</v>
      </c>
      <c r="B3225" s="396" t="s">
        <v>6417</v>
      </c>
      <c r="C3225" s="396" t="s">
        <v>6418</v>
      </c>
      <c r="D3225" s="396" t="s">
        <v>6404</v>
      </c>
      <c r="E3225" s="396" t="s">
        <v>6405</v>
      </c>
      <c r="F3225" s="396" t="s">
        <v>6099</v>
      </c>
    </row>
    <row r="3226">
      <c r="A3226" s="311">
        <v>3225</v>
      </c>
      <c r="B3226" s="396" t="s">
        <v>6419</v>
      </c>
      <c r="C3226" s="396" t="s">
        <v>880</v>
      </c>
      <c r="D3226" s="396" t="s">
        <v>6404</v>
      </c>
      <c r="E3226" s="396" t="s">
        <v>6405</v>
      </c>
      <c r="F3226" s="396" t="s">
        <v>6099</v>
      </c>
    </row>
    <row r="3227">
      <c r="A3227" s="311">
        <v>3226</v>
      </c>
      <c r="B3227" s="396" t="s">
        <v>6420</v>
      </c>
      <c r="C3227" s="396" t="s">
        <v>6421</v>
      </c>
      <c r="D3227" s="396" t="s">
        <v>6404</v>
      </c>
      <c r="E3227" s="396" t="s">
        <v>6405</v>
      </c>
      <c r="F3227" s="396" t="s">
        <v>6099</v>
      </c>
    </row>
    <row r="3228">
      <c r="A3228" s="311">
        <v>3227</v>
      </c>
      <c r="B3228" s="396" t="s">
        <v>6422</v>
      </c>
      <c r="C3228" s="396" t="s">
        <v>6423</v>
      </c>
      <c r="D3228" s="396" t="s">
        <v>6404</v>
      </c>
      <c r="E3228" s="396" t="s">
        <v>6405</v>
      </c>
      <c r="F3228" s="396" t="s">
        <v>6099</v>
      </c>
    </row>
    <row r="3229">
      <c r="A3229" s="311">
        <v>3228</v>
      </c>
      <c r="B3229" s="396" t="s">
        <v>6424</v>
      </c>
      <c r="C3229" s="396" t="s">
        <v>6425</v>
      </c>
      <c r="D3229" s="396" t="s">
        <v>6404</v>
      </c>
      <c r="E3229" s="396" t="s">
        <v>6405</v>
      </c>
      <c r="F3229" s="396" t="s">
        <v>6099</v>
      </c>
    </row>
    <row r="3230">
      <c r="A3230" s="311">
        <v>3229</v>
      </c>
      <c r="B3230" s="396" t="s">
        <v>6426</v>
      </c>
      <c r="C3230" s="396" t="s">
        <v>6427</v>
      </c>
      <c r="D3230" s="396" t="s">
        <v>6404</v>
      </c>
      <c r="E3230" s="396" t="s">
        <v>6405</v>
      </c>
      <c r="F3230" s="396" t="s">
        <v>6099</v>
      </c>
    </row>
    <row r="3231">
      <c r="A3231" s="311">
        <v>3230</v>
      </c>
      <c r="B3231" s="396" t="s">
        <v>6428</v>
      </c>
      <c r="C3231" s="396" t="s">
        <v>6429</v>
      </c>
      <c r="D3231" s="396" t="s">
        <v>6404</v>
      </c>
      <c r="E3231" s="396" t="s">
        <v>6405</v>
      </c>
      <c r="F3231" s="396" t="s">
        <v>6099</v>
      </c>
    </row>
    <row r="3232">
      <c r="A3232" s="311">
        <v>3231</v>
      </c>
      <c r="B3232" s="396" t="s">
        <v>6430</v>
      </c>
      <c r="C3232" s="396" t="s">
        <v>6431</v>
      </c>
      <c r="D3232" s="396" t="s">
        <v>6404</v>
      </c>
      <c r="E3232" s="396" t="s">
        <v>6405</v>
      </c>
      <c r="F3232" s="396" t="s">
        <v>6099</v>
      </c>
    </row>
    <row r="3233">
      <c r="A3233" s="311">
        <v>3232</v>
      </c>
      <c r="B3233" s="396" t="s">
        <v>6432</v>
      </c>
      <c r="C3233" s="396" t="s">
        <v>6433</v>
      </c>
      <c r="D3233" s="396" t="s">
        <v>6404</v>
      </c>
      <c r="E3233" s="396" t="s">
        <v>6405</v>
      </c>
      <c r="F3233" s="396" t="s">
        <v>6099</v>
      </c>
    </row>
    <row r="3234">
      <c r="A3234" s="311">
        <v>3233</v>
      </c>
      <c r="B3234" s="396" t="s">
        <v>6434</v>
      </c>
      <c r="C3234" s="396" t="s">
        <v>6435</v>
      </c>
      <c r="D3234" s="396" t="s">
        <v>6404</v>
      </c>
      <c r="E3234" s="396" t="s">
        <v>6405</v>
      </c>
      <c r="F3234" s="396" t="s">
        <v>6099</v>
      </c>
    </row>
    <row r="3235">
      <c r="A3235" s="311">
        <v>3234</v>
      </c>
      <c r="B3235" s="396" t="s">
        <v>6436</v>
      </c>
      <c r="C3235" s="396" t="s">
        <v>6437</v>
      </c>
      <c r="D3235" s="396" t="s">
        <v>6404</v>
      </c>
      <c r="E3235" s="396" t="s">
        <v>6405</v>
      </c>
      <c r="F3235" s="396" t="s">
        <v>6099</v>
      </c>
    </row>
    <row r="3236">
      <c r="A3236" s="311">
        <v>3235</v>
      </c>
      <c r="B3236" s="396" t="s">
        <v>6438</v>
      </c>
      <c r="C3236" s="396" t="s">
        <v>6439</v>
      </c>
      <c r="D3236" s="396" t="s">
        <v>6404</v>
      </c>
      <c r="E3236" s="396" t="s">
        <v>6405</v>
      </c>
      <c r="F3236" s="396" t="s">
        <v>6099</v>
      </c>
    </row>
    <row r="3237">
      <c r="A3237" s="311">
        <v>3236</v>
      </c>
      <c r="B3237" s="396" t="s">
        <v>6440</v>
      </c>
      <c r="C3237" s="396" t="s">
        <v>6441</v>
      </c>
      <c r="D3237" s="396" t="s">
        <v>6404</v>
      </c>
      <c r="E3237" s="396" t="s">
        <v>6405</v>
      </c>
      <c r="F3237" s="396" t="s">
        <v>6099</v>
      </c>
    </row>
    <row r="3238">
      <c r="A3238" s="311">
        <v>3237</v>
      </c>
      <c r="B3238" s="396" t="s">
        <v>6442</v>
      </c>
      <c r="C3238" s="396" t="s">
        <v>6443</v>
      </c>
      <c r="D3238" s="396" t="s">
        <v>6404</v>
      </c>
      <c r="E3238" s="396" t="s">
        <v>6405</v>
      </c>
      <c r="F3238" s="396" t="s">
        <v>6099</v>
      </c>
    </row>
    <row r="3239">
      <c r="A3239" s="311">
        <v>3238</v>
      </c>
      <c r="B3239" s="396" t="s">
        <v>6444</v>
      </c>
      <c r="C3239" s="396" t="s">
        <v>6445</v>
      </c>
      <c r="D3239" s="396" t="s">
        <v>6404</v>
      </c>
      <c r="E3239" s="396" t="s">
        <v>6405</v>
      </c>
      <c r="F3239" s="396" t="s">
        <v>6099</v>
      </c>
    </row>
    <row r="3240">
      <c r="A3240" s="311">
        <v>3239</v>
      </c>
      <c r="B3240" s="396" t="s">
        <v>6446</v>
      </c>
      <c r="C3240" s="396" t="s">
        <v>4798</v>
      </c>
      <c r="D3240" s="396" t="s">
        <v>6404</v>
      </c>
      <c r="E3240" s="396" t="s">
        <v>6405</v>
      </c>
      <c r="F3240" s="396" t="s">
        <v>6099</v>
      </c>
    </row>
    <row r="3241">
      <c r="A3241" s="311">
        <v>3240</v>
      </c>
      <c r="B3241" s="396" t="s">
        <v>6447</v>
      </c>
      <c r="C3241" s="396" t="s">
        <v>6448</v>
      </c>
      <c r="D3241" s="396" t="s">
        <v>6404</v>
      </c>
      <c r="E3241" s="396" t="s">
        <v>6405</v>
      </c>
      <c r="F3241" s="396" t="s">
        <v>6099</v>
      </c>
    </row>
    <row r="3242">
      <c r="A3242" s="311">
        <v>3241</v>
      </c>
      <c r="B3242" s="396" t="s">
        <v>6449</v>
      </c>
      <c r="C3242" s="396" t="s">
        <v>6450</v>
      </c>
      <c r="D3242" s="396" t="s">
        <v>6404</v>
      </c>
      <c r="E3242" s="396" t="s">
        <v>6405</v>
      </c>
      <c r="F3242" s="396" t="s">
        <v>6099</v>
      </c>
    </row>
    <row r="3243">
      <c r="A3243" s="311">
        <v>3242</v>
      </c>
      <c r="B3243" s="396" t="s">
        <v>6451</v>
      </c>
      <c r="C3243" s="396" t="s">
        <v>6452</v>
      </c>
      <c r="D3243" s="396" t="s">
        <v>6404</v>
      </c>
      <c r="E3243" s="396" t="s">
        <v>6405</v>
      </c>
      <c r="F3243" s="396" t="s">
        <v>6099</v>
      </c>
    </row>
    <row r="3244">
      <c r="A3244" s="311">
        <v>3243</v>
      </c>
      <c r="B3244" s="396" t="s">
        <v>6453</v>
      </c>
      <c r="C3244" s="396" t="s">
        <v>6454</v>
      </c>
      <c r="D3244" s="396" t="s">
        <v>6404</v>
      </c>
      <c r="E3244" s="396" t="s">
        <v>6405</v>
      </c>
      <c r="F3244" s="396" t="s">
        <v>6099</v>
      </c>
    </row>
    <row r="3245">
      <c r="A3245" s="311">
        <v>3244</v>
      </c>
      <c r="B3245" s="396" t="s">
        <v>6455</v>
      </c>
      <c r="C3245" s="396" t="s">
        <v>6456</v>
      </c>
      <c r="D3245" s="396" t="s">
        <v>6404</v>
      </c>
      <c r="E3245" s="396" t="s">
        <v>6405</v>
      </c>
      <c r="F3245" s="396" t="s">
        <v>6099</v>
      </c>
    </row>
    <row r="3246">
      <c r="A3246" s="311">
        <v>3245</v>
      </c>
      <c r="B3246" s="396" t="s">
        <v>6457</v>
      </c>
      <c r="C3246" s="396" t="s">
        <v>6458</v>
      </c>
      <c r="D3246" s="396" t="s">
        <v>6404</v>
      </c>
      <c r="E3246" s="396" t="s">
        <v>6405</v>
      </c>
      <c r="F3246" s="396" t="s">
        <v>6099</v>
      </c>
    </row>
    <row r="3247">
      <c r="A3247" s="311">
        <v>3246</v>
      </c>
      <c r="B3247" s="396" t="s">
        <v>6459</v>
      </c>
      <c r="C3247" s="396" t="s">
        <v>6460</v>
      </c>
      <c r="D3247" s="396" t="s">
        <v>6404</v>
      </c>
      <c r="E3247" s="396" t="s">
        <v>6405</v>
      </c>
      <c r="F3247" s="396" t="s">
        <v>6099</v>
      </c>
    </row>
    <row r="3248">
      <c r="A3248" s="311">
        <v>3247</v>
      </c>
      <c r="B3248" s="396" t="s">
        <v>6461</v>
      </c>
      <c r="C3248" s="396" t="s">
        <v>6462</v>
      </c>
      <c r="D3248" s="396" t="s">
        <v>6404</v>
      </c>
      <c r="E3248" s="396" t="s">
        <v>6405</v>
      </c>
      <c r="F3248" s="396" t="s">
        <v>6099</v>
      </c>
    </row>
    <row r="3249">
      <c r="A3249" s="311">
        <v>3248</v>
      </c>
      <c r="B3249" s="396" t="s">
        <v>6463</v>
      </c>
      <c r="C3249" s="396" t="s">
        <v>6464</v>
      </c>
      <c r="D3249" s="396" t="s">
        <v>6465</v>
      </c>
      <c r="E3249" s="396" t="s">
        <v>6466</v>
      </c>
      <c r="F3249" s="396" t="s">
        <v>6099</v>
      </c>
    </row>
    <row r="3250">
      <c r="A3250" s="311">
        <v>3249</v>
      </c>
      <c r="B3250" s="396" t="s">
        <v>6467</v>
      </c>
      <c r="C3250" s="396" t="s">
        <v>6468</v>
      </c>
      <c r="D3250" s="396" t="s">
        <v>6465</v>
      </c>
      <c r="E3250" s="396" t="s">
        <v>6466</v>
      </c>
      <c r="F3250" s="396" t="s">
        <v>6099</v>
      </c>
    </row>
    <row r="3251">
      <c r="A3251" s="311">
        <v>3250</v>
      </c>
      <c r="B3251" s="396" t="s">
        <v>6469</v>
      </c>
      <c r="C3251" s="396" t="s">
        <v>6470</v>
      </c>
      <c r="D3251" s="396" t="s">
        <v>6465</v>
      </c>
      <c r="E3251" s="396" t="s">
        <v>6466</v>
      </c>
      <c r="F3251" s="396" t="s">
        <v>6099</v>
      </c>
    </row>
    <row r="3252">
      <c r="A3252" s="311">
        <v>3251</v>
      </c>
      <c r="B3252" s="396" t="s">
        <v>6471</v>
      </c>
      <c r="C3252" s="396" t="s">
        <v>6472</v>
      </c>
      <c r="D3252" s="396" t="s">
        <v>6465</v>
      </c>
      <c r="E3252" s="396" t="s">
        <v>6466</v>
      </c>
      <c r="F3252" s="396" t="s">
        <v>6099</v>
      </c>
    </row>
    <row r="3253">
      <c r="A3253" s="311">
        <v>3252</v>
      </c>
      <c r="B3253" s="396" t="s">
        <v>6473</v>
      </c>
      <c r="C3253" s="396" t="s">
        <v>6474</v>
      </c>
      <c r="D3253" s="396" t="s">
        <v>6465</v>
      </c>
      <c r="E3253" s="396" t="s">
        <v>6466</v>
      </c>
      <c r="F3253" s="396" t="s">
        <v>6099</v>
      </c>
    </row>
    <row r="3254">
      <c r="A3254" s="311">
        <v>3253</v>
      </c>
      <c r="B3254" s="396" t="s">
        <v>6475</v>
      </c>
      <c r="C3254" s="396" t="s">
        <v>2369</v>
      </c>
      <c r="D3254" s="396" t="s">
        <v>6465</v>
      </c>
      <c r="E3254" s="396" t="s">
        <v>6466</v>
      </c>
      <c r="F3254" s="396" t="s">
        <v>6099</v>
      </c>
    </row>
    <row r="3255">
      <c r="A3255" s="311">
        <v>3254</v>
      </c>
      <c r="B3255" s="396" t="s">
        <v>6476</v>
      </c>
      <c r="C3255" s="396" t="s">
        <v>6477</v>
      </c>
      <c r="D3255" s="396" t="s">
        <v>6465</v>
      </c>
      <c r="E3255" s="396" t="s">
        <v>6466</v>
      </c>
      <c r="F3255" s="396" t="s">
        <v>6099</v>
      </c>
    </row>
    <row r="3256">
      <c r="A3256" s="311">
        <v>3255</v>
      </c>
      <c r="B3256" s="396" t="s">
        <v>6478</v>
      </c>
      <c r="C3256" s="396" t="s">
        <v>6479</v>
      </c>
      <c r="D3256" s="396" t="s">
        <v>6465</v>
      </c>
      <c r="E3256" s="396" t="s">
        <v>6466</v>
      </c>
      <c r="F3256" s="396" t="s">
        <v>6099</v>
      </c>
    </row>
    <row r="3257">
      <c r="A3257" s="311">
        <v>3256</v>
      </c>
      <c r="B3257" s="396" t="s">
        <v>6480</v>
      </c>
      <c r="C3257" s="396" t="s">
        <v>6481</v>
      </c>
      <c r="D3257" s="396" t="s">
        <v>6465</v>
      </c>
      <c r="E3257" s="396" t="s">
        <v>6466</v>
      </c>
      <c r="F3257" s="396" t="s">
        <v>6099</v>
      </c>
    </row>
    <row r="3258">
      <c r="A3258" s="311">
        <v>3257</v>
      </c>
      <c r="B3258" s="396" t="s">
        <v>6482</v>
      </c>
      <c r="C3258" s="396" t="s">
        <v>6483</v>
      </c>
      <c r="D3258" s="396" t="s">
        <v>6465</v>
      </c>
      <c r="E3258" s="396" t="s">
        <v>6466</v>
      </c>
      <c r="F3258" s="396" t="s">
        <v>6099</v>
      </c>
    </row>
    <row r="3259">
      <c r="A3259" s="311">
        <v>3258</v>
      </c>
      <c r="B3259" s="396" t="s">
        <v>6484</v>
      </c>
      <c r="C3259" s="396" t="s">
        <v>6485</v>
      </c>
      <c r="D3259" s="396" t="s">
        <v>6465</v>
      </c>
      <c r="E3259" s="396" t="s">
        <v>6466</v>
      </c>
      <c r="F3259" s="396" t="s">
        <v>6099</v>
      </c>
    </row>
    <row r="3260">
      <c r="A3260" s="311">
        <v>3259</v>
      </c>
      <c r="B3260" s="396" t="s">
        <v>6486</v>
      </c>
      <c r="C3260" s="396" t="s">
        <v>6487</v>
      </c>
      <c r="D3260" s="396" t="s">
        <v>6465</v>
      </c>
      <c r="E3260" s="396" t="s">
        <v>6466</v>
      </c>
      <c r="F3260" s="396" t="s">
        <v>6099</v>
      </c>
    </row>
    <row r="3261">
      <c r="A3261" s="311">
        <v>3260</v>
      </c>
      <c r="B3261" s="396" t="s">
        <v>6488</v>
      </c>
      <c r="C3261" s="396" t="s">
        <v>6489</v>
      </c>
      <c r="D3261" s="396" t="s">
        <v>6465</v>
      </c>
      <c r="E3261" s="396" t="s">
        <v>6466</v>
      </c>
      <c r="F3261" s="396" t="s">
        <v>6099</v>
      </c>
    </row>
    <row r="3262">
      <c r="A3262" s="311">
        <v>3261</v>
      </c>
      <c r="B3262" s="396" t="s">
        <v>6490</v>
      </c>
      <c r="C3262" s="396" t="s">
        <v>6491</v>
      </c>
      <c r="D3262" s="396" t="s">
        <v>6465</v>
      </c>
      <c r="E3262" s="396" t="s">
        <v>6466</v>
      </c>
      <c r="F3262" s="396" t="s">
        <v>6099</v>
      </c>
    </row>
    <row r="3263">
      <c r="A3263" s="311">
        <v>3262</v>
      </c>
      <c r="B3263" s="396" t="s">
        <v>6492</v>
      </c>
      <c r="C3263" s="396" t="s">
        <v>6493</v>
      </c>
      <c r="D3263" s="396" t="s">
        <v>6465</v>
      </c>
      <c r="E3263" s="396" t="s">
        <v>6466</v>
      </c>
      <c r="F3263" s="396" t="s">
        <v>6099</v>
      </c>
    </row>
    <row r="3264">
      <c r="A3264" s="311">
        <v>3263</v>
      </c>
      <c r="B3264" s="396" t="s">
        <v>6494</v>
      </c>
      <c r="C3264" s="396" t="s">
        <v>6495</v>
      </c>
      <c r="D3264" s="396" t="s">
        <v>6465</v>
      </c>
      <c r="E3264" s="396" t="s">
        <v>6466</v>
      </c>
      <c r="F3264" s="396" t="s">
        <v>6099</v>
      </c>
    </row>
    <row r="3265">
      <c r="A3265" s="311">
        <v>3264</v>
      </c>
      <c r="B3265" s="396" t="s">
        <v>6496</v>
      </c>
      <c r="C3265" s="396" t="s">
        <v>868</v>
      </c>
      <c r="D3265" s="396" t="s">
        <v>6465</v>
      </c>
      <c r="E3265" s="396" t="s">
        <v>6466</v>
      </c>
      <c r="F3265" s="396" t="s">
        <v>6099</v>
      </c>
    </row>
    <row r="3266">
      <c r="A3266" s="311">
        <v>3265</v>
      </c>
      <c r="B3266" s="396" t="s">
        <v>6497</v>
      </c>
      <c r="C3266" s="396" t="s">
        <v>6498</v>
      </c>
      <c r="D3266" s="396" t="s">
        <v>6465</v>
      </c>
      <c r="E3266" s="396" t="s">
        <v>6466</v>
      </c>
      <c r="F3266" s="396" t="s">
        <v>6099</v>
      </c>
    </row>
    <row r="3267">
      <c r="A3267" s="311">
        <v>3266</v>
      </c>
      <c r="B3267" s="396" t="s">
        <v>6499</v>
      </c>
      <c r="C3267" s="396" t="s">
        <v>6500</v>
      </c>
      <c r="D3267" s="396" t="s">
        <v>6465</v>
      </c>
      <c r="E3267" s="396" t="s">
        <v>6466</v>
      </c>
      <c r="F3267" s="396" t="s">
        <v>6099</v>
      </c>
    </row>
    <row r="3268">
      <c r="A3268" s="311">
        <v>3267</v>
      </c>
      <c r="B3268" s="396" t="s">
        <v>6501</v>
      </c>
      <c r="C3268" s="396" t="s">
        <v>2332</v>
      </c>
      <c r="D3268" s="396" t="s">
        <v>6465</v>
      </c>
      <c r="E3268" s="396" t="s">
        <v>6466</v>
      </c>
      <c r="F3268" s="396" t="s">
        <v>6099</v>
      </c>
    </row>
    <row r="3269">
      <c r="A3269" s="311">
        <v>3268</v>
      </c>
      <c r="B3269" s="396" t="s">
        <v>6502</v>
      </c>
      <c r="C3269" s="396" t="s">
        <v>6503</v>
      </c>
      <c r="D3269" s="396" t="s">
        <v>6504</v>
      </c>
      <c r="E3269" s="396" t="s">
        <v>6505</v>
      </c>
      <c r="F3269" s="396" t="s">
        <v>6099</v>
      </c>
    </row>
    <row r="3270">
      <c r="A3270" s="311">
        <v>3269</v>
      </c>
      <c r="B3270" s="396" t="s">
        <v>6506</v>
      </c>
      <c r="C3270" s="396" t="s">
        <v>6507</v>
      </c>
      <c r="D3270" s="396" t="s">
        <v>6504</v>
      </c>
      <c r="E3270" s="396" t="s">
        <v>6505</v>
      </c>
      <c r="F3270" s="396" t="s">
        <v>6099</v>
      </c>
    </row>
    <row r="3271">
      <c r="A3271" s="311">
        <v>3270</v>
      </c>
      <c r="B3271" s="396" t="s">
        <v>6508</v>
      </c>
      <c r="C3271" s="396" t="s">
        <v>4782</v>
      </c>
      <c r="D3271" s="396" t="s">
        <v>6504</v>
      </c>
      <c r="E3271" s="396" t="s">
        <v>6505</v>
      </c>
      <c r="F3271" s="396" t="s">
        <v>6099</v>
      </c>
    </row>
    <row r="3272">
      <c r="A3272" s="311">
        <v>3271</v>
      </c>
      <c r="B3272" s="396" t="s">
        <v>6509</v>
      </c>
      <c r="C3272" s="396" t="s">
        <v>6510</v>
      </c>
      <c r="D3272" s="396" t="s">
        <v>6504</v>
      </c>
      <c r="E3272" s="396" t="s">
        <v>6505</v>
      </c>
      <c r="F3272" s="396" t="s">
        <v>6099</v>
      </c>
    </row>
    <row r="3273">
      <c r="A3273" s="311">
        <v>3272</v>
      </c>
      <c r="B3273" s="396" t="s">
        <v>6511</v>
      </c>
      <c r="C3273" s="396" t="s">
        <v>6512</v>
      </c>
      <c r="D3273" s="396" t="s">
        <v>6504</v>
      </c>
      <c r="E3273" s="396" t="s">
        <v>6505</v>
      </c>
      <c r="F3273" s="396" t="s">
        <v>6099</v>
      </c>
    </row>
    <row r="3274">
      <c r="A3274" s="311">
        <v>3273</v>
      </c>
      <c r="B3274" s="396" t="s">
        <v>6513</v>
      </c>
      <c r="C3274" s="396" t="s">
        <v>5944</v>
      </c>
      <c r="D3274" s="396" t="s">
        <v>6504</v>
      </c>
      <c r="E3274" s="396" t="s">
        <v>6505</v>
      </c>
      <c r="F3274" s="396" t="s">
        <v>6099</v>
      </c>
    </row>
    <row r="3275">
      <c r="A3275" s="311">
        <v>3274</v>
      </c>
      <c r="B3275" s="396" t="s">
        <v>6514</v>
      </c>
      <c r="C3275" s="396" t="s">
        <v>6515</v>
      </c>
      <c r="D3275" s="396" t="s">
        <v>6504</v>
      </c>
      <c r="E3275" s="396" t="s">
        <v>6505</v>
      </c>
      <c r="F3275" s="396" t="s">
        <v>6099</v>
      </c>
    </row>
    <row r="3276">
      <c r="A3276" s="311">
        <v>3275</v>
      </c>
      <c r="B3276" s="396" t="s">
        <v>6516</v>
      </c>
      <c r="C3276" s="396" t="s">
        <v>6517</v>
      </c>
      <c r="D3276" s="396" t="s">
        <v>6504</v>
      </c>
      <c r="E3276" s="396" t="s">
        <v>6505</v>
      </c>
      <c r="F3276" s="396" t="s">
        <v>6099</v>
      </c>
    </row>
    <row r="3277">
      <c r="A3277" s="311">
        <v>3276</v>
      </c>
      <c r="B3277" s="396" t="s">
        <v>6518</v>
      </c>
      <c r="C3277" s="396" t="s">
        <v>5595</v>
      </c>
      <c r="D3277" s="396" t="s">
        <v>6504</v>
      </c>
      <c r="E3277" s="396" t="s">
        <v>6505</v>
      </c>
      <c r="F3277" s="396" t="s">
        <v>6099</v>
      </c>
    </row>
    <row r="3278">
      <c r="A3278" s="311">
        <v>3277</v>
      </c>
      <c r="B3278" s="396" t="s">
        <v>6519</v>
      </c>
      <c r="C3278" s="396" t="s">
        <v>5769</v>
      </c>
      <c r="D3278" s="396" t="s">
        <v>6504</v>
      </c>
      <c r="E3278" s="396" t="s">
        <v>6505</v>
      </c>
      <c r="F3278" s="396" t="s">
        <v>6099</v>
      </c>
    </row>
    <row r="3279">
      <c r="A3279" s="311">
        <v>3278</v>
      </c>
      <c r="B3279" s="396" t="s">
        <v>6520</v>
      </c>
      <c r="C3279" s="396" t="s">
        <v>6521</v>
      </c>
      <c r="D3279" s="396" t="s">
        <v>6504</v>
      </c>
      <c r="E3279" s="396" t="s">
        <v>6505</v>
      </c>
      <c r="F3279" s="396" t="s">
        <v>6099</v>
      </c>
    </row>
    <row r="3280">
      <c r="A3280" s="311">
        <v>3279</v>
      </c>
      <c r="B3280" s="396" t="s">
        <v>6522</v>
      </c>
      <c r="C3280" s="396" t="s">
        <v>5086</v>
      </c>
      <c r="D3280" s="396" t="s">
        <v>6504</v>
      </c>
      <c r="E3280" s="396" t="s">
        <v>6505</v>
      </c>
      <c r="F3280" s="396" t="s">
        <v>6099</v>
      </c>
    </row>
    <row r="3281">
      <c r="A3281" s="311">
        <v>3280</v>
      </c>
      <c r="B3281" s="396" t="s">
        <v>6523</v>
      </c>
      <c r="C3281" s="396" t="s">
        <v>6524</v>
      </c>
      <c r="D3281" s="396" t="s">
        <v>6504</v>
      </c>
      <c r="E3281" s="396" t="s">
        <v>6505</v>
      </c>
      <c r="F3281" s="396" t="s">
        <v>6099</v>
      </c>
    </row>
    <row r="3282">
      <c r="A3282" s="311">
        <v>3281</v>
      </c>
      <c r="B3282" s="396" t="s">
        <v>6525</v>
      </c>
      <c r="C3282" s="396" t="s">
        <v>6526</v>
      </c>
      <c r="D3282" s="396" t="s">
        <v>6504</v>
      </c>
      <c r="E3282" s="396" t="s">
        <v>6505</v>
      </c>
      <c r="F3282" s="396" t="s">
        <v>6099</v>
      </c>
    </row>
    <row r="3283">
      <c r="A3283" s="311">
        <v>3282</v>
      </c>
      <c r="B3283" s="396" t="s">
        <v>6527</v>
      </c>
      <c r="C3283" s="396" t="s">
        <v>5942</v>
      </c>
      <c r="D3283" s="396" t="s">
        <v>6528</v>
      </c>
      <c r="E3283" s="396" t="s">
        <v>6529</v>
      </c>
      <c r="F3283" s="396" t="s">
        <v>6099</v>
      </c>
    </row>
    <row r="3284">
      <c r="A3284" s="311">
        <v>3283</v>
      </c>
      <c r="B3284" s="396" t="s">
        <v>6530</v>
      </c>
      <c r="C3284" s="396" t="s">
        <v>6531</v>
      </c>
      <c r="D3284" s="396" t="s">
        <v>6528</v>
      </c>
      <c r="E3284" s="396" t="s">
        <v>6529</v>
      </c>
      <c r="F3284" s="396" t="s">
        <v>6099</v>
      </c>
    </row>
    <row r="3285">
      <c r="A3285" s="311">
        <v>3284</v>
      </c>
      <c r="B3285" s="396" t="s">
        <v>6532</v>
      </c>
      <c r="C3285" s="396" t="s">
        <v>6533</v>
      </c>
      <c r="D3285" s="396" t="s">
        <v>6528</v>
      </c>
      <c r="E3285" s="396" t="s">
        <v>6529</v>
      </c>
      <c r="F3285" s="396" t="s">
        <v>6099</v>
      </c>
    </row>
    <row r="3286">
      <c r="A3286" s="311">
        <v>3285</v>
      </c>
      <c r="B3286" s="396" t="s">
        <v>6534</v>
      </c>
      <c r="C3286" s="396" t="s">
        <v>6535</v>
      </c>
      <c r="D3286" s="396" t="s">
        <v>6528</v>
      </c>
      <c r="E3286" s="396" t="s">
        <v>6529</v>
      </c>
      <c r="F3286" s="396" t="s">
        <v>6099</v>
      </c>
    </row>
    <row r="3287">
      <c r="A3287" s="311">
        <v>3286</v>
      </c>
      <c r="B3287" s="396" t="s">
        <v>6536</v>
      </c>
      <c r="C3287" s="396" t="s">
        <v>6537</v>
      </c>
      <c r="D3287" s="396" t="s">
        <v>6528</v>
      </c>
      <c r="E3287" s="396" t="s">
        <v>6529</v>
      </c>
      <c r="F3287" s="396" t="s">
        <v>6099</v>
      </c>
    </row>
    <row r="3288">
      <c r="A3288" s="311">
        <v>3287</v>
      </c>
      <c r="B3288" s="396" t="s">
        <v>6538</v>
      </c>
      <c r="C3288" s="396" t="s">
        <v>6539</v>
      </c>
      <c r="D3288" s="396" t="s">
        <v>6528</v>
      </c>
      <c r="E3288" s="396" t="s">
        <v>6529</v>
      </c>
      <c r="F3288" s="396" t="s">
        <v>6099</v>
      </c>
    </row>
    <row r="3289">
      <c r="A3289" s="311">
        <v>3288</v>
      </c>
      <c r="B3289" s="396" t="s">
        <v>6540</v>
      </c>
      <c r="C3289" s="396" t="s">
        <v>6541</v>
      </c>
      <c r="D3289" s="396" t="s">
        <v>6528</v>
      </c>
      <c r="E3289" s="396" t="s">
        <v>6529</v>
      </c>
      <c r="F3289" s="396" t="s">
        <v>6099</v>
      </c>
    </row>
    <row r="3290">
      <c r="A3290" s="311">
        <v>3289</v>
      </c>
      <c r="B3290" s="396" t="s">
        <v>6542</v>
      </c>
      <c r="C3290" s="396" t="s">
        <v>6543</v>
      </c>
      <c r="D3290" s="396" t="s">
        <v>6528</v>
      </c>
      <c r="E3290" s="396" t="s">
        <v>6529</v>
      </c>
      <c r="F3290" s="396" t="s">
        <v>6099</v>
      </c>
    </row>
    <row r="3291">
      <c r="A3291" s="311">
        <v>3290</v>
      </c>
      <c r="B3291" s="396" t="s">
        <v>6544</v>
      </c>
      <c r="C3291" s="396" t="s">
        <v>6545</v>
      </c>
      <c r="D3291" s="396" t="s">
        <v>6528</v>
      </c>
      <c r="E3291" s="396" t="s">
        <v>6529</v>
      </c>
      <c r="F3291" s="396" t="s">
        <v>6099</v>
      </c>
    </row>
    <row r="3292">
      <c r="A3292" s="311">
        <v>3291</v>
      </c>
      <c r="B3292" s="396" t="s">
        <v>6546</v>
      </c>
      <c r="C3292" s="396" t="s">
        <v>6547</v>
      </c>
      <c r="D3292" s="396" t="s">
        <v>6528</v>
      </c>
      <c r="E3292" s="396" t="s">
        <v>6529</v>
      </c>
      <c r="F3292" s="396" t="s">
        <v>6099</v>
      </c>
    </row>
    <row r="3293">
      <c r="A3293" s="311">
        <v>3292</v>
      </c>
      <c r="B3293" s="396" t="s">
        <v>6548</v>
      </c>
      <c r="C3293" s="396" t="s">
        <v>6549</v>
      </c>
      <c r="D3293" s="396" t="s">
        <v>6528</v>
      </c>
      <c r="E3293" s="396" t="s">
        <v>6529</v>
      </c>
      <c r="F3293" s="396" t="s">
        <v>6099</v>
      </c>
    </row>
    <row r="3294">
      <c r="A3294" s="311">
        <v>3293</v>
      </c>
      <c r="B3294" s="396" t="s">
        <v>6550</v>
      </c>
      <c r="C3294" s="396" t="s">
        <v>6551</v>
      </c>
      <c r="D3294" s="396" t="s">
        <v>6528</v>
      </c>
      <c r="E3294" s="396" t="s">
        <v>6529</v>
      </c>
      <c r="F3294" s="396" t="s">
        <v>6099</v>
      </c>
    </row>
    <row r="3295">
      <c r="A3295" s="311">
        <v>3294</v>
      </c>
      <c r="B3295" s="396" t="s">
        <v>6552</v>
      </c>
      <c r="C3295" s="396" t="s">
        <v>304</v>
      </c>
      <c r="D3295" s="396" t="s">
        <v>6528</v>
      </c>
      <c r="E3295" s="396" t="s">
        <v>6529</v>
      </c>
      <c r="F3295" s="396" t="s">
        <v>6099</v>
      </c>
    </row>
    <row r="3296">
      <c r="A3296" s="311">
        <v>3295</v>
      </c>
      <c r="B3296" s="396" t="s">
        <v>6553</v>
      </c>
      <c r="C3296" s="396" t="s">
        <v>6554</v>
      </c>
      <c r="D3296" s="396" t="s">
        <v>6528</v>
      </c>
      <c r="E3296" s="396" t="s">
        <v>6529</v>
      </c>
      <c r="F3296" s="396" t="s">
        <v>6099</v>
      </c>
    </row>
    <row r="3297">
      <c r="A3297" s="311">
        <v>3296</v>
      </c>
      <c r="B3297" s="396" t="s">
        <v>6555</v>
      </c>
      <c r="C3297" s="396" t="s">
        <v>6556</v>
      </c>
      <c r="D3297" s="396" t="s">
        <v>6528</v>
      </c>
      <c r="E3297" s="396" t="s">
        <v>6529</v>
      </c>
      <c r="F3297" s="396" t="s">
        <v>6099</v>
      </c>
    </row>
    <row r="3298">
      <c r="A3298" s="311">
        <v>3297</v>
      </c>
      <c r="B3298" s="396" t="s">
        <v>6557</v>
      </c>
      <c r="C3298" s="396" t="s">
        <v>6558</v>
      </c>
      <c r="D3298" s="396" t="s">
        <v>6528</v>
      </c>
      <c r="E3298" s="396" t="s">
        <v>6529</v>
      </c>
      <c r="F3298" s="396" t="s">
        <v>6099</v>
      </c>
    </row>
    <row r="3299">
      <c r="A3299" s="311">
        <v>3298</v>
      </c>
      <c r="B3299" s="396" t="s">
        <v>6559</v>
      </c>
      <c r="C3299" s="396" t="s">
        <v>752</v>
      </c>
      <c r="D3299" s="396" t="s">
        <v>6528</v>
      </c>
      <c r="E3299" s="396" t="s">
        <v>6529</v>
      </c>
      <c r="F3299" s="396" t="s">
        <v>6099</v>
      </c>
    </row>
    <row r="3300">
      <c r="A3300" s="311">
        <v>3299</v>
      </c>
      <c r="B3300" s="396" t="s">
        <v>6560</v>
      </c>
      <c r="C3300" s="396" t="s">
        <v>4791</v>
      </c>
      <c r="D3300" s="396" t="s">
        <v>6528</v>
      </c>
      <c r="E3300" s="396" t="s">
        <v>6529</v>
      </c>
      <c r="F3300" s="396" t="s">
        <v>6099</v>
      </c>
    </row>
    <row r="3301">
      <c r="A3301" s="311">
        <v>3300</v>
      </c>
      <c r="B3301" s="396" t="s">
        <v>6561</v>
      </c>
      <c r="C3301" s="396" t="s">
        <v>6562</v>
      </c>
      <c r="D3301" s="396" t="s">
        <v>6528</v>
      </c>
      <c r="E3301" s="396" t="s">
        <v>6529</v>
      </c>
      <c r="F3301" s="396" t="s">
        <v>6099</v>
      </c>
    </row>
    <row r="3302">
      <c r="A3302" s="311">
        <v>3301</v>
      </c>
      <c r="B3302" s="396" t="s">
        <v>6563</v>
      </c>
      <c r="C3302" s="396" t="s">
        <v>6564</v>
      </c>
      <c r="D3302" s="396" t="s">
        <v>6528</v>
      </c>
      <c r="E3302" s="396" t="s">
        <v>6529</v>
      </c>
      <c r="F3302" s="396" t="s">
        <v>6099</v>
      </c>
    </row>
    <row r="3303">
      <c r="A3303" s="311">
        <v>3302</v>
      </c>
      <c r="B3303" s="396" t="s">
        <v>6565</v>
      </c>
      <c r="C3303" s="396" t="s">
        <v>6566</v>
      </c>
      <c r="D3303" s="396" t="s">
        <v>6528</v>
      </c>
      <c r="E3303" s="396" t="s">
        <v>6529</v>
      </c>
      <c r="F3303" s="396" t="s">
        <v>6099</v>
      </c>
    </row>
    <row r="3304">
      <c r="A3304" s="311">
        <v>3303</v>
      </c>
      <c r="B3304" s="396" t="s">
        <v>6567</v>
      </c>
      <c r="C3304" s="396" t="s">
        <v>810</v>
      </c>
      <c r="D3304" s="396" t="s">
        <v>6528</v>
      </c>
      <c r="E3304" s="396" t="s">
        <v>6529</v>
      </c>
      <c r="F3304" s="396" t="s">
        <v>6099</v>
      </c>
    </row>
    <row r="3305">
      <c r="A3305" s="311">
        <v>3304</v>
      </c>
      <c r="B3305" s="396" t="s">
        <v>6568</v>
      </c>
      <c r="C3305" s="396" t="s">
        <v>6569</v>
      </c>
      <c r="D3305" s="396" t="s">
        <v>6528</v>
      </c>
      <c r="E3305" s="396" t="s">
        <v>6529</v>
      </c>
      <c r="F3305" s="396" t="s">
        <v>6099</v>
      </c>
    </row>
    <row r="3306">
      <c r="A3306" s="311">
        <v>3305</v>
      </c>
      <c r="B3306" s="396" t="s">
        <v>6570</v>
      </c>
      <c r="C3306" s="396" t="s">
        <v>4881</v>
      </c>
      <c r="D3306" s="396" t="s">
        <v>6571</v>
      </c>
      <c r="E3306" s="396" t="s">
        <v>6572</v>
      </c>
      <c r="F3306" s="396" t="s">
        <v>6099</v>
      </c>
    </row>
    <row r="3307">
      <c r="A3307" s="311">
        <v>3306</v>
      </c>
      <c r="B3307" s="396" t="s">
        <v>6573</v>
      </c>
      <c r="C3307" s="396" t="s">
        <v>6574</v>
      </c>
      <c r="D3307" s="396" t="s">
        <v>6571</v>
      </c>
      <c r="E3307" s="396" t="s">
        <v>6572</v>
      </c>
      <c r="F3307" s="396" t="s">
        <v>6099</v>
      </c>
    </row>
    <row r="3308">
      <c r="A3308" s="311">
        <v>3307</v>
      </c>
      <c r="B3308" s="396" t="s">
        <v>6575</v>
      </c>
      <c r="C3308" s="396" t="s">
        <v>6576</v>
      </c>
      <c r="D3308" s="396" t="s">
        <v>6571</v>
      </c>
      <c r="E3308" s="396" t="s">
        <v>6572</v>
      </c>
      <c r="F3308" s="396" t="s">
        <v>6099</v>
      </c>
    </row>
    <row r="3309">
      <c r="A3309" s="311">
        <v>3308</v>
      </c>
      <c r="B3309" s="396" t="s">
        <v>6577</v>
      </c>
      <c r="C3309" s="396" t="s">
        <v>6578</v>
      </c>
      <c r="D3309" s="396" t="s">
        <v>6571</v>
      </c>
      <c r="E3309" s="396" t="s">
        <v>6572</v>
      </c>
      <c r="F3309" s="396" t="s">
        <v>6099</v>
      </c>
    </row>
    <row r="3310">
      <c r="A3310" s="311">
        <v>3309</v>
      </c>
      <c r="B3310" s="396" t="s">
        <v>6579</v>
      </c>
      <c r="C3310" s="396" t="s">
        <v>6580</v>
      </c>
      <c r="D3310" s="396" t="s">
        <v>6571</v>
      </c>
      <c r="E3310" s="396" t="s">
        <v>6572</v>
      </c>
      <c r="F3310" s="396" t="s">
        <v>6099</v>
      </c>
    </row>
    <row r="3311">
      <c r="A3311" s="311">
        <v>3310</v>
      </c>
      <c r="B3311" s="396" t="s">
        <v>6581</v>
      </c>
      <c r="C3311" s="396" t="s">
        <v>4306</v>
      </c>
      <c r="D3311" s="396" t="s">
        <v>6571</v>
      </c>
      <c r="E3311" s="396" t="s">
        <v>6572</v>
      </c>
      <c r="F3311" s="396" t="s">
        <v>6099</v>
      </c>
    </row>
    <row r="3312">
      <c r="A3312" s="311">
        <v>3311</v>
      </c>
      <c r="B3312" s="396" t="s">
        <v>6582</v>
      </c>
      <c r="C3312" s="396" t="s">
        <v>6583</v>
      </c>
      <c r="D3312" s="396" t="s">
        <v>6571</v>
      </c>
      <c r="E3312" s="396" t="s">
        <v>6572</v>
      </c>
      <c r="F3312" s="396" t="s">
        <v>6099</v>
      </c>
    </row>
    <row r="3313">
      <c r="A3313" s="311">
        <v>3312</v>
      </c>
      <c r="B3313" s="396" t="s">
        <v>6584</v>
      </c>
      <c r="C3313" s="396" t="s">
        <v>6585</v>
      </c>
      <c r="D3313" s="396" t="s">
        <v>6571</v>
      </c>
      <c r="E3313" s="396" t="s">
        <v>6572</v>
      </c>
      <c r="F3313" s="396" t="s">
        <v>6099</v>
      </c>
    </row>
    <row r="3314">
      <c r="A3314" s="311">
        <v>3313</v>
      </c>
      <c r="B3314" s="396" t="s">
        <v>6586</v>
      </c>
      <c r="C3314" s="396" t="s">
        <v>6587</v>
      </c>
      <c r="D3314" s="396" t="s">
        <v>6571</v>
      </c>
      <c r="E3314" s="396" t="s">
        <v>6572</v>
      </c>
      <c r="F3314" s="396" t="s">
        <v>6099</v>
      </c>
    </row>
    <row r="3315">
      <c r="A3315" s="311">
        <v>3314</v>
      </c>
      <c r="B3315" s="396" t="s">
        <v>6588</v>
      </c>
      <c r="C3315" s="396" t="s">
        <v>6589</v>
      </c>
      <c r="D3315" s="396" t="s">
        <v>6571</v>
      </c>
      <c r="E3315" s="396" t="s">
        <v>6572</v>
      </c>
      <c r="F3315" s="396" t="s">
        <v>6099</v>
      </c>
    </row>
    <row r="3316">
      <c r="A3316" s="311">
        <v>3315</v>
      </c>
      <c r="B3316" s="396" t="s">
        <v>6590</v>
      </c>
      <c r="C3316" s="396" t="s">
        <v>1517</v>
      </c>
      <c r="D3316" s="396" t="s">
        <v>6571</v>
      </c>
      <c r="E3316" s="396" t="s">
        <v>6572</v>
      </c>
      <c r="F3316" s="396" t="s">
        <v>6099</v>
      </c>
    </row>
    <row r="3317">
      <c r="A3317" s="311">
        <v>3316</v>
      </c>
      <c r="B3317" s="396" t="s">
        <v>6591</v>
      </c>
      <c r="C3317" s="396" t="s">
        <v>6592</v>
      </c>
      <c r="D3317" s="396" t="s">
        <v>6571</v>
      </c>
      <c r="E3317" s="396" t="s">
        <v>6572</v>
      </c>
      <c r="F3317" s="396" t="s">
        <v>6099</v>
      </c>
    </row>
    <row r="3318">
      <c r="A3318" s="311">
        <v>3317</v>
      </c>
      <c r="B3318" s="396" t="s">
        <v>6593</v>
      </c>
      <c r="C3318" s="396" t="s">
        <v>6594</v>
      </c>
      <c r="D3318" s="396" t="s">
        <v>6571</v>
      </c>
      <c r="E3318" s="396" t="s">
        <v>6572</v>
      </c>
      <c r="F3318" s="396" t="s">
        <v>6099</v>
      </c>
    </row>
    <row r="3319">
      <c r="A3319" s="311">
        <v>3318</v>
      </c>
      <c r="B3319" s="396" t="s">
        <v>6595</v>
      </c>
      <c r="C3319" s="396" t="s">
        <v>6596</v>
      </c>
      <c r="D3319" s="396" t="s">
        <v>6571</v>
      </c>
      <c r="E3319" s="396" t="s">
        <v>6572</v>
      </c>
      <c r="F3319" s="396" t="s">
        <v>6099</v>
      </c>
    </row>
    <row r="3320">
      <c r="A3320" s="311">
        <v>3319</v>
      </c>
      <c r="B3320" s="396" t="s">
        <v>6597</v>
      </c>
      <c r="C3320" s="396" t="s">
        <v>6598</v>
      </c>
      <c r="D3320" s="396" t="s">
        <v>6571</v>
      </c>
      <c r="E3320" s="396" t="s">
        <v>6572</v>
      </c>
      <c r="F3320" s="396" t="s">
        <v>6099</v>
      </c>
    </row>
    <row r="3321">
      <c r="A3321" s="311">
        <v>3320</v>
      </c>
      <c r="B3321" s="396" t="s">
        <v>6599</v>
      </c>
      <c r="C3321" s="396" t="s">
        <v>6600</v>
      </c>
      <c r="D3321" s="396" t="s">
        <v>6601</v>
      </c>
      <c r="E3321" s="396" t="s">
        <v>6602</v>
      </c>
      <c r="F3321" s="396" t="s">
        <v>6099</v>
      </c>
    </row>
    <row r="3322">
      <c r="A3322" s="311">
        <v>3321</v>
      </c>
      <c r="B3322" s="396" t="s">
        <v>6603</v>
      </c>
      <c r="C3322" s="396" t="s">
        <v>6604</v>
      </c>
      <c r="D3322" s="396" t="s">
        <v>6601</v>
      </c>
      <c r="E3322" s="396" t="s">
        <v>6602</v>
      </c>
      <c r="F3322" s="396" t="s">
        <v>6099</v>
      </c>
    </row>
    <row r="3323">
      <c r="A3323" s="311">
        <v>3322</v>
      </c>
      <c r="B3323" s="396" t="s">
        <v>6605</v>
      </c>
      <c r="C3323" s="396" t="s">
        <v>6606</v>
      </c>
      <c r="D3323" s="396" t="s">
        <v>6601</v>
      </c>
      <c r="E3323" s="396" t="s">
        <v>6602</v>
      </c>
      <c r="F3323" s="396" t="s">
        <v>6099</v>
      </c>
    </row>
    <row r="3324">
      <c r="A3324" s="311">
        <v>3323</v>
      </c>
      <c r="B3324" s="396" t="s">
        <v>6607</v>
      </c>
      <c r="C3324" s="396" t="s">
        <v>6608</v>
      </c>
      <c r="D3324" s="396" t="s">
        <v>6601</v>
      </c>
      <c r="E3324" s="396" t="s">
        <v>6602</v>
      </c>
      <c r="F3324" s="396" t="s">
        <v>6099</v>
      </c>
    </row>
    <row r="3325">
      <c r="A3325" s="311">
        <v>3324</v>
      </c>
      <c r="B3325" s="396" t="s">
        <v>6609</v>
      </c>
      <c r="C3325" s="396" t="s">
        <v>5581</v>
      </c>
      <c r="D3325" s="396" t="s">
        <v>6601</v>
      </c>
      <c r="E3325" s="396" t="s">
        <v>6602</v>
      </c>
      <c r="F3325" s="396" t="s">
        <v>6099</v>
      </c>
    </row>
    <row r="3326">
      <c r="A3326" s="311">
        <v>3325</v>
      </c>
      <c r="B3326" s="396" t="s">
        <v>6610</v>
      </c>
      <c r="C3326" s="396" t="s">
        <v>6611</v>
      </c>
      <c r="D3326" s="396" t="s">
        <v>6601</v>
      </c>
      <c r="E3326" s="396" t="s">
        <v>6602</v>
      </c>
      <c r="F3326" s="396" t="s">
        <v>6099</v>
      </c>
    </row>
    <row r="3327">
      <c r="A3327" s="311">
        <v>3326</v>
      </c>
      <c r="B3327" s="396" t="s">
        <v>6612</v>
      </c>
      <c r="C3327" s="396" t="s">
        <v>830</v>
      </c>
      <c r="D3327" s="396" t="s">
        <v>6601</v>
      </c>
      <c r="E3327" s="396" t="s">
        <v>6602</v>
      </c>
      <c r="F3327" s="396" t="s">
        <v>6099</v>
      </c>
    </row>
    <row r="3328">
      <c r="A3328" s="311">
        <v>3327</v>
      </c>
      <c r="B3328" s="396" t="s">
        <v>6613</v>
      </c>
      <c r="C3328" s="396" t="s">
        <v>6614</v>
      </c>
      <c r="D3328" s="396" t="s">
        <v>6601</v>
      </c>
      <c r="E3328" s="396" t="s">
        <v>6602</v>
      </c>
      <c r="F3328" s="396" t="s">
        <v>6099</v>
      </c>
    </row>
    <row r="3329">
      <c r="A3329" s="311">
        <v>3328</v>
      </c>
      <c r="B3329" s="396" t="s">
        <v>6615</v>
      </c>
      <c r="C3329" s="396" t="s">
        <v>2206</v>
      </c>
      <c r="D3329" s="396" t="s">
        <v>6601</v>
      </c>
      <c r="E3329" s="396" t="s">
        <v>6602</v>
      </c>
      <c r="F3329" s="396" t="s">
        <v>6099</v>
      </c>
    </row>
    <row r="3330">
      <c r="A3330" s="311">
        <v>3329</v>
      </c>
      <c r="B3330" s="396" t="s">
        <v>6616</v>
      </c>
      <c r="C3330" s="396" t="s">
        <v>6617</v>
      </c>
      <c r="D3330" s="396" t="s">
        <v>6601</v>
      </c>
      <c r="E3330" s="396" t="s">
        <v>6602</v>
      </c>
      <c r="F3330" s="396" t="s">
        <v>6099</v>
      </c>
    </row>
    <row r="3331">
      <c r="A3331" s="311">
        <v>3330</v>
      </c>
      <c r="B3331" s="396" t="s">
        <v>6618</v>
      </c>
      <c r="C3331" s="396" t="s">
        <v>6619</v>
      </c>
      <c r="D3331" s="396" t="s">
        <v>6601</v>
      </c>
      <c r="E3331" s="396" t="s">
        <v>6602</v>
      </c>
      <c r="F3331" s="396" t="s">
        <v>6099</v>
      </c>
    </row>
    <row r="3332">
      <c r="A3332" s="311">
        <v>3331</v>
      </c>
      <c r="B3332" s="396" t="s">
        <v>6620</v>
      </c>
      <c r="C3332" s="396" t="s">
        <v>6621</v>
      </c>
      <c r="D3332" s="396" t="s">
        <v>6601</v>
      </c>
      <c r="E3332" s="396" t="s">
        <v>6602</v>
      </c>
      <c r="F3332" s="396" t="s">
        <v>6099</v>
      </c>
    </row>
    <row r="3333">
      <c r="A3333" s="311">
        <v>3332</v>
      </c>
      <c r="B3333" s="396" t="s">
        <v>6622</v>
      </c>
      <c r="C3333" s="396" t="s">
        <v>605</v>
      </c>
      <c r="D3333" s="396" t="s">
        <v>6601</v>
      </c>
      <c r="E3333" s="396" t="s">
        <v>6602</v>
      </c>
      <c r="F3333" s="396" t="s">
        <v>6099</v>
      </c>
    </row>
    <row r="3334">
      <c r="A3334" s="311">
        <v>3333</v>
      </c>
      <c r="B3334" s="396" t="s">
        <v>6623</v>
      </c>
      <c r="C3334" s="396" t="s">
        <v>6624</v>
      </c>
      <c r="D3334" s="396" t="s">
        <v>6601</v>
      </c>
      <c r="E3334" s="396" t="s">
        <v>6602</v>
      </c>
      <c r="F3334" s="396" t="s">
        <v>6099</v>
      </c>
    </row>
    <row r="3335">
      <c r="A3335" s="311">
        <v>3334</v>
      </c>
      <c r="B3335" s="396" t="s">
        <v>6625</v>
      </c>
      <c r="C3335" s="396" t="s">
        <v>6626</v>
      </c>
      <c r="D3335" s="396" t="s">
        <v>6601</v>
      </c>
      <c r="E3335" s="396" t="s">
        <v>6602</v>
      </c>
      <c r="F3335" s="396" t="s">
        <v>6099</v>
      </c>
    </row>
    <row r="3336">
      <c r="A3336" s="311">
        <v>3335</v>
      </c>
      <c r="B3336" s="396" t="s">
        <v>6627</v>
      </c>
      <c r="C3336" s="396" t="s">
        <v>6628</v>
      </c>
      <c r="D3336" s="396" t="s">
        <v>6601</v>
      </c>
      <c r="E3336" s="396" t="s">
        <v>6602</v>
      </c>
      <c r="F3336" s="396" t="s">
        <v>6099</v>
      </c>
    </row>
    <row r="3337">
      <c r="A3337" s="311">
        <v>3336</v>
      </c>
      <c r="B3337" s="396" t="s">
        <v>6629</v>
      </c>
      <c r="C3337" s="396" t="s">
        <v>6630</v>
      </c>
      <c r="D3337" s="396" t="s">
        <v>6601</v>
      </c>
      <c r="E3337" s="396" t="s">
        <v>6602</v>
      </c>
      <c r="F3337" s="396" t="s">
        <v>6099</v>
      </c>
    </row>
    <row r="3338">
      <c r="A3338" s="311">
        <v>3337</v>
      </c>
      <c r="B3338" s="396" t="s">
        <v>6631</v>
      </c>
      <c r="C3338" s="396" t="s">
        <v>6632</v>
      </c>
      <c r="D3338" s="396" t="s">
        <v>6633</v>
      </c>
      <c r="E3338" s="396" t="s">
        <v>6634</v>
      </c>
      <c r="F3338" s="396" t="s">
        <v>6635</v>
      </c>
    </row>
    <row r="3339">
      <c r="A3339" s="311">
        <v>3338</v>
      </c>
      <c r="B3339" s="396" t="s">
        <v>6636</v>
      </c>
      <c r="C3339" s="396" t="s">
        <v>6637</v>
      </c>
      <c r="D3339" s="396" t="s">
        <v>6633</v>
      </c>
      <c r="E3339" s="396" t="s">
        <v>6634</v>
      </c>
      <c r="F3339" s="396" t="s">
        <v>6635</v>
      </c>
    </row>
    <row r="3340">
      <c r="A3340" s="311">
        <v>3339</v>
      </c>
      <c r="B3340" s="396" t="s">
        <v>6638</v>
      </c>
      <c r="C3340" s="396" t="s">
        <v>6639</v>
      </c>
      <c r="D3340" s="396" t="s">
        <v>6633</v>
      </c>
      <c r="E3340" s="396" t="s">
        <v>6634</v>
      </c>
      <c r="F3340" s="396" t="s">
        <v>6635</v>
      </c>
    </row>
    <row r="3341">
      <c r="A3341" s="311">
        <v>3340</v>
      </c>
      <c r="B3341" s="396" t="s">
        <v>6640</v>
      </c>
      <c r="C3341" s="396" t="s">
        <v>6641</v>
      </c>
      <c r="D3341" s="396" t="s">
        <v>6633</v>
      </c>
      <c r="E3341" s="396" t="s">
        <v>6634</v>
      </c>
      <c r="F3341" s="396" t="s">
        <v>6635</v>
      </c>
    </row>
    <row r="3342">
      <c r="A3342" s="311">
        <v>3341</v>
      </c>
      <c r="B3342" s="396" t="s">
        <v>6642</v>
      </c>
      <c r="C3342" s="396" t="s">
        <v>594</v>
      </c>
      <c r="D3342" s="396" t="s">
        <v>6633</v>
      </c>
      <c r="E3342" s="396" t="s">
        <v>6634</v>
      </c>
      <c r="F3342" s="396" t="s">
        <v>6635</v>
      </c>
    </row>
    <row r="3343">
      <c r="A3343" s="311">
        <v>3342</v>
      </c>
      <c r="B3343" s="396" t="s">
        <v>6643</v>
      </c>
      <c r="C3343" s="396" t="s">
        <v>214</v>
      </c>
      <c r="D3343" s="396" t="s">
        <v>6633</v>
      </c>
      <c r="E3343" s="396" t="s">
        <v>6634</v>
      </c>
      <c r="F3343" s="396" t="s">
        <v>6635</v>
      </c>
    </row>
    <row r="3344">
      <c r="A3344" s="311">
        <v>3343</v>
      </c>
      <c r="B3344" s="396" t="s">
        <v>6644</v>
      </c>
      <c r="C3344" s="396" t="s">
        <v>6645</v>
      </c>
      <c r="D3344" s="396" t="s">
        <v>6633</v>
      </c>
      <c r="E3344" s="396" t="s">
        <v>6634</v>
      </c>
      <c r="F3344" s="396" t="s">
        <v>6635</v>
      </c>
    </row>
    <row r="3345">
      <c r="A3345" s="311">
        <v>3344</v>
      </c>
      <c r="B3345" s="396" t="s">
        <v>6646</v>
      </c>
      <c r="C3345" s="396" t="s">
        <v>6647</v>
      </c>
      <c r="D3345" s="396" t="s">
        <v>6633</v>
      </c>
      <c r="E3345" s="396" t="s">
        <v>6634</v>
      </c>
      <c r="F3345" s="396" t="s">
        <v>6635</v>
      </c>
    </row>
    <row r="3346">
      <c r="A3346" s="311">
        <v>3345</v>
      </c>
      <c r="B3346" s="396" t="s">
        <v>6648</v>
      </c>
      <c r="C3346" s="396" t="s">
        <v>6649</v>
      </c>
      <c r="D3346" s="396" t="s">
        <v>6633</v>
      </c>
      <c r="E3346" s="396" t="s">
        <v>6634</v>
      </c>
      <c r="F3346" s="396" t="s">
        <v>6635</v>
      </c>
    </row>
    <row r="3347">
      <c r="A3347" s="311">
        <v>3346</v>
      </c>
      <c r="B3347" s="396" t="s">
        <v>6650</v>
      </c>
      <c r="C3347" s="396" t="s">
        <v>6651</v>
      </c>
      <c r="D3347" s="396" t="s">
        <v>6652</v>
      </c>
      <c r="E3347" s="396" t="s">
        <v>6653</v>
      </c>
      <c r="F3347" s="396" t="s">
        <v>6635</v>
      </c>
    </row>
    <row r="3348">
      <c r="A3348" s="311">
        <v>3347</v>
      </c>
      <c r="B3348" s="396" t="s">
        <v>6654</v>
      </c>
      <c r="C3348" s="396" t="s">
        <v>6148</v>
      </c>
      <c r="D3348" s="396" t="s">
        <v>6652</v>
      </c>
      <c r="E3348" s="396" t="s">
        <v>6653</v>
      </c>
      <c r="F3348" s="396" t="s">
        <v>6635</v>
      </c>
    </row>
    <row r="3349">
      <c r="A3349" s="311">
        <v>3348</v>
      </c>
      <c r="B3349" s="396" t="s">
        <v>6655</v>
      </c>
      <c r="C3349" s="396" t="s">
        <v>6656</v>
      </c>
      <c r="D3349" s="396" t="s">
        <v>6652</v>
      </c>
      <c r="E3349" s="396" t="s">
        <v>6653</v>
      </c>
      <c r="F3349" s="396" t="s">
        <v>6635</v>
      </c>
    </row>
    <row r="3350">
      <c r="A3350" s="311">
        <v>3349</v>
      </c>
      <c r="B3350" s="396" t="s">
        <v>6657</v>
      </c>
      <c r="C3350" s="396" t="s">
        <v>6658</v>
      </c>
      <c r="D3350" s="396" t="s">
        <v>6652</v>
      </c>
      <c r="E3350" s="396" t="s">
        <v>6653</v>
      </c>
      <c r="F3350" s="396" t="s">
        <v>6635</v>
      </c>
    </row>
    <row r="3351">
      <c r="A3351" s="311">
        <v>3350</v>
      </c>
      <c r="B3351" s="396" t="s">
        <v>6659</v>
      </c>
      <c r="C3351" s="396" t="s">
        <v>6660</v>
      </c>
      <c r="D3351" s="396" t="s">
        <v>6652</v>
      </c>
      <c r="E3351" s="396" t="s">
        <v>6653</v>
      </c>
      <c r="F3351" s="396" t="s">
        <v>6635</v>
      </c>
    </row>
    <row r="3352">
      <c r="A3352" s="311">
        <v>3351</v>
      </c>
      <c r="B3352" s="396" t="s">
        <v>6661</v>
      </c>
      <c r="C3352" s="396" t="s">
        <v>42</v>
      </c>
      <c r="D3352" s="396" t="s">
        <v>6652</v>
      </c>
      <c r="E3352" s="396" t="s">
        <v>6653</v>
      </c>
      <c r="F3352" s="396" t="s">
        <v>6635</v>
      </c>
    </row>
    <row r="3353">
      <c r="A3353" s="311">
        <v>3352</v>
      </c>
      <c r="B3353" s="396" t="s">
        <v>6662</v>
      </c>
      <c r="C3353" s="396" t="s">
        <v>6663</v>
      </c>
      <c r="D3353" s="396" t="s">
        <v>6652</v>
      </c>
      <c r="E3353" s="396" t="s">
        <v>6653</v>
      </c>
      <c r="F3353" s="396" t="s">
        <v>6635</v>
      </c>
    </row>
    <row r="3354">
      <c r="A3354" s="311">
        <v>3353</v>
      </c>
      <c r="B3354" s="396" t="s">
        <v>6664</v>
      </c>
      <c r="C3354" s="396" t="s">
        <v>4938</v>
      </c>
      <c r="D3354" s="396" t="s">
        <v>6652</v>
      </c>
      <c r="E3354" s="396" t="s">
        <v>6653</v>
      </c>
      <c r="F3354" s="396" t="s">
        <v>6635</v>
      </c>
    </row>
    <row r="3355">
      <c r="A3355" s="311">
        <v>3354</v>
      </c>
      <c r="B3355" s="396" t="s">
        <v>6665</v>
      </c>
      <c r="C3355" s="396" t="s">
        <v>6666</v>
      </c>
      <c r="D3355" s="396" t="s">
        <v>6652</v>
      </c>
      <c r="E3355" s="396" t="s">
        <v>6653</v>
      </c>
      <c r="F3355" s="396" t="s">
        <v>6635</v>
      </c>
    </row>
    <row r="3356">
      <c r="A3356" s="311">
        <v>3355</v>
      </c>
      <c r="B3356" s="396" t="s">
        <v>6667</v>
      </c>
      <c r="C3356" s="396" t="s">
        <v>6668</v>
      </c>
      <c r="D3356" s="396" t="s">
        <v>6652</v>
      </c>
      <c r="E3356" s="396" t="s">
        <v>6653</v>
      </c>
      <c r="F3356" s="396" t="s">
        <v>6635</v>
      </c>
    </row>
    <row r="3357">
      <c r="A3357" s="311">
        <v>3356</v>
      </c>
      <c r="B3357" s="396" t="s">
        <v>6669</v>
      </c>
      <c r="C3357" s="396" t="s">
        <v>6670</v>
      </c>
      <c r="D3357" s="396" t="s">
        <v>6671</v>
      </c>
      <c r="E3357" s="396" t="s">
        <v>6672</v>
      </c>
      <c r="F3357" s="396" t="s">
        <v>6635</v>
      </c>
    </row>
    <row r="3358">
      <c r="A3358" s="311">
        <v>3357</v>
      </c>
      <c r="B3358" s="396" t="s">
        <v>6673</v>
      </c>
      <c r="C3358" s="396" t="s">
        <v>4732</v>
      </c>
      <c r="D3358" s="396" t="s">
        <v>6671</v>
      </c>
      <c r="E3358" s="396" t="s">
        <v>6672</v>
      </c>
      <c r="F3358" s="396" t="s">
        <v>6635</v>
      </c>
    </row>
    <row r="3359">
      <c r="A3359" s="311">
        <v>3358</v>
      </c>
      <c r="B3359" s="396" t="s">
        <v>6674</v>
      </c>
      <c r="C3359" s="396" t="s">
        <v>814</v>
      </c>
      <c r="D3359" s="396" t="s">
        <v>6671</v>
      </c>
      <c r="E3359" s="396" t="s">
        <v>6672</v>
      </c>
      <c r="F3359" s="396" t="s">
        <v>6635</v>
      </c>
    </row>
    <row r="3360">
      <c r="A3360" s="311">
        <v>3359</v>
      </c>
      <c r="B3360" s="396" t="s">
        <v>6675</v>
      </c>
      <c r="C3360" s="396" t="s">
        <v>6676</v>
      </c>
      <c r="D3360" s="396" t="s">
        <v>6671</v>
      </c>
      <c r="E3360" s="396" t="s">
        <v>6672</v>
      </c>
      <c r="F3360" s="396" t="s">
        <v>6635</v>
      </c>
    </row>
    <row r="3361">
      <c r="A3361" s="311">
        <v>3360</v>
      </c>
      <c r="B3361" s="396" t="s">
        <v>6677</v>
      </c>
      <c r="C3361" s="396" t="s">
        <v>6678</v>
      </c>
      <c r="D3361" s="396" t="s">
        <v>6671</v>
      </c>
      <c r="E3361" s="396" t="s">
        <v>6672</v>
      </c>
      <c r="F3361" s="396" t="s">
        <v>6635</v>
      </c>
    </row>
    <row r="3362">
      <c r="A3362" s="311">
        <v>3361</v>
      </c>
      <c r="B3362" s="396" t="s">
        <v>6679</v>
      </c>
      <c r="C3362" s="396" t="s">
        <v>639</v>
      </c>
      <c r="D3362" s="396" t="s">
        <v>6671</v>
      </c>
      <c r="E3362" s="396" t="s">
        <v>6672</v>
      </c>
      <c r="F3362" s="396" t="s">
        <v>6635</v>
      </c>
    </row>
    <row r="3363">
      <c r="A3363" s="311">
        <v>3362</v>
      </c>
      <c r="B3363" s="396" t="s">
        <v>6680</v>
      </c>
      <c r="C3363" s="396" t="s">
        <v>6681</v>
      </c>
      <c r="D3363" s="396" t="s">
        <v>6671</v>
      </c>
      <c r="E3363" s="396" t="s">
        <v>6672</v>
      </c>
      <c r="F3363" s="396" t="s">
        <v>6635</v>
      </c>
    </row>
    <row r="3364">
      <c r="A3364" s="311">
        <v>3363</v>
      </c>
      <c r="B3364" s="396" t="s">
        <v>6682</v>
      </c>
      <c r="C3364" s="396" t="s">
        <v>6683</v>
      </c>
      <c r="D3364" s="396" t="s">
        <v>6671</v>
      </c>
      <c r="E3364" s="396" t="s">
        <v>6672</v>
      </c>
      <c r="F3364" s="396" t="s">
        <v>6635</v>
      </c>
    </row>
    <row r="3365">
      <c r="A3365" s="311">
        <v>3364</v>
      </c>
      <c r="B3365" s="396" t="s">
        <v>6684</v>
      </c>
      <c r="C3365" s="396" t="s">
        <v>2787</v>
      </c>
      <c r="D3365" s="396" t="s">
        <v>6671</v>
      </c>
      <c r="E3365" s="396" t="s">
        <v>6672</v>
      </c>
      <c r="F3365" s="396" t="s">
        <v>6635</v>
      </c>
    </row>
    <row r="3366">
      <c r="A3366" s="311">
        <v>3365</v>
      </c>
      <c r="B3366" s="396" t="s">
        <v>6685</v>
      </c>
      <c r="C3366" s="396" t="s">
        <v>6686</v>
      </c>
      <c r="D3366" s="396" t="s">
        <v>6671</v>
      </c>
      <c r="E3366" s="396" t="s">
        <v>6672</v>
      </c>
      <c r="F3366" s="396" t="s">
        <v>6635</v>
      </c>
    </row>
    <row r="3367">
      <c r="A3367" s="311">
        <v>3366</v>
      </c>
      <c r="B3367" s="396" t="s">
        <v>6687</v>
      </c>
      <c r="C3367" s="396" t="s">
        <v>3795</v>
      </c>
      <c r="D3367" s="396" t="s">
        <v>6671</v>
      </c>
      <c r="E3367" s="396" t="s">
        <v>6672</v>
      </c>
      <c r="F3367" s="396" t="s">
        <v>6635</v>
      </c>
    </row>
    <row r="3368">
      <c r="A3368" s="311">
        <v>3367</v>
      </c>
      <c r="B3368" s="396" t="s">
        <v>6688</v>
      </c>
      <c r="C3368" s="396" t="s">
        <v>6689</v>
      </c>
      <c r="D3368" s="396" t="s">
        <v>6671</v>
      </c>
      <c r="E3368" s="396" t="s">
        <v>6672</v>
      </c>
      <c r="F3368" s="396" t="s">
        <v>6635</v>
      </c>
    </row>
    <row r="3369">
      <c r="A3369" s="311">
        <v>3368</v>
      </c>
      <c r="B3369" s="396" t="s">
        <v>6690</v>
      </c>
      <c r="C3369" s="396" t="s">
        <v>6691</v>
      </c>
      <c r="D3369" s="396" t="s">
        <v>6671</v>
      </c>
      <c r="E3369" s="396" t="s">
        <v>6672</v>
      </c>
      <c r="F3369" s="396" t="s">
        <v>6635</v>
      </c>
    </row>
    <row r="3370">
      <c r="A3370" s="311">
        <v>3369</v>
      </c>
      <c r="B3370" s="396" t="s">
        <v>6692</v>
      </c>
      <c r="C3370" s="396" t="s">
        <v>6693</v>
      </c>
      <c r="D3370" s="396" t="s">
        <v>6671</v>
      </c>
      <c r="E3370" s="396" t="s">
        <v>6672</v>
      </c>
      <c r="F3370" s="396" t="s">
        <v>6635</v>
      </c>
    </row>
    <row r="3371">
      <c r="A3371" s="311">
        <v>3370</v>
      </c>
      <c r="B3371" s="396" t="s">
        <v>6694</v>
      </c>
      <c r="C3371" s="396" t="s">
        <v>6695</v>
      </c>
      <c r="D3371" s="396" t="s">
        <v>6671</v>
      </c>
      <c r="E3371" s="396" t="s">
        <v>6672</v>
      </c>
      <c r="F3371" s="396" t="s">
        <v>6635</v>
      </c>
    </row>
    <row r="3372">
      <c r="A3372" s="311">
        <v>3371</v>
      </c>
      <c r="B3372" s="396" t="s">
        <v>6696</v>
      </c>
      <c r="C3372" s="396" t="s">
        <v>6697</v>
      </c>
      <c r="D3372" s="396" t="s">
        <v>6671</v>
      </c>
      <c r="E3372" s="396" t="s">
        <v>6672</v>
      </c>
      <c r="F3372" s="396" t="s">
        <v>6635</v>
      </c>
    </row>
    <row r="3373">
      <c r="A3373" s="311">
        <v>3372</v>
      </c>
      <c r="B3373" s="396" t="s">
        <v>6698</v>
      </c>
      <c r="C3373" s="396" t="s">
        <v>6699</v>
      </c>
      <c r="D3373" s="396" t="s">
        <v>6671</v>
      </c>
      <c r="E3373" s="396" t="s">
        <v>6672</v>
      </c>
      <c r="F3373" s="396" t="s">
        <v>6635</v>
      </c>
    </row>
    <row r="3374">
      <c r="A3374" s="311">
        <v>3373</v>
      </c>
      <c r="B3374" s="396" t="s">
        <v>6700</v>
      </c>
      <c r="C3374" s="396" t="s">
        <v>6701</v>
      </c>
      <c r="D3374" s="396" t="s">
        <v>6671</v>
      </c>
      <c r="E3374" s="396" t="s">
        <v>6672</v>
      </c>
      <c r="F3374" s="396" t="s">
        <v>6635</v>
      </c>
    </row>
    <row r="3375">
      <c r="A3375" s="311">
        <v>3374</v>
      </c>
      <c r="B3375" s="396" t="s">
        <v>6702</v>
      </c>
      <c r="C3375" s="396" t="s">
        <v>6703</v>
      </c>
      <c r="D3375" s="396" t="s">
        <v>6671</v>
      </c>
      <c r="E3375" s="396" t="s">
        <v>6672</v>
      </c>
      <c r="F3375" s="396" t="s">
        <v>6635</v>
      </c>
    </row>
    <row r="3376">
      <c r="A3376" s="311">
        <v>3375</v>
      </c>
      <c r="B3376" s="396" t="s">
        <v>6704</v>
      </c>
      <c r="C3376" s="396" t="s">
        <v>614</v>
      </c>
      <c r="D3376" s="396" t="s">
        <v>6671</v>
      </c>
      <c r="E3376" s="396" t="s">
        <v>6672</v>
      </c>
      <c r="F3376" s="396" t="s">
        <v>6635</v>
      </c>
    </row>
    <row r="3377">
      <c r="A3377" s="311">
        <v>3376</v>
      </c>
      <c r="B3377" s="396" t="s">
        <v>6705</v>
      </c>
      <c r="C3377" s="396" t="s">
        <v>6706</v>
      </c>
      <c r="D3377" s="396" t="s">
        <v>6707</v>
      </c>
      <c r="E3377" s="396" t="s">
        <v>6708</v>
      </c>
      <c r="F3377" s="396" t="s">
        <v>6635</v>
      </c>
    </row>
    <row r="3378">
      <c r="A3378" s="311">
        <v>3377</v>
      </c>
      <c r="B3378" s="396" t="s">
        <v>6709</v>
      </c>
      <c r="C3378" s="396" t="s">
        <v>6710</v>
      </c>
      <c r="D3378" s="396" t="s">
        <v>6707</v>
      </c>
      <c r="E3378" s="396" t="s">
        <v>6708</v>
      </c>
      <c r="F3378" s="396" t="s">
        <v>6635</v>
      </c>
    </row>
    <row r="3379">
      <c r="A3379" s="311">
        <v>3378</v>
      </c>
      <c r="B3379" s="396" t="s">
        <v>6711</v>
      </c>
      <c r="C3379" s="396" t="s">
        <v>6712</v>
      </c>
      <c r="D3379" s="396" t="s">
        <v>6707</v>
      </c>
      <c r="E3379" s="396" t="s">
        <v>6708</v>
      </c>
      <c r="F3379" s="396" t="s">
        <v>6635</v>
      </c>
    </row>
    <row r="3380">
      <c r="A3380" s="311">
        <v>3379</v>
      </c>
      <c r="B3380" s="396" t="s">
        <v>6713</v>
      </c>
      <c r="C3380" s="396" t="s">
        <v>6714</v>
      </c>
      <c r="D3380" s="396" t="s">
        <v>6707</v>
      </c>
      <c r="E3380" s="396" t="s">
        <v>6708</v>
      </c>
      <c r="F3380" s="396" t="s">
        <v>6635</v>
      </c>
    </row>
    <row r="3381">
      <c r="A3381" s="311">
        <v>3380</v>
      </c>
      <c r="B3381" s="396" t="s">
        <v>6715</v>
      </c>
      <c r="C3381" s="396" t="s">
        <v>6716</v>
      </c>
      <c r="D3381" s="396" t="s">
        <v>6707</v>
      </c>
      <c r="E3381" s="396" t="s">
        <v>6708</v>
      </c>
      <c r="F3381" s="396" t="s">
        <v>6635</v>
      </c>
    </row>
    <row r="3382">
      <c r="A3382" s="311">
        <v>3381</v>
      </c>
      <c r="B3382" s="396" t="s">
        <v>6717</v>
      </c>
      <c r="C3382" s="396" t="s">
        <v>6718</v>
      </c>
      <c r="D3382" s="396" t="s">
        <v>6707</v>
      </c>
      <c r="E3382" s="396" t="s">
        <v>6708</v>
      </c>
      <c r="F3382" s="396" t="s">
        <v>6635</v>
      </c>
    </row>
    <row r="3383">
      <c r="A3383" s="311">
        <v>3382</v>
      </c>
      <c r="B3383" s="396" t="s">
        <v>6719</v>
      </c>
      <c r="C3383" s="396" t="s">
        <v>6720</v>
      </c>
      <c r="D3383" s="396" t="s">
        <v>6707</v>
      </c>
      <c r="E3383" s="396" t="s">
        <v>6708</v>
      </c>
      <c r="F3383" s="396" t="s">
        <v>6635</v>
      </c>
    </row>
    <row r="3384">
      <c r="A3384" s="311">
        <v>3383</v>
      </c>
      <c r="B3384" s="396" t="s">
        <v>6721</v>
      </c>
      <c r="C3384" s="396" t="s">
        <v>1362</v>
      </c>
      <c r="D3384" s="396" t="s">
        <v>6707</v>
      </c>
      <c r="E3384" s="396" t="s">
        <v>6708</v>
      </c>
      <c r="F3384" s="396" t="s">
        <v>6635</v>
      </c>
    </row>
    <row r="3385">
      <c r="A3385" s="311">
        <v>3384</v>
      </c>
      <c r="B3385" s="396" t="s">
        <v>6722</v>
      </c>
      <c r="C3385" s="396" t="s">
        <v>6723</v>
      </c>
      <c r="D3385" s="396" t="s">
        <v>6707</v>
      </c>
      <c r="E3385" s="396" t="s">
        <v>6708</v>
      </c>
      <c r="F3385" s="396" t="s">
        <v>6635</v>
      </c>
    </row>
    <row r="3386">
      <c r="A3386" s="311">
        <v>3385</v>
      </c>
      <c r="B3386" s="396" t="s">
        <v>6724</v>
      </c>
      <c r="C3386" s="396" t="s">
        <v>6725</v>
      </c>
      <c r="D3386" s="396" t="s">
        <v>6707</v>
      </c>
      <c r="E3386" s="396" t="s">
        <v>6708</v>
      </c>
      <c r="F3386" s="396" t="s">
        <v>6635</v>
      </c>
    </row>
    <row r="3387">
      <c r="A3387" s="311">
        <v>3386</v>
      </c>
      <c r="B3387" s="396" t="s">
        <v>6726</v>
      </c>
      <c r="C3387" s="396" t="s">
        <v>6727</v>
      </c>
      <c r="D3387" s="396" t="s">
        <v>6707</v>
      </c>
      <c r="E3387" s="396" t="s">
        <v>6708</v>
      </c>
      <c r="F3387" s="396" t="s">
        <v>6635</v>
      </c>
    </row>
    <row r="3388">
      <c r="A3388" s="311">
        <v>3387</v>
      </c>
      <c r="B3388" s="396" t="s">
        <v>6728</v>
      </c>
      <c r="C3388" s="396" t="s">
        <v>4032</v>
      </c>
      <c r="D3388" s="396" t="s">
        <v>6707</v>
      </c>
      <c r="E3388" s="396" t="s">
        <v>6708</v>
      </c>
      <c r="F3388" s="396" t="s">
        <v>6635</v>
      </c>
    </row>
    <row r="3389">
      <c r="A3389" s="311">
        <v>3388</v>
      </c>
      <c r="B3389" s="396" t="s">
        <v>6729</v>
      </c>
      <c r="C3389" s="396" t="s">
        <v>4241</v>
      </c>
      <c r="D3389" s="396" t="s">
        <v>6707</v>
      </c>
      <c r="E3389" s="396" t="s">
        <v>6708</v>
      </c>
      <c r="F3389" s="396" t="s">
        <v>6635</v>
      </c>
    </row>
    <row r="3390">
      <c r="A3390" s="311">
        <v>3389</v>
      </c>
      <c r="B3390" s="396" t="s">
        <v>6730</v>
      </c>
      <c r="C3390" s="396" t="s">
        <v>6731</v>
      </c>
      <c r="D3390" s="396" t="s">
        <v>6732</v>
      </c>
      <c r="E3390" s="396" t="s">
        <v>6733</v>
      </c>
      <c r="F3390" s="396" t="s">
        <v>6635</v>
      </c>
    </row>
    <row r="3391">
      <c r="A3391" s="311">
        <v>3390</v>
      </c>
      <c r="B3391" s="396" t="s">
        <v>6734</v>
      </c>
      <c r="C3391" s="396" t="s">
        <v>4282</v>
      </c>
      <c r="D3391" s="396" t="s">
        <v>6732</v>
      </c>
      <c r="E3391" s="396" t="s">
        <v>6733</v>
      </c>
      <c r="F3391" s="396" t="s">
        <v>6635</v>
      </c>
    </row>
    <row r="3392">
      <c r="A3392" s="311">
        <v>3391</v>
      </c>
      <c r="B3392" s="396" t="s">
        <v>6735</v>
      </c>
      <c r="C3392" s="396" t="s">
        <v>6736</v>
      </c>
      <c r="D3392" s="396" t="s">
        <v>6732</v>
      </c>
      <c r="E3392" s="396" t="s">
        <v>6733</v>
      </c>
      <c r="F3392" s="396" t="s">
        <v>6635</v>
      </c>
    </row>
    <row r="3393">
      <c r="A3393" s="311">
        <v>3392</v>
      </c>
      <c r="B3393" s="396" t="s">
        <v>6737</v>
      </c>
      <c r="C3393" s="396" t="s">
        <v>6738</v>
      </c>
      <c r="D3393" s="396" t="s">
        <v>6732</v>
      </c>
      <c r="E3393" s="396" t="s">
        <v>6733</v>
      </c>
      <c r="F3393" s="396" t="s">
        <v>6635</v>
      </c>
    </row>
    <row r="3394">
      <c r="A3394" s="311">
        <v>3393</v>
      </c>
      <c r="B3394" s="396" t="s">
        <v>6739</v>
      </c>
      <c r="C3394" s="396" t="s">
        <v>6740</v>
      </c>
      <c r="D3394" s="396" t="s">
        <v>6732</v>
      </c>
      <c r="E3394" s="396" t="s">
        <v>6733</v>
      </c>
      <c r="F3394" s="396" t="s">
        <v>6635</v>
      </c>
    </row>
    <row r="3395">
      <c r="A3395" s="311">
        <v>3394</v>
      </c>
      <c r="B3395" s="396" t="s">
        <v>6741</v>
      </c>
      <c r="C3395" s="396" t="s">
        <v>6742</v>
      </c>
      <c r="D3395" s="396" t="s">
        <v>6732</v>
      </c>
      <c r="E3395" s="396" t="s">
        <v>6733</v>
      </c>
      <c r="F3395" s="396" t="s">
        <v>6635</v>
      </c>
    </row>
    <row r="3396">
      <c r="A3396" s="311">
        <v>3395</v>
      </c>
      <c r="B3396" s="396" t="s">
        <v>6743</v>
      </c>
      <c r="C3396" s="396" t="s">
        <v>6744</v>
      </c>
      <c r="D3396" s="396" t="s">
        <v>6732</v>
      </c>
      <c r="E3396" s="396" t="s">
        <v>6733</v>
      </c>
      <c r="F3396" s="396" t="s">
        <v>6635</v>
      </c>
    </row>
    <row r="3397">
      <c r="A3397" s="311">
        <v>3396</v>
      </c>
      <c r="B3397" s="396" t="s">
        <v>6745</v>
      </c>
      <c r="C3397" s="396" t="s">
        <v>5193</v>
      </c>
      <c r="D3397" s="396" t="s">
        <v>6732</v>
      </c>
      <c r="E3397" s="396" t="s">
        <v>6733</v>
      </c>
      <c r="F3397" s="396" t="s">
        <v>6635</v>
      </c>
    </row>
    <row r="3398">
      <c r="A3398" s="311">
        <v>3397</v>
      </c>
      <c r="B3398" s="396" t="s">
        <v>6746</v>
      </c>
      <c r="C3398" s="396" t="s">
        <v>671</v>
      </c>
      <c r="D3398" s="396" t="s">
        <v>6732</v>
      </c>
      <c r="E3398" s="396" t="s">
        <v>6733</v>
      </c>
      <c r="F3398" s="396" t="s">
        <v>6635</v>
      </c>
    </row>
    <row r="3399">
      <c r="A3399" s="311">
        <v>3398</v>
      </c>
      <c r="B3399" s="396" t="s">
        <v>6747</v>
      </c>
      <c r="C3399" s="396" t="s">
        <v>6748</v>
      </c>
      <c r="D3399" s="396" t="s">
        <v>6749</v>
      </c>
      <c r="E3399" s="396" t="s">
        <v>6750</v>
      </c>
      <c r="F3399" s="396" t="s">
        <v>6635</v>
      </c>
    </row>
    <row r="3400">
      <c r="A3400" s="311">
        <v>3399</v>
      </c>
      <c r="B3400" s="396" t="s">
        <v>6751</v>
      </c>
      <c r="C3400" s="396" t="s">
        <v>6752</v>
      </c>
      <c r="D3400" s="396" t="s">
        <v>6749</v>
      </c>
      <c r="E3400" s="396" t="s">
        <v>6750</v>
      </c>
      <c r="F3400" s="396" t="s">
        <v>6635</v>
      </c>
    </row>
    <row r="3401">
      <c r="A3401" s="311">
        <v>3400</v>
      </c>
      <c r="B3401" s="396" t="s">
        <v>6753</v>
      </c>
      <c r="C3401" s="396" t="s">
        <v>6754</v>
      </c>
      <c r="D3401" s="396" t="s">
        <v>6749</v>
      </c>
      <c r="E3401" s="396" t="s">
        <v>6750</v>
      </c>
      <c r="F3401" s="396" t="s">
        <v>6635</v>
      </c>
    </row>
    <row r="3402">
      <c r="A3402" s="311">
        <v>3401</v>
      </c>
      <c r="B3402" s="396" t="s">
        <v>6755</v>
      </c>
      <c r="C3402" s="396" t="s">
        <v>6756</v>
      </c>
      <c r="D3402" s="396" t="s">
        <v>6749</v>
      </c>
      <c r="E3402" s="396" t="s">
        <v>6750</v>
      </c>
      <c r="F3402" s="396" t="s">
        <v>6635</v>
      </c>
    </row>
    <row r="3403">
      <c r="A3403" s="311">
        <v>3402</v>
      </c>
      <c r="B3403" s="396" t="s">
        <v>6757</v>
      </c>
      <c r="C3403" s="396" t="s">
        <v>2538</v>
      </c>
      <c r="D3403" s="396" t="s">
        <v>6749</v>
      </c>
      <c r="E3403" s="396" t="s">
        <v>6750</v>
      </c>
      <c r="F3403" s="396" t="s">
        <v>6635</v>
      </c>
    </row>
    <row r="3404">
      <c r="A3404" s="311">
        <v>3403</v>
      </c>
      <c r="B3404" s="396" t="s">
        <v>6758</v>
      </c>
      <c r="C3404" s="396" t="s">
        <v>1210</v>
      </c>
      <c r="D3404" s="396" t="s">
        <v>6749</v>
      </c>
      <c r="E3404" s="396" t="s">
        <v>6750</v>
      </c>
      <c r="F3404" s="396" t="s">
        <v>6635</v>
      </c>
    </row>
    <row r="3405">
      <c r="A3405" s="311">
        <v>3404</v>
      </c>
      <c r="B3405" s="396" t="s">
        <v>6759</v>
      </c>
      <c r="C3405" s="396" t="s">
        <v>6760</v>
      </c>
      <c r="D3405" s="396" t="s">
        <v>6749</v>
      </c>
      <c r="E3405" s="396" t="s">
        <v>6750</v>
      </c>
      <c r="F3405" s="396" t="s">
        <v>6635</v>
      </c>
    </row>
    <row r="3406">
      <c r="A3406" s="311">
        <v>3405</v>
      </c>
      <c r="B3406" s="396" t="s">
        <v>6761</v>
      </c>
      <c r="C3406" s="396" t="s">
        <v>6762</v>
      </c>
      <c r="D3406" s="396" t="s">
        <v>6749</v>
      </c>
      <c r="E3406" s="396" t="s">
        <v>6750</v>
      </c>
      <c r="F3406" s="396" t="s">
        <v>6635</v>
      </c>
    </row>
    <row r="3407">
      <c r="A3407" s="311">
        <v>3406</v>
      </c>
      <c r="B3407" s="396" t="s">
        <v>6763</v>
      </c>
      <c r="C3407" s="396" t="s">
        <v>6764</v>
      </c>
      <c r="D3407" s="396" t="s">
        <v>6749</v>
      </c>
      <c r="E3407" s="396" t="s">
        <v>6750</v>
      </c>
      <c r="F3407" s="396" t="s">
        <v>6635</v>
      </c>
    </row>
    <row r="3408">
      <c r="A3408" s="311">
        <v>3407</v>
      </c>
      <c r="B3408" s="396" t="s">
        <v>6765</v>
      </c>
      <c r="C3408" s="396" t="s">
        <v>1409</v>
      </c>
      <c r="D3408" s="396" t="s">
        <v>6749</v>
      </c>
      <c r="E3408" s="396" t="s">
        <v>6750</v>
      </c>
      <c r="F3408" s="396" t="s">
        <v>6635</v>
      </c>
    </row>
    <row r="3409">
      <c r="A3409" s="311">
        <v>3408</v>
      </c>
      <c r="B3409" s="396" t="s">
        <v>6766</v>
      </c>
      <c r="C3409" s="396" t="s">
        <v>3622</v>
      </c>
      <c r="D3409" s="396" t="s">
        <v>6749</v>
      </c>
      <c r="E3409" s="396" t="s">
        <v>6750</v>
      </c>
      <c r="F3409" s="396" t="s">
        <v>6635</v>
      </c>
    </row>
    <row r="3410">
      <c r="A3410" s="311">
        <v>3409</v>
      </c>
      <c r="B3410" s="396" t="s">
        <v>6767</v>
      </c>
      <c r="C3410" s="396" t="s">
        <v>6768</v>
      </c>
      <c r="D3410" s="396" t="s">
        <v>6749</v>
      </c>
      <c r="E3410" s="396" t="s">
        <v>6750</v>
      </c>
      <c r="F3410" s="396" t="s">
        <v>6635</v>
      </c>
    </row>
    <row r="3411">
      <c r="A3411" s="311">
        <v>3410</v>
      </c>
      <c r="B3411" s="396" t="s">
        <v>6769</v>
      </c>
      <c r="C3411" s="396" t="s">
        <v>6770</v>
      </c>
      <c r="D3411" s="396" t="s">
        <v>6749</v>
      </c>
      <c r="E3411" s="396" t="s">
        <v>6750</v>
      </c>
      <c r="F3411" s="396" t="s">
        <v>6635</v>
      </c>
    </row>
    <row r="3412">
      <c r="A3412" s="311">
        <v>3411</v>
      </c>
      <c r="B3412" s="396" t="s">
        <v>6771</v>
      </c>
      <c r="C3412" s="396" t="s">
        <v>6772</v>
      </c>
      <c r="D3412" s="396" t="s">
        <v>6773</v>
      </c>
      <c r="E3412" s="396" t="s">
        <v>6774</v>
      </c>
      <c r="F3412" s="396" t="s">
        <v>6635</v>
      </c>
    </row>
    <row r="3413">
      <c r="A3413" s="311">
        <v>3412</v>
      </c>
      <c r="B3413" s="396" t="s">
        <v>6775</v>
      </c>
      <c r="C3413" s="396" t="s">
        <v>6776</v>
      </c>
      <c r="D3413" s="396" t="s">
        <v>6773</v>
      </c>
      <c r="E3413" s="396" t="s">
        <v>6774</v>
      </c>
      <c r="F3413" s="396" t="s">
        <v>6635</v>
      </c>
    </row>
    <row r="3414">
      <c r="A3414" s="311">
        <v>3413</v>
      </c>
      <c r="B3414" s="396" t="s">
        <v>6777</v>
      </c>
      <c r="C3414" s="396" t="s">
        <v>5450</v>
      </c>
      <c r="D3414" s="396" t="s">
        <v>6773</v>
      </c>
      <c r="E3414" s="396" t="s">
        <v>6774</v>
      </c>
      <c r="F3414" s="396" t="s">
        <v>6635</v>
      </c>
    </row>
    <row r="3415">
      <c r="A3415" s="311">
        <v>3414</v>
      </c>
      <c r="B3415" s="396" t="s">
        <v>6778</v>
      </c>
      <c r="C3415" s="396" t="s">
        <v>6779</v>
      </c>
      <c r="D3415" s="396" t="s">
        <v>6773</v>
      </c>
      <c r="E3415" s="396" t="s">
        <v>6774</v>
      </c>
      <c r="F3415" s="396" t="s">
        <v>6635</v>
      </c>
    </row>
    <row r="3416">
      <c r="A3416" s="311">
        <v>3415</v>
      </c>
      <c r="B3416" s="396" t="s">
        <v>6780</v>
      </c>
      <c r="C3416" s="396" t="s">
        <v>6781</v>
      </c>
      <c r="D3416" s="396" t="s">
        <v>6773</v>
      </c>
      <c r="E3416" s="396" t="s">
        <v>6774</v>
      </c>
      <c r="F3416" s="396" t="s">
        <v>6635</v>
      </c>
    </row>
    <row r="3417">
      <c r="A3417" s="311">
        <v>3416</v>
      </c>
      <c r="B3417" s="396" t="s">
        <v>6782</v>
      </c>
      <c r="C3417" s="396" t="s">
        <v>6783</v>
      </c>
      <c r="D3417" s="396" t="s">
        <v>6773</v>
      </c>
      <c r="E3417" s="396" t="s">
        <v>6774</v>
      </c>
      <c r="F3417" s="396" t="s">
        <v>6635</v>
      </c>
    </row>
    <row r="3418">
      <c r="A3418" s="311">
        <v>3417</v>
      </c>
      <c r="B3418" s="396" t="s">
        <v>6784</v>
      </c>
      <c r="C3418" s="396" t="s">
        <v>6785</v>
      </c>
      <c r="D3418" s="396" t="s">
        <v>6773</v>
      </c>
      <c r="E3418" s="396" t="s">
        <v>6774</v>
      </c>
      <c r="F3418" s="396" t="s">
        <v>6635</v>
      </c>
    </row>
    <row r="3419">
      <c r="A3419" s="311">
        <v>3418</v>
      </c>
      <c r="B3419" s="396" t="s">
        <v>6786</v>
      </c>
      <c r="C3419" s="396" t="s">
        <v>6787</v>
      </c>
      <c r="D3419" s="396" t="s">
        <v>6773</v>
      </c>
      <c r="E3419" s="396" t="s">
        <v>6774</v>
      </c>
      <c r="F3419" s="396" t="s">
        <v>6635</v>
      </c>
    </row>
    <row r="3420">
      <c r="A3420" s="311">
        <v>3419</v>
      </c>
      <c r="B3420" s="396" t="s">
        <v>6788</v>
      </c>
      <c r="C3420" s="396" t="s">
        <v>3845</v>
      </c>
      <c r="D3420" s="396" t="s">
        <v>6773</v>
      </c>
      <c r="E3420" s="396" t="s">
        <v>6774</v>
      </c>
      <c r="F3420" s="396" t="s">
        <v>6635</v>
      </c>
    </row>
    <row r="3421">
      <c r="A3421" s="311">
        <v>3420</v>
      </c>
      <c r="B3421" s="396" t="s">
        <v>6789</v>
      </c>
      <c r="C3421" s="396" t="s">
        <v>6790</v>
      </c>
      <c r="D3421" s="396" t="s">
        <v>6773</v>
      </c>
      <c r="E3421" s="396" t="s">
        <v>6774</v>
      </c>
      <c r="F3421" s="396" t="s">
        <v>6635</v>
      </c>
    </row>
    <row r="3422">
      <c r="A3422" s="311">
        <v>3421</v>
      </c>
      <c r="B3422" s="396" t="s">
        <v>6791</v>
      </c>
      <c r="C3422" s="396" t="s">
        <v>6792</v>
      </c>
      <c r="D3422" s="396" t="s">
        <v>6773</v>
      </c>
      <c r="E3422" s="396" t="s">
        <v>6774</v>
      </c>
      <c r="F3422" s="396" t="s">
        <v>6635</v>
      </c>
    </row>
    <row r="3423">
      <c r="A3423" s="311">
        <v>3422</v>
      </c>
      <c r="B3423" s="396" t="s">
        <v>6793</v>
      </c>
      <c r="C3423" s="396" t="s">
        <v>6794</v>
      </c>
      <c r="D3423" s="396" t="s">
        <v>6773</v>
      </c>
      <c r="E3423" s="396" t="s">
        <v>6774</v>
      </c>
      <c r="F3423" s="396" t="s">
        <v>6635</v>
      </c>
    </row>
    <row r="3424">
      <c r="A3424" s="311">
        <v>3423</v>
      </c>
      <c r="B3424" s="396" t="s">
        <v>6795</v>
      </c>
      <c r="C3424" s="396" t="s">
        <v>6796</v>
      </c>
      <c r="D3424" s="396" t="s">
        <v>6773</v>
      </c>
      <c r="E3424" s="396" t="s">
        <v>6774</v>
      </c>
      <c r="F3424" s="396" t="s">
        <v>6635</v>
      </c>
    </row>
    <row r="3425">
      <c r="A3425" s="311">
        <v>3424</v>
      </c>
      <c r="B3425" s="396" t="s">
        <v>6797</v>
      </c>
      <c r="C3425" s="396" t="s">
        <v>994</v>
      </c>
      <c r="D3425" s="396" t="s">
        <v>6773</v>
      </c>
      <c r="E3425" s="396" t="s">
        <v>6774</v>
      </c>
      <c r="F3425" s="396" t="s">
        <v>6635</v>
      </c>
    </row>
    <row r="3426">
      <c r="A3426" s="311">
        <v>3425</v>
      </c>
      <c r="B3426" s="396" t="s">
        <v>6798</v>
      </c>
      <c r="C3426" s="396" t="s">
        <v>6799</v>
      </c>
      <c r="D3426" s="396" t="s">
        <v>6773</v>
      </c>
      <c r="E3426" s="396" t="s">
        <v>6774</v>
      </c>
      <c r="F3426" s="396" t="s">
        <v>6635</v>
      </c>
    </row>
    <row r="3427">
      <c r="A3427" s="311">
        <v>3426</v>
      </c>
      <c r="B3427" s="396" t="s">
        <v>6800</v>
      </c>
      <c r="C3427" s="396" t="s">
        <v>6801</v>
      </c>
      <c r="D3427" s="396" t="s">
        <v>6773</v>
      </c>
      <c r="E3427" s="396" t="s">
        <v>6774</v>
      </c>
      <c r="F3427" s="396" t="s">
        <v>6635</v>
      </c>
    </row>
    <row r="3428">
      <c r="A3428" s="311">
        <v>3427</v>
      </c>
      <c r="B3428" s="396" t="s">
        <v>6802</v>
      </c>
      <c r="C3428" s="396" t="s">
        <v>2356</v>
      </c>
      <c r="D3428" s="396" t="s">
        <v>6773</v>
      </c>
      <c r="E3428" s="396" t="s">
        <v>6774</v>
      </c>
      <c r="F3428" s="396" t="s">
        <v>6635</v>
      </c>
    </row>
    <row r="3429">
      <c r="A3429" s="311">
        <v>3428</v>
      </c>
      <c r="B3429" s="396" t="s">
        <v>6803</v>
      </c>
      <c r="C3429" s="396" t="s">
        <v>6804</v>
      </c>
      <c r="D3429" s="396" t="s">
        <v>6805</v>
      </c>
      <c r="E3429" s="396" t="s">
        <v>6806</v>
      </c>
      <c r="F3429" s="396" t="s">
        <v>6635</v>
      </c>
    </row>
    <row r="3430">
      <c r="A3430" s="311">
        <v>3429</v>
      </c>
      <c r="B3430" s="396" t="s">
        <v>6807</v>
      </c>
      <c r="C3430" s="396" t="s">
        <v>6808</v>
      </c>
      <c r="D3430" s="396" t="s">
        <v>6805</v>
      </c>
      <c r="E3430" s="396" t="s">
        <v>6806</v>
      </c>
      <c r="F3430" s="396" t="s">
        <v>6635</v>
      </c>
    </row>
    <row r="3431">
      <c r="A3431" s="311">
        <v>3430</v>
      </c>
      <c r="B3431" s="396" t="s">
        <v>6809</v>
      </c>
      <c r="C3431" s="396" t="s">
        <v>848</v>
      </c>
      <c r="D3431" s="396" t="s">
        <v>6805</v>
      </c>
      <c r="E3431" s="396" t="s">
        <v>6806</v>
      </c>
      <c r="F3431" s="396" t="s">
        <v>6635</v>
      </c>
    </row>
    <row r="3432">
      <c r="A3432" s="311">
        <v>3431</v>
      </c>
      <c r="B3432" s="396" t="s">
        <v>6810</v>
      </c>
      <c r="C3432" s="396" t="s">
        <v>6811</v>
      </c>
      <c r="D3432" s="396" t="s">
        <v>6805</v>
      </c>
      <c r="E3432" s="396" t="s">
        <v>6806</v>
      </c>
      <c r="F3432" s="396" t="s">
        <v>6635</v>
      </c>
    </row>
    <row r="3433">
      <c r="A3433" s="311">
        <v>3432</v>
      </c>
      <c r="B3433" s="396" t="s">
        <v>6812</v>
      </c>
      <c r="C3433" s="396" t="s">
        <v>5798</v>
      </c>
      <c r="D3433" s="396" t="s">
        <v>6805</v>
      </c>
      <c r="E3433" s="396" t="s">
        <v>6806</v>
      </c>
      <c r="F3433" s="396" t="s">
        <v>6635</v>
      </c>
    </row>
    <row r="3434">
      <c r="A3434" s="311">
        <v>3433</v>
      </c>
      <c r="B3434" s="396" t="s">
        <v>6813</v>
      </c>
      <c r="C3434" s="396" t="s">
        <v>2364</v>
      </c>
      <c r="D3434" s="396" t="s">
        <v>6805</v>
      </c>
      <c r="E3434" s="396" t="s">
        <v>6806</v>
      </c>
      <c r="F3434" s="396" t="s">
        <v>6635</v>
      </c>
    </row>
    <row r="3435">
      <c r="A3435" s="311">
        <v>3434</v>
      </c>
      <c r="B3435" s="396" t="s">
        <v>6814</v>
      </c>
      <c r="C3435" s="396" t="s">
        <v>6815</v>
      </c>
      <c r="D3435" s="396" t="s">
        <v>6805</v>
      </c>
      <c r="E3435" s="396" t="s">
        <v>6806</v>
      </c>
      <c r="F3435" s="396" t="s">
        <v>6635</v>
      </c>
    </row>
    <row r="3436">
      <c r="A3436" s="311">
        <v>3435</v>
      </c>
      <c r="B3436" s="396" t="s">
        <v>6816</v>
      </c>
      <c r="C3436" s="396" t="s">
        <v>6817</v>
      </c>
      <c r="D3436" s="396" t="s">
        <v>6805</v>
      </c>
      <c r="E3436" s="396" t="s">
        <v>6806</v>
      </c>
      <c r="F3436" s="396" t="s">
        <v>6635</v>
      </c>
    </row>
    <row r="3437">
      <c r="A3437" s="311">
        <v>3436</v>
      </c>
      <c r="B3437" s="396" t="s">
        <v>6818</v>
      </c>
      <c r="C3437" s="396" t="s">
        <v>854</v>
      </c>
      <c r="D3437" s="396" t="s">
        <v>6805</v>
      </c>
      <c r="E3437" s="396" t="s">
        <v>6806</v>
      </c>
      <c r="F3437" s="396" t="s">
        <v>6635</v>
      </c>
    </row>
    <row r="3438">
      <c r="A3438" s="311">
        <v>3437</v>
      </c>
      <c r="B3438" s="396" t="s">
        <v>6819</v>
      </c>
      <c r="C3438" s="396" t="s">
        <v>926</v>
      </c>
      <c r="D3438" s="396" t="s">
        <v>6805</v>
      </c>
      <c r="E3438" s="396" t="s">
        <v>6806</v>
      </c>
      <c r="F3438" s="396" t="s">
        <v>6635</v>
      </c>
    </row>
    <row r="3439">
      <c r="A3439" s="311">
        <v>3438</v>
      </c>
      <c r="B3439" s="396" t="s">
        <v>6820</v>
      </c>
      <c r="C3439" s="396" t="s">
        <v>6821</v>
      </c>
      <c r="D3439" s="396" t="s">
        <v>6805</v>
      </c>
      <c r="E3439" s="396" t="s">
        <v>6806</v>
      </c>
      <c r="F3439" s="396" t="s">
        <v>6635</v>
      </c>
    </row>
    <row r="3440">
      <c r="A3440" s="311">
        <v>3439</v>
      </c>
      <c r="B3440" s="396" t="s">
        <v>6822</v>
      </c>
      <c r="C3440" s="396" t="s">
        <v>6823</v>
      </c>
      <c r="D3440" s="396" t="s">
        <v>6805</v>
      </c>
      <c r="E3440" s="396" t="s">
        <v>6806</v>
      </c>
      <c r="F3440" s="396" t="s">
        <v>6635</v>
      </c>
    </row>
    <row r="3441">
      <c r="A3441" s="311">
        <v>3440</v>
      </c>
      <c r="B3441" s="396" t="s">
        <v>6824</v>
      </c>
      <c r="C3441" s="396" t="s">
        <v>6825</v>
      </c>
      <c r="D3441" s="396" t="s">
        <v>6805</v>
      </c>
      <c r="E3441" s="396" t="s">
        <v>6806</v>
      </c>
      <c r="F3441" s="396" t="s">
        <v>6635</v>
      </c>
    </row>
    <row r="3442">
      <c r="A3442" s="311">
        <v>3441</v>
      </c>
      <c r="B3442" s="396" t="s">
        <v>6826</v>
      </c>
      <c r="C3442" s="396" t="s">
        <v>6827</v>
      </c>
      <c r="D3442" s="396" t="s">
        <v>6805</v>
      </c>
      <c r="E3442" s="396" t="s">
        <v>6806</v>
      </c>
      <c r="F3442" s="396" t="s">
        <v>6635</v>
      </c>
    </row>
    <row r="3443">
      <c r="A3443" s="311">
        <v>3442</v>
      </c>
      <c r="B3443" s="396" t="s">
        <v>6828</v>
      </c>
      <c r="C3443" s="396" t="s">
        <v>1950</v>
      </c>
      <c r="D3443" s="396" t="s">
        <v>6805</v>
      </c>
      <c r="E3443" s="396" t="s">
        <v>6806</v>
      </c>
      <c r="F3443" s="396" t="s">
        <v>6635</v>
      </c>
    </row>
    <row r="3444">
      <c r="A3444" s="311">
        <v>3443</v>
      </c>
      <c r="B3444" s="396" t="s">
        <v>6829</v>
      </c>
      <c r="C3444" s="396" t="s">
        <v>4609</v>
      </c>
      <c r="D3444" s="396" t="s">
        <v>6805</v>
      </c>
      <c r="E3444" s="396" t="s">
        <v>6806</v>
      </c>
      <c r="F3444" s="396" t="s">
        <v>6635</v>
      </c>
    </row>
    <row r="3445">
      <c r="A3445" s="311">
        <v>3444</v>
      </c>
      <c r="B3445" s="396" t="s">
        <v>6830</v>
      </c>
      <c r="C3445" s="396" t="s">
        <v>2469</v>
      </c>
      <c r="D3445" s="396" t="s">
        <v>6805</v>
      </c>
      <c r="E3445" s="396" t="s">
        <v>6806</v>
      </c>
      <c r="F3445" s="396" t="s">
        <v>6635</v>
      </c>
    </row>
    <row r="3446">
      <c r="A3446" s="311">
        <v>3445</v>
      </c>
      <c r="B3446" s="396" t="s">
        <v>6831</v>
      </c>
      <c r="C3446" s="396" t="s">
        <v>6832</v>
      </c>
      <c r="D3446" s="396" t="s">
        <v>6805</v>
      </c>
      <c r="E3446" s="396" t="s">
        <v>6806</v>
      </c>
      <c r="F3446" s="396" t="s">
        <v>6635</v>
      </c>
    </row>
    <row r="3447">
      <c r="A3447" s="311">
        <v>3446</v>
      </c>
      <c r="B3447" s="396" t="s">
        <v>6833</v>
      </c>
      <c r="C3447" s="396" t="s">
        <v>6834</v>
      </c>
      <c r="D3447" s="396" t="s">
        <v>6805</v>
      </c>
      <c r="E3447" s="396" t="s">
        <v>6806</v>
      </c>
      <c r="F3447" s="396" t="s">
        <v>6635</v>
      </c>
    </row>
    <row r="3448">
      <c r="A3448" s="311">
        <v>3447</v>
      </c>
      <c r="B3448" s="396" t="s">
        <v>6835</v>
      </c>
      <c r="C3448" s="396" t="s">
        <v>6836</v>
      </c>
      <c r="D3448" s="396" t="s">
        <v>6805</v>
      </c>
      <c r="E3448" s="396" t="s">
        <v>6806</v>
      </c>
      <c r="F3448" s="396" t="s">
        <v>6635</v>
      </c>
    </row>
    <row r="3449">
      <c r="A3449" s="311">
        <v>3448</v>
      </c>
      <c r="B3449" s="396" t="s">
        <v>6837</v>
      </c>
      <c r="C3449" s="396" t="s">
        <v>6838</v>
      </c>
      <c r="D3449" s="396" t="s">
        <v>6805</v>
      </c>
      <c r="E3449" s="396" t="s">
        <v>6806</v>
      </c>
      <c r="F3449" s="396" t="s">
        <v>6635</v>
      </c>
    </row>
    <row r="3450">
      <c r="A3450" s="311">
        <v>3449</v>
      </c>
      <c r="B3450" s="396" t="s">
        <v>6839</v>
      </c>
      <c r="C3450" s="396" t="s">
        <v>6840</v>
      </c>
      <c r="D3450" s="396" t="s">
        <v>6805</v>
      </c>
      <c r="E3450" s="396" t="s">
        <v>6806</v>
      </c>
      <c r="F3450" s="396" t="s">
        <v>6635</v>
      </c>
    </row>
    <row r="3451">
      <c r="A3451" s="311">
        <v>3450</v>
      </c>
      <c r="B3451" s="396" t="s">
        <v>6841</v>
      </c>
      <c r="C3451" s="396" t="s">
        <v>6842</v>
      </c>
      <c r="D3451" s="396" t="s">
        <v>6805</v>
      </c>
      <c r="E3451" s="396" t="s">
        <v>6806</v>
      </c>
      <c r="F3451" s="396" t="s">
        <v>6635</v>
      </c>
    </row>
    <row r="3452">
      <c r="A3452" s="311">
        <v>3451</v>
      </c>
      <c r="B3452" s="396" t="s">
        <v>6843</v>
      </c>
      <c r="C3452" s="396" t="s">
        <v>6844</v>
      </c>
      <c r="D3452" s="396" t="s">
        <v>6805</v>
      </c>
      <c r="E3452" s="396" t="s">
        <v>6806</v>
      </c>
      <c r="F3452" s="396" t="s">
        <v>6635</v>
      </c>
    </row>
    <row r="3453">
      <c r="A3453" s="311">
        <v>3452</v>
      </c>
      <c r="B3453" s="396" t="s">
        <v>6845</v>
      </c>
      <c r="C3453" s="396" t="s">
        <v>6846</v>
      </c>
      <c r="D3453" s="396" t="s">
        <v>6805</v>
      </c>
      <c r="E3453" s="396" t="s">
        <v>6806</v>
      </c>
      <c r="F3453" s="396" t="s">
        <v>6635</v>
      </c>
    </row>
    <row r="3454">
      <c r="A3454" s="311">
        <v>3453</v>
      </c>
      <c r="B3454" s="396" t="s">
        <v>6847</v>
      </c>
      <c r="C3454" s="396" t="s">
        <v>2300</v>
      </c>
      <c r="D3454" s="396" t="s">
        <v>6805</v>
      </c>
      <c r="E3454" s="396" t="s">
        <v>6806</v>
      </c>
      <c r="F3454" s="396" t="s">
        <v>6635</v>
      </c>
    </row>
    <row r="3455">
      <c r="A3455" s="311">
        <v>3454</v>
      </c>
      <c r="B3455" s="396" t="s">
        <v>6848</v>
      </c>
      <c r="C3455" s="396" t="s">
        <v>6849</v>
      </c>
      <c r="D3455" s="396" t="s">
        <v>6805</v>
      </c>
      <c r="E3455" s="396" t="s">
        <v>6806</v>
      </c>
      <c r="F3455" s="396" t="s">
        <v>6635</v>
      </c>
    </row>
    <row r="3456">
      <c r="A3456" s="311">
        <v>3455</v>
      </c>
      <c r="B3456" s="396" t="s">
        <v>6850</v>
      </c>
      <c r="C3456" s="396" t="s">
        <v>6851</v>
      </c>
      <c r="D3456" s="396" t="s">
        <v>6805</v>
      </c>
      <c r="E3456" s="396" t="s">
        <v>6806</v>
      </c>
      <c r="F3456" s="396" t="s">
        <v>6635</v>
      </c>
    </row>
    <row r="3457">
      <c r="A3457" s="311">
        <v>3456</v>
      </c>
      <c r="B3457" s="396" t="s">
        <v>6852</v>
      </c>
      <c r="C3457" s="396" t="s">
        <v>6853</v>
      </c>
      <c r="D3457" s="396" t="s">
        <v>6805</v>
      </c>
      <c r="E3457" s="396" t="s">
        <v>6806</v>
      </c>
      <c r="F3457" s="396" t="s">
        <v>6635</v>
      </c>
    </row>
    <row r="3458">
      <c r="A3458" s="311">
        <v>3457</v>
      </c>
      <c r="B3458" s="396" t="s">
        <v>6854</v>
      </c>
      <c r="C3458" s="396" t="s">
        <v>6855</v>
      </c>
      <c r="D3458" s="396" t="s">
        <v>6856</v>
      </c>
      <c r="E3458" s="396" t="s">
        <v>6857</v>
      </c>
      <c r="F3458" s="396" t="s">
        <v>6635</v>
      </c>
    </row>
    <row r="3459">
      <c r="A3459" s="311">
        <v>3458</v>
      </c>
      <c r="B3459" s="396" t="s">
        <v>6858</v>
      </c>
      <c r="C3459" s="396" t="s">
        <v>6859</v>
      </c>
      <c r="D3459" s="396" t="s">
        <v>6856</v>
      </c>
      <c r="E3459" s="396" t="s">
        <v>6857</v>
      </c>
      <c r="F3459" s="396" t="s">
        <v>6635</v>
      </c>
    </row>
    <row r="3460">
      <c r="A3460" s="311">
        <v>3459</v>
      </c>
      <c r="B3460" s="396" t="s">
        <v>6860</v>
      </c>
      <c r="C3460" s="396" t="s">
        <v>6861</v>
      </c>
      <c r="D3460" s="396" t="s">
        <v>6856</v>
      </c>
      <c r="E3460" s="396" t="s">
        <v>6857</v>
      </c>
      <c r="F3460" s="396" t="s">
        <v>6635</v>
      </c>
    </row>
    <row r="3461">
      <c r="A3461" s="311">
        <v>3460</v>
      </c>
      <c r="B3461" s="396" t="s">
        <v>6862</v>
      </c>
      <c r="C3461" s="396" t="s">
        <v>6863</v>
      </c>
      <c r="D3461" s="396" t="s">
        <v>6856</v>
      </c>
      <c r="E3461" s="396" t="s">
        <v>6857</v>
      </c>
      <c r="F3461" s="396" t="s">
        <v>6635</v>
      </c>
    </row>
    <row r="3462">
      <c r="A3462" s="311">
        <v>3461</v>
      </c>
      <c r="B3462" s="396" t="s">
        <v>6864</v>
      </c>
      <c r="C3462" s="396" t="s">
        <v>6865</v>
      </c>
      <c r="D3462" s="396" t="s">
        <v>6856</v>
      </c>
      <c r="E3462" s="396" t="s">
        <v>6857</v>
      </c>
      <c r="F3462" s="396" t="s">
        <v>6635</v>
      </c>
    </row>
    <row r="3463">
      <c r="A3463" s="311">
        <v>3462</v>
      </c>
      <c r="B3463" s="396" t="s">
        <v>6866</v>
      </c>
      <c r="C3463" s="396" t="s">
        <v>6867</v>
      </c>
      <c r="D3463" s="396" t="s">
        <v>6856</v>
      </c>
      <c r="E3463" s="396" t="s">
        <v>6857</v>
      </c>
      <c r="F3463" s="396" t="s">
        <v>6635</v>
      </c>
    </row>
    <row r="3464">
      <c r="A3464" s="311">
        <v>3463</v>
      </c>
      <c r="B3464" s="396" t="s">
        <v>6868</v>
      </c>
      <c r="C3464" s="396" t="s">
        <v>6869</v>
      </c>
      <c r="D3464" s="396" t="s">
        <v>6856</v>
      </c>
      <c r="E3464" s="396" t="s">
        <v>6857</v>
      </c>
      <c r="F3464" s="396" t="s">
        <v>6635</v>
      </c>
    </row>
    <row r="3465">
      <c r="A3465" s="311">
        <v>3464</v>
      </c>
      <c r="B3465" s="396" t="s">
        <v>6870</v>
      </c>
      <c r="C3465" s="396" t="s">
        <v>6871</v>
      </c>
      <c r="D3465" s="396" t="s">
        <v>6856</v>
      </c>
      <c r="E3465" s="396" t="s">
        <v>6857</v>
      </c>
      <c r="F3465" s="396" t="s">
        <v>6635</v>
      </c>
    </row>
    <row r="3466">
      <c r="A3466" s="311">
        <v>3465</v>
      </c>
      <c r="B3466" s="396" t="s">
        <v>6872</v>
      </c>
      <c r="C3466" s="396" t="s">
        <v>752</v>
      </c>
      <c r="D3466" s="396" t="s">
        <v>6856</v>
      </c>
      <c r="E3466" s="396" t="s">
        <v>6857</v>
      </c>
      <c r="F3466" s="396" t="s">
        <v>6635</v>
      </c>
    </row>
    <row r="3467">
      <c r="A3467" s="311">
        <v>3466</v>
      </c>
      <c r="B3467" s="396" t="s">
        <v>6873</v>
      </c>
      <c r="C3467" s="396" t="s">
        <v>6874</v>
      </c>
      <c r="D3467" s="396" t="s">
        <v>6856</v>
      </c>
      <c r="E3467" s="396" t="s">
        <v>6857</v>
      </c>
      <c r="F3467" s="396" t="s">
        <v>6635</v>
      </c>
    </row>
    <row r="3468">
      <c r="A3468" s="311">
        <v>3467</v>
      </c>
      <c r="B3468" s="396" t="s">
        <v>6875</v>
      </c>
      <c r="C3468" s="396" t="s">
        <v>1350</v>
      </c>
      <c r="D3468" s="396" t="s">
        <v>6856</v>
      </c>
      <c r="E3468" s="396" t="s">
        <v>6857</v>
      </c>
      <c r="F3468" s="396" t="s">
        <v>6635</v>
      </c>
    </row>
    <row r="3469">
      <c r="A3469" s="311">
        <v>3468</v>
      </c>
      <c r="B3469" s="396" t="s">
        <v>6876</v>
      </c>
      <c r="C3469" s="396" t="s">
        <v>6877</v>
      </c>
      <c r="D3469" s="396" t="s">
        <v>6856</v>
      </c>
      <c r="E3469" s="396" t="s">
        <v>6857</v>
      </c>
      <c r="F3469" s="396" t="s">
        <v>6635</v>
      </c>
    </row>
    <row r="3470">
      <c r="A3470" s="311">
        <v>3469</v>
      </c>
      <c r="B3470" s="396" t="s">
        <v>6878</v>
      </c>
      <c r="C3470" s="396" t="s">
        <v>6879</v>
      </c>
      <c r="D3470" s="396" t="s">
        <v>6856</v>
      </c>
      <c r="E3470" s="396" t="s">
        <v>6857</v>
      </c>
      <c r="F3470" s="396" t="s">
        <v>6635</v>
      </c>
    </row>
    <row r="3471">
      <c r="A3471" s="311">
        <v>3470</v>
      </c>
      <c r="B3471" s="396" t="s">
        <v>6880</v>
      </c>
      <c r="C3471" s="396" t="s">
        <v>4670</v>
      </c>
      <c r="D3471" s="396" t="s">
        <v>6856</v>
      </c>
      <c r="E3471" s="396" t="s">
        <v>6857</v>
      </c>
      <c r="F3471" s="396" t="s">
        <v>6635</v>
      </c>
    </row>
    <row r="3472">
      <c r="A3472" s="311">
        <v>3471</v>
      </c>
      <c r="B3472" s="396" t="s">
        <v>6881</v>
      </c>
      <c r="C3472" s="396" t="s">
        <v>6882</v>
      </c>
      <c r="D3472" s="396" t="s">
        <v>6856</v>
      </c>
      <c r="E3472" s="396" t="s">
        <v>6857</v>
      </c>
      <c r="F3472" s="396" t="s">
        <v>6635</v>
      </c>
    </row>
    <row r="3473">
      <c r="A3473" s="311">
        <v>3472</v>
      </c>
      <c r="B3473" s="396" t="s">
        <v>6883</v>
      </c>
      <c r="C3473" s="396" t="s">
        <v>6884</v>
      </c>
      <c r="D3473" s="396" t="s">
        <v>6856</v>
      </c>
      <c r="E3473" s="396" t="s">
        <v>6857</v>
      </c>
      <c r="F3473" s="396" t="s">
        <v>6635</v>
      </c>
    </row>
    <row r="3474">
      <c r="A3474" s="311">
        <v>3473</v>
      </c>
      <c r="B3474" s="396" t="s">
        <v>6885</v>
      </c>
      <c r="C3474" s="396" t="s">
        <v>6886</v>
      </c>
      <c r="D3474" s="396" t="s">
        <v>6856</v>
      </c>
      <c r="E3474" s="396" t="s">
        <v>6857</v>
      </c>
      <c r="F3474" s="396" t="s">
        <v>6635</v>
      </c>
    </row>
    <row r="3475">
      <c r="A3475" s="311">
        <v>3474</v>
      </c>
      <c r="B3475" s="396" t="s">
        <v>6887</v>
      </c>
      <c r="C3475" s="396" t="s">
        <v>6888</v>
      </c>
      <c r="D3475" s="396" t="s">
        <v>6889</v>
      </c>
      <c r="E3475" s="396" t="s">
        <v>6890</v>
      </c>
      <c r="F3475" s="396" t="s">
        <v>6891</v>
      </c>
    </row>
    <row r="3476">
      <c r="A3476" s="311">
        <v>3475</v>
      </c>
      <c r="B3476" s="396" t="s">
        <v>6892</v>
      </c>
      <c r="C3476" s="396" t="s">
        <v>6893</v>
      </c>
      <c r="D3476" s="396" t="s">
        <v>6889</v>
      </c>
      <c r="E3476" s="396" t="s">
        <v>6890</v>
      </c>
      <c r="F3476" s="396" t="s">
        <v>6891</v>
      </c>
    </row>
    <row r="3477">
      <c r="A3477" s="311">
        <v>3476</v>
      </c>
      <c r="B3477" s="396" t="s">
        <v>6894</v>
      </c>
      <c r="C3477" s="396" t="s">
        <v>6895</v>
      </c>
      <c r="D3477" s="396" t="s">
        <v>6889</v>
      </c>
      <c r="E3477" s="396" t="s">
        <v>6890</v>
      </c>
      <c r="F3477" s="396" t="s">
        <v>6891</v>
      </c>
    </row>
    <row r="3478">
      <c r="A3478" s="311">
        <v>3477</v>
      </c>
      <c r="B3478" s="396" t="s">
        <v>6896</v>
      </c>
      <c r="C3478" s="396" t="s">
        <v>6897</v>
      </c>
      <c r="D3478" s="396" t="s">
        <v>6889</v>
      </c>
      <c r="E3478" s="396" t="s">
        <v>6890</v>
      </c>
      <c r="F3478" s="396" t="s">
        <v>6891</v>
      </c>
    </row>
    <row r="3479">
      <c r="A3479" s="311">
        <v>3478</v>
      </c>
      <c r="B3479" s="396" t="s">
        <v>6898</v>
      </c>
      <c r="C3479" s="396" t="s">
        <v>6899</v>
      </c>
      <c r="D3479" s="396" t="s">
        <v>6889</v>
      </c>
      <c r="E3479" s="396" t="s">
        <v>6890</v>
      </c>
      <c r="F3479" s="396" t="s">
        <v>6891</v>
      </c>
    </row>
    <row r="3480">
      <c r="A3480" s="311">
        <v>3479</v>
      </c>
      <c r="B3480" s="396" t="s">
        <v>6900</v>
      </c>
      <c r="C3480" s="396" t="s">
        <v>6901</v>
      </c>
      <c r="D3480" s="396" t="s">
        <v>6889</v>
      </c>
      <c r="E3480" s="396" t="s">
        <v>6890</v>
      </c>
      <c r="F3480" s="396" t="s">
        <v>6891</v>
      </c>
    </row>
    <row r="3481">
      <c r="A3481" s="311">
        <v>3480</v>
      </c>
      <c r="B3481" s="396" t="s">
        <v>6902</v>
      </c>
      <c r="C3481" s="396" t="s">
        <v>6903</v>
      </c>
      <c r="D3481" s="396" t="s">
        <v>6889</v>
      </c>
      <c r="E3481" s="396" t="s">
        <v>6890</v>
      </c>
      <c r="F3481" s="396" t="s">
        <v>6891</v>
      </c>
    </row>
    <row r="3482">
      <c r="A3482" s="311">
        <v>3481</v>
      </c>
      <c r="B3482" s="396" t="s">
        <v>6904</v>
      </c>
      <c r="C3482" s="396" t="s">
        <v>6905</v>
      </c>
      <c r="D3482" s="396" t="s">
        <v>6889</v>
      </c>
      <c r="E3482" s="396" t="s">
        <v>6890</v>
      </c>
      <c r="F3482" s="396" t="s">
        <v>6891</v>
      </c>
    </row>
    <row r="3483">
      <c r="A3483" s="311">
        <v>3482</v>
      </c>
      <c r="B3483" s="396" t="s">
        <v>6906</v>
      </c>
      <c r="C3483" s="396" t="s">
        <v>6907</v>
      </c>
      <c r="D3483" s="396" t="s">
        <v>6889</v>
      </c>
      <c r="E3483" s="396" t="s">
        <v>6890</v>
      </c>
      <c r="F3483" s="396" t="s">
        <v>6891</v>
      </c>
    </row>
    <row r="3484">
      <c r="A3484" s="311">
        <v>3483</v>
      </c>
      <c r="B3484" s="396" t="s">
        <v>6908</v>
      </c>
      <c r="C3484" s="396" t="s">
        <v>6909</v>
      </c>
      <c r="D3484" s="396" t="s">
        <v>6889</v>
      </c>
      <c r="E3484" s="396" t="s">
        <v>6890</v>
      </c>
      <c r="F3484" s="396" t="s">
        <v>6891</v>
      </c>
    </row>
    <row r="3485">
      <c r="A3485" s="311">
        <v>3484</v>
      </c>
      <c r="B3485" s="396" t="s">
        <v>6910</v>
      </c>
      <c r="C3485" s="396" t="s">
        <v>6911</v>
      </c>
      <c r="D3485" s="396" t="s">
        <v>6889</v>
      </c>
      <c r="E3485" s="396" t="s">
        <v>6890</v>
      </c>
      <c r="F3485" s="396" t="s">
        <v>6891</v>
      </c>
    </row>
    <row r="3486">
      <c r="A3486" s="311">
        <v>3485</v>
      </c>
      <c r="B3486" s="396" t="s">
        <v>6912</v>
      </c>
      <c r="C3486" s="396" t="s">
        <v>6913</v>
      </c>
      <c r="D3486" s="396" t="s">
        <v>6889</v>
      </c>
      <c r="E3486" s="396" t="s">
        <v>6890</v>
      </c>
      <c r="F3486" s="396" t="s">
        <v>6891</v>
      </c>
    </row>
    <row r="3487">
      <c r="A3487" s="311">
        <v>3486</v>
      </c>
      <c r="B3487" s="396" t="s">
        <v>6914</v>
      </c>
      <c r="C3487" s="396" t="s">
        <v>6915</v>
      </c>
      <c r="D3487" s="396" t="s">
        <v>6889</v>
      </c>
      <c r="E3487" s="396" t="s">
        <v>6890</v>
      </c>
      <c r="F3487" s="396" t="s">
        <v>6891</v>
      </c>
    </row>
    <row r="3488">
      <c r="A3488" s="311">
        <v>3487</v>
      </c>
      <c r="B3488" s="396" t="s">
        <v>6916</v>
      </c>
      <c r="C3488" s="396" t="s">
        <v>6917</v>
      </c>
      <c r="D3488" s="396" t="s">
        <v>6889</v>
      </c>
      <c r="E3488" s="396" t="s">
        <v>6890</v>
      </c>
      <c r="F3488" s="396" t="s">
        <v>6891</v>
      </c>
    </row>
    <row r="3489">
      <c r="A3489" s="311">
        <v>3488</v>
      </c>
      <c r="B3489" s="396" t="s">
        <v>6918</v>
      </c>
      <c r="C3489" s="396" t="s">
        <v>6919</v>
      </c>
      <c r="D3489" s="396" t="s">
        <v>6889</v>
      </c>
      <c r="E3489" s="396" t="s">
        <v>6890</v>
      </c>
      <c r="F3489" s="396" t="s">
        <v>6891</v>
      </c>
    </row>
    <row r="3490">
      <c r="A3490" s="311">
        <v>3489</v>
      </c>
      <c r="B3490" s="396" t="s">
        <v>6920</v>
      </c>
      <c r="C3490" s="396" t="s">
        <v>6921</v>
      </c>
      <c r="D3490" s="396" t="s">
        <v>6889</v>
      </c>
      <c r="E3490" s="396" t="s">
        <v>6890</v>
      </c>
      <c r="F3490" s="396" t="s">
        <v>6891</v>
      </c>
    </row>
    <row r="3491">
      <c r="A3491" s="311">
        <v>3490</v>
      </c>
      <c r="B3491" s="396" t="s">
        <v>6922</v>
      </c>
      <c r="C3491" s="396" t="s">
        <v>292</v>
      </c>
      <c r="D3491" s="396" t="s">
        <v>6889</v>
      </c>
      <c r="E3491" s="396" t="s">
        <v>6890</v>
      </c>
      <c r="F3491" s="396" t="s">
        <v>6891</v>
      </c>
    </row>
    <row r="3492">
      <c r="A3492" s="311">
        <v>3491</v>
      </c>
      <c r="B3492" s="396" t="s">
        <v>6923</v>
      </c>
      <c r="C3492" s="396" t="s">
        <v>6924</v>
      </c>
      <c r="D3492" s="396" t="s">
        <v>6889</v>
      </c>
      <c r="E3492" s="396" t="s">
        <v>6890</v>
      </c>
      <c r="F3492" s="396" t="s">
        <v>6891</v>
      </c>
    </row>
    <row r="3493">
      <c r="A3493" s="311">
        <v>3492</v>
      </c>
      <c r="B3493" s="396" t="s">
        <v>6925</v>
      </c>
      <c r="C3493" s="396" t="s">
        <v>6926</v>
      </c>
      <c r="D3493" s="396" t="s">
        <v>6889</v>
      </c>
      <c r="E3493" s="396" t="s">
        <v>6890</v>
      </c>
      <c r="F3493" s="396" t="s">
        <v>6891</v>
      </c>
    </row>
    <row r="3494">
      <c r="A3494" s="311">
        <v>3493</v>
      </c>
      <c r="B3494" s="396" t="s">
        <v>6927</v>
      </c>
      <c r="C3494" s="396" t="s">
        <v>6928</v>
      </c>
      <c r="D3494" s="396" t="s">
        <v>6929</v>
      </c>
      <c r="E3494" s="396" t="s">
        <v>6930</v>
      </c>
      <c r="F3494" s="396" t="s">
        <v>6891</v>
      </c>
    </row>
    <row r="3495">
      <c r="A3495" s="311">
        <v>3494</v>
      </c>
      <c r="B3495" s="396" t="s">
        <v>6931</v>
      </c>
      <c r="C3495" s="396" t="s">
        <v>6932</v>
      </c>
      <c r="D3495" s="396" t="s">
        <v>6929</v>
      </c>
      <c r="E3495" s="396" t="s">
        <v>6930</v>
      </c>
      <c r="F3495" s="396" t="s">
        <v>6891</v>
      </c>
    </row>
    <row r="3496">
      <c r="A3496" s="311">
        <v>3495</v>
      </c>
      <c r="B3496" s="396" t="s">
        <v>6933</v>
      </c>
      <c r="C3496" s="396" t="s">
        <v>2552</v>
      </c>
      <c r="D3496" s="396" t="s">
        <v>6929</v>
      </c>
      <c r="E3496" s="396" t="s">
        <v>6930</v>
      </c>
      <c r="F3496" s="396" t="s">
        <v>6891</v>
      </c>
    </row>
    <row r="3497">
      <c r="A3497" s="311">
        <v>3496</v>
      </c>
      <c r="B3497" s="396" t="s">
        <v>6934</v>
      </c>
      <c r="C3497" s="396" t="s">
        <v>6935</v>
      </c>
      <c r="D3497" s="396" t="s">
        <v>6929</v>
      </c>
      <c r="E3497" s="396" t="s">
        <v>6930</v>
      </c>
      <c r="F3497" s="396" t="s">
        <v>6891</v>
      </c>
    </row>
    <row r="3498">
      <c r="A3498" s="311">
        <v>3497</v>
      </c>
      <c r="B3498" s="396" t="s">
        <v>6936</v>
      </c>
      <c r="C3498" s="396" t="s">
        <v>844</v>
      </c>
      <c r="D3498" s="396" t="s">
        <v>6929</v>
      </c>
      <c r="E3498" s="396" t="s">
        <v>6930</v>
      </c>
      <c r="F3498" s="396" t="s">
        <v>6891</v>
      </c>
    </row>
    <row r="3499">
      <c r="A3499" s="311">
        <v>3498</v>
      </c>
      <c r="B3499" s="396" t="s">
        <v>6937</v>
      </c>
      <c r="C3499" s="396" t="s">
        <v>6938</v>
      </c>
      <c r="D3499" s="396" t="s">
        <v>6929</v>
      </c>
      <c r="E3499" s="396" t="s">
        <v>6930</v>
      </c>
      <c r="F3499" s="396" t="s">
        <v>6891</v>
      </c>
    </row>
    <row r="3500">
      <c r="A3500" s="311">
        <v>3499</v>
      </c>
      <c r="B3500" s="396" t="s">
        <v>6939</v>
      </c>
      <c r="C3500" s="396" t="s">
        <v>6940</v>
      </c>
      <c r="D3500" s="396" t="s">
        <v>6929</v>
      </c>
      <c r="E3500" s="396" t="s">
        <v>6930</v>
      </c>
      <c r="F3500" s="396" t="s">
        <v>6891</v>
      </c>
    </row>
    <row r="3501">
      <c r="A3501" s="311">
        <v>3500</v>
      </c>
      <c r="B3501" s="396" t="s">
        <v>6941</v>
      </c>
      <c r="C3501" s="396" t="s">
        <v>6942</v>
      </c>
      <c r="D3501" s="396" t="s">
        <v>6929</v>
      </c>
      <c r="E3501" s="396" t="s">
        <v>6930</v>
      </c>
      <c r="F3501" s="396" t="s">
        <v>6891</v>
      </c>
    </row>
    <row r="3502">
      <c r="A3502" s="311">
        <v>3501</v>
      </c>
      <c r="B3502" s="396" t="s">
        <v>6943</v>
      </c>
      <c r="C3502" s="396" t="s">
        <v>6944</v>
      </c>
      <c r="D3502" s="396" t="s">
        <v>6929</v>
      </c>
      <c r="E3502" s="396" t="s">
        <v>6930</v>
      </c>
      <c r="F3502" s="396" t="s">
        <v>6891</v>
      </c>
    </row>
    <row r="3503">
      <c r="A3503" s="311">
        <v>3502</v>
      </c>
      <c r="B3503" s="396" t="s">
        <v>6945</v>
      </c>
      <c r="C3503" s="396" t="s">
        <v>6592</v>
      </c>
      <c r="D3503" s="396" t="s">
        <v>6929</v>
      </c>
      <c r="E3503" s="396" t="s">
        <v>6930</v>
      </c>
      <c r="F3503" s="396" t="s">
        <v>6891</v>
      </c>
    </row>
    <row r="3504">
      <c r="A3504" s="311">
        <v>3503</v>
      </c>
      <c r="B3504" s="396" t="s">
        <v>6946</v>
      </c>
      <c r="C3504" s="396" t="s">
        <v>4354</v>
      </c>
      <c r="D3504" s="396" t="s">
        <v>6929</v>
      </c>
      <c r="E3504" s="396" t="s">
        <v>6930</v>
      </c>
      <c r="F3504" s="396" t="s">
        <v>6891</v>
      </c>
    </row>
    <row r="3505">
      <c r="A3505" s="311">
        <v>3504</v>
      </c>
      <c r="B3505" s="396" t="s">
        <v>6947</v>
      </c>
      <c r="C3505" s="396" t="s">
        <v>6948</v>
      </c>
      <c r="D3505" s="396" t="s">
        <v>6929</v>
      </c>
      <c r="E3505" s="396" t="s">
        <v>6930</v>
      </c>
      <c r="F3505" s="396" t="s">
        <v>6891</v>
      </c>
    </row>
    <row r="3506">
      <c r="A3506" s="311">
        <v>3505</v>
      </c>
      <c r="B3506" s="396" t="s">
        <v>6949</v>
      </c>
      <c r="C3506" s="396" t="s">
        <v>6950</v>
      </c>
      <c r="D3506" s="396" t="s">
        <v>6929</v>
      </c>
      <c r="E3506" s="396" t="s">
        <v>6930</v>
      </c>
      <c r="F3506" s="396" t="s">
        <v>6891</v>
      </c>
    </row>
    <row r="3507">
      <c r="A3507" s="311">
        <v>3506</v>
      </c>
      <c r="B3507" s="396" t="s">
        <v>6951</v>
      </c>
      <c r="C3507" s="396" t="s">
        <v>2517</v>
      </c>
      <c r="D3507" s="396" t="s">
        <v>6929</v>
      </c>
      <c r="E3507" s="396" t="s">
        <v>6930</v>
      </c>
      <c r="F3507" s="396" t="s">
        <v>6891</v>
      </c>
    </row>
    <row r="3508">
      <c r="A3508" s="311">
        <v>3507</v>
      </c>
      <c r="B3508" s="396" t="s">
        <v>6952</v>
      </c>
      <c r="C3508" s="396" t="s">
        <v>6953</v>
      </c>
      <c r="D3508" s="396" t="s">
        <v>6954</v>
      </c>
      <c r="E3508" s="396" t="s">
        <v>6955</v>
      </c>
      <c r="F3508" s="396" t="s">
        <v>6891</v>
      </c>
    </row>
    <row r="3509">
      <c r="A3509" s="311">
        <v>3508</v>
      </c>
      <c r="B3509" s="396" t="s">
        <v>6956</v>
      </c>
      <c r="C3509" s="396" t="s">
        <v>6957</v>
      </c>
      <c r="D3509" s="396" t="s">
        <v>6954</v>
      </c>
      <c r="E3509" s="396" t="s">
        <v>6955</v>
      </c>
      <c r="F3509" s="396" t="s">
        <v>6891</v>
      </c>
    </row>
    <row r="3510">
      <c r="A3510" s="311">
        <v>3509</v>
      </c>
      <c r="B3510" s="396" t="s">
        <v>6958</v>
      </c>
      <c r="C3510" s="396" t="s">
        <v>6959</v>
      </c>
      <c r="D3510" s="396" t="s">
        <v>6954</v>
      </c>
      <c r="E3510" s="396" t="s">
        <v>6955</v>
      </c>
      <c r="F3510" s="396" t="s">
        <v>6891</v>
      </c>
    </row>
    <row r="3511">
      <c r="A3511" s="311">
        <v>3510</v>
      </c>
      <c r="B3511" s="396" t="s">
        <v>6960</v>
      </c>
      <c r="C3511" s="396" t="s">
        <v>6961</v>
      </c>
      <c r="D3511" s="396" t="s">
        <v>6954</v>
      </c>
      <c r="E3511" s="396" t="s">
        <v>6955</v>
      </c>
      <c r="F3511" s="396" t="s">
        <v>6891</v>
      </c>
    </row>
    <row r="3512">
      <c r="A3512" s="311">
        <v>3511</v>
      </c>
      <c r="B3512" s="396" t="s">
        <v>6962</v>
      </c>
      <c r="C3512" s="396" t="s">
        <v>6963</v>
      </c>
      <c r="D3512" s="396" t="s">
        <v>6954</v>
      </c>
      <c r="E3512" s="396" t="s">
        <v>6955</v>
      </c>
      <c r="F3512" s="396" t="s">
        <v>6891</v>
      </c>
    </row>
    <row r="3513">
      <c r="A3513" s="311">
        <v>3512</v>
      </c>
      <c r="B3513" s="396" t="s">
        <v>6964</v>
      </c>
      <c r="C3513" s="396" t="s">
        <v>6965</v>
      </c>
      <c r="D3513" s="396" t="s">
        <v>6954</v>
      </c>
      <c r="E3513" s="396" t="s">
        <v>6955</v>
      </c>
      <c r="F3513" s="396" t="s">
        <v>6891</v>
      </c>
    </row>
    <row r="3514">
      <c r="A3514" s="311">
        <v>3513</v>
      </c>
      <c r="B3514" s="396" t="s">
        <v>6966</v>
      </c>
      <c r="C3514" s="396" t="s">
        <v>6967</v>
      </c>
      <c r="D3514" s="396" t="s">
        <v>6954</v>
      </c>
      <c r="E3514" s="396" t="s">
        <v>6955</v>
      </c>
      <c r="F3514" s="396" t="s">
        <v>6891</v>
      </c>
    </row>
    <row r="3515">
      <c r="A3515" s="311">
        <v>3514</v>
      </c>
      <c r="B3515" s="396" t="s">
        <v>6968</v>
      </c>
      <c r="C3515" s="396" t="s">
        <v>6969</v>
      </c>
      <c r="D3515" s="396" t="s">
        <v>6954</v>
      </c>
      <c r="E3515" s="396" t="s">
        <v>6955</v>
      </c>
      <c r="F3515" s="396" t="s">
        <v>6891</v>
      </c>
    </row>
    <row r="3516">
      <c r="A3516" s="311">
        <v>3515</v>
      </c>
      <c r="B3516" s="396" t="s">
        <v>6970</v>
      </c>
      <c r="C3516" s="396" t="s">
        <v>6971</v>
      </c>
      <c r="D3516" s="396" t="s">
        <v>6954</v>
      </c>
      <c r="E3516" s="396" t="s">
        <v>6955</v>
      </c>
      <c r="F3516" s="396" t="s">
        <v>6891</v>
      </c>
    </row>
    <row r="3517">
      <c r="A3517" s="311">
        <v>3516</v>
      </c>
      <c r="B3517" s="396" t="s">
        <v>6972</v>
      </c>
      <c r="C3517" s="396" t="s">
        <v>6594</v>
      </c>
      <c r="D3517" s="396" t="s">
        <v>6954</v>
      </c>
      <c r="E3517" s="396" t="s">
        <v>6955</v>
      </c>
      <c r="F3517" s="396" t="s">
        <v>6891</v>
      </c>
    </row>
    <row r="3518">
      <c r="A3518" s="311">
        <v>3517</v>
      </c>
      <c r="B3518" s="396" t="s">
        <v>6973</v>
      </c>
      <c r="C3518" s="396" t="s">
        <v>360</v>
      </c>
      <c r="D3518" s="396" t="s">
        <v>6954</v>
      </c>
      <c r="E3518" s="396" t="s">
        <v>6955</v>
      </c>
      <c r="F3518" s="396" t="s">
        <v>6891</v>
      </c>
    </row>
    <row r="3519">
      <c r="A3519" s="311">
        <v>3518</v>
      </c>
      <c r="B3519" s="396" t="s">
        <v>6974</v>
      </c>
      <c r="C3519" s="396" t="s">
        <v>6975</v>
      </c>
      <c r="D3519" s="396" t="s">
        <v>6954</v>
      </c>
      <c r="E3519" s="396" t="s">
        <v>6955</v>
      </c>
      <c r="F3519" s="396" t="s">
        <v>6891</v>
      </c>
    </row>
    <row r="3520">
      <c r="A3520" s="311">
        <v>3519</v>
      </c>
      <c r="B3520" s="396" t="s">
        <v>6976</v>
      </c>
      <c r="C3520" s="396" t="s">
        <v>6977</v>
      </c>
      <c r="D3520" s="396" t="s">
        <v>6954</v>
      </c>
      <c r="E3520" s="396" t="s">
        <v>6955</v>
      </c>
      <c r="F3520" s="396" t="s">
        <v>6891</v>
      </c>
    </row>
    <row r="3521">
      <c r="A3521" s="311">
        <v>3520</v>
      </c>
      <c r="B3521" s="396" t="s">
        <v>6978</v>
      </c>
      <c r="C3521" s="396" t="s">
        <v>6979</v>
      </c>
      <c r="D3521" s="396" t="s">
        <v>6954</v>
      </c>
      <c r="E3521" s="396" t="s">
        <v>6955</v>
      </c>
      <c r="F3521" s="396" t="s">
        <v>6891</v>
      </c>
    </row>
    <row r="3522">
      <c r="A3522" s="311">
        <v>3521</v>
      </c>
      <c r="B3522" s="396" t="s">
        <v>6980</v>
      </c>
      <c r="C3522" s="396" t="s">
        <v>6981</v>
      </c>
      <c r="D3522" s="396" t="s">
        <v>6954</v>
      </c>
      <c r="E3522" s="396" t="s">
        <v>6955</v>
      </c>
      <c r="F3522" s="396" t="s">
        <v>6891</v>
      </c>
    </row>
    <row r="3523">
      <c r="A3523" s="311">
        <v>3522</v>
      </c>
      <c r="B3523" s="396" t="s">
        <v>6982</v>
      </c>
      <c r="C3523" s="396" t="s">
        <v>4953</v>
      </c>
      <c r="D3523" s="396" t="s">
        <v>6954</v>
      </c>
      <c r="E3523" s="396" t="s">
        <v>6955</v>
      </c>
      <c r="F3523" s="396" t="s">
        <v>6891</v>
      </c>
    </row>
    <row r="3524">
      <c r="A3524" s="311">
        <v>3523</v>
      </c>
      <c r="B3524" s="396" t="s">
        <v>6983</v>
      </c>
      <c r="C3524" s="396" t="s">
        <v>6984</v>
      </c>
      <c r="D3524" s="396" t="s">
        <v>6954</v>
      </c>
      <c r="E3524" s="396" t="s">
        <v>6955</v>
      </c>
      <c r="F3524" s="396" t="s">
        <v>6891</v>
      </c>
    </row>
    <row r="3525">
      <c r="A3525" s="311">
        <v>3524</v>
      </c>
      <c r="B3525" s="396" t="s">
        <v>6985</v>
      </c>
      <c r="C3525" s="396" t="s">
        <v>6986</v>
      </c>
      <c r="D3525" s="396" t="s">
        <v>6954</v>
      </c>
      <c r="E3525" s="396" t="s">
        <v>6955</v>
      </c>
      <c r="F3525" s="396" t="s">
        <v>6891</v>
      </c>
    </row>
    <row r="3526">
      <c r="A3526" s="311">
        <v>3525</v>
      </c>
      <c r="B3526" s="396" t="s">
        <v>6987</v>
      </c>
      <c r="C3526" s="396" t="s">
        <v>1927</v>
      </c>
      <c r="D3526" s="396" t="s">
        <v>6954</v>
      </c>
      <c r="E3526" s="396" t="s">
        <v>6955</v>
      </c>
      <c r="F3526" s="396" t="s">
        <v>6891</v>
      </c>
    </row>
    <row r="3527">
      <c r="A3527" s="311">
        <v>3526</v>
      </c>
      <c r="B3527" s="396" t="s">
        <v>6988</v>
      </c>
      <c r="C3527" s="396" t="s">
        <v>4949</v>
      </c>
      <c r="D3527" s="396" t="s">
        <v>6954</v>
      </c>
      <c r="E3527" s="396" t="s">
        <v>6955</v>
      </c>
      <c r="F3527" s="396" t="s">
        <v>6891</v>
      </c>
    </row>
    <row r="3528">
      <c r="A3528" s="311">
        <v>3527</v>
      </c>
      <c r="B3528" s="396" t="s">
        <v>6989</v>
      </c>
      <c r="C3528" s="396" t="s">
        <v>6990</v>
      </c>
      <c r="D3528" s="396" t="s">
        <v>6954</v>
      </c>
      <c r="E3528" s="396" t="s">
        <v>6955</v>
      </c>
      <c r="F3528" s="396" t="s">
        <v>6891</v>
      </c>
    </row>
    <row r="3529">
      <c r="A3529" s="311">
        <v>3528</v>
      </c>
      <c r="B3529" s="396" t="s">
        <v>6991</v>
      </c>
      <c r="C3529" s="396" t="s">
        <v>6992</v>
      </c>
      <c r="D3529" s="396" t="s">
        <v>6993</v>
      </c>
      <c r="E3529" s="396" t="s">
        <v>6994</v>
      </c>
      <c r="F3529" s="396" t="s">
        <v>6891</v>
      </c>
    </row>
    <row r="3530">
      <c r="A3530" s="311">
        <v>3529</v>
      </c>
      <c r="B3530" s="396" t="s">
        <v>6995</v>
      </c>
      <c r="C3530" s="396" t="s">
        <v>2485</v>
      </c>
      <c r="D3530" s="396" t="s">
        <v>6993</v>
      </c>
      <c r="E3530" s="396" t="s">
        <v>6994</v>
      </c>
      <c r="F3530" s="396" t="s">
        <v>6891</v>
      </c>
    </row>
    <row r="3531">
      <c r="A3531" s="311">
        <v>3530</v>
      </c>
      <c r="B3531" s="396" t="s">
        <v>6996</v>
      </c>
      <c r="C3531" s="396" t="s">
        <v>6997</v>
      </c>
      <c r="D3531" s="396" t="s">
        <v>6993</v>
      </c>
      <c r="E3531" s="396" t="s">
        <v>6994</v>
      </c>
      <c r="F3531" s="396" t="s">
        <v>6891</v>
      </c>
    </row>
    <row r="3532">
      <c r="A3532" s="311">
        <v>3531</v>
      </c>
      <c r="B3532" s="396" t="s">
        <v>6998</v>
      </c>
      <c r="C3532" s="396" t="s">
        <v>6999</v>
      </c>
      <c r="D3532" s="396" t="s">
        <v>6993</v>
      </c>
      <c r="E3532" s="396" t="s">
        <v>6994</v>
      </c>
      <c r="F3532" s="396" t="s">
        <v>6891</v>
      </c>
    </row>
    <row r="3533">
      <c r="A3533" s="311">
        <v>3532</v>
      </c>
      <c r="B3533" s="396" t="s">
        <v>7000</v>
      </c>
      <c r="C3533" s="396" t="s">
        <v>7001</v>
      </c>
      <c r="D3533" s="396" t="s">
        <v>6993</v>
      </c>
      <c r="E3533" s="396" t="s">
        <v>6994</v>
      </c>
      <c r="F3533" s="396" t="s">
        <v>6891</v>
      </c>
    </row>
    <row r="3534">
      <c r="A3534" s="311">
        <v>3533</v>
      </c>
      <c r="B3534" s="396" t="s">
        <v>7002</v>
      </c>
      <c r="C3534" s="396" t="s">
        <v>7003</v>
      </c>
      <c r="D3534" s="396" t="s">
        <v>6993</v>
      </c>
      <c r="E3534" s="396" t="s">
        <v>6994</v>
      </c>
      <c r="F3534" s="396" t="s">
        <v>6891</v>
      </c>
    </row>
    <row r="3535">
      <c r="A3535" s="311">
        <v>3534</v>
      </c>
      <c r="B3535" s="396" t="s">
        <v>7004</v>
      </c>
      <c r="C3535" s="396" t="s">
        <v>7005</v>
      </c>
      <c r="D3535" s="396" t="s">
        <v>6993</v>
      </c>
      <c r="E3535" s="396" t="s">
        <v>6994</v>
      </c>
      <c r="F3535" s="396" t="s">
        <v>6891</v>
      </c>
    </row>
    <row r="3536">
      <c r="A3536" s="311">
        <v>3535</v>
      </c>
      <c r="B3536" s="396" t="s">
        <v>7006</v>
      </c>
      <c r="C3536" s="396" t="s">
        <v>7007</v>
      </c>
      <c r="D3536" s="396" t="s">
        <v>6993</v>
      </c>
      <c r="E3536" s="396" t="s">
        <v>6994</v>
      </c>
      <c r="F3536" s="396" t="s">
        <v>6891</v>
      </c>
    </row>
    <row r="3537">
      <c r="A3537" s="311">
        <v>3536</v>
      </c>
      <c r="B3537" s="396" t="s">
        <v>7008</v>
      </c>
      <c r="C3537" s="396" t="s">
        <v>7009</v>
      </c>
      <c r="D3537" s="396" t="s">
        <v>6993</v>
      </c>
      <c r="E3537" s="396" t="s">
        <v>6994</v>
      </c>
      <c r="F3537" s="396" t="s">
        <v>6891</v>
      </c>
    </row>
    <row r="3538">
      <c r="A3538" s="311">
        <v>3537</v>
      </c>
      <c r="B3538" s="396" t="s">
        <v>7010</v>
      </c>
      <c r="C3538" s="396" t="s">
        <v>7011</v>
      </c>
      <c r="D3538" s="396" t="s">
        <v>6993</v>
      </c>
      <c r="E3538" s="396" t="s">
        <v>6994</v>
      </c>
      <c r="F3538" s="396" t="s">
        <v>6891</v>
      </c>
    </row>
    <row r="3539">
      <c r="A3539" s="311">
        <v>3538</v>
      </c>
      <c r="B3539" s="396" t="s">
        <v>7012</v>
      </c>
      <c r="C3539" s="396" t="s">
        <v>854</v>
      </c>
      <c r="D3539" s="396" t="s">
        <v>6993</v>
      </c>
      <c r="E3539" s="396" t="s">
        <v>6994</v>
      </c>
      <c r="F3539" s="396" t="s">
        <v>6891</v>
      </c>
    </row>
    <row r="3540">
      <c r="A3540" s="311">
        <v>3539</v>
      </c>
      <c r="B3540" s="396" t="s">
        <v>7013</v>
      </c>
      <c r="C3540" s="396" t="s">
        <v>1777</v>
      </c>
      <c r="D3540" s="396" t="s">
        <v>6993</v>
      </c>
      <c r="E3540" s="396" t="s">
        <v>6994</v>
      </c>
      <c r="F3540" s="396" t="s">
        <v>6891</v>
      </c>
    </row>
    <row r="3541">
      <c r="A3541" s="311">
        <v>3540</v>
      </c>
      <c r="B3541" s="396" t="s">
        <v>7014</v>
      </c>
      <c r="C3541" s="396" t="s">
        <v>7015</v>
      </c>
      <c r="D3541" s="396" t="s">
        <v>6993</v>
      </c>
      <c r="E3541" s="396" t="s">
        <v>6994</v>
      </c>
      <c r="F3541" s="396" t="s">
        <v>6891</v>
      </c>
    </row>
    <row r="3542">
      <c r="A3542" s="311">
        <v>3541</v>
      </c>
      <c r="B3542" s="396" t="s">
        <v>7016</v>
      </c>
      <c r="C3542" s="396" t="s">
        <v>7017</v>
      </c>
      <c r="D3542" s="396" t="s">
        <v>6993</v>
      </c>
      <c r="E3542" s="396" t="s">
        <v>6994</v>
      </c>
      <c r="F3542" s="396" t="s">
        <v>6891</v>
      </c>
    </row>
    <row r="3543">
      <c r="A3543" s="311">
        <v>3542</v>
      </c>
      <c r="B3543" s="396" t="s">
        <v>7018</v>
      </c>
      <c r="C3543" s="396" t="s">
        <v>7019</v>
      </c>
      <c r="D3543" s="396" t="s">
        <v>7020</v>
      </c>
      <c r="E3543" s="396" t="s">
        <v>7021</v>
      </c>
      <c r="F3543" s="396" t="s">
        <v>6891</v>
      </c>
    </row>
    <row r="3544">
      <c r="A3544" s="311">
        <v>3543</v>
      </c>
      <c r="B3544" s="396" t="s">
        <v>7022</v>
      </c>
      <c r="C3544" s="396" t="s">
        <v>6427</v>
      </c>
      <c r="D3544" s="396" t="s">
        <v>7020</v>
      </c>
      <c r="E3544" s="396" t="s">
        <v>7021</v>
      </c>
      <c r="F3544" s="396" t="s">
        <v>6891</v>
      </c>
    </row>
    <row r="3545">
      <c r="A3545" s="311">
        <v>3544</v>
      </c>
      <c r="B3545" s="396" t="s">
        <v>7023</v>
      </c>
      <c r="C3545" s="396" t="s">
        <v>7024</v>
      </c>
      <c r="D3545" s="396" t="s">
        <v>7020</v>
      </c>
      <c r="E3545" s="396" t="s">
        <v>7021</v>
      </c>
      <c r="F3545" s="396" t="s">
        <v>6891</v>
      </c>
    </row>
    <row r="3546">
      <c r="A3546" s="311">
        <v>3545</v>
      </c>
      <c r="B3546" s="396" t="s">
        <v>7025</v>
      </c>
      <c r="C3546" s="396" t="s">
        <v>7026</v>
      </c>
      <c r="D3546" s="396" t="s">
        <v>7020</v>
      </c>
      <c r="E3546" s="396" t="s">
        <v>7021</v>
      </c>
      <c r="F3546" s="396" t="s">
        <v>6891</v>
      </c>
    </row>
    <row r="3547">
      <c r="A3547" s="311">
        <v>3546</v>
      </c>
      <c r="B3547" s="396" t="s">
        <v>7027</v>
      </c>
      <c r="C3547" s="396" t="s">
        <v>7028</v>
      </c>
      <c r="D3547" s="396" t="s">
        <v>7020</v>
      </c>
      <c r="E3547" s="396" t="s">
        <v>7021</v>
      </c>
      <c r="F3547" s="396" t="s">
        <v>6891</v>
      </c>
    </row>
    <row r="3548">
      <c r="A3548" s="311">
        <v>3547</v>
      </c>
      <c r="B3548" s="396" t="s">
        <v>7029</v>
      </c>
      <c r="C3548" s="396" t="s">
        <v>7030</v>
      </c>
      <c r="D3548" s="396" t="s">
        <v>7020</v>
      </c>
      <c r="E3548" s="396" t="s">
        <v>7021</v>
      </c>
      <c r="F3548" s="396" t="s">
        <v>6891</v>
      </c>
    </row>
    <row r="3549">
      <c r="A3549" s="311">
        <v>3548</v>
      </c>
      <c r="B3549" s="396" t="s">
        <v>7031</v>
      </c>
      <c r="C3549" s="396" t="s">
        <v>7032</v>
      </c>
      <c r="D3549" s="396" t="s">
        <v>7020</v>
      </c>
      <c r="E3549" s="396" t="s">
        <v>7021</v>
      </c>
      <c r="F3549" s="396" t="s">
        <v>6891</v>
      </c>
    </row>
    <row r="3550">
      <c r="A3550" s="311">
        <v>3549</v>
      </c>
      <c r="B3550" s="396" t="s">
        <v>7033</v>
      </c>
      <c r="C3550" s="396" t="s">
        <v>7034</v>
      </c>
      <c r="D3550" s="396" t="s">
        <v>7020</v>
      </c>
      <c r="E3550" s="396" t="s">
        <v>7021</v>
      </c>
      <c r="F3550" s="396" t="s">
        <v>6891</v>
      </c>
    </row>
    <row r="3551">
      <c r="A3551" s="311">
        <v>3550</v>
      </c>
      <c r="B3551" s="396" t="s">
        <v>7035</v>
      </c>
      <c r="C3551" s="396" t="s">
        <v>7036</v>
      </c>
      <c r="D3551" s="396" t="s">
        <v>7020</v>
      </c>
      <c r="E3551" s="396" t="s">
        <v>7021</v>
      </c>
      <c r="F3551" s="396" t="s">
        <v>6891</v>
      </c>
    </row>
    <row r="3552">
      <c r="A3552" s="311">
        <v>3551</v>
      </c>
      <c r="B3552" s="396" t="s">
        <v>7037</v>
      </c>
      <c r="C3552" s="396" t="s">
        <v>7038</v>
      </c>
      <c r="D3552" s="396" t="s">
        <v>7020</v>
      </c>
      <c r="E3552" s="396" t="s">
        <v>7021</v>
      </c>
      <c r="F3552" s="396" t="s">
        <v>6891</v>
      </c>
    </row>
    <row r="3553">
      <c r="A3553" s="311">
        <v>3552</v>
      </c>
      <c r="B3553" s="396" t="s">
        <v>7039</v>
      </c>
      <c r="C3553" s="396" t="s">
        <v>7040</v>
      </c>
      <c r="D3553" s="396" t="s">
        <v>7020</v>
      </c>
      <c r="E3553" s="396" t="s">
        <v>7021</v>
      </c>
      <c r="F3553" s="396" t="s">
        <v>6891</v>
      </c>
    </row>
    <row r="3554">
      <c r="A3554" s="311">
        <v>3553</v>
      </c>
      <c r="B3554" s="396" t="s">
        <v>7041</v>
      </c>
      <c r="C3554" s="396" t="s">
        <v>7042</v>
      </c>
      <c r="D3554" s="396" t="s">
        <v>7020</v>
      </c>
      <c r="E3554" s="396" t="s">
        <v>7021</v>
      </c>
      <c r="F3554" s="396" t="s">
        <v>6891</v>
      </c>
    </row>
    <row r="3555">
      <c r="A3555" s="311">
        <v>3554</v>
      </c>
      <c r="B3555" s="396" t="s">
        <v>7043</v>
      </c>
      <c r="C3555" s="396" t="s">
        <v>7044</v>
      </c>
      <c r="D3555" s="396" t="s">
        <v>7045</v>
      </c>
      <c r="E3555" s="396" t="s">
        <v>7046</v>
      </c>
      <c r="F3555" s="396" t="s">
        <v>6891</v>
      </c>
    </row>
    <row r="3556">
      <c r="A3556" s="311">
        <v>3555</v>
      </c>
      <c r="B3556" s="396" t="s">
        <v>7047</v>
      </c>
      <c r="C3556" s="396" t="s">
        <v>7048</v>
      </c>
      <c r="D3556" s="396" t="s">
        <v>7045</v>
      </c>
      <c r="E3556" s="396" t="s">
        <v>7046</v>
      </c>
      <c r="F3556" s="396" t="s">
        <v>6891</v>
      </c>
    </row>
    <row r="3557">
      <c r="A3557" s="311">
        <v>3556</v>
      </c>
      <c r="B3557" s="396" t="s">
        <v>7049</v>
      </c>
      <c r="C3557" s="396" t="s">
        <v>7050</v>
      </c>
      <c r="D3557" s="396" t="s">
        <v>7045</v>
      </c>
      <c r="E3557" s="396" t="s">
        <v>7046</v>
      </c>
      <c r="F3557" s="396" t="s">
        <v>6891</v>
      </c>
    </row>
    <row r="3558">
      <c r="A3558" s="311">
        <v>3557</v>
      </c>
      <c r="B3558" s="396" t="s">
        <v>7051</v>
      </c>
      <c r="C3558" s="396" t="s">
        <v>7052</v>
      </c>
      <c r="D3558" s="396" t="s">
        <v>7045</v>
      </c>
      <c r="E3558" s="396" t="s">
        <v>7046</v>
      </c>
      <c r="F3558" s="396" t="s">
        <v>6891</v>
      </c>
    </row>
    <row r="3559">
      <c r="A3559" s="311">
        <v>3558</v>
      </c>
      <c r="B3559" s="396" t="s">
        <v>7053</v>
      </c>
      <c r="C3559" s="396" t="s">
        <v>7054</v>
      </c>
      <c r="D3559" s="396" t="s">
        <v>7045</v>
      </c>
      <c r="E3559" s="396" t="s">
        <v>7046</v>
      </c>
      <c r="F3559" s="396" t="s">
        <v>6891</v>
      </c>
    </row>
    <row r="3560">
      <c r="A3560" s="311">
        <v>3559</v>
      </c>
      <c r="B3560" s="396" t="s">
        <v>7055</v>
      </c>
      <c r="C3560" s="396" t="s">
        <v>7056</v>
      </c>
      <c r="D3560" s="396" t="s">
        <v>7045</v>
      </c>
      <c r="E3560" s="396" t="s">
        <v>7046</v>
      </c>
      <c r="F3560" s="396" t="s">
        <v>6891</v>
      </c>
    </row>
    <row r="3561">
      <c r="A3561" s="311">
        <v>3560</v>
      </c>
      <c r="B3561" s="396" t="s">
        <v>7057</v>
      </c>
      <c r="C3561" s="396" t="s">
        <v>3923</v>
      </c>
      <c r="D3561" s="396" t="s">
        <v>7045</v>
      </c>
      <c r="E3561" s="396" t="s">
        <v>7046</v>
      </c>
      <c r="F3561" s="396" t="s">
        <v>6891</v>
      </c>
    </row>
    <row r="3562">
      <c r="A3562" s="311">
        <v>3561</v>
      </c>
      <c r="B3562" s="396" t="s">
        <v>7058</v>
      </c>
      <c r="C3562" s="396" t="s">
        <v>7059</v>
      </c>
      <c r="D3562" s="396" t="s">
        <v>7045</v>
      </c>
      <c r="E3562" s="396" t="s">
        <v>7046</v>
      </c>
      <c r="F3562" s="396" t="s">
        <v>6891</v>
      </c>
    </row>
    <row r="3563">
      <c r="A3563" s="311">
        <v>3562</v>
      </c>
      <c r="B3563" s="396" t="s">
        <v>7060</v>
      </c>
      <c r="C3563" s="396" t="s">
        <v>7061</v>
      </c>
      <c r="D3563" s="396" t="s">
        <v>7045</v>
      </c>
      <c r="E3563" s="396" t="s">
        <v>7046</v>
      </c>
      <c r="F3563" s="396" t="s">
        <v>6891</v>
      </c>
    </row>
    <row r="3564">
      <c r="A3564" s="311">
        <v>3563</v>
      </c>
      <c r="B3564" s="396" t="s">
        <v>7062</v>
      </c>
      <c r="C3564" s="396" t="s">
        <v>7063</v>
      </c>
      <c r="D3564" s="396" t="s">
        <v>7045</v>
      </c>
      <c r="E3564" s="396" t="s">
        <v>7046</v>
      </c>
      <c r="F3564" s="396" t="s">
        <v>6891</v>
      </c>
    </row>
    <row r="3565">
      <c r="A3565" s="311">
        <v>3564</v>
      </c>
      <c r="B3565" s="396" t="s">
        <v>7064</v>
      </c>
      <c r="C3565" s="396" t="s">
        <v>7065</v>
      </c>
      <c r="D3565" s="396" t="s">
        <v>7045</v>
      </c>
      <c r="E3565" s="396" t="s">
        <v>7046</v>
      </c>
      <c r="F3565" s="396" t="s">
        <v>6891</v>
      </c>
    </row>
    <row r="3566">
      <c r="A3566" s="311">
        <v>3565</v>
      </c>
      <c r="B3566" s="396" t="s">
        <v>7066</v>
      </c>
      <c r="C3566" s="396" t="s">
        <v>7067</v>
      </c>
      <c r="D3566" s="396" t="s">
        <v>7045</v>
      </c>
      <c r="E3566" s="396" t="s">
        <v>7046</v>
      </c>
      <c r="F3566" s="396" t="s">
        <v>6891</v>
      </c>
    </row>
    <row r="3567">
      <c r="A3567" s="311">
        <v>3566</v>
      </c>
      <c r="B3567" s="396" t="s">
        <v>7068</v>
      </c>
      <c r="C3567" s="396" t="s">
        <v>7069</v>
      </c>
      <c r="D3567" s="396" t="s">
        <v>7045</v>
      </c>
      <c r="E3567" s="396" t="s">
        <v>7046</v>
      </c>
      <c r="F3567" s="396" t="s">
        <v>6891</v>
      </c>
    </row>
    <row r="3568">
      <c r="A3568" s="311">
        <v>3567</v>
      </c>
      <c r="B3568" s="396" t="s">
        <v>7070</v>
      </c>
      <c r="C3568" s="396" t="s">
        <v>7071</v>
      </c>
      <c r="D3568" s="396" t="s">
        <v>7045</v>
      </c>
      <c r="E3568" s="396" t="s">
        <v>7046</v>
      </c>
      <c r="F3568" s="396" t="s">
        <v>6891</v>
      </c>
    </row>
    <row r="3569">
      <c r="A3569" s="311">
        <v>3568</v>
      </c>
      <c r="B3569" s="396" t="s">
        <v>7072</v>
      </c>
      <c r="C3569" s="396" t="s">
        <v>6790</v>
      </c>
      <c r="D3569" s="396" t="s">
        <v>7045</v>
      </c>
      <c r="E3569" s="396" t="s">
        <v>7046</v>
      </c>
      <c r="F3569" s="396" t="s">
        <v>6891</v>
      </c>
    </row>
    <row r="3570">
      <c r="A3570" s="311">
        <v>3569</v>
      </c>
      <c r="B3570" s="396" t="s">
        <v>7073</v>
      </c>
      <c r="C3570" s="396" t="s">
        <v>7074</v>
      </c>
      <c r="D3570" s="396" t="s">
        <v>7045</v>
      </c>
      <c r="E3570" s="396" t="s">
        <v>7046</v>
      </c>
      <c r="F3570" s="396" t="s">
        <v>6891</v>
      </c>
    </row>
    <row r="3571">
      <c r="A3571" s="311">
        <v>3570</v>
      </c>
      <c r="B3571" s="396" t="s">
        <v>7075</v>
      </c>
      <c r="C3571" s="396" t="s">
        <v>7076</v>
      </c>
      <c r="D3571" s="396" t="s">
        <v>7045</v>
      </c>
      <c r="E3571" s="396" t="s">
        <v>7046</v>
      </c>
      <c r="F3571" s="396" t="s">
        <v>6891</v>
      </c>
    </row>
    <row r="3572">
      <c r="A3572" s="311">
        <v>3571</v>
      </c>
      <c r="B3572" s="396" t="s">
        <v>7077</v>
      </c>
      <c r="C3572" s="396" t="s">
        <v>7078</v>
      </c>
      <c r="D3572" s="396" t="s">
        <v>7045</v>
      </c>
      <c r="E3572" s="396" t="s">
        <v>7046</v>
      </c>
      <c r="F3572" s="396" t="s">
        <v>6891</v>
      </c>
    </row>
    <row r="3573">
      <c r="A3573" s="311">
        <v>3572</v>
      </c>
      <c r="B3573" s="396" t="s">
        <v>7079</v>
      </c>
      <c r="C3573" s="396" t="s">
        <v>7080</v>
      </c>
      <c r="D3573" s="396" t="s">
        <v>7081</v>
      </c>
      <c r="E3573" s="396" t="s">
        <v>7082</v>
      </c>
      <c r="F3573" s="396" t="s">
        <v>6891</v>
      </c>
    </row>
    <row r="3574">
      <c r="A3574" s="311">
        <v>3573</v>
      </c>
      <c r="B3574" s="396" t="s">
        <v>7083</v>
      </c>
      <c r="C3574" s="396" t="s">
        <v>5381</v>
      </c>
      <c r="D3574" s="396" t="s">
        <v>7081</v>
      </c>
      <c r="E3574" s="396" t="s">
        <v>7082</v>
      </c>
      <c r="F3574" s="396" t="s">
        <v>6891</v>
      </c>
    </row>
    <row r="3575">
      <c r="A3575" s="311">
        <v>3574</v>
      </c>
      <c r="B3575" s="396" t="s">
        <v>7084</v>
      </c>
      <c r="C3575" s="396" t="s">
        <v>7085</v>
      </c>
      <c r="D3575" s="396" t="s">
        <v>7081</v>
      </c>
      <c r="E3575" s="396" t="s">
        <v>7082</v>
      </c>
      <c r="F3575" s="396" t="s">
        <v>6891</v>
      </c>
    </row>
    <row r="3576">
      <c r="A3576" s="311">
        <v>3575</v>
      </c>
      <c r="B3576" s="396" t="s">
        <v>7086</v>
      </c>
      <c r="C3576" s="396" t="s">
        <v>7087</v>
      </c>
      <c r="D3576" s="396" t="s">
        <v>7081</v>
      </c>
      <c r="E3576" s="396" t="s">
        <v>7082</v>
      </c>
      <c r="F3576" s="396" t="s">
        <v>6891</v>
      </c>
    </row>
    <row r="3577">
      <c r="A3577" s="311">
        <v>3576</v>
      </c>
      <c r="B3577" s="396" t="s">
        <v>7088</v>
      </c>
      <c r="C3577" s="396" t="s">
        <v>7089</v>
      </c>
      <c r="D3577" s="396" t="s">
        <v>7081</v>
      </c>
      <c r="E3577" s="396" t="s">
        <v>7082</v>
      </c>
      <c r="F3577" s="396" t="s">
        <v>6891</v>
      </c>
    </row>
    <row r="3578">
      <c r="A3578" s="311">
        <v>3577</v>
      </c>
      <c r="B3578" s="396" t="s">
        <v>7090</v>
      </c>
      <c r="C3578" s="396" t="s">
        <v>7091</v>
      </c>
      <c r="D3578" s="396" t="s">
        <v>7081</v>
      </c>
      <c r="E3578" s="396" t="s">
        <v>7082</v>
      </c>
      <c r="F3578" s="396" t="s">
        <v>6891</v>
      </c>
    </row>
    <row r="3579">
      <c r="A3579" s="311">
        <v>3578</v>
      </c>
      <c r="B3579" s="396" t="s">
        <v>7092</v>
      </c>
      <c r="C3579" s="396" t="s">
        <v>5082</v>
      </c>
      <c r="D3579" s="396" t="s">
        <v>7081</v>
      </c>
      <c r="E3579" s="396" t="s">
        <v>7082</v>
      </c>
      <c r="F3579" s="396" t="s">
        <v>6891</v>
      </c>
    </row>
    <row r="3580">
      <c r="A3580" s="311">
        <v>3579</v>
      </c>
      <c r="B3580" s="396" t="s">
        <v>7093</v>
      </c>
      <c r="C3580" s="396" t="s">
        <v>1950</v>
      </c>
      <c r="D3580" s="396" t="s">
        <v>7081</v>
      </c>
      <c r="E3580" s="396" t="s">
        <v>7082</v>
      </c>
      <c r="F3580" s="396" t="s">
        <v>6891</v>
      </c>
    </row>
    <row r="3581">
      <c r="A3581" s="311">
        <v>3580</v>
      </c>
      <c r="B3581" s="396" t="s">
        <v>7094</v>
      </c>
      <c r="C3581" s="396" t="s">
        <v>2118</v>
      </c>
      <c r="D3581" s="396" t="s">
        <v>7081</v>
      </c>
      <c r="E3581" s="396" t="s">
        <v>7082</v>
      </c>
      <c r="F3581" s="396" t="s">
        <v>6891</v>
      </c>
    </row>
    <row r="3582">
      <c r="A3582" s="311">
        <v>3581</v>
      </c>
      <c r="B3582" s="396" t="s">
        <v>7095</v>
      </c>
      <c r="C3582" s="396" t="s">
        <v>7096</v>
      </c>
      <c r="D3582" s="396" t="s">
        <v>7081</v>
      </c>
      <c r="E3582" s="396" t="s">
        <v>7082</v>
      </c>
      <c r="F3582" s="396" t="s">
        <v>6891</v>
      </c>
    </row>
    <row r="3583">
      <c r="A3583" s="311">
        <v>3582</v>
      </c>
      <c r="B3583" s="396" t="s">
        <v>7097</v>
      </c>
      <c r="C3583" s="396" t="s">
        <v>4144</v>
      </c>
      <c r="D3583" s="396" t="s">
        <v>7081</v>
      </c>
      <c r="E3583" s="396" t="s">
        <v>7082</v>
      </c>
      <c r="F3583" s="396" t="s">
        <v>6891</v>
      </c>
    </row>
    <row r="3584">
      <c r="A3584" s="311">
        <v>3583</v>
      </c>
      <c r="B3584" s="396" t="s">
        <v>7098</v>
      </c>
      <c r="C3584" s="396" t="s">
        <v>7099</v>
      </c>
      <c r="D3584" s="396" t="s">
        <v>7081</v>
      </c>
      <c r="E3584" s="396" t="s">
        <v>7082</v>
      </c>
      <c r="F3584" s="396" t="s">
        <v>6891</v>
      </c>
    </row>
    <row r="3585">
      <c r="A3585" s="311">
        <v>3584</v>
      </c>
      <c r="B3585" s="396" t="s">
        <v>7100</v>
      </c>
      <c r="C3585" s="396" t="s">
        <v>7101</v>
      </c>
      <c r="D3585" s="396" t="s">
        <v>7081</v>
      </c>
      <c r="E3585" s="396" t="s">
        <v>7082</v>
      </c>
      <c r="F3585" s="396" t="s">
        <v>6891</v>
      </c>
    </row>
    <row r="3586">
      <c r="A3586" s="311">
        <v>3585</v>
      </c>
      <c r="B3586" s="396" t="s">
        <v>7102</v>
      </c>
      <c r="C3586" s="396" t="s">
        <v>7103</v>
      </c>
      <c r="D3586" s="396" t="s">
        <v>7081</v>
      </c>
      <c r="E3586" s="396" t="s">
        <v>7082</v>
      </c>
      <c r="F3586" s="396" t="s">
        <v>6891</v>
      </c>
    </row>
    <row r="3587">
      <c r="A3587" s="311">
        <v>3586</v>
      </c>
      <c r="B3587" s="396" t="s">
        <v>7104</v>
      </c>
      <c r="C3587" s="396" t="s">
        <v>7105</v>
      </c>
      <c r="D3587" s="396" t="s">
        <v>7106</v>
      </c>
      <c r="E3587" s="396" t="s">
        <v>7107</v>
      </c>
      <c r="F3587" s="396" t="s">
        <v>6891</v>
      </c>
    </row>
    <row r="3588">
      <c r="A3588" s="311">
        <v>3587</v>
      </c>
      <c r="B3588" s="396" t="s">
        <v>7108</v>
      </c>
      <c r="C3588" s="396" t="s">
        <v>3939</v>
      </c>
      <c r="D3588" s="396" t="s">
        <v>7106</v>
      </c>
      <c r="E3588" s="396" t="s">
        <v>7107</v>
      </c>
      <c r="F3588" s="396" t="s">
        <v>6891</v>
      </c>
    </row>
    <row r="3589">
      <c r="A3589" s="311">
        <v>3588</v>
      </c>
      <c r="B3589" s="396" t="s">
        <v>7109</v>
      </c>
      <c r="C3589" s="396" t="s">
        <v>7110</v>
      </c>
      <c r="D3589" s="396" t="s">
        <v>7106</v>
      </c>
      <c r="E3589" s="396" t="s">
        <v>7107</v>
      </c>
      <c r="F3589" s="396" t="s">
        <v>6891</v>
      </c>
    </row>
    <row r="3590">
      <c r="A3590" s="311">
        <v>3589</v>
      </c>
      <c r="B3590" s="396" t="s">
        <v>7111</v>
      </c>
      <c r="C3590" s="396" t="s">
        <v>7112</v>
      </c>
      <c r="D3590" s="396" t="s">
        <v>7106</v>
      </c>
      <c r="E3590" s="396" t="s">
        <v>7107</v>
      </c>
      <c r="F3590" s="396" t="s">
        <v>6891</v>
      </c>
    </row>
    <row r="3591">
      <c r="A3591" s="311">
        <v>3590</v>
      </c>
      <c r="B3591" s="396" t="s">
        <v>7113</v>
      </c>
      <c r="C3591" s="396" t="s">
        <v>7114</v>
      </c>
      <c r="D3591" s="396" t="s">
        <v>7106</v>
      </c>
      <c r="E3591" s="396" t="s">
        <v>7107</v>
      </c>
      <c r="F3591" s="396" t="s">
        <v>6891</v>
      </c>
    </row>
    <row r="3592">
      <c r="A3592" s="311">
        <v>3591</v>
      </c>
      <c r="B3592" s="396" t="s">
        <v>7115</v>
      </c>
      <c r="C3592" s="396" t="s">
        <v>7116</v>
      </c>
      <c r="D3592" s="396" t="s">
        <v>7106</v>
      </c>
      <c r="E3592" s="396" t="s">
        <v>7107</v>
      </c>
      <c r="F3592" s="396" t="s">
        <v>6891</v>
      </c>
    </row>
    <row r="3593">
      <c r="A3593" s="311">
        <v>3592</v>
      </c>
      <c r="B3593" s="396" t="s">
        <v>7117</v>
      </c>
      <c r="C3593" s="396" t="s">
        <v>7118</v>
      </c>
      <c r="D3593" s="396" t="s">
        <v>7106</v>
      </c>
      <c r="E3593" s="396" t="s">
        <v>7107</v>
      </c>
      <c r="F3593" s="396" t="s">
        <v>6891</v>
      </c>
    </row>
    <row r="3594">
      <c r="A3594" s="311">
        <v>3593</v>
      </c>
      <c r="B3594" s="396" t="s">
        <v>7119</v>
      </c>
      <c r="C3594" s="396" t="s">
        <v>7120</v>
      </c>
      <c r="D3594" s="396" t="s">
        <v>7106</v>
      </c>
      <c r="E3594" s="396" t="s">
        <v>7107</v>
      </c>
      <c r="F3594" s="396" t="s">
        <v>6891</v>
      </c>
    </row>
    <row r="3595">
      <c r="A3595" s="311">
        <v>3594</v>
      </c>
      <c r="B3595" s="396" t="s">
        <v>7121</v>
      </c>
      <c r="C3595" s="396" t="s">
        <v>7122</v>
      </c>
      <c r="D3595" s="396" t="s">
        <v>7106</v>
      </c>
      <c r="E3595" s="396" t="s">
        <v>7107</v>
      </c>
      <c r="F3595" s="396" t="s">
        <v>6891</v>
      </c>
    </row>
    <row r="3596">
      <c r="A3596" s="311">
        <v>3595</v>
      </c>
      <c r="B3596" s="396" t="s">
        <v>7123</v>
      </c>
      <c r="C3596" s="396" t="s">
        <v>7124</v>
      </c>
      <c r="D3596" s="396" t="s">
        <v>7106</v>
      </c>
      <c r="E3596" s="396" t="s">
        <v>7107</v>
      </c>
      <c r="F3596" s="396" t="s">
        <v>6891</v>
      </c>
    </row>
    <row r="3597">
      <c r="A3597" s="311">
        <v>3596</v>
      </c>
      <c r="B3597" s="396" t="s">
        <v>7125</v>
      </c>
      <c r="C3597" s="396" t="s">
        <v>1115</v>
      </c>
      <c r="D3597" s="396" t="s">
        <v>7106</v>
      </c>
      <c r="E3597" s="396" t="s">
        <v>7107</v>
      </c>
      <c r="F3597" s="396" t="s">
        <v>6891</v>
      </c>
    </row>
    <row r="3598">
      <c r="A3598" s="311">
        <v>3597</v>
      </c>
      <c r="B3598" s="396" t="s">
        <v>7126</v>
      </c>
      <c r="C3598" s="396" t="s">
        <v>6779</v>
      </c>
      <c r="D3598" s="396" t="s">
        <v>7106</v>
      </c>
      <c r="E3598" s="396" t="s">
        <v>7107</v>
      </c>
      <c r="F3598" s="396" t="s">
        <v>6891</v>
      </c>
    </row>
    <row r="3599">
      <c r="A3599" s="311">
        <v>3598</v>
      </c>
      <c r="B3599" s="396" t="s">
        <v>7127</v>
      </c>
      <c r="C3599" s="396" t="s">
        <v>2542</v>
      </c>
      <c r="D3599" s="396" t="s">
        <v>7106</v>
      </c>
      <c r="E3599" s="396" t="s">
        <v>7107</v>
      </c>
      <c r="F3599" s="396" t="s">
        <v>6891</v>
      </c>
    </row>
    <row r="3600">
      <c r="A3600" s="311">
        <v>3599</v>
      </c>
      <c r="B3600" s="396" t="s">
        <v>7128</v>
      </c>
      <c r="C3600" s="396" t="s">
        <v>7129</v>
      </c>
      <c r="D3600" s="396" t="s">
        <v>7106</v>
      </c>
      <c r="E3600" s="396" t="s">
        <v>7107</v>
      </c>
      <c r="F3600" s="396" t="s">
        <v>6891</v>
      </c>
    </row>
    <row r="3601">
      <c r="A3601" s="311">
        <v>3600</v>
      </c>
      <c r="B3601" s="396" t="s">
        <v>7130</v>
      </c>
      <c r="C3601" s="396" t="s">
        <v>7131</v>
      </c>
      <c r="D3601" s="396" t="s">
        <v>7132</v>
      </c>
      <c r="E3601" s="396" t="s">
        <v>7133</v>
      </c>
      <c r="F3601" s="396" t="s">
        <v>7134</v>
      </c>
    </row>
    <row r="3602">
      <c r="A3602" s="311">
        <v>3601</v>
      </c>
      <c r="B3602" s="396" t="s">
        <v>7135</v>
      </c>
      <c r="C3602" s="396" t="s">
        <v>7136</v>
      </c>
      <c r="D3602" s="396" t="s">
        <v>7132</v>
      </c>
      <c r="E3602" s="396" t="s">
        <v>7133</v>
      </c>
      <c r="F3602" s="396" t="s">
        <v>7134</v>
      </c>
    </row>
    <row r="3603">
      <c r="A3603" s="311">
        <v>3602</v>
      </c>
      <c r="B3603" s="396" t="s">
        <v>7137</v>
      </c>
      <c r="C3603" s="396" t="s">
        <v>7138</v>
      </c>
      <c r="D3603" s="396" t="s">
        <v>7132</v>
      </c>
      <c r="E3603" s="396" t="s">
        <v>7133</v>
      </c>
      <c r="F3603" s="396" t="s">
        <v>7134</v>
      </c>
    </row>
    <row r="3604">
      <c r="A3604" s="311">
        <v>3603</v>
      </c>
      <c r="B3604" s="396" t="s">
        <v>7139</v>
      </c>
      <c r="C3604" s="396" t="s">
        <v>7140</v>
      </c>
      <c r="D3604" s="396" t="s">
        <v>7132</v>
      </c>
      <c r="E3604" s="396" t="s">
        <v>7133</v>
      </c>
      <c r="F3604" s="396" t="s">
        <v>7134</v>
      </c>
    </row>
    <row r="3605">
      <c r="A3605" s="311">
        <v>3604</v>
      </c>
      <c r="B3605" s="396" t="s">
        <v>7141</v>
      </c>
      <c r="C3605" s="396" t="s">
        <v>168</v>
      </c>
      <c r="D3605" s="396" t="s">
        <v>7132</v>
      </c>
      <c r="E3605" s="396" t="s">
        <v>7133</v>
      </c>
      <c r="F3605" s="396" t="s">
        <v>7134</v>
      </c>
    </row>
    <row r="3606">
      <c r="A3606" s="311">
        <v>3605</v>
      </c>
      <c r="B3606" s="396" t="s">
        <v>7142</v>
      </c>
      <c r="C3606" s="396" t="s">
        <v>553</v>
      </c>
      <c r="D3606" s="396" t="s">
        <v>7132</v>
      </c>
      <c r="E3606" s="396" t="s">
        <v>7133</v>
      </c>
      <c r="F3606" s="396" t="s">
        <v>7134</v>
      </c>
    </row>
    <row r="3607">
      <c r="A3607" s="311">
        <v>3606</v>
      </c>
      <c r="B3607" s="396" t="s">
        <v>7143</v>
      </c>
      <c r="C3607" s="396" t="s">
        <v>7144</v>
      </c>
      <c r="D3607" s="396" t="s">
        <v>7132</v>
      </c>
      <c r="E3607" s="396" t="s">
        <v>7133</v>
      </c>
      <c r="F3607" s="396" t="s">
        <v>7134</v>
      </c>
    </row>
    <row r="3608">
      <c r="A3608" s="311">
        <v>3607</v>
      </c>
      <c r="B3608" s="396" t="s">
        <v>7145</v>
      </c>
      <c r="C3608" s="396" t="s">
        <v>70</v>
      </c>
      <c r="D3608" s="396" t="s">
        <v>7132</v>
      </c>
      <c r="E3608" s="396" t="s">
        <v>7133</v>
      </c>
      <c r="F3608" s="396" t="s">
        <v>7134</v>
      </c>
    </row>
    <row r="3609">
      <c r="A3609" s="311">
        <v>3608</v>
      </c>
      <c r="B3609" s="396" t="s">
        <v>7146</v>
      </c>
      <c r="C3609" s="396" t="s">
        <v>252</v>
      </c>
      <c r="D3609" s="396" t="s">
        <v>7132</v>
      </c>
      <c r="E3609" s="396" t="s">
        <v>7133</v>
      </c>
      <c r="F3609" s="396" t="s">
        <v>7134</v>
      </c>
    </row>
    <row r="3610">
      <c r="A3610" s="311">
        <v>3609</v>
      </c>
      <c r="B3610" s="396" t="s">
        <v>7147</v>
      </c>
      <c r="C3610" s="396" t="s">
        <v>2898</v>
      </c>
      <c r="D3610" s="396" t="s">
        <v>7132</v>
      </c>
      <c r="E3610" s="396" t="s">
        <v>7133</v>
      </c>
      <c r="F3610" s="396" t="s">
        <v>7134</v>
      </c>
    </row>
    <row r="3611">
      <c r="A3611" s="311">
        <v>3610</v>
      </c>
      <c r="B3611" s="396" t="s">
        <v>7148</v>
      </c>
      <c r="C3611" s="396" t="s">
        <v>7149</v>
      </c>
      <c r="D3611" s="396" t="s">
        <v>7132</v>
      </c>
      <c r="E3611" s="396" t="s">
        <v>7133</v>
      </c>
      <c r="F3611" s="396" t="s">
        <v>7134</v>
      </c>
    </row>
    <row r="3612">
      <c r="A3612" s="311">
        <v>3611</v>
      </c>
      <c r="B3612" s="396" t="s">
        <v>7150</v>
      </c>
      <c r="C3612" s="396" t="s">
        <v>7151</v>
      </c>
      <c r="D3612" s="396" t="s">
        <v>7132</v>
      </c>
      <c r="E3612" s="396" t="s">
        <v>7133</v>
      </c>
      <c r="F3612" s="396" t="s">
        <v>7134</v>
      </c>
    </row>
    <row r="3613">
      <c r="A3613" s="311">
        <v>3612</v>
      </c>
      <c r="B3613" s="396" t="s">
        <v>7152</v>
      </c>
      <c r="C3613" s="396" t="s">
        <v>7153</v>
      </c>
      <c r="D3613" s="396" t="s">
        <v>7132</v>
      </c>
      <c r="E3613" s="396" t="s">
        <v>7133</v>
      </c>
      <c r="F3613" s="396" t="s">
        <v>7134</v>
      </c>
    </row>
    <row r="3614">
      <c r="A3614" s="311">
        <v>3613</v>
      </c>
      <c r="B3614" s="396" t="s">
        <v>7154</v>
      </c>
      <c r="C3614" s="396" t="s">
        <v>7155</v>
      </c>
      <c r="D3614" s="396" t="s">
        <v>7132</v>
      </c>
      <c r="E3614" s="396" t="s">
        <v>7133</v>
      </c>
      <c r="F3614" s="396" t="s">
        <v>7134</v>
      </c>
    </row>
    <row r="3615">
      <c r="A3615" s="311">
        <v>3614</v>
      </c>
      <c r="B3615" s="396" t="s">
        <v>7156</v>
      </c>
      <c r="C3615" s="396" t="s">
        <v>7157</v>
      </c>
      <c r="D3615" s="396" t="s">
        <v>7132</v>
      </c>
      <c r="E3615" s="396" t="s">
        <v>7133</v>
      </c>
      <c r="F3615" s="396" t="s">
        <v>7134</v>
      </c>
    </row>
    <row r="3616">
      <c r="A3616" s="311">
        <v>3615</v>
      </c>
      <c r="B3616" s="396" t="s">
        <v>7158</v>
      </c>
      <c r="C3616" s="396" t="s">
        <v>7159</v>
      </c>
      <c r="D3616" s="396" t="s">
        <v>7132</v>
      </c>
      <c r="E3616" s="396" t="s">
        <v>7133</v>
      </c>
      <c r="F3616" s="396" t="s">
        <v>7134</v>
      </c>
    </row>
    <row r="3617">
      <c r="A3617" s="311">
        <v>3616</v>
      </c>
      <c r="B3617" s="396" t="s">
        <v>7160</v>
      </c>
      <c r="C3617" s="396" t="s">
        <v>5966</v>
      </c>
      <c r="D3617" s="396" t="s">
        <v>7132</v>
      </c>
      <c r="E3617" s="396" t="s">
        <v>7133</v>
      </c>
      <c r="F3617" s="396" t="s">
        <v>7134</v>
      </c>
    </row>
    <row r="3618">
      <c r="A3618" s="311">
        <v>3617</v>
      </c>
      <c r="B3618" s="396" t="s">
        <v>7161</v>
      </c>
      <c r="C3618" s="396" t="s">
        <v>7162</v>
      </c>
      <c r="D3618" s="396" t="s">
        <v>7132</v>
      </c>
      <c r="E3618" s="396" t="s">
        <v>7133</v>
      </c>
      <c r="F3618" s="396" t="s">
        <v>7134</v>
      </c>
    </row>
    <row r="3619">
      <c r="A3619" s="311">
        <v>3618</v>
      </c>
      <c r="B3619" s="396" t="s">
        <v>7163</v>
      </c>
      <c r="C3619" s="396" t="s">
        <v>7164</v>
      </c>
      <c r="D3619" s="396" t="s">
        <v>7132</v>
      </c>
      <c r="E3619" s="396" t="s">
        <v>7133</v>
      </c>
      <c r="F3619" s="396" t="s">
        <v>7134</v>
      </c>
    </row>
    <row r="3620">
      <c r="A3620" s="311">
        <v>3619</v>
      </c>
      <c r="B3620" s="396" t="s">
        <v>7165</v>
      </c>
      <c r="C3620" s="396" t="s">
        <v>7166</v>
      </c>
      <c r="D3620" s="396" t="s">
        <v>7132</v>
      </c>
      <c r="E3620" s="396" t="s">
        <v>7133</v>
      </c>
      <c r="F3620" s="396" t="s">
        <v>7134</v>
      </c>
    </row>
    <row r="3621">
      <c r="A3621" s="311">
        <v>3620</v>
      </c>
      <c r="B3621" s="396" t="s">
        <v>7167</v>
      </c>
      <c r="C3621" s="396" t="s">
        <v>296</v>
      </c>
      <c r="D3621" s="396" t="s">
        <v>7132</v>
      </c>
      <c r="E3621" s="396" t="s">
        <v>7133</v>
      </c>
      <c r="F3621" s="396" t="s">
        <v>7134</v>
      </c>
    </row>
    <row r="3622">
      <c r="A3622" s="311">
        <v>3621</v>
      </c>
      <c r="B3622" s="396" t="s">
        <v>7168</v>
      </c>
      <c r="C3622" s="396" t="s">
        <v>7169</v>
      </c>
      <c r="D3622" s="396" t="s">
        <v>7170</v>
      </c>
      <c r="E3622" s="396" t="s">
        <v>7171</v>
      </c>
      <c r="F3622" s="396" t="s">
        <v>7134</v>
      </c>
    </row>
    <row r="3623">
      <c r="A3623" s="311">
        <v>3622</v>
      </c>
      <c r="B3623" s="396" t="s">
        <v>7172</v>
      </c>
      <c r="C3623" s="396" t="s">
        <v>7173</v>
      </c>
      <c r="D3623" s="396" t="s">
        <v>7170</v>
      </c>
      <c r="E3623" s="396" t="s">
        <v>7171</v>
      </c>
      <c r="F3623" s="396" t="s">
        <v>7134</v>
      </c>
    </row>
    <row r="3624">
      <c r="A3624" s="311">
        <v>3623</v>
      </c>
      <c r="B3624" s="396" t="s">
        <v>7174</v>
      </c>
      <c r="C3624" s="396" t="s">
        <v>7175</v>
      </c>
      <c r="D3624" s="396" t="s">
        <v>7170</v>
      </c>
      <c r="E3624" s="396" t="s">
        <v>7171</v>
      </c>
      <c r="F3624" s="396" t="s">
        <v>7134</v>
      </c>
    </row>
    <row r="3625">
      <c r="A3625" s="311">
        <v>3624</v>
      </c>
      <c r="B3625" s="396" t="s">
        <v>7176</v>
      </c>
      <c r="C3625" s="396" t="s">
        <v>7177</v>
      </c>
      <c r="D3625" s="396" t="s">
        <v>7170</v>
      </c>
      <c r="E3625" s="396" t="s">
        <v>7171</v>
      </c>
      <c r="F3625" s="396" t="s">
        <v>7134</v>
      </c>
    </row>
    <row r="3626">
      <c r="A3626" s="311">
        <v>3625</v>
      </c>
      <c r="B3626" s="396" t="s">
        <v>7178</v>
      </c>
      <c r="C3626" s="396" t="s">
        <v>7179</v>
      </c>
      <c r="D3626" s="396" t="s">
        <v>7170</v>
      </c>
      <c r="E3626" s="396" t="s">
        <v>7171</v>
      </c>
      <c r="F3626" s="396" t="s">
        <v>7134</v>
      </c>
    </row>
    <row r="3627">
      <c r="A3627" s="311">
        <v>3626</v>
      </c>
      <c r="B3627" s="396" t="s">
        <v>7180</v>
      </c>
      <c r="C3627" s="396" t="s">
        <v>1640</v>
      </c>
      <c r="D3627" s="396" t="s">
        <v>7170</v>
      </c>
      <c r="E3627" s="396" t="s">
        <v>7171</v>
      </c>
      <c r="F3627" s="396" t="s">
        <v>7134</v>
      </c>
    </row>
    <row r="3628">
      <c r="A3628" s="311">
        <v>3627</v>
      </c>
      <c r="B3628" s="396" t="s">
        <v>7181</v>
      </c>
      <c r="C3628" s="396" t="s">
        <v>1042</v>
      </c>
      <c r="D3628" s="396" t="s">
        <v>7170</v>
      </c>
      <c r="E3628" s="396" t="s">
        <v>7171</v>
      </c>
      <c r="F3628" s="396" t="s">
        <v>7134</v>
      </c>
    </row>
    <row r="3629">
      <c r="A3629" s="311">
        <v>3628</v>
      </c>
      <c r="B3629" s="396" t="s">
        <v>7182</v>
      </c>
      <c r="C3629" s="396" t="s">
        <v>7183</v>
      </c>
      <c r="D3629" s="396" t="s">
        <v>7170</v>
      </c>
      <c r="E3629" s="396" t="s">
        <v>7171</v>
      </c>
      <c r="F3629" s="396" t="s">
        <v>7134</v>
      </c>
    </row>
    <row r="3630">
      <c r="A3630" s="311">
        <v>3629</v>
      </c>
      <c r="B3630" s="396" t="s">
        <v>7184</v>
      </c>
      <c r="C3630" s="396" t="s">
        <v>5650</v>
      </c>
      <c r="D3630" s="396" t="s">
        <v>7170</v>
      </c>
      <c r="E3630" s="396" t="s">
        <v>7171</v>
      </c>
      <c r="F3630" s="396" t="s">
        <v>7134</v>
      </c>
    </row>
    <row r="3631">
      <c r="A3631" s="311">
        <v>3630</v>
      </c>
      <c r="B3631" s="396" t="s">
        <v>7185</v>
      </c>
      <c r="C3631" s="396" t="s">
        <v>7186</v>
      </c>
      <c r="D3631" s="396" t="s">
        <v>7170</v>
      </c>
      <c r="E3631" s="396" t="s">
        <v>7171</v>
      </c>
      <c r="F3631" s="396" t="s">
        <v>7134</v>
      </c>
    </row>
    <row r="3632">
      <c r="A3632" s="311">
        <v>3631</v>
      </c>
      <c r="B3632" s="396" t="s">
        <v>7187</v>
      </c>
      <c r="C3632" s="396" t="s">
        <v>7188</v>
      </c>
      <c r="D3632" s="396" t="s">
        <v>7170</v>
      </c>
      <c r="E3632" s="396" t="s">
        <v>7171</v>
      </c>
      <c r="F3632" s="396" t="s">
        <v>7134</v>
      </c>
    </row>
    <row r="3633">
      <c r="A3633" s="311">
        <v>3632</v>
      </c>
      <c r="B3633" s="396" t="s">
        <v>7189</v>
      </c>
      <c r="C3633" s="396" t="s">
        <v>7190</v>
      </c>
      <c r="D3633" s="396" t="s">
        <v>7170</v>
      </c>
      <c r="E3633" s="396" t="s">
        <v>7171</v>
      </c>
      <c r="F3633" s="396" t="s">
        <v>7134</v>
      </c>
    </row>
    <row r="3634">
      <c r="A3634" s="311">
        <v>3633</v>
      </c>
      <c r="B3634" s="396" t="s">
        <v>7191</v>
      </c>
      <c r="C3634" s="396" t="s">
        <v>7192</v>
      </c>
      <c r="D3634" s="396" t="s">
        <v>7170</v>
      </c>
      <c r="E3634" s="396" t="s">
        <v>7171</v>
      </c>
      <c r="F3634" s="396" t="s">
        <v>7134</v>
      </c>
    </row>
    <row r="3635">
      <c r="A3635" s="311">
        <v>3634</v>
      </c>
      <c r="B3635" s="396" t="s">
        <v>7193</v>
      </c>
      <c r="C3635" s="396" t="s">
        <v>430</v>
      </c>
      <c r="D3635" s="396" t="s">
        <v>7170</v>
      </c>
      <c r="E3635" s="396" t="s">
        <v>7171</v>
      </c>
      <c r="F3635" s="396" t="s">
        <v>7134</v>
      </c>
    </row>
    <row r="3636">
      <c r="A3636" s="311">
        <v>3635</v>
      </c>
      <c r="B3636" s="396" t="s">
        <v>7194</v>
      </c>
      <c r="C3636" s="396" t="s">
        <v>7195</v>
      </c>
      <c r="D3636" s="396" t="s">
        <v>7170</v>
      </c>
      <c r="E3636" s="396" t="s">
        <v>7171</v>
      </c>
      <c r="F3636" s="396" t="s">
        <v>7134</v>
      </c>
    </row>
    <row r="3637">
      <c r="A3637" s="311">
        <v>3636</v>
      </c>
      <c r="B3637" s="396" t="s">
        <v>7196</v>
      </c>
      <c r="C3637" s="396" t="s">
        <v>7197</v>
      </c>
      <c r="D3637" s="396" t="s">
        <v>7170</v>
      </c>
      <c r="E3637" s="396" t="s">
        <v>7171</v>
      </c>
      <c r="F3637" s="396" t="s">
        <v>7134</v>
      </c>
    </row>
    <row r="3638">
      <c r="A3638" s="311">
        <v>3637</v>
      </c>
      <c r="B3638" s="396" t="s">
        <v>7198</v>
      </c>
      <c r="C3638" s="396" t="s">
        <v>1849</v>
      </c>
      <c r="D3638" s="396" t="s">
        <v>7170</v>
      </c>
      <c r="E3638" s="396" t="s">
        <v>7171</v>
      </c>
      <c r="F3638" s="396" t="s">
        <v>7134</v>
      </c>
    </row>
    <row r="3639">
      <c r="A3639" s="311">
        <v>3638</v>
      </c>
      <c r="B3639" s="396" t="s">
        <v>7199</v>
      </c>
      <c r="C3639" s="396" t="s">
        <v>7200</v>
      </c>
      <c r="D3639" s="396" t="s">
        <v>7170</v>
      </c>
      <c r="E3639" s="396" t="s">
        <v>7171</v>
      </c>
      <c r="F3639" s="396" t="s">
        <v>7134</v>
      </c>
    </row>
    <row r="3640">
      <c r="A3640" s="311">
        <v>3639</v>
      </c>
      <c r="B3640" s="396" t="s">
        <v>7201</v>
      </c>
      <c r="C3640" s="396" t="s">
        <v>952</v>
      </c>
      <c r="D3640" s="396" t="s">
        <v>7170</v>
      </c>
      <c r="E3640" s="396" t="s">
        <v>7171</v>
      </c>
      <c r="F3640" s="396" t="s">
        <v>7134</v>
      </c>
    </row>
    <row r="3641">
      <c r="A3641" s="311">
        <v>3640</v>
      </c>
      <c r="B3641" s="396" t="s">
        <v>7202</v>
      </c>
      <c r="C3641" s="396" t="s">
        <v>310</v>
      </c>
      <c r="D3641" s="396" t="s">
        <v>7170</v>
      </c>
      <c r="E3641" s="396" t="s">
        <v>7171</v>
      </c>
      <c r="F3641" s="396" t="s">
        <v>7134</v>
      </c>
    </row>
    <row r="3642">
      <c r="A3642" s="311">
        <v>3641</v>
      </c>
      <c r="B3642" s="396" t="s">
        <v>7203</v>
      </c>
      <c r="C3642" s="396" t="s">
        <v>7204</v>
      </c>
      <c r="D3642" s="396" t="s">
        <v>7205</v>
      </c>
      <c r="E3642" s="396" t="s">
        <v>7206</v>
      </c>
      <c r="F3642" s="396" t="s">
        <v>7134</v>
      </c>
    </row>
    <row r="3643">
      <c r="A3643" s="311">
        <v>3642</v>
      </c>
      <c r="B3643" s="396" t="s">
        <v>7207</v>
      </c>
      <c r="C3643" s="396" t="s">
        <v>7208</v>
      </c>
      <c r="D3643" s="396" t="s">
        <v>7205</v>
      </c>
      <c r="E3643" s="396" t="s">
        <v>7206</v>
      </c>
      <c r="F3643" s="396" t="s">
        <v>7134</v>
      </c>
    </row>
    <row r="3644">
      <c r="A3644" s="311">
        <v>3643</v>
      </c>
      <c r="B3644" s="396" t="s">
        <v>7209</v>
      </c>
      <c r="C3644" s="396" t="s">
        <v>7210</v>
      </c>
      <c r="D3644" s="396" t="s">
        <v>7205</v>
      </c>
      <c r="E3644" s="396" t="s">
        <v>7206</v>
      </c>
      <c r="F3644" s="396" t="s">
        <v>7134</v>
      </c>
    </row>
    <row r="3645">
      <c r="A3645" s="311">
        <v>3644</v>
      </c>
      <c r="B3645" s="396" t="s">
        <v>7211</v>
      </c>
      <c r="C3645" s="396" t="s">
        <v>1216</v>
      </c>
      <c r="D3645" s="396" t="s">
        <v>7205</v>
      </c>
      <c r="E3645" s="396" t="s">
        <v>7206</v>
      </c>
      <c r="F3645" s="396" t="s">
        <v>7134</v>
      </c>
    </row>
    <row r="3646">
      <c r="A3646" s="311">
        <v>3645</v>
      </c>
      <c r="B3646" s="396" t="s">
        <v>7212</v>
      </c>
      <c r="C3646" s="396" t="s">
        <v>7213</v>
      </c>
      <c r="D3646" s="396" t="s">
        <v>7205</v>
      </c>
      <c r="E3646" s="396" t="s">
        <v>7206</v>
      </c>
      <c r="F3646" s="396" t="s">
        <v>7134</v>
      </c>
    </row>
    <row r="3647">
      <c r="A3647" s="311">
        <v>3646</v>
      </c>
      <c r="B3647" s="396" t="s">
        <v>7214</v>
      </c>
      <c r="C3647" s="396" t="s">
        <v>7215</v>
      </c>
      <c r="D3647" s="396" t="s">
        <v>7205</v>
      </c>
      <c r="E3647" s="396" t="s">
        <v>7206</v>
      </c>
      <c r="F3647" s="396" t="s">
        <v>7134</v>
      </c>
    </row>
    <row r="3648">
      <c r="A3648" s="311">
        <v>3647</v>
      </c>
      <c r="B3648" s="396" t="s">
        <v>7216</v>
      </c>
      <c r="C3648" s="396" t="s">
        <v>7217</v>
      </c>
      <c r="D3648" s="396" t="s">
        <v>7205</v>
      </c>
      <c r="E3648" s="396" t="s">
        <v>7206</v>
      </c>
      <c r="F3648" s="396" t="s">
        <v>7134</v>
      </c>
    </row>
    <row r="3649">
      <c r="A3649" s="311">
        <v>3648</v>
      </c>
      <c r="B3649" s="396" t="s">
        <v>7218</v>
      </c>
      <c r="C3649" s="396" t="s">
        <v>7219</v>
      </c>
      <c r="D3649" s="396" t="s">
        <v>7205</v>
      </c>
      <c r="E3649" s="396" t="s">
        <v>7206</v>
      </c>
      <c r="F3649" s="396" t="s">
        <v>7134</v>
      </c>
    </row>
    <row r="3650">
      <c r="A3650" s="311">
        <v>3649</v>
      </c>
      <c r="B3650" s="396" t="s">
        <v>7220</v>
      </c>
      <c r="C3650" s="396" t="s">
        <v>3923</v>
      </c>
      <c r="D3650" s="396" t="s">
        <v>7205</v>
      </c>
      <c r="E3650" s="396" t="s">
        <v>7206</v>
      </c>
      <c r="F3650" s="396" t="s">
        <v>7134</v>
      </c>
    </row>
    <row r="3651">
      <c r="A3651" s="311">
        <v>3650</v>
      </c>
      <c r="B3651" s="396" t="s">
        <v>7221</v>
      </c>
      <c r="C3651" s="396" t="s">
        <v>7222</v>
      </c>
      <c r="D3651" s="396" t="s">
        <v>7205</v>
      </c>
      <c r="E3651" s="396" t="s">
        <v>7206</v>
      </c>
      <c r="F3651" s="396" t="s">
        <v>7134</v>
      </c>
    </row>
    <row r="3652">
      <c r="A3652" s="311">
        <v>3651</v>
      </c>
      <c r="B3652" s="396" t="s">
        <v>7223</v>
      </c>
      <c r="C3652" s="396" t="s">
        <v>7224</v>
      </c>
      <c r="D3652" s="396" t="s">
        <v>7205</v>
      </c>
      <c r="E3652" s="396" t="s">
        <v>7206</v>
      </c>
      <c r="F3652" s="396" t="s">
        <v>7134</v>
      </c>
    </row>
    <row r="3653">
      <c r="A3653" s="311">
        <v>3652</v>
      </c>
      <c r="B3653" s="396" t="s">
        <v>7225</v>
      </c>
      <c r="C3653" s="396" t="s">
        <v>828</v>
      </c>
      <c r="D3653" s="396" t="s">
        <v>7205</v>
      </c>
      <c r="E3653" s="396" t="s">
        <v>7206</v>
      </c>
      <c r="F3653" s="396" t="s">
        <v>7134</v>
      </c>
    </row>
    <row r="3654">
      <c r="A3654" s="311">
        <v>3653</v>
      </c>
      <c r="B3654" s="396" t="s">
        <v>7226</v>
      </c>
      <c r="C3654" s="396" t="s">
        <v>7227</v>
      </c>
      <c r="D3654" s="396" t="s">
        <v>7205</v>
      </c>
      <c r="E3654" s="396" t="s">
        <v>7206</v>
      </c>
      <c r="F3654" s="396" t="s">
        <v>7134</v>
      </c>
    </row>
    <row r="3655">
      <c r="A3655" s="311">
        <v>3654</v>
      </c>
      <c r="B3655" s="396" t="s">
        <v>7228</v>
      </c>
      <c r="C3655" s="396" t="s">
        <v>7229</v>
      </c>
      <c r="D3655" s="396" t="s">
        <v>7205</v>
      </c>
      <c r="E3655" s="396" t="s">
        <v>7206</v>
      </c>
      <c r="F3655" s="396" t="s">
        <v>7134</v>
      </c>
    </row>
    <row r="3656">
      <c r="A3656" s="311">
        <v>3655</v>
      </c>
      <c r="B3656" s="396" t="s">
        <v>7230</v>
      </c>
      <c r="C3656" s="396" t="s">
        <v>7231</v>
      </c>
      <c r="D3656" s="396" t="s">
        <v>7205</v>
      </c>
      <c r="E3656" s="396" t="s">
        <v>7206</v>
      </c>
      <c r="F3656" s="396" t="s">
        <v>7134</v>
      </c>
    </row>
    <row r="3657">
      <c r="A3657" s="311">
        <v>3656</v>
      </c>
      <c r="B3657" s="396" t="s">
        <v>7232</v>
      </c>
      <c r="C3657" s="396" t="s">
        <v>348</v>
      </c>
      <c r="D3657" s="396" t="s">
        <v>7205</v>
      </c>
      <c r="E3657" s="396" t="s">
        <v>7206</v>
      </c>
      <c r="F3657" s="396" t="s">
        <v>7134</v>
      </c>
    </row>
    <row r="3658">
      <c r="A3658" s="311">
        <v>3657</v>
      </c>
      <c r="B3658" s="396" t="s">
        <v>7233</v>
      </c>
      <c r="C3658" s="396" t="s">
        <v>944</v>
      </c>
      <c r="D3658" s="396" t="s">
        <v>7205</v>
      </c>
      <c r="E3658" s="396" t="s">
        <v>7206</v>
      </c>
      <c r="F3658" s="396" t="s">
        <v>7134</v>
      </c>
    </row>
    <row r="3659">
      <c r="A3659" s="311">
        <v>3658</v>
      </c>
      <c r="B3659" s="396" t="s">
        <v>7234</v>
      </c>
      <c r="C3659" s="396" t="s">
        <v>952</v>
      </c>
      <c r="D3659" s="396" t="s">
        <v>7205</v>
      </c>
      <c r="E3659" s="396" t="s">
        <v>7206</v>
      </c>
      <c r="F3659" s="396" t="s">
        <v>7134</v>
      </c>
    </row>
    <row r="3660">
      <c r="A3660" s="311">
        <v>3659</v>
      </c>
      <c r="B3660" s="396" t="s">
        <v>7235</v>
      </c>
      <c r="C3660" s="396" t="s">
        <v>1115</v>
      </c>
      <c r="D3660" s="396" t="s">
        <v>7205</v>
      </c>
      <c r="E3660" s="396" t="s">
        <v>7206</v>
      </c>
      <c r="F3660" s="396" t="s">
        <v>7134</v>
      </c>
    </row>
    <row r="3661">
      <c r="A3661" s="311">
        <v>3660</v>
      </c>
      <c r="B3661" s="396" t="s">
        <v>7236</v>
      </c>
      <c r="C3661" s="396" t="s">
        <v>7237</v>
      </c>
      <c r="D3661" s="396" t="s">
        <v>7238</v>
      </c>
      <c r="E3661" s="396" t="s">
        <v>7239</v>
      </c>
      <c r="F3661" s="396" t="s">
        <v>7134</v>
      </c>
    </row>
    <row r="3662">
      <c r="A3662" s="311">
        <v>3661</v>
      </c>
      <c r="B3662" s="396" t="s">
        <v>7240</v>
      </c>
      <c r="C3662" s="396" t="s">
        <v>1948</v>
      </c>
      <c r="D3662" s="396" t="s">
        <v>7238</v>
      </c>
      <c r="E3662" s="396" t="s">
        <v>7239</v>
      </c>
      <c r="F3662" s="396" t="s">
        <v>7134</v>
      </c>
    </row>
    <row r="3663">
      <c r="A3663" s="311">
        <v>3662</v>
      </c>
      <c r="B3663" s="396" t="s">
        <v>7241</v>
      </c>
      <c r="C3663" s="396" t="s">
        <v>7242</v>
      </c>
      <c r="D3663" s="396" t="s">
        <v>7238</v>
      </c>
      <c r="E3663" s="396" t="s">
        <v>7239</v>
      </c>
      <c r="F3663" s="396" t="s">
        <v>7134</v>
      </c>
    </row>
    <row r="3664">
      <c r="A3664" s="311">
        <v>3663</v>
      </c>
      <c r="B3664" s="396" t="s">
        <v>7243</v>
      </c>
      <c r="C3664" s="396" t="s">
        <v>7244</v>
      </c>
      <c r="D3664" s="396" t="s">
        <v>7238</v>
      </c>
      <c r="E3664" s="396" t="s">
        <v>7239</v>
      </c>
      <c r="F3664" s="396" t="s">
        <v>7134</v>
      </c>
    </row>
    <row r="3665">
      <c r="A3665" s="311">
        <v>3664</v>
      </c>
      <c r="B3665" s="396" t="s">
        <v>7245</v>
      </c>
      <c r="C3665" s="396" t="s">
        <v>7246</v>
      </c>
      <c r="D3665" s="396" t="s">
        <v>7238</v>
      </c>
      <c r="E3665" s="396" t="s">
        <v>7239</v>
      </c>
      <c r="F3665" s="396" t="s">
        <v>7134</v>
      </c>
    </row>
    <row r="3666">
      <c r="A3666" s="311">
        <v>3665</v>
      </c>
      <c r="B3666" s="396" t="s">
        <v>7247</v>
      </c>
      <c r="C3666" s="396" t="s">
        <v>7248</v>
      </c>
      <c r="D3666" s="396" t="s">
        <v>7238</v>
      </c>
      <c r="E3666" s="396" t="s">
        <v>7239</v>
      </c>
      <c r="F3666" s="396" t="s">
        <v>7134</v>
      </c>
    </row>
    <row r="3667">
      <c r="A3667" s="311">
        <v>3666</v>
      </c>
      <c r="B3667" s="396" t="s">
        <v>7249</v>
      </c>
      <c r="C3667" s="396" t="s">
        <v>1669</v>
      </c>
      <c r="D3667" s="396" t="s">
        <v>7238</v>
      </c>
      <c r="E3667" s="396" t="s">
        <v>7239</v>
      </c>
      <c r="F3667" s="396" t="s">
        <v>7134</v>
      </c>
    </row>
    <row r="3668">
      <c r="A3668" s="311">
        <v>3667</v>
      </c>
      <c r="B3668" s="396" t="s">
        <v>7250</v>
      </c>
      <c r="C3668" s="396" t="s">
        <v>7251</v>
      </c>
      <c r="D3668" s="396" t="s">
        <v>7238</v>
      </c>
      <c r="E3668" s="396" t="s">
        <v>7239</v>
      </c>
      <c r="F3668" s="396" t="s">
        <v>7134</v>
      </c>
    </row>
    <row r="3669">
      <c r="A3669" s="311">
        <v>3668</v>
      </c>
      <c r="B3669" s="396" t="s">
        <v>7252</v>
      </c>
      <c r="C3669" s="396" t="s">
        <v>310</v>
      </c>
      <c r="D3669" s="396" t="s">
        <v>7238</v>
      </c>
      <c r="E3669" s="396" t="s">
        <v>7239</v>
      </c>
      <c r="F3669" s="396" t="s">
        <v>7134</v>
      </c>
    </row>
    <row r="3670">
      <c r="A3670" s="311">
        <v>3669</v>
      </c>
      <c r="B3670" s="396" t="s">
        <v>7253</v>
      </c>
      <c r="C3670" s="396" t="s">
        <v>7254</v>
      </c>
      <c r="D3670" s="396" t="s">
        <v>7238</v>
      </c>
      <c r="E3670" s="396" t="s">
        <v>7239</v>
      </c>
      <c r="F3670" s="396" t="s">
        <v>7134</v>
      </c>
    </row>
    <row r="3671">
      <c r="A3671" s="311">
        <v>3670</v>
      </c>
      <c r="B3671" s="396" t="s">
        <v>7255</v>
      </c>
      <c r="C3671" s="396" t="s">
        <v>1086</v>
      </c>
      <c r="D3671" s="396" t="s">
        <v>7238</v>
      </c>
      <c r="E3671" s="396" t="s">
        <v>7239</v>
      </c>
      <c r="F3671" s="396" t="s">
        <v>7134</v>
      </c>
    </row>
    <row r="3672">
      <c r="A3672" s="311">
        <v>3671</v>
      </c>
      <c r="B3672" s="396" t="s">
        <v>7256</v>
      </c>
      <c r="C3672" s="396" t="s">
        <v>5648</v>
      </c>
      <c r="D3672" s="396" t="s">
        <v>7238</v>
      </c>
      <c r="E3672" s="396" t="s">
        <v>7239</v>
      </c>
      <c r="F3672" s="396" t="s">
        <v>7134</v>
      </c>
    </row>
    <row r="3673">
      <c r="A3673" s="311">
        <v>3672</v>
      </c>
      <c r="B3673" s="396" t="s">
        <v>7257</v>
      </c>
      <c r="C3673" s="396" t="s">
        <v>7258</v>
      </c>
      <c r="D3673" s="396" t="s">
        <v>7238</v>
      </c>
      <c r="E3673" s="396" t="s">
        <v>7239</v>
      </c>
      <c r="F3673" s="396" t="s">
        <v>7134</v>
      </c>
    </row>
    <row r="3674">
      <c r="A3674" s="311">
        <v>3673</v>
      </c>
      <c r="B3674" s="396" t="s">
        <v>7259</v>
      </c>
      <c r="C3674" s="396" t="s">
        <v>7260</v>
      </c>
      <c r="D3674" s="396" t="s">
        <v>7238</v>
      </c>
      <c r="E3674" s="396" t="s">
        <v>7239</v>
      </c>
      <c r="F3674" s="396" t="s">
        <v>7134</v>
      </c>
    </row>
    <row r="3675">
      <c r="A3675" s="311">
        <v>3674</v>
      </c>
      <c r="B3675" s="396" t="s">
        <v>7261</v>
      </c>
      <c r="C3675" s="396" t="s">
        <v>7262</v>
      </c>
      <c r="D3675" s="396" t="s">
        <v>7238</v>
      </c>
      <c r="E3675" s="396" t="s">
        <v>7239</v>
      </c>
      <c r="F3675" s="396" t="s">
        <v>7134</v>
      </c>
    </row>
    <row r="3676">
      <c r="A3676" s="311">
        <v>3675</v>
      </c>
      <c r="B3676" s="396" t="s">
        <v>7263</v>
      </c>
      <c r="C3676" s="396" t="s">
        <v>4550</v>
      </c>
      <c r="D3676" s="396" t="s">
        <v>7238</v>
      </c>
      <c r="E3676" s="396" t="s">
        <v>7239</v>
      </c>
      <c r="F3676" s="396" t="s">
        <v>7134</v>
      </c>
    </row>
    <row r="3677">
      <c r="A3677" s="311">
        <v>3676</v>
      </c>
      <c r="B3677" s="396" t="s">
        <v>7264</v>
      </c>
      <c r="C3677" s="396" t="s">
        <v>5604</v>
      </c>
      <c r="D3677" s="396" t="s">
        <v>7238</v>
      </c>
      <c r="E3677" s="396" t="s">
        <v>7239</v>
      </c>
      <c r="F3677" s="396" t="s">
        <v>7134</v>
      </c>
    </row>
    <row r="3678">
      <c r="A3678" s="311">
        <v>3677</v>
      </c>
      <c r="B3678" s="396" t="s">
        <v>7265</v>
      </c>
      <c r="C3678" s="396" t="s">
        <v>7266</v>
      </c>
      <c r="D3678" s="396" t="s">
        <v>7238</v>
      </c>
      <c r="E3678" s="396" t="s">
        <v>7239</v>
      </c>
      <c r="F3678" s="396" t="s">
        <v>7134</v>
      </c>
    </row>
    <row r="3679">
      <c r="A3679" s="311">
        <v>3678</v>
      </c>
      <c r="B3679" s="396" t="s">
        <v>7267</v>
      </c>
      <c r="C3679" s="396" t="s">
        <v>7268</v>
      </c>
      <c r="D3679" s="396" t="s">
        <v>7238</v>
      </c>
      <c r="E3679" s="396" t="s">
        <v>7239</v>
      </c>
      <c r="F3679" s="396" t="s">
        <v>7134</v>
      </c>
    </row>
    <row r="3680">
      <c r="A3680" s="311">
        <v>3679</v>
      </c>
      <c r="B3680" s="396" t="s">
        <v>7269</v>
      </c>
      <c r="C3680" s="396" t="s">
        <v>7270</v>
      </c>
      <c r="D3680" s="396" t="s">
        <v>7238</v>
      </c>
      <c r="E3680" s="396" t="s">
        <v>7239</v>
      </c>
      <c r="F3680" s="396" t="s">
        <v>7134</v>
      </c>
    </row>
    <row r="3681">
      <c r="A3681" s="311">
        <v>3680</v>
      </c>
      <c r="B3681" s="396" t="s">
        <v>7271</v>
      </c>
      <c r="C3681" s="396" t="s">
        <v>7272</v>
      </c>
      <c r="D3681" s="396" t="s">
        <v>7238</v>
      </c>
      <c r="E3681" s="396" t="s">
        <v>7239</v>
      </c>
      <c r="F3681" s="396" t="s">
        <v>7134</v>
      </c>
    </row>
    <row r="3682">
      <c r="A3682" s="311">
        <v>3681</v>
      </c>
      <c r="B3682" s="396" t="s">
        <v>7273</v>
      </c>
      <c r="C3682" s="396" t="s">
        <v>702</v>
      </c>
      <c r="D3682" s="396" t="s">
        <v>7238</v>
      </c>
      <c r="E3682" s="396" t="s">
        <v>7239</v>
      </c>
      <c r="F3682" s="396" t="s">
        <v>7134</v>
      </c>
    </row>
    <row r="3683">
      <c r="A3683" s="311">
        <v>3682</v>
      </c>
      <c r="B3683" s="396" t="s">
        <v>7274</v>
      </c>
      <c r="C3683" s="396" t="s">
        <v>4194</v>
      </c>
      <c r="D3683" s="396" t="s">
        <v>7238</v>
      </c>
      <c r="E3683" s="396" t="s">
        <v>7239</v>
      </c>
      <c r="F3683" s="396" t="s">
        <v>7134</v>
      </c>
    </row>
    <row r="3684">
      <c r="A3684" s="311">
        <v>3683</v>
      </c>
      <c r="B3684" s="396" t="s">
        <v>7275</v>
      </c>
      <c r="C3684" s="396" t="s">
        <v>7276</v>
      </c>
      <c r="D3684" s="396" t="s">
        <v>7238</v>
      </c>
      <c r="E3684" s="396" t="s">
        <v>7239</v>
      </c>
      <c r="F3684" s="396" t="s">
        <v>7134</v>
      </c>
    </row>
    <row r="3685">
      <c r="A3685" s="311">
        <v>3684</v>
      </c>
      <c r="B3685" s="396" t="s">
        <v>7277</v>
      </c>
      <c r="C3685" s="396" t="s">
        <v>5196</v>
      </c>
      <c r="D3685" s="396" t="s">
        <v>7238</v>
      </c>
      <c r="E3685" s="396" t="s">
        <v>7239</v>
      </c>
      <c r="F3685" s="396" t="s">
        <v>7134</v>
      </c>
    </row>
    <row r="3686">
      <c r="A3686" s="311">
        <v>3685</v>
      </c>
      <c r="B3686" s="396" t="s">
        <v>7278</v>
      </c>
      <c r="C3686" s="396" t="s">
        <v>7279</v>
      </c>
      <c r="D3686" s="396" t="s">
        <v>7280</v>
      </c>
      <c r="E3686" s="396" t="s">
        <v>7281</v>
      </c>
      <c r="F3686" s="396" t="s">
        <v>7134</v>
      </c>
    </row>
    <row r="3687">
      <c r="A3687" s="311">
        <v>3686</v>
      </c>
      <c r="B3687" s="396" t="s">
        <v>7282</v>
      </c>
      <c r="C3687" s="396" t="s">
        <v>7283</v>
      </c>
      <c r="D3687" s="396" t="s">
        <v>7280</v>
      </c>
      <c r="E3687" s="396" t="s">
        <v>7281</v>
      </c>
      <c r="F3687" s="396" t="s">
        <v>7134</v>
      </c>
    </row>
    <row r="3688">
      <c r="A3688" s="311">
        <v>3687</v>
      </c>
      <c r="B3688" s="396" t="s">
        <v>7284</v>
      </c>
      <c r="C3688" s="396" t="s">
        <v>828</v>
      </c>
      <c r="D3688" s="396" t="s">
        <v>7280</v>
      </c>
      <c r="E3688" s="396" t="s">
        <v>7281</v>
      </c>
      <c r="F3688" s="396" t="s">
        <v>7134</v>
      </c>
    </row>
    <row r="3689">
      <c r="A3689" s="311">
        <v>3688</v>
      </c>
      <c r="B3689" s="396" t="s">
        <v>7285</v>
      </c>
      <c r="C3689" s="396" t="s">
        <v>7286</v>
      </c>
      <c r="D3689" s="396" t="s">
        <v>7280</v>
      </c>
      <c r="E3689" s="396" t="s">
        <v>7281</v>
      </c>
      <c r="F3689" s="396" t="s">
        <v>7134</v>
      </c>
    </row>
    <row r="3690">
      <c r="A3690" s="311">
        <v>3689</v>
      </c>
      <c r="B3690" s="396" t="s">
        <v>7287</v>
      </c>
      <c r="C3690" s="396" t="s">
        <v>7288</v>
      </c>
      <c r="D3690" s="396" t="s">
        <v>7280</v>
      </c>
      <c r="E3690" s="396" t="s">
        <v>7281</v>
      </c>
      <c r="F3690" s="396" t="s">
        <v>7134</v>
      </c>
    </row>
    <row r="3691">
      <c r="A3691" s="311">
        <v>3690</v>
      </c>
      <c r="B3691" s="396" t="s">
        <v>7289</v>
      </c>
      <c r="C3691" s="396" t="s">
        <v>7290</v>
      </c>
      <c r="D3691" s="396" t="s">
        <v>7280</v>
      </c>
      <c r="E3691" s="396" t="s">
        <v>7281</v>
      </c>
      <c r="F3691" s="396" t="s">
        <v>7134</v>
      </c>
    </row>
    <row r="3692">
      <c r="A3692" s="311">
        <v>3691</v>
      </c>
      <c r="B3692" s="396" t="s">
        <v>7291</v>
      </c>
      <c r="C3692" s="396" t="s">
        <v>7292</v>
      </c>
      <c r="D3692" s="396" t="s">
        <v>7280</v>
      </c>
      <c r="E3692" s="396" t="s">
        <v>7281</v>
      </c>
      <c r="F3692" s="396" t="s">
        <v>7134</v>
      </c>
    </row>
    <row r="3693">
      <c r="A3693" s="311">
        <v>3692</v>
      </c>
      <c r="B3693" s="396" t="s">
        <v>7293</v>
      </c>
      <c r="C3693" s="396" t="s">
        <v>7294</v>
      </c>
      <c r="D3693" s="396" t="s">
        <v>7280</v>
      </c>
      <c r="E3693" s="396" t="s">
        <v>7281</v>
      </c>
      <c r="F3693" s="396" t="s">
        <v>7134</v>
      </c>
    </row>
    <row r="3694">
      <c r="A3694" s="311">
        <v>3693</v>
      </c>
      <c r="B3694" s="396" t="s">
        <v>7295</v>
      </c>
      <c r="C3694" s="396" t="s">
        <v>7296</v>
      </c>
      <c r="D3694" s="396" t="s">
        <v>7280</v>
      </c>
      <c r="E3694" s="396" t="s">
        <v>7281</v>
      </c>
      <c r="F3694" s="396" t="s">
        <v>7134</v>
      </c>
    </row>
    <row r="3695">
      <c r="A3695" s="311">
        <v>3694</v>
      </c>
      <c r="B3695" s="396" t="s">
        <v>7297</v>
      </c>
      <c r="C3695" s="396" t="s">
        <v>7298</v>
      </c>
      <c r="D3695" s="396" t="s">
        <v>7280</v>
      </c>
      <c r="E3695" s="396" t="s">
        <v>7281</v>
      </c>
      <c r="F3695" s="396" t="s">
        <v>7134</v>
      </c>
    </row>
    <row r="3696">
      <c r="A3696" s="311">
        <v>3695</v>
      </c>
      <c r="B3696" s="396" t="s">
        <v>7299</v>
      </c>
      <c r="C3696" s="396" t="s">
        <v>7300</v>
      </c>
      <c r="D3696" s="396" t="s">
        <v>7280</v>
      </c>
      <c r="E3696" s="396" t="s">
        <v>7281</v>
      </c>
      <c r="F3696" s="396" t="s">
        <v>7134</v>
      </c>
    </row>
    <row r="3697">
      <c r="A3697" s="311">
        <v>3696</v>
      </c>
      <c r="B3697" s="396" t="s">
        <v>7301</v>
      </c>
      <c r="C3697" s="396" t="s">
        <v>7302</v>
      </c>
      <c r="D3697" s="396" t="s">
        <v>7280</v>
      </c>
      <c r="E3697" s="396" t="s">
        <v>7281</v>
      </c>
      <c r="F3697" s="396" t="s">
        <v>7134</v>
      </c>
    </row>
    <row r="3698">
      <c r="A3698" s="311">
        <v>3697</v>
      </c>
      <c r="B3698" s="396" t="s">
        <v>7303</v>
      </c>
      <c r="C3698" s="396" t="s">
        <v>7304</v>
      </c>
      <c r="D3698" s="396" t="s">
        <v>7280</v>
      </c>
      <c r="E3698" s="396" t="s">
        <v>7281</v>
      </c>
      <c r="F3698" s="396" t="s">
        <v>7134</v>
      </c>
    </row>
    <row r="3699">
      <c r="A3699" s="311">
        <v>3698</v>
      </c>
      <c r="B3699" s="396" t="s">
        <v>7305</v>
      </c>
      <c r="C3699" s="396" t="s">
        <v>7306</v>
      </c>
      <c r="D3699" s="396" t="s">
        <v>7280</v>
      </c>
      <c r="E3699" s="396" t="s">
        <v>7281</v>
      </c>
      <c r="F3699" s="396" t="s">
        <v>7134</v>
      </c>
    </row>
    <row r="3700">
      <c r="A3700" s="311">
        <v>3699</v>
      </c>
      <c r="B3700" s="396" t="s">
        <v>7307</v>
      </c>
      <c r="C3700" s="396" t="s">
        <v>7308</v>
      </c>
      <c r="D3700" s="396" t="s">
        <v>7280</v>
      </c>
      <c r="E3700" s="396" t="s">
        <v>7281</v>
      </c>
      <c r="F3700" s="396" t="s">
        <v>7134</v>
      </c>
    </row>
    <row r="3701">
      <c r="A3701" s="311">
        <v>3700</v>
      </c>
      <c r="B3701" s="396" t="s">
        <v>7309</v>
      </c>
      <c r="C3701" s="396" t="s">
        <v>5663</v>
      </c>
      <c r="D3701" s="396" t="s">
        <v>7280</v>
      </c>
      <c r="E3701" s="396" t="s">
        <v>7281</v>
      </c>
      <c r="F3701" s="396" t="s">
        <v>7134</v>
      </c>
    </row>
    <row r="3702">
      <c r="A3702" s="311">
        <v>3701</v>
      </c>
      <c r="B3702" s="396" t="s">
        <v>7310</v>
      </c>
      <c r="C3702" s="396" t="s">
        <v>5560</v>
      </c>
      <c r="D3702" s="396" t="s">
        <v>7280</v>
      </c>
      <c r="E3702" s="396" t="s">
        <v>7281</v>
      </c>
      <c r="F3702" s="396" t="s">
        <v>7134</v>
      </c>
    </row>
    <row r="3703">
      <c r="A3703" s="311">
        <v>3702</v>
      </c>
      <c r="B3703" s="396" t="s">
        <v>7311</v>
      </c>
      <c r="C3703" s="396" t="s">
        <v>7312</v>
      </c>
      <c r="D3703" s="396" t="s">
        <v>7280</v>
      </c>
      <c r="E3703" s="396" t="s">
        <v>7281</v>
      </c>
      <c r="F3703" s="396" t="s">
        <v>7134</v>
      </c>
    </row>
    <row r="3704">
      <c r="A3704" s="311">
        <v>3703</v>
      </c>
      <c r="B3704" s="396" t="s">
        <v>7313</v>
      </c>
      <c r="C3704" s="396" t="s">
        <v>7314</v>
      </c>
      <c r="D3704" s="396" t="s">
        <v>7280</v>
      </c>
      <c r="E3704" s="396" t="s">
        <v>7281</v>
      </c>
      <c r="F3704" s="396" t="s">
        <v>7134</v>
      </c>
    </row>
    <row r="3705">
      <c r="A3705" s="311">
        <v>3704</v>
      </c>
      <c r="B3705" s="396" t="s">
        <v>7315</v>
      </c>
      <c r="C3705" s="396" t="s">
        <v>3795</v>
      </c>
      <c r="D3705" s="396" t="s">
        <v>7280</v>
      </c>
      <c r="E3705" s="396" t="s">
        <v>7281</v>
      </c>
      <c r="F3705" s="396" t="s">
        <v>7134</v>
      </c>
    </row>
    <row r="3706">
      <c r="A3706" s="311">
        <v>3705</v>
      </c>
      <c r="B3706" s="396" t="s">
        <v>7316</v>
      </c>
      <c r="C3706" s="396" t="s">
        <v>7317</v>
      </c>
      <c r="D3706" s="396" t="s">
        <v>7280</v>
      </c>
      <c r="E3706" s="396" t="s">
        <v>7281</v>
      </c>
      <c r="F3706" s="396" t="s">
        <v>7134</v>
      </c>
    </row>
    <row r="3707">
      <c r="A3707" s="311">
        <v>3706</v>
      </c>
      <c r="B3707" s="396" t="s">
        <v>7318</v>
      </c>
      <c r="C3707" s="396" t="s">
        <v>4534</v>
      </c>
      <c r="D3707" s="396" t="s">
        <v>7319</v>
      </c>
      <c r="E3707" s="396" t="s">
        <v>7320</v>
      </c>
      <c r="F3707" s="396" t="s">
        <v>7134</v>
      </c>
    </row>
    <row r="3708">
      <c r="A3708" s="311">
        <v>3707</v>
      </c>
      <c r="B3708" s="396" t="s">
        <v>7321</v>
      </c>
      <c r="C3708" s="396" t="s">
        <v>2540</v>
      </c>
      <c r="D3708" s="396" t="s">
        <v>7319</v>
      </c>
      <c r="E3708" s="396" t="s">
        <v>7320</v>
      </c>
      <c r="F3708" s="396" t="s">
        <v>7134</v>
      </c>
    </row>
    <row r="3709">
      <c r="A3709" s="311">
        <v>3708</v>
      </c>
      <c r="B3709" s="396" t="s">
        <v>7322</v>
      </c>
      <c r="C3709" s="396" t="s">
        <v>1573</v>
      </c>
      <c r="D3709" s="396" t="s">
        <v>7319</v>
      </c>
      <c r="E3709" s="396" t="s">
        <v>7320</v>
      </c>
      <c r="F3709" s="396" t="s">
        <v>7134</v>
      </c>
    </row>
    <row r="3710">
      <c r="A3710" s="311">
        <v>3709</v>
      </c>
      <c r="B3710" s="396" t="s">
        <v>7323</v>
      </c>
      <c r="C3710" s="396" t="s">
        <v>2525</v>
      </c>
      <c r="D3710" s="396" t="s">
        <v>7319</v>
      </c>
      <c r="E3710" s="396" t="s">
        <v>7320</v>
      </c>
      <c r="F3710" s="396" t="s">
        <v>7134</v>
      </c>
    </row>
    <row r="3711">
      <c r="A3711" s="311">
        <v>3710</v>
      </c>
      <c r="B3711" s="396" t="s">
        <v>7324</v>
      </c>
      <c r="C3711" s="396" t="s">
        <v>1661</v>
      </c>
      <c r="D3711" s="396" t="s">
        <v>7319</v>
      </c>
      <c r="E3711" s="396" t="s">
        <v>7320</v>
      </c>
      <c r="F3711" s="396" t="s">
        <v>7134</v>
      </c>
    </row>
    <row r="3712">
      <c r="A3712" s="311">
        <v>3711</v>
      </c>
      <c r="B3712" s="396" t="s">
        <v>7325</v>
      </c>
      <c r="C3712" s="396" t="s">
        <v>7326</v>
      </c>
      <c r="D3712" s="396" t="s">
        <v>7319</v>
      </c>
      <c r="E3712" s="396" t="s">
        <v>7320</v>
      </c>
      <c r="F3712" s="396" t="s">
        <v>7134</v>
      </c>
    </row>
    <row r="3713">
      <c r="A3713" s="311">
        <v>3712</v>
      </c>
      <c r="B3713" s="396" t="s">
        <v>7327</v>
      </c>
      <c r="C3713" s="396" t="s">
        <v>3059</v>
      </c>
      <c r="D3713" s="396" t="s">
        <v>7319</v>
      </c>
      <c r="E3713" s="396" t="s">
        <v>7320</v>
      </c>
      <c r="F3713" s="396" t="s">
        <v>7134</v>
      </c>
    </row>
    <row r="3714">
      <c r="A3714" s="311">
        <v>3713</v>
      </c>
      <c r="B3714" s="396" t="s">
        <v>7328</v>
      </c>
      <c r="C3714" s="396" t="s">
        <v>7329</v>
      </c>
      <c r="D3714" s="396" t="s">
        <v>7319</v>
      </c>
      <c r="E3714" s="396" t="s">
        <v>7320</v>
      </c>
      <c r="F3714" s="396" t="s">
        <v>7134</v>
      </c>
    </row>
    <row r="3715">
      <c r="A3715" s="311">
        <v>3714</v>
      </c>
      <c r="B3715" s="396" t="s">
        <v>7330</v>
      </c>
      <c r="C3715" s="396" t="s">
        <v>7331</v>
      </c>
      <c r="D3715" s="396" t="s">
        <v>7319</v>
      </c>
      <c r="E3715" s="396" t="s">
        <v>7320</v>
      </c>
      <c r="F3715" s="396" t="s">
        <v>7134</v>
      </c>
    </row>
    <row r="3716">
      <c r="A3716" s="311">
        <v>3715</v>
      </c>
      <c r="B3716" s="396" t="s">
        <v>7332</v>
      </c>
      <c r="C3716" s="396" t="s">
        <v>2366</v>
      </c>
      <c r="D3716" s="396" t="s">
        <v>7319</v>
      </c>
      <c r="E3716" s="396" t="s">
        <v>7320</v>
      </c>
      <c r="F3716" s="396" t="s">
        <v>7134</v>
      </c>
    </row>
    <row r="3717">
      <c r="A3717" s="311">
        <v>3716</v>
      </c>
      <c r="B3717" s="396" t="s">
        <v>7333</v>
      </c>
      <c r="C3717" s="396" t="s">
        <v>535</v>
      </c>
      <c r="D3717" s="396" t="s">
        <v>7319</v>
      </c>
      <c r="E3717" s="396" t="s">
        <v>7320</v>
      </c>
      <c r="F3717" s="396" t="s">
        <v>7134</v>
      </c>
    </row>
    <row r="3718">
      <c r="A3718" s="311">
        <v>3717</v>
      </c>
      <c r="B3718" s="396" t="s">
        <v>7334</v>
      </c>
      <c r="C3718" s="396" t="s">
        <v>5899</v>
      </c>
      <c r="D3718" s="396" t="s">
        <v>7319</v>
      </c>
      <c r="E3718" s="396" t="s">
        <v>7320</v>
      </c>
      <c r="F3718" s="396" t="s">
        <v>7134</v>
      </c>
    </row>
    <row r="3719">
      <c r="A3719" s="311">
        <v>3718</v>
      </c>
      <c r="B3719" s="396" t="s">
        <v>7335</v>
      </c>
      <c r="C3719" s="396" t="s">
        <v>7336</v>
      </c>
      <c r="D3719" s="396" t="s">
        <v>7319</v>
      </c>
      <c r="E3719" s="396" t="s">
        <v>7320</v>
      </c>
      <c r="F3719" s="396" t="s">
        <v>7134</v>
      </c>
    </row>
    <row r="3720">
      <c r="A3720" s="311">
        <v>3719</v>
      </c>
      <c r="B3720" s="396" t="s">
        <v>7337</v>
      </c>
      <c r="C3720" s="396" t="s">
        <v>6317</v>
      </c>
      <c r="D3720" s="396" t="s">
        <v>7319</v>
      </c>
      <c r="E3720" s="396" t="s">
        <v>7320</v>
      </c>
      <c r="F3720" s="396" t="s">
        <v>7134</v>
      </c>
    </row>
    <row r="3721">
      <c r="A3721" s="311">
        <v>3720</v>
      </c>
      <c r="B3721" s="396" t="s">
        <v>7338</v>
      </c>
      <c r="C3721" s="396" t="s">
        <v>322</v>
      </c>
      <c r="D3721" s="396" t="s">
        <v>7319</v>
      </c>
      <c r="E3721" s="396" t="s">
        <v>7320</v>
      </c>
      <c r="F3721" s="396" t="s">
        <v>7134</v>
      </c>
    </row>
    <row r="3722">
      <c r="A3722" s="311">
        <v>3721</v>
      </c>
      <c r="B3722" s="396" t="s">
        <v>7339</v>
      </c>
      <c r="C3722" s="396" t="s">
        <v>4078</v>
      </c>
      <c r="D3722" s="396" t="s">
        <v>7319</v>
      </c>
      <c r="E3722" s="396" t="s">
        <v>7320</v>
      </c>
      <c r="F3722" s="396" t="s">
        <v>7134</v>
      </c>
    </row>
    <row r="3723">
      <c r="A3723" s="311">
        <v>3722</v>
      </c>
      <c r="B3723" s="396" t="s">
        <v>7340</v>
      </c>
      <c r="C3723" s="396" t="s">
        <v>1395</v>
      </c>
      <c r="D3723" s="396" t="s">
        <v>7319</v>
      </c>
      <c r="E3723" s="396" t="s">
        <v>7320</v>
      </c>
      <c r="F3723" s="396" t="s">
        <v>7134</v>
      </c>
    </row>
    <row r="3724">
      <c r="A3724" s="311">
        <v>3723</v>
      </c>
      <c r="B3724" s="396" t="s">
        <v>7341</v>
      </c>
      <c r="C3724" s="396" t="s">
        <v>7342</v>
      </c>
      <c r="D3724" s="396" t="s">
        <v>7319</v>
      </c>
      <c r="E3724" s="396" t="s">
        <v>7320</v>
      </c>
      <c r="F3724" s="396" t="s">
        <v>7134</v>
      </c>
    </row>
    <row r="3725">
      <c r="A3725" s="311">
        <v>3724</v>
      </c>
      <c r="B3725" s="396" t="s">
        <v>7343</v>
      </c>
      <c r="C3725" s="396" t="s">
        <v>5178</v>
      </c>
      <c r="D3725" s="396" t="s">
        <v>7319</v>
      </c>
      <c r="E3725" s="396" t="s">
        <v>7320</v>
      </c>
      <c r="F3725" s="396" t="s">
        <v>7134</v>
      </c>
    </row>
    <row r="3726">
      <c r="A3726" s="311">
        <v>3725</v>
      </c>
      <c r="B3726" s="396" t="s">
        <v>7344</v>
      </c>
      <c r="C3726" s="396" t="s">
        <v>5765</v>
      </c>
      <c r="D3726" s="396" t="s">
        <v>7319</v>
      </c>
      <c r="E3726" s="396" t="s">
        <v>7320</v>
      </c>
      <c r="F3726" s="396" t="s">
        <v>7134</v>
      </c>
    </row>
    <row r="3727">
      <c r="A3727" s="311">
        <v>3726</v>
      </c>
      <c r="B3727" s="396" t="s">
        <v>7345</v>
      </c>
      <c r="C3727" s="396" t="s">
        <v>7346</v>
      </c>
      <c r="D3727" s="396" t="s">
        <v>7319</v>
      </c>
      <c r="E3727" s="396" t="s">
        <v>7320</v>
      </c>
      <c r="F3727" s="396" t="s">
        <v>7134</v>
      </c>
    </row>
    <row r="3728">
      <c r="A3728" s="311">
        <v>3727</v>
      </c>
      <c r="B3728" s="396" t="s">
        <v>7347</v>
      </c>
      <c r="C3728" s="396" t="s">
        <v>7348</v>
      </c>
      <c r="D3728" s="396" t="s">
        <v>7319</v>
      </c>
      <c r="E3728" s="396" t="s">
        <v>7320</v>
      </c>
      <c r="F3728" s="396" t="s">
        <v>7134</v>
      </c>
    </row>
    <row r="3729">
      <c r="A3729" s="311">
        <v>3728</v>
      </c>
      <c r="B3729" s="396" t="s">
        <v>7349</v>
      </c>
      <c r="C3729" s="396" t="s">
        <v>7350</v>
      </c>
      <c r="D3729" s="396" t="s">
        <v>7319</v>
      </c>
      <c r="E3729" s="396" t="s">
        <v>7320</v>
      </c>
      <c r="F3729" s="396" t="s">
        <v>7134</v>
      </c>
    </row>
    <row r="3730">
      <c r="A3730" s="311">
        <v>3729</v>
      </c>
      <c r="B3730" s="396" t="s">
        <v>7351</v>
      </c>
      <c r="C3730" s="396" t="s">
        <v>7352</v>
      </c>
      <c r="D3730" s="396" t="s">
        <v>7319</v>
      </c>
      <c r="E3730" s="396" t="s">
        <v>7320</v>
      </c>
      <c r="F3730" s="396" t="s">
        <v>7134</v>
      </c>
    </row>
    <row r="3731">
      <c r="A3731" s="311">
        <v>3730</v>
      </c>
      <c r="B3731" s="396" t="s">
        <v>7353</v>
      </c>
      <c r="C3731" s="396" t="s">
        <v>7354</v>
      </c>
      <c r="D3731" s="396" t="s">
        <v>7319</v>
      </c>
      <c r="E3731" s="396" t="s">
        <v>7320</v>
      </c>
      <c r="F3731" s="396" t="s">
        <v>7134</v>
      </c>
    </row>
    <row r="3732">
      <c r="A3732" s="311">
        <v>3731</v>
      </c>
      <c r="B3732" s="396" t="s">
        <v>7355</v>
      </c>
      <c r="C3732" s="396" t="s">
        <v>7356</v>
      </c>
      <c r="D3732" s="396" t="s">
        <v>7357</v>
      </c>
      <c r="E3732" s="396" t="s">
        <v>7358</v>
      </c>
      <c r="F3732" s="396" t="s">
        <v>7134</v>
      </c>
    </row>
    <row r="3733">
      <c r="A3733" s="311">
        <v>3732</v>
      </c>
      <c r="B3733" s="396" t="s">
        <v>7359</v>
      </c>
      <c r="C3733" s="396" t="s">
        <v>7360</v>
      </c>
      <c r="D3733" s="396" t="s">
        <v>7357</v>
      </c>
      <c r="E3733" s="396" t="s">
        <v>7358</v>
      </c>
      <c r="F3733" s="396" t="s">
        <v>7134</v>
      </c>
    </row>
    <row r="3734">
      <c r="A3734" s="311">
        <v>3733</v>
      </c>
      <c r="B3734" s="396" t="s">
        <v>7361</v>
      </c>
      <c r="C3734" s="396" t="s">
        <v>7362</v>
      </c>
      <c r="D3734" s="396" t="s">
        <v>7357</v>
      </c>
      <c r="E3734" s="396" t="s">
        <v>7358</v>
      </c>
      <c r="F3734" s="396" t="s">
        <v>7134</v>
      </c>
    </row>
    <row r="3735">
      <c r="A3735" s="311">
        <v>3734</v>
      </c>
      <c r="B3735" s="396" t="s">
        <v>7363</v>
      </c>
      <c r="C3735" s="396" t="s">
        <v>7364</v>
      </c>
      <c r="D3735" s="396" t="s">
        <v>7357</v>
      </c>
      <c r="E3735" s="396" t="s">
        <v>7358</v>
      </c>
      <c r="F3735" s="396" t="s">
        <v>7134</v>
      </c>
    </row>
    <row r="3736">
      <c r="A3736" s="311">
        <v>3735</v>
      </c>
      <c r="B3736" s="396" t="s">
        <v>7365</v>
      </c>
      <c r="C3736" s="396" t="s">
        <v>7366</v>
      </c>
      <c r="D3736" s="396" t="s">
        <v>7357</v>
      </c>
      <c r="E3736" s="396" t="s">
        <v>7358</v>
      </c>
      <c r="F3736" s="396" t="s">
        <v>7134</v>
      </c>
    </row>
    <row r="3737">
      <c r="A3737" s="311">
        <v>3736</v>
      </c>
      <c r="B3737" s="396" t="s">
        <v>7367</v>
      </c>
      <c r="C3737" s="396" t="s">
        <v>7368</v>
      </c>
      <c r="D3737" s="396" t="s">
        <v>7357</v>
      </c>
      <c r="E3737" s="396" t="s">
        <v>7358</v>
      </c>
      <c r="F3737" s="396" t="s">
        <v>7134</v>
      </c>
    </row>
    <row r="3738">
      <c r="A3738" s="311">
        <v>3737</v>
      </c>
      <c r="B3738" s="396" t="s">
        <v>7369</v>
      </c>
      <c r="C3738" s="396" t="s">
        <v>7370</v>
      </c>
      <c r="D3738" s="396" t="s">
        <v>7357</v>
      </c>
      <c r="E3738" s="396" t="s">
        <v>7358</v>
      </c>
      <c r="F3738" s="396" t="s">
        <v>7134</v>
      </c>
    </row>
    <row r="3739">
      <c r="A3739" s="311">
        <v>3738</v>
      </c>
      <c r="B3739" s="396" t="s">
        <v>7371</v>
      </c>
      <c r="C3739" s="396" t="s">
        <v>7372</v>
      </c>
      <c r="D3739" s="396" t="s">
        <v>7357</v>
      </c>
      <c r="E3739" s="396" t="s">
        <v>7358</v>
      </c>
      <c r="F3739" s="396" t="s">
        <v>7134</v>
      </c>
    </row>
    <row r="3740">
      <c r="A3740" s="311">
        <v>3739</v>
      </c>
      <c r="B3740" s="396" t="s">
        <v>7373</v>
      </c>
      <c r="C3740" s="396" t="s">
        <v>7374</v>
      </c>
      <c r="D3740" s="396" t="s">
        <v>7357</v>
      </c>
      <c r="E3740" s="396" t="s">
        <v>7358</v>
      </c>
      <c r="F3740" s="396" t="s">
        <v>7134</v>
      </c>
    </row>
    <row r="3741">
      <c r="A3741" s="311">
        <v>3740</v>
      </c>
      <c r="B3741" s="396" t="s">
        <v>7375</v>
      </c>
      <c r="C3741" s="396" t="s">
        <v>7376</v>
      </c>
      <c r="D3741" s="396" t="s">
        <v>7357</v>
      </c>
      <c r="E3741" s="396" t="s">
        <v>7358</v>
      </c>
      <c r="F3741" s="396" t="s">
        <v>7134</v>
      </c>
    </row>
    <row r="3742">
      <c r="A3742" s="311">
        <v>3741</v>
      </c>
      <c r="B3742" s="396" t="s">
        <v>7377</v>
      </c>
      <c r="C3742" s="396" t="s">
        <v>7378</v>
      </c>
      <c r="D3742" s="396" t="s">
        <v>7357</v>
      </c>
      <c r="E3742" s="396" t="s">
        <v>7358</v>
      </c>
      <c r="F3742" s="396" t="s">
        <v>7134</v>
      </c>
    </row>
    <row r="3743">
      <c r="A3743" s="311">
        <v>3742</v>
      </c>
      <c r="B3743" s="396" t="s">
        <v>7379</v>
      </c>
      <c r="C3743" s="396" t="s">
        <v>7380</v>
      </c>
      <c r="D3743" s="396" t="s">
        <v>7357</v>
      </c>
      <c r="E3743" s="396" t="s">
        <v>7358</v>
      </c>
      <c r="F3743" s="396" t="s">
        <v>7134</v>
      </c>
    </row>
    <row r="3744">
      <c r="A3744" s="311">
        <v>3743</v>
      </c>
      <c r="B3744" s="396" t="s">
        <v>7381</v>
      </c>
      <c r="C3744" s="396" t="s">
        <v>7382</v>
      </c>
      <c r="D3744" s="396" t="s">
        <v>7357</v>
      </c>
      <c r="E3744" s="396" t="s">
        <v>7358</v>
      </c>
      <c r="F3744" s="396" t="s">
        <v>7134</v>
      </c>
    </row>
    <row r="3745">
      <c r="A3745" s="311">
        <v>3744</v>
      </c>
      <c r="B3745" s="396" t="s">
        <v>7383</v>
      </c>
      <c r="C3745" s="396" t="s">
        <v>7384</v>
      </c>
      <c r="D3745" s="396" t="s">
        <v>7357</v>
      </c>
      <c r="E3745" s="396" t="s">
        <v>7358</v>
      </c>
      <c r="F3745" s="396" t="s">
        <v>7134</v>
      </c>
    </row>
    <row r="3746">
      <c r="A3746" s="311">
        <v>3745</v>
      </c>
      <c r="B3746" s="396" t="s">
        <v>7385</v>
      </c>
      <c r="C3746" s="396" t="s">
        <v>7386</v>
      </c>
      <c r="D3746" s="396" t="s">
        <v>7357</v>
      </c>
      <c r="E3746" s="396" t="s">
        <v>7358</v>
      </c>
      <c r="F3746" s="396" t="s">
        <v>7134</v>
      </c>
    </row>
    <row r="3747">
      <c r="A3747" s="311">
        <v>3746</v>
      </c>
      <c r="B3747" s="396" t="s">
        <v>7387</v>
      </c>
      <c r="C3747" s="396" t="s">
        <v>7388</v>
      </c>
      <c r="D3747" s="396" t="s">
        <v>7357</v>
      </c>
      <c r="E3747" s="396" t="s">
        <v>7358</v>
      </c>
      <c r="F3747" s="396" t="s">
        <v>7134</v>
      </c>
    </row>
    <row r="3748">
      <c r="A3748" s="311">
        <v>3747</v>
      </c>
      <c r="B3748" s="396" t="s">
        <v>7389</v>
      </c>
      <c r="C3748" s="396" t="s">
        <v>7390</v>
      </c>
      <c r="D3748" s="396" t="s">
        <v>7357</v>
      </c>
      <c r="E3748" s="396" t="s">
        <v>7358</v>
      </c>
      <c r="F3748" s="396" t="s">
        <v>7134</v>
      </c>
    </row>
    <row r="3749">
      <c r="A3749" s="311">
        <v>3748</v>
      </c>
      <c r="B3749" s="396" t="s">
        <v>7391</v>
      </c>
      <c r="C3749" s="396" t="s">
        <v>7392</v>
      </c>
      <c r="D3749" s="396" t="s">
        <v>7357</v>
      </c>
      <c r="E3749" s="396" t="s">
        <v>7358</v>
      </c>
      <c r="F3749" s="396" t="s">
        <v>7134</v>
      </c>
    </row>
    <row r="3750">
      <c r="A3750" s="311">
        <v>3749</v>
      </c>
      <c r="B3750" s="396" t="s">
        <v>7393</v>
      </c>
      <c r="C3750" s="396" t="s">
        <v>7394</v>
      </c>
      <c r="D3750" s="396" t="s">
        <v>7357</v>
      </c>
      <c r="E3750" s="396" t="s">
        <v>7358</v>
      </c>
      <c r="F3750" s="396" t="s">
        <v>7134</v>
      </c>
    </row>
    <row r="3751">
      <c r="A3751" s="311">
        <v>3750</v>
      </c>
      <c r="B3751" s="396" t="s">
        <v>7395</v>
      </c>
      <c r="C3751" s="396" t="s">
        <v>7396</v>
      </c>
      <c r="D3751" s="396" t="s">
        <v>7397</v>
      </c>
      <c r="E3751" s="396" t="s">
        <v>7398</v>
      </c>
      <c r="F3751" s="396" t="s">
        <v>7134</v>
      </c>
    </row>
    <row r="3752">
      <c r="A3752" s="311">
        <v>3751</v>
      </c>
      <c r="B3752" s="396" t="s">
        <v>7399</v>
      </c>
      <c r="C3752" s="396" t="s">
        <v>1698</v>
      </c>
      <c r="D3752" s="396" t="s">
        <v>7397</v>
      </c>
      <c r="E3752" s="396" t="s">
        <v>7398</v>
      </c>
      <c r="F3752" s="396" t="s">
        <v>7134</v>
      </c>
    </row>
    <row r="3753">
      <c r="A3753" s="311">
        <v>3752</v>
      </c>
      <c r="B3753" s="396" t="s">
        <v>7400</v>
      </c>
      <c r="C3753" s="396" t="s">
        <v>7401</v>
      </c>
      <c r="D3753" s="396" t="s">
        <v>7397</v>
      </c>
      <c r="E3753" s="396" t="s">
        <v>7398</v>
      </c>
      <c r="F3753" s="396" t="s">
        <v>7134</v>
      </c>
    </row>
    <row r="3754">
      <c r="A3754" s="311">
        <v>3753</v>
      </c>
      <c r="B3754" s="396" t="s">
        <v>7402</v>
      </c>
      <c r="C3754" s="396" t="s">
        <v>7403</v>
      </c>
      <c r="D3754" s="396" t="s">
        <v>7397</v>
      </c>
      <c r="E3754" s="396" t="s">
        <v>7398</v>
      </c>
      <c r="F3754" s="396" t="s">
        <v>7134</v>
      </c>
    </row>
    <row r="3755">
      <c r="A3755" s="311">
        <v>3754</v>
      </c>
      <c r="B3755" s="396" t="s">
        <v>7404</v>
      </c>
      <c r="C3755" s="396" t="s">
        <v>7405</v>
      </c>
      <c r="D3755" s="396" t="s">
        <v>7397</v>
      </c>
      <c r="E3755" s="396" t="s">
        <v>7398</v>
      </c>
      <c r="F3755" s="396" t="s">
        <v>7134</v>
      </c>
    </row>
    <row r="3756">
      <c r="A3756" s="311">
        <v>3755</v>
      </c>
      <c r="B3756" s="396" t="s">
        <v>7406</v>
      </c>
      <c r="C3756" s="396" t="s">
        <v>7407</v>
      </c>
      <c r="D3756" s="396" t="s">
        <v>7397</v>
      </c>
      <c r="E3756" s="396" t="s">
        <v>7398</v>
      </c>
      <c r="F3756" s="396" t="s">
        <v>7134</v>
      </c>
    </row>
    <row r="3757">
      <c r="A3757" s="311">
        <v>3756</v>
      </c>
      <c r="B3757" s="396" t="s">
        <v>7408</v>
      </c>
      <c r="C3757" s="396" t="s">
        <v>702</v>
      </c>
      <c r="D3757" s="396" t="s">
        <v>7397</v>
      </c>
      <c r="E3757" s="396" t="s">
        <v>7398</v>
      </c>
      <c r="F3757" s="396" t="s">
        <v>7134</v>
      </c>
    </row>
    <row r="3758">
      <c r="A3758" s="311">
        <v>3757</v>
      </c>
      <c r="B3758" s="396" t="s">
        <v>7409</v>
      </c>
      <c r="C3758" s="396" t="s">
        <v>1661</v>
      </c>
      <c r="D3758" s="396" t="s">
        <v>7397</v>
      </c>
      <c r="E3758" s="396" t="s">
        <v>7398</v>
      </c>
      <c r="F3758" s="396" t="s">
        <v>7134</v>
      </c>
    </row>
    <row r="3759">
      <c r="A3759" s="311">
        <v>3758</v>
      </c>
      <c r="B3759" s="396" t="s">
        <v>7410</v>
      </c>
      <c r="C3759" s="396" t="s">
        <v>7411</v>
      </c>
      <c r="D3759" s="396" t="s">
        <v>7397</v>
      </c>
      <c r="E3759" s="396" t="s">
        <v>7398</v>
      </c>
      <c r="F3759" s="396" t="s">
        <v>7134</v>
      </c>
    </row>
    <row r="3760">
      <c r="A3760" s="311">
        <v>3759</v>
      </c>
      <c r="B3760" s="396" t="s">
        <v>7412</v>
      </c>
      <c r="C3760" s="396" t="s">
        <v>7413</v>
      </c>
      <c r="D3760" s="396" t="s">
        <v>7397</v>
      </c>
      <c r="E3760" s="396" t="s">
        <v>7398</v>
      </c>
      <c r="F3760" s="396" t="s">
        <v>7134</v>
      </c>
    </row>
    <row r="3761">
      <c r="A3761" s="311">
        <v>3760</v>
      </c>
      <c r="B3761" s="396" t="s">
        <v>7414</v>
      </c>
      <c r="C3761" s="396" t="s">
        <v>970</v>
      </c>
      <c r="D3761" s="396" t="s">
        <v>7397</v>
      </c>
      <c r="E3761" s="396" t="s">
        <v>7398</v>
      </c>
      <c r="F3761" s="396" t="s">
        <v>7134</v>
      </c>
    </row>
    <row r="3762">
      <c r="A3762" s="311">
        <v>3761</v>
      </c>
      <c r="B3762" s="396" t="s">
        <v>7415</v>
      </c>
      <c r="C3762" s="396" t="s">
        <v>7416</v>
      </c>
      <c r="D3762" s="396" t="s">
        <v>7397</v>
      </c>
      <c r="E3762" s="396" t="s">
        <v>7398</v>
      </c>
      <c r="F3762" s="396" t="s">
        <v>7134</v>
      </c>
    </row>
    <row r="3763">
      <c r="A3763" s="311">
        <v>3762</v>
      </c>
      <c r="B3763" s="396" t="s">
        <v>7417</v>
      </c>
      <c r="C3763" s="396" t="s">
        <v>1667</v>
      </c>
      <c r="D3763" s="396" t="s">
        <v>7397</v>
      </c>
      <c r="E3763" s="396" t="s">
        <v>7398</v>
      </c>
      <c r="F3763" s="396" t="s">
        <v>7134</v>
      </c>
    </row>
    <row r="3764">
      <c r="A3764" s="311">
        <v>3763</v>
      </c>
      <c r="B3764" s="396" t="s">
        <v>7418</v>
      </c>
      <c r="C3764" s="396" t="s">
        <v>406</v>
      </c>
      <c r="D3764" s="396" t="s">
        <v>7397</v>
      </c>
      <c r="E3764" s="396" t="s">
        <v>7398</v>
      </c>
      <c r="F3764" s="396" t="s">
        <v>7134</v>
      </c>
    </row>
    <row r="3765">
      <c r="A3765" s="311">
        <v>3764</v>
      </c>
      <c r="B3765" s="396" t="s">
        <v>7419</v>
      </c>
      <c r="C3765" s="396" t="s">
        <v>7420</v>
      </c>
      <c r="D3765" s="396" t="s">
        <v>7397</v>
      </c>
      <c r="E3765" s="396" t="s">
        <v>7398</v>
      </c>
      <c r="F3765" s="396" t="s">
        <v>7134</v>
      </c>
    </row>
    <row r="3766">
      <c r="A3766" s="311">
        <v>3765</v>
      </c>
      <c r="B3766" s="396" t="s">
        <v>7421</v>
      </c>
      <c r="C3766" s="396" t="s">
        <v>7422</v>
      </c>
      <c r="D3766" s="396" t="s">
        <v>7397</v>
      </c>
      <c r="E3766" s="396" t="s">
        <v>7398</v>
      </c>
      <c r="F3766" s="396" t="s">
        <v>7134</v>
      </c>
    </row>
    <row r="3767">
      <c r="A3767" s="311">
        <v>3766</v>
      </c>
      <c r="B3767" s="396" t="s">
        <v>7423</v>
      </c>
      <c r="C3767" s="396" t="s">
        <v>639</v>
      </c>
      <c r="D3767" s="396" t="s">
        <v>7397</v>
      </c>
      <c r="E3767" s="396" t="s">
        <v>7398</v>
      </c>
      <c r="F3767" s="396" t="s">
        <v>7134</v>
      </c>
    </row>
    <row r="3768">
      <c r="A3768" s="311">
        <v>3767</v>
      </c>
      <c r="B3768" s="396" t="s">
        <v>7424</v>
      </c>
      <c r="C3768" s="396" t="s">
        <v>7425</v>
      </c>
      <c r="D3768" s="396" t="s">
        <v>7397</v>
      </c>
      <c r="E3768" s="396" t="s">
        <v>7398</v>
      </c>
      <c r="F3768" s="396" t="s">
        <v>7134</v>
      </c>
    </row>
    <row r="3769">
      <c r="A3769" s="311">
        <v>3768</v>
      </c>
      <c r="B3769" s="396" t="s">
        <v>7426</v>
      </c>
      <c r="C3769" s="396" t="s">
        <v>7427</v>
      </c>
      <c r="D3769" s="396" t="s">
        <v>7428</v>
      </c>
      <c r="E3769" s="396" t="s">
        <v>7429</v>
      </c>
      <c r="F3769" s="396" t="s">
        <v>7134</v>
      </c>
    </row>
    <row r="3770">
      <c r="A3770" s="311">
        <v>3769</v>
      </c>
      <c r="B3770" s="396" t="s">
        <v>7430</v>
      </c>
      <c r="C3770" s="396" t="s">
        <v>739</v>
      </c>
      <c r="D3770" s="396" t="s">
        <v>7428</v>
      </c>
      <c r="E3770" s="396" t="s">
        <v>7429</v>
      </c>
      <c r="F3770" s="396" t="s">
        <v>7134</v>
      </c>
    </row>
    <row r="3771">
      <c r="A3771" s="311">
        <v>3770</v>
      </c>
      <c r="B3771" s="396" t="s">
        <v>7431</v>
      </c>
      <c r="C3771" s="396" t="s">
        <v>1048</v>
      </c>
      <c r="D3771" s="396" t="s">
        <v>7428</v>
      </c>
      <c r="E3771" s="396" t="s">
        <v>7429</v>
      </c>
      <c r="F3771" s="396" t="s">
        <v>7134</v>
      </c>
    </row>
    <row r="3772">
      <c r="A3772" s="311">
        <v>3771</v>
      </c>
      <c r="B3772" s="396" t="s">
        <v>7432</v>
      </c>
      <c r="C3772" s="396" t="s">
        <v>5000</v>
      </c>
      <c r="D3772" s="396" t="s">
        <v>7428</v>
      </c>
      <c r="E3772" s="396" t="s">
        <v>7429</v>
      </c>
      <c r="F3772" s="396" t="s">
        <v>7134</v>
      </c>
    </row>
    <row r="3773">
      <c r="A3773" s="311">
        <v>3772</v>
      </c>
      <c r="B3773" s="396" t="s">
        <v>7433</v>
      </c>
      <c r="C3773" s="396" t="s">
        <v>7434</v>
      </c>
      <c r="D3773" s="396" t="s">
        <v>7428</v>
      </c>
      <c r="E3773" s="396" t="s">
        <v>7429</v>
      </c>
      <c r="F3773" s="396" t="s">
        <v>7134</v>
      </c>
    </row>
    <row r="3774">
      <c r="A3774" s="311">
        <v>3773</v>
      </c>
      <c r="B3774" s="396" t="s">
        <v>7435</v>
      </c>
      <c r="C3774" s="396" t="s">
        <v>7436</v>
      </c>
      <c r="D3774" s="396" t="s">
        <v>7428</v>
      </c>
      <c r="E3774" s="396" t="s">
        <v>7429</v>
      </c>
      <c r="F3774" s="396" t="s">
        <v>7134</v>
      </c>
    </row>
    <row r="3775">
      <c r="A3775" s="311">
        <v>3774</v>
      </c>
      <c r="B3775" s="396" t="s">
        <v>7437</v>
      </c>
      <c r="C3775" s="396" t="s">
        <v>7438</v>
      </c>
      <c r="D3775" s="396" t="s">
        <v>7428</v>
      </c>
      <c r="E3775" s="396" t="s">
        <v>7429</v>
      </c>
      <c r="F3775" s="396" t="s">
        <v>7134</v>
      </c>
    </row>
    <row r="3776">
      <c r="A3776" s="311">
        <v>3775</v>
      </c>
      <c r="B3776" s="396" t="s">
        <v>7439</v>
      </c>
      <c r="C3776" s="396" t="s">
        <v>7440</v>
      </c>
      <c r="D3776" s="396" t="s">
        <v>7428</v>
      </c>
      <c r="E3776" s="396" t="s">
        <v>7429</v>
      </c>
      <c r="F3776" s="396" t="s">
        <v>7134</v>
      </c>
    </row>
    <row r="3777">
      <c r="A3777" s="311">
        <v>3776</v>
      </c>
      <c r="B3777" s="396" t="s">
        <v>7441</v>
      </c>
      <c r="C3777" s="396" t="s">
        <v>7442</v>
      </c>
      <c r="D3777" s="396" t="s">
        <v>7428</v>
      </c>
      <c r="E3777" s="396" t="s">
        <v>7429</v>
      </c>
      <c r="F3777" s="396" t="s">
        <v>7134</v>
      </c>
    </row>
    <row r="3778">
      <c r="A3778" s="311">
        <v>3777</v>
      </c>
      <c r="B3778" s="396" t="s">
        <v>7443</v>
      </c>
      <c r="C3778" s="396" t="s">
        <v>926</v>
      </c>
      <c r="D3778" s="396" t="s">
        <v>7428</v>
      </c>
      <c r="E3778" s="396" t="s">
        <v>7429</v>
      </c>
      <c r="F3778" s="396" t="s">
        <v>7134</v>
      </c>
    </row>
    <row r="3779">
      <c r="A3779" s="311">
        <v>3778</v>
      </c>
      <c r="B3779" s="396" t="s">
        <v>7444</v>
      </c>
      <c r="C3779" s="396" t="s">
        <v>7445</v>
      </c>
      <c r="D3779" s="396" t="s">
        <v>7428</v>
      </c>
      <c r="E3779" s="396" t="s">
        <v>7429</v>
      </c>
      <c r="F3779" s="396" t="s">
        <v>7134</v>
      </c>
    </row>
    <row r="3780">
      <c r="A3780" s="311">
        <v>3779</v>
      </c>
      <c r="B3780" s="396" t="s">
        <v>7446</v>
      </c>
      <c r="C3780" s="396" t="s">
        <v>7447</v>
      </c>
      <c r="D3780" s="396" t="s">
        <v>7428</v>
      </c>
      <c r="E3780" s="396" t="s">
        <v>7429</v>
      </c>
      <c r="F3780" s="396" t="s">
        <v>7134</v>
      </c>
    </row>
    <row r="3781">
      <c r="A3781" s="311">
        <v>3780</v>
      </c>
      <c r="B3781" s="396" t="s">
        <v>7448</v>
      </c>
      <c r="C3781" s="396" t="s">
        <v>1042</v>
      </c>
      <c r="D3781" s="396" t="s">
        <v>7428</v>
      </c>
      <c r="E3781" s="396" t="s">
        <v>7429</v>
      </c>
      <c r="F3781" s="396" t="s">
        <v>7134</v>
      </c>
    </row>
    <row r="3782">
      <c r="A3782" s="311">
        <v>3781</v>
      </c>
      <c r="B3782" s="396" t="s">
        <v>7449</v>
      </c>
      <c r="C3782" s="396" t="s">
        <v>7450</v>
      </c>
      <c r="D3782" s="396" t="s">
        <v>7428</v>
      </c>
      <c r="E3782" s="396" t="s">
        <v>7429</v>
      </c>
      <c r="F3782" s="396" t="s">
        <v>7134</v>
      </c>
    </row>
    <row r="3783">
      <c r="A3783" s="311">
        <v>3782</v>
      </c>
      <c r="B3783" s="396" t="s">
        <v>7451</v>
      </c>
      <c r="C3783" s="396" t="s">
        <v>934</v>
      </c>
      <c r="D3783" s="396" t="s">
        <v>7428</v>
      </c>
      <c r="E3783" s="396" t="s">
        <v>7429</v>
      </c>
      <c r="F3783" s="396" t="s">
        <v>7134</v>
      </c>
    </row>
    <row r="3784">
      <c r="A3784" s="311">
        <v>3783</v>
      </c>
      <c r="B3784" s="396" t="s">
        <v>7452</v>
      </c>
      <c r="C3784" s="396" t="s">
        <v>7453</v>
      </c>
      <c r="D3784" s="396" t="s">
        <v>7428</v>
      </c>
      <c r="E3784" s="396" t="s">
        <v>7429</v>
      </c>
      <c r="F3784" s="396" t="s">
        <v>7134</v>
      </c>
    </row>
    <row r="3785">
      <c r="A3785" s="311">
        <v>3784</v>
      </c>
      <c r="B3785" s="396" t="s">
        <v>7454</v>
      </c>
      <c r="C3785" s="396" t="s">
        <v>7455</v>
      </c>
      <c r="D3785" s="396" t="s">
        <v>7428</v>
      </c>
      <c r="E3785" s="396" t="s">
        <v>7429</v>
      </c>
      <c r="F3785" s="396" t="s">
        <v>7134</v>
      </c>
    </row>
    <row r="3786">
      <c r="A3786" s="311">
        <v>3785</v>
      </c>
      <c r="B3786" s="396" t="s">
        <v>7456</v>
      </c>
      <c r="C3786" s="396" t="s">
        <v>7457</v>
      </c>
      <c r="D3786" s="396" t="s">
        <v>7428</v>
      </c>
      <c r="E3786" s="396" t="s">
        <v>7429</v>
      </c>
      <c r="F3786" s="396" t="s">
        <v>7134</v>
      </c>
    </row>
    <row r="3787">
      <c r="A3787" s="311">
        <v>3786</v>
      </c>
      <c r="B3787" s="396" t="s">
        <v>7458</v>
      </c>
      <c r="C3787" s="396" t="s">
        <v>7459</v>
      </c>
      <c r="D3787" s="396" t="s">
        <v>7428</v>
      </c>
      <c r="E3787" s="396" t="s">
        <v>7429</v>
      </c>
      <c r="F3787" s="396" t="s">
        <v>7134</v>
      </c>
    </row>
    <row r="3788">
      <c r="A3788" s="311">
        <v>3787</v>
      </c>
      <c r="B3788" s="396" t="s">
        <v>7460</v>
      </c>
      <c r="C3788" s="396" t="s">
        <v>1568</v>
      </c>
      <c r="D3788" s="396" t="s">
        <v>7428</v>
      </c>
      <c r="E3788" s="396" t="s">
        <v>7429</v>
      </c>
      <c r="F3788" s="396" t="s">
        <v>7134</v>
      </c>
    </row>
    <row r="3789">
      <c r="A3789" s="311">
        <v>3788</v>
      </c>
      <c r="B3789" s="396" t="s">
        <v>7461</v>
      </c>
      <c r="C3789" s="396" t="s">
        <v>820</v>
      </c>
      <c r="D3789" s="396" t="s">
        <v>7428</v>
      </c>
      <c r="E3789" s="396" t="s">
        <v>7429</v>
      </c>
      <c r="F3789" s="396" t="s">
        <v>7134</v>
      </c>
    </row>
    <row r="3790">
      <c r="A3790" s="311">
        <v>3789</v>
      </c>
      <c r="B3790" s="396" t="s">
        <v>7462</v>
      </c>
      <c r="C3790" s="396" t="s">
        <v>7463</v>
      </c>
      <c r="D3790" s="396" t="s">
        <v>7428</v>
      </c>
      <c r="E3790" s="396" t="s">
        <v>7429</v>
      </c>
      <c r="F3790" s="396" t="s">
        <v>7134</v>
      </c>
    </row>
    <row r="3791">
      <c r="A3791" s="311">
        <v>3790</v>
      </c>
      <c r="B3791" s="396" t="s">
        <v>7464</v>
      </c>
      <c r="C3791" s="396" t="s">
        <v>7465</v>
      </c>
      <c r="D3791" s="396" t="s">
        <v>7428</v>
      </c>
      <c r="E3791" s="396" t="s">
        <v>7429</v>
      </c>
      <c r="F3791" s="396" t="s">
        <v>7134</v>
      </c>
    </row>
    <row r="3792">
      <c r="A3792" s="311">
        <v>3791</v>
      </c>
      <c r="B3792" s="396" t="s">
        <v>7466</v>
      </c>
      <c r="C3792" s="396" t="s">
        <v>7467</v>
      </c>
      <c r="D3792" s="396" t="s">
        <v>7468</v>
      </c>
      <c r="E3792" s="396" t="s">
        <v>7469</v>
      </c>
      <c r="F3792" s="396" t="s">
        <v>7134</v>
      </c>
    </row>
    <row r="3793">
      <c r="A3793" s="311">
        <v>3792</v>
      </c>
      <c r="B3793" s="396" t="s">
        <v>7470</v>
      </c>
      <c r="C3793" s="396" t="s">
        <v>4494</v>
      </c>
      <c r="D3793" s="396" t="s">
        <v>7468</v>
      </c>
      <c r="E3793" s="396" t="s">
        <v>7469</v>
      </c>
      <c r="F3793" s="396" t="s">
        <v>7134</v>
      </c>
    </row>
    <row r="3794">
      <c r="A3794" s="311">
        <v>3793</v>
      </c>
      <c r="B3794" s="396" t="s">
        <v>7471</v>
      </c>
      <c r="C3794" s="396" t="s">
        <v>7472</v>
      </c>
      <c r="D3794" s="396" t="s">
        <v>7468</v>
      </c>
      <c r="E3794" s="396" t="s">
        <v>7469</v>
      </c>
      <c r="F3794" s="396" t="s">
        <v>7134</v>
      </c>
    </row>
    <row r="3795">
      <c r="A3795" s="311">
        <v>3794</v>
      </c>
      <c r="B3795" s="396" t="s">
        <v>7473</v>
      </c>
      <c r="C3795" s="396" t="s">
        <v>854</v>
      </c>
      <c r="D3795" s="396" t="s">
        <v>7468</v>
      </c>
      <c r="E3795" s="396" t="s">
        <v>7469</v>
      </c>
      <c r="F3795" s="396" t="s">
        <v>7134</v>
      </c>
    </row>
    <row r="3796">
      <c r="A3796" s="311">
        <v>3795</v>
      </c>
      <c r="B3796" s="396" t="s">
        <v>7474</v>
      </c>
      <c r="C3796" s="396" t="s">
        <v>1640</v>
      </c>
      <c r="D3796" s="396" t="s">
        <v>7468</v>
      </c>
      <c r="E3796" s="396" t="s">
        <v>7469</v>
      </c>
      <c r="F3796" s="396" t="s">
        <v>7134</v>
      </c>
    </row>
    <row r="3797">
      <c r="A3797" s="311">
        <v>3796</v>
      </c>
      <c r="B3797" s="396" t="s">
        <v>7475</v>
      </c>
      <c r="C3797" s="396" t="s">
        <v>7476</v>
      </c>
      <c r="D3797" s="396" t="s">
        <v>7468</v>
      </c>
      <c r="E3797" s="396" t="s">
        <v>7469</v>
      </c>
      <c r="F3797" s="396" t="s">
        <v>7134</v>
      </c>
    </row>
    <row r="3798">
      <c r="A3798" s="311">
        <v>3797</v>
      </c>
      <c r="B3798" s="396" t="s">
        <v>7477</v>
      </c>
      <c r="C3798" s="396" t="s">
        <v>1871</v>
      </c>
      <c r="D3798" s="396" t="s">
        <v>7468</v>
      </c>
      <c r="E3798" s="396" t="s">
        <v>7469</v>
      </c>
      <c r="F3798" s="396" t="s">
        <v>7134</v>
      </c>
    </row>
    <row r="3799">
      <c r="A3799" s="311">
        <v>3798</v>
      </c>
      <c r="B3799" s="396" t="s">
        <v>7478</v>
      </c>
      <c r="C3799" s="396" t="s">
        <v>7479</v>
      </c>
      <c r="D3799" s="396" t="s">
        <v>7468</v>
      </c>
      <c r="E3799" s="396" t="s">
        <v>7469</v>
      </c>
      <c r="F3799" s="396" t="s">
        <v>7134</v>
      </c>
    </row>
    <row r="3800">
      <c r="A3800" s="311">
        <v>3799</v>
      </c>
      <c r="B3800" s="396" t="s">
        <v>7480</v>
      </c>
      <c r="C3800" s="396" t="s">
        <v>7481</v>
      </c>
      <c r="D3800" s="396" t="s">
        <v>7468</v>
      </c>
      <c r="E3800" s="396" t="s">
        <v>7469</v>
      </c>
      <c r="F3800" s="396" t="s">
        <v>7134</v>
      </c>
    </row>
    <row r="3801">
      <c r="A3801" s="311">
        <v>3800</v>
      </c>
      <c r="B3801" s="396" t="s">
        <v>7482</v>
      </c>
      <c r="C3801" s="396" t="s">
        <v>7483</v>
      </c>
      <c r="D3801" s="396" t="s">
        <v>7468</v>
      </c>
      <c r="E3801" s="396" t="s">
        <v>7469</v>
      </c>
      <c r="F3801" s="396" t="s">
        <v>7134</v>
      </c>
    </row>
    <row r="3802">
      <c r="A3802" s="311">
        <v>3801</v>
      </c>
      <c r="B3802" s="396" t="s">
        <v>7484</v>
      </c>
      <c r="C3802" s="396" t="s">
        <v>7485</v>
      </c>
      <c r="D3802" s="396" t="s">
        <v>7468</v>
      </c>
      <c r="E3802" s="396" t="s">
        <v>7469</v>
      </c>
      <c r="F3802" s="396" t="s">
        <v>7134</v>
      </c>
    </row>
    <row r="3803">
      <c r="A3803" s="311">
        <v>3802</v>
      </c>
      <c r="B3803" s="396" t="s">
        <v>7486</v>
      </c>
      <c r="C3803" s="396" t="s">
        <v>7487</v>
      </c>
      <c r="D3803" s="396" t="s">
        <v>7468</v>
      </c>
      <c r="E3803" s="396" t="s">
        <v>7469</v>
      </c>
      <c r="F3803" s="396" t="s">
        <v>7134</v>
      </c>
    </row>
    <row r="3804">
      <c r="A3804" s="311">
        <v>3803</v>
      </c>
      <c r="B3804" s="396" t="s">
        <v>7488</v>
      </c>
      <c r="C3804" s="396" t="s">
        <v>1920</v>
      </c>
      <c r="D3804" s="396" t="s">
        <v>7468</v>
      </c>
      <c r="E3804" s="396" t="s">
        <v>7469</v>
      </c>
      <c r="F3804" s="396" t="s">
        <v>7134</v>
      </c>
    </row>
    <row r="3805">
      <c r="A3805" s="311">
        <v>3804</v>
      </c>
      <c r="B3805" s="396" t="s">
        <v>7489</v>
      </c>
      <c r="C3805" s="396" t="s">
        <v>7490</v>
      </c>
      <c r="D3805" s="396" t="s">
        <v>7468</v>
      </c>
      <c r="E3805" s="396" t="s">
        <v>7469</v>
      </c>
      <c r="F3805" s="396" t="s">
        <v>7134</v>
      </c>
    </row>
    <row r="3806">
      <c r="A3806" s="311">
        <v>3805</v>
      </c>
      <c r="B3806" s="396" t="s">
        <v>7491</v>
      </c>
      <c r="C3806" s="396" t="s">
        <v>7492</v>
      </c>
      <c r="D3806" s="396" t="s">
        <v>7468</v>
      </c>
      <c r="E3806" s="396" t="s">
        <v>7469</v>
      </c>
      <c r="F3806" s="396" t="s">
        <v>7134</v>
      </c>
    </row>
    <row r="3807">
      <c r="A3807" s="311">
        <v>3806</v>
      </c>
      <c r="B3807" s="396" t="s">
        <v>7493</v>
      </c>
      <c r="C3807" s="396" t="s">
        <v>7494</v>
      </c>
      <c r="D3807" s="396" t="s">
        <v>7468</v>
      </c>
      <c r="E3807" s="396" t="s">
        <v>7469</v>
      </c>
      <c r="F3807" s="396" t="s">
        <v>7134</v>
      </c>
    </row>
    <row r="3808">
      <c r="A3808" s="311">
        <v>3807</v>
      </c>
      <c r="B3808" s="396" t="s">
        <v>7495</v>
      </c>
      <c r="C3808" s="396" t="s">
        <v>7496</v>
      </c>
      <c r="D3808" s="396" t="s">
        <v>7468</v>
      </c>
      <c r="E3808" s="396" t="s">
        <v>7469</v>
      </c>
      <c r="F3808" s="396" t="s">
        <v>7134</v>
      </c>
    </row>
    <row r="3809">
      <c r="A3809" s="311">
        <v>3808</v>
      </c>
      <c r="B3809" s="396" t="s">
        <v>7497</v>
      </c>
      <c r="C3809" s="396" t="s">
        <v>7498</v>
      </c>
      <c r="D3809" s="396" t="s">
        <v>7468</v>
      </c>
      <c r="E3809" s="396" t="s">
        <v>7469</v>
      </c>
      <c r="F3809" s="396" t="s">
        <v>7134</v>
      </c>
    </row>
    <row r="3810">
      <c r="A3810" s="311">
        <v>3809</v>
      </c>
      <c r="B3810" s="396" t="s">
        <v>7499</v>
      </c>
      <c r="C3810" s="396" t="s">
        <v>1149</v>
      </c>
      <c r="D3810" s="396" t="s">
        <v>7468</v>
      </c>
      <c r="E3810" s="396" t="s">
        <v>7469</v>
      </c>
      <c r="F3810" s="396" t="s">
        <v>7134</v>
      </c>
    </row>
    <row r="3811">
      <c r="A3811" s="311">
        <v>3810</v>
      </c>
      <c r="B3811" s="396" t="s">
        <v>7500</v>
      </c>
      <c r="C3811" s="396" t="s">
        <v>7501</v>
      </c>
      <c r="D3811" s="396" t="s">
        <v>7468</v>
      </c>
      <c r="E3811" s="396" t="s">
        <v>7469</v>
      </c>
      <c r="F3811" s="396" t="s">
        <v>7134</v>
      </c>
    </row>
    <row r="3812">
      <c r="A3812" s="311">
        <v>3811</v>
      </c>
      <c r="B3812" s="396" t="s">
        <v>7502</v>
      </c>
      <c r="C3812" s="396" t="s">
        <v>1086</v>
      </c>
      <c r="D3812" s="396" t="s">
        <v>7468</v>
      </c>
      <c r="E3812" s="396" t="s">
        <v>7469</v>
      </c>
      <c r="F3812" s="396" t="s">
        <v>7134</v>
      </c>
    </row>
    <row r="3813">
      <c r="A3813" s="311">
        <v>3812</v>
      </c>
      <c r="B3813" s="396" t="s">
        <v>7503</v>
      </c>
      <c r="C3813" s="396" t="s">
        <v>7504</v>
      </c>
      <c r="D3813" s="396" t="s">
        <v>7468</v>
      </c>
      <c r="E3813" s="396" t="s">
        <v>7469</v>
      </c>
      <c r="F3813" s="396" t="s">
        <v>7134</v>
      </c>
    </row>
    <row r="3814">
      <c r="A3814" s="311">
        <v>3813</v>
      </c>
      <c r="B3814" s="396" t="s">
        <v>7505</v>
      </c>
      <c r="C3814" s="396" t="s">
        <v>7506</v>
      </c>
      <c r="D3814" s="396" t="s">
        <v>7468</v>
      </c>
      <c r="E3814" s="396" t="s">
        <v>7469</v>
      </c>
      <c r="F3814" s="396" t="s">
        <v>7134</v>
      </c>
    </row>
    <row r="3815">
      <c r="A3815" s="311">
        <v>3814</v>
      </c>
      <c r="B3815" s="396" t="s">
        <v>7507</v>
      </c>
      <c r="C3815" s="396" t="s">
        <v>7508</v>
      </c>
      <c r="D3815" s="396" t="s">
        <v>7468</v>
      </c>
      <c r="E3815" s="396" t="s">
        <v>7469</v>
      </c>
      <c r="F3815" s="396" t="s">
        <v>7134</v>
      </c>
    </row>
    <row r="3816">
      <c r="A3816" s="311">
        <v>3815</v>
      </c>
      <c r="B3816" s="396" t="s">
        <v>7509</v>
      </c>
      <c r="C3816" s="396" t="s">
        <v>7510</v>
      </c>
      <c r="D3816" s="396" t="s">
        <v>7468</v>
      </c>
      <c r="E3816" s="396" t="s">
        <v>7469</v>
      </c>
      <c r="F3816" s="396" t="s">
        <v>7134</v>
      </c>
    </row>
    <row r="3817">
      <c r="A3817" s="311">
        <v>3816</v>
      </c>
      <c r="B3817" s="396" t="s">
        <v>7511</v>
      </c>
      <c r="C3817" s="396" t="s">
        <v>7512</v>
      </c>
      <c r="D3817" s="396" t="s">
        <v>7468</v>
      </c>
      <c r="E3817" s="396" t="s">
        <v>7469</v>
      </c>
      <c r="F3817" s="396" t="s">
        <v>7134</v>
      </c>
    </row>
    <row r="3818">
      <c r="A3818" s="311">
        <v>3817</v>
      </c>
      <c r="B3818" s="396" t="s">
        <v>7513</v>
      </c>
      <c r="C3818" s="396" t="s">
        <v>7514</v>
      </c>
      <c r="D3818" s="396" t="s">
        <v>7468</v>
      </c>
      <c r="E3818" s="396" t="s">
        <v>7469</v>
      </c>
      <c r="F3818" s="396" t="s">
        <v>7134</v>
      </c>
    </row>
    <row r="3819">
      <c r="A3819" s="311">
        <v>3818</v>
      </c>
      <c r="B3819" s="396" t="s">
        <v>7515</v>
      </c>
      <c r="C3819" s="396" t="s">
        <v>7516</v>
      </c>
      <c r="D3819" s="396" t="s">
        <v>7517</v>
      </c>
      <c r="E3819" s="396" t="s">
        <v>7518</v>
      </c>
      <c r="F3819" s="396" t="s">
        <v>7134</v>
      </c>
    </row>
    <row r="3820">
      <c r="A3820" s="311">
        <v>3819</v>
      </c>
      <c r="B3820" s="396" t="s">
        <v>7519</v>
      </c>
      <c r="C3820" s="396" t="s">
        <v>2525</v>
      </c>
      <c r="D3820" s="396" t="s">
        <v>7517</v>
      </c>
      <c r="E3820" s="396" t="s">
        <v>7518</v>
      </c>
      <c r="F3820" s="396" t="s">
        <v>7134</v>
      </c>
    </row>
    <row r="3821">
      <c r="A3821" s="311">
        <v>3820</v>
      </c>
      <c r="B3821" s="396" t="s">
        <v>7520</v>
      </c>
      <c r="C3821" s="396" t="s">
        <v>7521</v>
      </c>
      <c r="D3821" s="396" t="s">
        <v>7517</v>
      </c>
      <c r="E3821" s="396" t="s">
        <v>7518</v>
      </c>
      <c r="F3821" s="396" t="s">
        <v>7134</v>
      </c>
    </row>
    <row r="3822">
      <c r="A3822" s="311">
        <v>3821</v>
      </c>
      <c r="B3822" s="396" t="s">
        <v>7522</v>
      </c>
      <c r="C3822" s="396" t="s">
        <v>3863</v>
      </c>
      <c r="D3822" s="396" t="s">
        <v>7517</v>
      </c>
      <c r="E3822" s="396" t="s">
        <v>7518</v>
      </c>
      <c r="F3822" s="396" t="s">
        <v>7134</v>
      </c>
    </row>
    <row r="3823">
      <c r="A3823" s="311">
        <v>3822</v>
      </c>
      <c r="B3823" s="396" t="s">
        <v>7523</v>
      </c>
      <c r="C3823" s="396" t="s">
        <v>7524</v>
      </c>
      <c r="D3823" s="396" t="s">
        <v>7517</v>
      </c>
      <c r="E3823" s="396" t="s">
        <v>7518</v>
      </c>
      <c r="F3823" s="396" t="s">
        <v>7134</v>
      </c>
    </row>
    <row r="3824">
      <c r="A3824" s="311">
        <v>3823</v>
      </c>
      <c r="B3824" s="396" t="s">
        <v>7525</v>
      </c>
      <c r="C3824" s="396" t="s">
        <v>7526</v>
      </c>
      <c r="D3824" s="396" t="s">
        <v>7517</v>
      </c>
      <c r="E3824" s="396" t="s">
        <v>7518</v>
      </c>
      <c r="F3824" s="396" t="s">
        <v>7134</v>
      </c>
    </row>
    <row r="3825">
      <c r="A3825" s="311">
        <v>3824</v>
      </c>
      <c r="B3825" s="396" t="s">
        <v>7527</v>
      </c>
      <c r="C3825" s="396" t="s">
        <v>7528</v>
      </c>
      <c r="D3825" s="396" t="s">
        <v>7517</v>
      </c>
      <c r="E3825" s="396" t="s">
        <v>7518</v>
      </c>
      <c r="F3825" s="396" t="s">
        <v>7134</v>
      </c>
    </row>
    <row r="3826">
      <c r="A3826" s="311">
        <v>3825</v>
      </c>
      <c r="B3826" s="396" t="s">
        <v>7529</v>
      </c>
      <c r="C3826" s="396" t="s">
        <v>480</v>
      </c>
      <c r="D3826" s="396" t="s">
        <v>7517</v>
      </c>
      <c r="E3826" s="396" t="s">
        <v>7518</v>
      </c>
      <c r="F3826" s="396" t="s">
        <v>7134</v>
      </c>
    </row>
    <row r="3827">
      <c r="A3827" s="311">
        <v>3826</v>
      </c>
      <c r="B3827" s="396" t="s">
        <v>7530</v>
      </c>
      <c r="C3827" s="396" t="s">
        <v>4151</v>
      </c>
      <c r="D3827" s="396" t="s">
        <v>7517</v>
      </c>
      <c r="E3827" s="396" t="s">
        <v>7518</v>
      </c>
      <c r="F3827" s="396" t="s">
        <v>7134</v>
      </c>
    </row>
    <row r="3828">
      <c r="A3828" s="311">
        <v>3827</v>
      </c>
      <c r="B3828" s="396" t="s">
        <v>7531</v>
      </c>
      <c r="C3828" s="396" t="s">
        <v>7532</v>
      </c>
      <c r="D3828" s="396" t="s">
        <v>7517</v>
      </c>
      <c r="E3828" s="396" t="s">
        <v>7518</v>
      </c>
      <c r="F3828" s="396" t="s">
        <v>7134</v>
      </c>
    </row>
    <row r="3829">
      <c r="A3829" s="311">
        <v>3828</v>
      </c>
      <c r="B3829" s="396" t="s">
        <v>7533</v>
      </c>
      <c r="C3829" s="396" t="s">
        <v>7534</v>
      </c>
      <c r="D3829" s="396" t="s">
        <v>7517</v>
      </c>
      <c r="E3829" s="396" t="s">
        <v>7518</v>
      </c>
      <c r="F3829" s="396" t="s">
        <v>7134</v>
      </c>
    </row>
    <row r="3830">
      <c r="A3830" s="311">
        <v>3829</v>
      </c>
      <c r="B3830" s="396" t="s">
        <v>7535</v>
      </c>
      <c r="C3830" s="396" t="s">
        <v>7536</v>
      </c>
      <c r="D3830" s="396" t="s">
        <v>7517</v>
      </c>
      <c r="E3830" s="396" t="s">
        <v>7518</v>
      </c>
      <c r="F3830" s="396" t="s">
        <v>7134</v>
      </c>
    </row>
    <row r="3831">
      <c r="A3831" s="311">
        <v>3830</v>
      </c>
      <c r="B3831" s="396" t="s">
        <v>7537</v>
      </c>
      <c r="C3831" s="396" t="s">
        <v>7538</v>
      </c>
      <c r="D3831" s="396" t="s">
        <v>7517</v>
      </c>
      <c r="E3831" s="396" t="s">
        <v>7518</v>
      </c>
      <c r="F3831" s="396" t="s">
        <v>7134</v>
      </c>
    </row>
    <row r="3832">
      <c r="A3832" s="311">
        <v>3831</v>
      </c>
      <c r="B3832" s="396" t="s">
        <v>7539</v>
      </c>
      <c r="C3832" s="396" t="s">
        <v>7540</v>
      </c>
      <c r="D3832" s="396" t="s">
        <v>7517</v>
      </c>
      <c r="E3832" s="396" t="s">
        <v>7518</v>
      </c>
      <c r="F3832" s="396" t="s">
        <v>7134</v>
      </c>
    </row>
    <row r="3833">
      <c r="A3833" s="311">
        <v>3832</v>
      </c>
      <c r="B3833" s="396" t="s">
        <v>7541</v>
      </c>
      <c r="C3833" s="396" t="s">
        <v>3622</v>
      </c>
      <c r="D3833" s="396" t="s">
        <v>7517</v>
      </c>
      <c r="E3833" s="396" t="s">
        <v>7518</v>
      </c>
      <c r="F3833" s="396" t="s">
        <v>7134</v>
      </c>
    </row>
    <row r="3834">
      <c r="A3834" s="311">
        <v>3833</v>
      </c>
      <c r="B3834" s="396" t="s">
        <v>7542</v>
      </c>
      <c r="C3834" s="396" t="s">
        <v>7543</v>
      </c>
      <c r="D3834" s="396" t="s">
        <v>7517</v>
      </c>
      <c r="E3834" s="396" t="s">
        <v>7518</v>
      </c>
      <c r="F3834" s="396" t="s">
        <v>7134</v>
      </c>
    </row>
    <row r="3835">
      <c r="A3835" s="311">
        <v>3834</v>
      </c>
      <c r="B3835" s="396" t="s">
        <v>7544</v>
      </c>
      <c r="C3835" s="396" t="s">
        <v>1181</v>
      </c>
      <c r="D3835" s="396" t="s">
        <v>7517</v>
      </c>
      <c r="E3835" s="396" t="s">
        <v>7518</v>
      </c>
      <c r="F3835" s="396" t="s">
        <v>7134</v>
      </c>
    </row>
    <row r="3836">
      <c r="A3836" s="311">
        <v>3835</v>
      </c>
      <c r="B3836" s="396" t="s">
        <v>7545</v>
      </c>
      <c r="C3836" s="396" t="s">
        <v>1556</v>
      </c>
      <c r="D3836" s="396" t="s">
        <v>7517</v>
      </c>
      <c r="E3836" s="396" t="s">
        <v>7518</v>
      </c>
      <c r="F3836" s="396" t="s">
        <v>7134</v>
      </c>
    </row>
    <row r="3837">
      <c r="A3837" s="311">
        <v>3836</v>
      </c>
      <c r="B3837" s="396" t="s">
        <v>7546</v>
      </c>
      <c r="C3837" s="396" t="s">
        <v>7547</v>
      </c>
      <c r="D3837" s="396" t="s">
        <v>7517</v>
      </c>
      <c r="E3837" s="396" t="s">
        <v>7518</v>
      </c>
      <c r="F3837" s="396" t="s">
        <v>7134</v>
      </c>
    </row>
    <row r="3838">
      <c r="A3838" s="311">
        <v>3837</v>
      </c>
      <c r="B3838" s="396" t="s">
        <v>7548</v>
      </c>
      <c r="C3838" s="396" t="s">
        <v>1082</v>
      </c>
      <c r="D3838" s="396" t="s">
        <v>7517</v>
      </c>
      <c r="E3838" s="396" t="s">
        <v>7518</v>
      </c>
      <c r="F3838" s="396" t="s">
        <v>7134</v>
      </c>
    </row>
    <row r="3839">
      <c r="A3839" s="311">
        <v>3838</v>
      </c>
      <c r="B3839" s="396" t="s">
        <v>7549</v>
      </c>
      <c r="C3839" s="396" t="s">
        <v>7550</v>
      </c>
      <c r="D3839" s="396" t="s">
        <v>7517</v>
      </c>
      <c r="E3839" s="396" t="s">
        <v>7518</v>
      </c>
      <c r="F3839" s="396" t="s">
        <v>7134</v>
      </c>
    </row>
    <row r="3840">
      <c r="A3840" s="311">
        <v>3839</v>
      </c>
      <c r="B3840" s="396" t="s">
        <v>7551</v>
      </c>
      <c r="C3840" s="396" t="s">
        <v>7552</v>
      </c>
      <c r="D3840" s="396" t="s">
        <v>7517</v>
      </c>
      <c r="E3840" s="396" t="s">
        <v>7518</v>
      </c>
      <c r="F3840" s="396" t="s">
        <v>7134</v>
      </c>
    </row>
    <row r="3841">
      <c r="A3841" s="311">
        <v>3840</v>
      </c>
      <c r="B3841" s="396" t="s">
        <v>7553</v>
      </c>
      <c r="C3841" s="396" t="s">
        <v>7554</v>
      </c>
      <c r="D3841" s="396" t="s">
        <v>7517</v>
      </c>
      <c r="E3841" s="396" t="s">
        <v>7518</v>
      </c>
      <c r="F3841" s="396" t="s">
        <v>7134</v>
      </c>
    </row>
    <row r="3842">
      <c r="A3842" s="311">
        <v>3841</v>
      </c>
      <c r="B3842" s="396" t="s">
        <v>7555</v>
      </c>
      <c r="C3842" s="396" t="s">
        <v>944</v>
      </c>
      <c r="D3842" s="396" t="s">
        <v>7517</v>
      </c>
      <c r="E3842" s="396" t="s">
        <v>7518</v>
      </c>
      <c r="F3842" s="396" t="s">
        <v>7134</v>
      </c>
    </row>
    <row r="3843">
      <c r="A3843" s="311">
        <v>3842</v>
      </c>
      <c r="B3843" s="396" t="s">
        <v>7556</v>
      </c>
      <c r="C3843" s="396" t="s">
        <v>7557</v>
      </c>
      <c r="D3843" s="396" t="s">
        <v>7517</v>
      </c>
      <c r="E3843" s="396" t="s">
        <v>7518</v>
      </c>
      <c r="F3843" s="396" t="s">
        <v>7134</v>
      </c>
    </row>
    <row r="3844">
      <c r="A3844" s="311">
        <v>3843</v>
      </c>
      <c r="B3844" s="396" t="s">
        <v>7558</v>
      </c>
      <c r="C3844" s="396" t="s">
        <v>7559</v>
      </c>
      <c r="D3844" s="396" t="s">
        <v>7517</v>
      </c>
      <c r="E3844" s="396" t="s">
        <v>7518</v>
      </c>
      <c r="F3844" s="396" t="s">
        <v>7134</v>
      </c>
    </row>
    <row r="3845">
      <c r="A3845" s="311">
        <v>3844</v>
      </c>
      <c r="B3845" s="396" t="s">
        <v>7560</v>
      </c>
      <c r="C3845" s="396" t="s">
        <v>6388</v>
      </c>
      <c r="D3845" s="396" t="s">
        <v>7517</v>
      </c>
      <c r="E3845" s="396" t="s">
        <v>7518</v>
      </c>
      <c r="F3845" s="396" t="s">
        <v>7134</v>
      </c>
    </row>
    <row r="3846">
      <c r="A3846" s="311">
        <v>3845</v>
      </c>
      <c r="B3846" s="396" t="s">
        <v>7561</v>
      </c>
      <c r="C3846" s="396" t="s">
        <v>7562</v>
      </c>
      <c r="D3846" s="396" t="s">
        <v>7517</v>
      </c>
      <c r="E3846" s="396" t="s">
        <v>7518</v>
      </c>
      <c r="F3846" s="396" t="s">
        <v>7134</v>
      </c>
    </row>
    <row r="3847">
      <c r="A3847" s="311">
        <v>3846</v>
      </c>
      <c r="B3847" s="396" t="s">
        <v>7563</v>
      </c>
      <c r="C3847" s="396" t="s">
        <v>7564</v>
      </c>
      <c r="D3847" s="396" t="s">
        <v>7565</v>
      </c>
      <c r="E3847" s="396" t="s">
        <v>7566</v>
      </c>
      <c r="F3847" s="396" t="s">
        <v>7134</v>
      </c>
    </row>
    <row r="3848">
      <c r="A3848" s="311">
        <v>3847</v>
      </c>
      <c r="B3848" s="396" t="s">
        <v>7567</v>
      </c>
      <c r="C3848" s="396" t="s">
        <v>7568</v>
      </c>
      <c r="D3848" s="396" t="s">
        <v>7565</v>
      </c>
      <c r="E3848" s="396" t="s">
        <v>7566</v>
      </c>
      <c r="F3848" s="396" t="s">
        <v>7134</v>
      </c>
    </row>
    <row r="3849">
      <c r="A3849" s="311">
        <v>3848</v>
      </c>
      <c r="B3849" s="396" t="s">
        <v>7569</v>
      </c>
      <c r="C3849" s="396" t="s">
        <v>7570</v>
      </c>
      <c r="D3849" s="396" t="s">
        <v>7565</v>
      </c>
      <c r="E3849" s="396" t="s">
        <v>7566</v>
      </c>
      <c r="F3849" s="396" t="s">
        <v>7134</v>
      </c>
    </row>
    <row r="3850">
      <c r="A3850" s="311">
        <v>3849</v>
      </c>
      <c r="B3850" s="396" t="s">
        <v>7571</v>
      </c>
      <c r="C3850" s="396" t="s">
        <v>7572</v>
      </c>
      <c r="D3850" s="396" t="s">
        <v>7565</v>
      </c>
      <c r="E3850" s="396" t="s">
        <v>7566</v>
      </c>
      <c r="F3850" s="396" t="s">
        <v>7134</v>
      </c>
    </row>
    <row r="3851">
      <c r="A3851" s="311">
        <v>3850</v>
      </c>
      <c r="B3851" s="396" t="s">
        <v>7573</v>
      </c>
      <c r="C3851" s="396" t="s">
        <v>7574</v>
      </c>
      <c r="D3851" s="396" t="s">
        <v>7565</v>
      </c>
      <c r="E3851" s="396" t="s">
        <v>7566</v>
      </c>
      <c r="F3851" s="396" t="s">
        <v>7134</v>
      </c>
    </row>
    <row r="3852">
      <c r="A3852" s="311">
        <v>3851</v>
      </c>
      <c r="B3852" s="396" t="s">
        <v>7575</v>
      </c>
      <c r="C3852" s="396" t="s">
        <v>1175</v>
      </c>
      <c r="D3852" s="396" t="s">
        <v>7565</v>
      </c>
      <c r="E3852" s="396" t="s">
        <v>7566</v>
      </c>
      <c r="F3852" s="396" t="s">
        <v>7134</v>
      </c>
    </row>
    <row r="3853">
      <c r="A3853" s="311">
        <v>3852</v>
      </c>
      <c r="B3853" s="396" t="s">
        <v>7576</v>
      </c>
      <c r="C3853" s="396" t="s">
        <v>2501</v>
      </c>
      <c r="D3853" s="396" t="s">
        <v>7565</v>
      </c>
      <c r="E3853" s="396" t="s">
        <v>7566</v>
      </c>
      <c r="F3853" s="396" t="s">
        <v>7134</v>
      </c>
    </row>
    <row r="3854">
      <c r="A3854" s="311">
        <v>3853</v>
      </c>
      <c r="B3854" s="396" t="s">
        <v>7577</v>
      </c>
      <c r="C3854" s="396" t="s">
        <v>2258</v>
      </c>
      <c r="D3854" s="396" t="s">
        <v>7565</v>
      </c>
      <c r="E3854" s="396" t="s">
        <v>7566</v>
      </c>
      <c r="F3854" s="396" t="s">
        <v>7134</v>
      </c>
    </row>
    <row r="3855">
      <c r="A3855" s="311">
        <v>3854</v>
      </c>
      <c r="B3855" s="396" t="s">
        <v>7578</v>
      </c>
      <c r="C3855" s="396" t="s">
        <v>4218</v>
      </c>
      <c r="D3855" s="396" t="s">
        <v>7565</v>
      </c>
      <c r="E3855" s="396" t="s">
        <v>7566</v>
      </c>
      <c r="F3855" s="396" t="s">
        <v>7134</v>
      </c>
    </row>
    <row r="3856">
      <c r="A3856" s="311">
        <v>3855</v>
      </c>
      <c r="B3856" s="396" t="s">
        <v>7579</v>
      </c>
      <c r="C3856" s="396" t="s">
        <v>7580</v>
      </c>
      <c r="D3856" s="396" t="s">
        <v>7565</v>
      </c>
      <c r="E3856" s="396" t="s">
        <v>7566</v>
      </c>
      <c r="F3856" s="396" t="s">
        <v>7134</v>
      </c>
    </row>
    <row r="3857">
      <c r="A3857" s="311">
        <v>3856</v>
      </c>
      <c r="B3857" s="396" t="s">
        <v>7581</v>
      </c>
      <c r="C3857" s="396" t="s">
        <v>7582</v>
      </c>
      <c r="D3857" s="396" t="s">
        <v>7565</v>
      </c>
      <c r="E3857" s="396" t="s">
        <v>7566</v>
      </c>
      <c r="F3857" s="396" t="s">
        <v>7134</v>
      </c>
    </row>
    <row r="3858">
      <c r="A3858" s="311">
        <v>3857</v>
      </c>
      <c r="B3858" s="396" t="s">
        <v>7583</v>
      </c>
      <c r="C3858" s="396" t="s">
        <v>4961</v>
      </c>
      <c r="D3858" s="396" t="s">
        <v>7565</v>
      </c>
      <c r="E3858" s="396" t="s">
        <v>7566</v>
      </c>
      <c r="F3858" s="396" t="s">
        <v>7134</v>
      </c>
    </row>
    <row r="3859">
      <c r="A3859" s="311">
        <v>3858</v>
      </c>
      <c r="B3859" s="396" t="s">
        <v>7584</v>
      </c>
      <c r="C3859" s="396" t="s">
        <v>7585</v>
      </c>
      <c r="D3859" s="396" t="s">
        <v>7565</v>
      </c>
      <c r="E3859" s="396" t="s">
        <v>7566</v>
      </c>
      <c r="F3859" s="396" t="s">
        <v>7134</v>
      </c>
    </row>
    <row r="3860">
      <c r="A3860" s="311">
        <v>3859</v>
      </c>
      <c r="B3860" s="396" t="s">
        <v>7586</v>
      </c>
      <c r="C3860" s="396" t="s">
        <v>4286</v>
      </c>
      <c r="D3860" s="396" t="s">
        <v>7565</v>
      </c>
      <c r="E3860" s="396" t="s">
        <v>7566</v>
      </c>
      <c r="F3860" s="396" t="s">
        <v>7134</v>
      </c>
    </row>
    <row r="3861">
      <c r="A3861" s="311">
        <v>3860</v>
      </c>
      <c r="B3861" s="396" t="s">
        <v>7587</v>
      </c>
      <c r="C3861" s="396" t="s">
        <v>7588</v>
      </c>
      <c r="D3861" s="396" t="s">
        <v>7565</v>
      </c>
      <c r="E3861" s="396" t="s">
        <v>7566</v>
      </c>
      <c r="F3861" s="396" t="s">
        <v>7134</v>
      </c>
    </row>
    <row r="3862">
      <c r="A3862" s="311">
        <v>3861</v>
      </c>
      <c r="B3862" s="396" t="s">
        <v>7589</v>
      </c>
      <c r="C3862" s="396" t="s">
        <v>7590</v>
      </c>
      <c r="D3862" s="396" t="s">
        <v>7565</v>
      </c>
      <c r="E3862" s="396" t="s">
        <v>7566</v>
      </c>
      <c r="F3862" s="396" t="s">
        <v>7134</v>
      </c>
    </row>
    <row r="3863">
      <c r="A3863" s="311">
        <v>3862</v>
      </c>
      <c r="B3863" s="396" t="s">
        <v>7591</v>
      </c>
      <c r="C3863" s="396" t="s">
        <v>7592</v>
      </c>
      <c r="D3863" s="396" t="s">
        <v>7565</v>
      </c>
      <c r="E3863" s="396" t="s">
        <v>7566</v>
      </c>
      <c r="F3863" s="396" t="s">
        <v>7134</v>
      </c>
    </row>
    <row r="3864">
      <c r="A3864" s="311">
        <v>3863</v>
      </c>
      <c r="B3864" s="396" t="s">
        <v>7593</v>
      </c>
      <c r="C3864" s="396" t="s">
        <v>7594</v>
      </c>
      <c r="D3864" s="396" t="s">
        <v>7565</v>
      </c>
      <c r="E3864" s="396" t="s">
        <v>7566</v>
      </c>
      <c r="F3864" s="396" t="s">
        <v>7134</v>
      </c>
    </row>
    <row r="3865">
      <c r="A3865" s="311">
        <v>3864</v>
      </c>
      <c r="B3865" s="396" t="s">
        <v>7595</v>
      </c>
      <c r="C3865" s="396" t="s">
        <v>549</v>
      </c>
      <c r="D3865" s="396" t="s">
        <v>7565</v>
      </c>
      <c r="E3865" s="396" t="s">
        <v>7566</v>
      </c>
      <c r="F3865" s="396" t="s">
        <v>7134</v>
      </c>
    </row>
    <row r="3866">
      <c r="A3866" s="311">
        <v>3865</v>
      </c>
      <c r="B3866" s="396" t="s">
        <v>7596</v>
      </c>
      <c r="C3866" s="396" t="s">
        <v>7597</v>
      </c>
      <c r="D3866" s="396" t="s">
        <v>7598</v>
      </c>
      <c r="E3866" s="396" t="s">
        <v>7599</v>
      </c>
      <c r="F3866" s="396" t="s">
        <v>7600</v>
      </c>
    </row>
    <row r="3867">
      <c r="A3867" s="311">
        <v>3866</v>
      </c>
      <c r="B3867" s="396" t="s">
        <v>7601</v>
      </c>
      <c r="C3867" s="396" t="s">
        <v>6148</v>
      </c>
      <c r="D3867" s="396" t="s">
        <v>7598</v>
      </c>
      <c r="E3867" s="396" t="s">
        <v>7599</v>
      </c>
      <c r="F3867" s="396" t="s">
        <v>7600</v>
      </c>
    </row>
    <row r="3868">
      <c r="A3868" s="311">
        <v>3867</v>
      </c>
      <c r="B3868" s="396" t="s">
        <v>7602</v>
      </c>
      <c r="C3868" s="396" t="s">
        <v>7603</v>
      </c>
      <c r="D3868" s="396" t="s">
        <v>7598</v>
      </c>
      <c r="E3868" s="396" t="s">
        <v>7599</v>
      </c>
      <c r="F3868" s="396" t="s">
        <v>7600</v>
      </c>
    </row>
    <row r="3869">
      <c r="A3869" s="311">
        <v>3868</v>
      </c>
      <c r="B3869" s="396" t="s">
        <v>7604</v>
      </c>
      <c r="C3869" s="396" t="s">
        <v>7605</v>
      </c>
      <c r="D3869" s="396" t="s">
        <v>7598</v>
      </c>
      <c r="E3869" s="396" t="s">
        <v>7599</v>
      </c>
      <c r="F3869" s="396" t="s">
        <v>7600</v>
      </c>
    </row>
    <row r="3870">
      <c r="A3870" s="311">
        <v>3869</v>
      </c>
      <c r="B3870" s="396" t="s">
        <v>7606</v>
      </c>
      <c r="C3870" s="396" t="s">
        <v>7607</v>
      </c>
      <c r="D3870" s="396" t="s">
        <v>7598</v>
      </c>
      <c r="E3870" s="396" t="s">
        <v>7599</v>
      </c>
      <c r="F3870" s="396" t="s">
        <v>7600</v>
      </c>
    </row>
    <row r="3871">
      <c r="A3871" s="311">
        <v>3870</v>
      </c>
      <c r="B3871" s="396" t="s">
        <v>7608</v>
      </c>
      <c r="C3871" s="396" t="s">
        <v>224</v>
      </c>
      <c r="D3871" s="396" t="s">
        <v>7598</v>
      </c>
      <c r="E3871" s="396" t="s">
        <v>7599</v>
      </c>
      <c r="F3871" s="396" t="s">
        <v>7600</v>
      </c>
    </row>
    <row r="3872">
      <c r="A3872" s="311">
        <v>3871</v>
      </c>
      <c r="B3872" s="396" t="s">
        <v>7609</v>
      </c>
      <c r="C3872" s="396" t="s">
        <v>7610</v>
      </c>
      <c r="D3872" s="396" t="s">
        <v>7598</v>
      </c>
      <c r="E3872" s="396" t="s">
        <v>7599</v>
      </c>
      <c r="F3872" s="396" t="s">
        <v>7600</v>
      </c>
    </row>
    <row r="3873">
      <c r="A3873" s="311">
        <v>3872</v>
      </c>
      <c r="B3873" s="396" t="s">
        <v>7611</v>
      </c>
      <c r="C3873" s="396" t="s">
        <v>168</v>
      </c>
      <c r="D3873" s="396" t="s">
        <v>7598</v>
      </c>
      <c r="E3873" s="396" t="s">
        <v>7599</v>
      </c>
      <c r="F3873" s="396" t="s">
        <v>7600</v>
      </c>
    </row>
    <row r="3874">
      <c r="A3874" s="311">
        <v>3873</v>
      </c>
      <c r="B3874" s="396" t="s">
        <v>7612</v>
      </c>
      <c r="C3874" s="396" t="s">
        <v>244</v>
      </c>
      <c r="D3874" s="396" t="s">
        <v>7598</v>
      </c>
      <c r="E3874" s="396" t="s">
        <v>7599</v>
      </c>
      <c r="F3874" s="396" t="s">
        <v>7600</v>
      </c>
    </row>
    <row r="3875">
      <c r="A3875" s="311">
        <v>3874</v>
      </c>
      <c r="B3875" s="396" t="s">
        <v>7613</v>
      </c>
      <c r="C3875" s="396" t="s">
        <v>7614</v>
      </c>
      <c r="D3875" s="396" t="s">
        <v>7598</v>
      </c>
      <c r="E3875" s="396" t="s">
        <v>7599</v>
      </c>
      <c r="F3875" s="396" t="s">
        <v>7600</v>
      </c>
    </row>
    <row r="3876">
      <c r="A3876" s="311">
        <v>3875</v>
      </c>
      <c r="B3876" s="396" t="s">
        <v>7615</v>
      </c>
      <c r="C3876" s="396" t="s">
        <v>7616</v>
      </c>
      <c r="D3876" s="396" t="s">
        <v>7598</v>
      </c>
      <c r="E3876" s="396" t="s">
        <v>7599</v>
      </c>
      <c r="F3876" s="396" t="s">
        <v>7600</v>
      </c>
    </row>
    <row r="3877">
      <c r="A3877" s="311">
        <v>3876</v>
      </c>
      <c r="B3877" s="396" t="s">
        <v>7617</v>
      </c>
      <c r="C3877" s="396" t="s">
        <v>7618</v>
      </c>
      <c r="D3877" s="396" t="s">
        <v>7619</v>
      </c>
      <c r="E3877" s="396" t="s">
        <v>7620</v>
      </c>
      <c r="F3877" s="396" t="s">
        <v>7600</v>
      </c>
    </row>
    <row r="3878">
      <c r="A3878" s="311">
        <v>3877</v>
      </c>
      <c r="B3878" s="396" t="s">
        <v>7621</v>
      </c>
      <c r="C3878" s="396" t="s">
        <v>7622</v>
      </c>
      <c r="D3878" s="396" t="s">
        <v>7619</v>
      </c>
      <c r="E3878" s="396" t="s">
        <v>7620</v>
      </c>
      <c r="F3878" s="396" t="s">
        <v>7600</v>
      </c>
    </row>
    <row r="3879">
      <c r="A3879" s="311">
        <v>3878</v>
      </c>
      <c r="B3879" s="396" t="s">
        <v>7623</v>
      </c>
      <c r="C3879" s="396" t="s">
        <v>7624</v>
      </c>
      <c r="D3879" s="396" t="s">
        <v>7619</v>
      </c>
      <c r="E3879" s="396" t="s">
        <v>7620</v>
      </c>
      <c r="F3879" s="396" t="s">
        <v>7600</v>
      </c>
    </row>
    <row r="3880">
      <c r="A3880" s="311">
        <v>3879</v>
      </c>
      <c r="B3880" s="396" t="s">
        <v>7625</v>
      </c>
      <c r="C3880" s="396" t="s">
        <v>7626</v>
      </c>
      <c r="D3880" s="396" t="s">
        <v>7619</v>
      </c>
      <c r="E3880" s="396" t="s">
        <v>7620</v>
      </c>
      <c r="F3880" s="396" t="s">
        <v>7600</v>
      </c>
    </row>
    <row r="3881">
      <c r="A3881" s="311">
        <v>3880</v>
      </c>
      <c r="B3881" s="396" t="s">
        <v>7627</v>
      </c>
      <c r="C3881" s="396" t="s">
        <v>7628</v>
      </c>
      <c r="D3881" s="396" t="s">
        <v>7619</v>
      </c>
      <c r="E3881" s="396" t="s">
        <v>7620</v>
      </c>
      <c r="F3881" s="396" t="s">
        <v>7600</v>
      </c>
    </row>
    <row r="3882">
      <c r="A3882" s="311">
        <v>3881</v>
      </c>
      <c r="B3882" s="396" t="s">
        <v>7629</v>
      </c>
      <c r="C3882" s="396" t="s">
        <v>7630</v>
      </c>
      <c r="D3882" s="396" t="s">
        <v>7619</v>
      </c>
      <c r="E3882" s="396" t="s">
        <v>7620</v>
      </c>
      <c r="F3882" s="396" t="s">
        <v>7600</v>
      </c>
    </row>
    <row r="3883">
      <c r="A3883" s="311">
        <v>3882</v>
      </c>
      <c r="B3883" s="396" t="s">
        <v>7631</v>
      </c>
      <c r="C3883" s="396" t="s">
        <v>7632</v>
      </c>
      <c r="D3883" s="396" t="s">
        <v>7619</v>
      </c>
      <c r="E3883" s="396" t="s">
        <v>7620</v>
      </c>
      <c r="F3883" s="396" t="s">
        <v>7600</v>
      </c>
    </row>
    <row r="3884">
      <c r="A3884" s="311">
        <v>3883</v>
      </c>
      <c r="B3884" s="396" t="s">
        <v>7633</v>
      </c>
      <c r="C3884" s="396" t="s">
        <v>7634</v>
      </c>
      <c r="D3884" s="396" t="s">
        <v>7619</v>
      </c>
      <c r="E3884" s="396" t="s">
        <v>7620</v>
      </c>
      <c r="F3884" s="396" t="s">
        <v>7600</v>
      </c>
    </row>
    <row r="3885">
      <c r="A3885" s="311">
        <v>3884</v>
      </c>
      <c r="B3885" s="396" t="s">
        <v>7635</v>
      </c>
      <c r="C3885" s="396" t="s">
        <v>7636</v>
      </c>
      <c r="D3885" s="396" t="s">
        <v>7619</v>
      </c>
      <c r="E3885" s="396" t="s">
        <v>7620</v>
      </c>
      <c r="F3885" s="396" t="s">
        <v>7600</v>
      </c>
    </row>
    <row r="3886">
      <c r="A3886" s="311">
        <v>3885</v>
      </c>
      <c r="B3886" s="396" t="s">
        <v>7637</v>
      </c>
      <c r="C3886" s="396" t="s">
        <v>588</v>
      </c>
      <c r="D3886" s="396" t="s">
        <v>7619</v>
      </c>
      <c r="E3886" s="396" t="s">
        <v>7620</v>
      </c>
      <c r="F3886" s="396" t="s">
        <v>7600</v>
      </c>
    </row>
    <row r="3887">
      <c r="A3887" s="311">
        <v>3886</v>
      </c>
      <c r="B3887" s="396" t="s">
        <v>7638</v>
      </c>
      <c r="C3887" s="396" t="s">
        <v>7639</v>
      </c>
      <c r="D3887" s="396" t="s">
        <v>7619</v>
      </c>
      <c r="E3887" s="396" t="s">
        <v>7620</v>
      </c>
      <c r="F3887" s="396" t="s">
        <v>7600</v>
      </c>
    </row>
    <row r="3888">
      <c r="A3888" s="311">
        <v>3887</v>
      </c>
      <c r="B3888" s="396" t="s">
        <v>7640</v>
      </c>
      <c r="C3888" s="396" t="s">
        <v>7641</v>
      </c>
      <c r="D3888" s="396" t="s">
        <v>7619</v>
      </c>
      <c r="E3888" s="396" t="s">
        <v>7620</v>
      </c>
      <c r="F3888" s="396" t="s">
        <v>7600</v>
      </c>
    </row>
    <row r="3889">
      <c r="A3889" s="311">
        <v>3888</v>
      </c>
      <c r="B3889" s="396" t="s">
        <v>7642</v>
      </c>
      <c r="C3889" s="396" t="s">
        <v>7643</v>
      </c>
      <c r="D3889" s="396" t="s">
        <v>7619</v>
      </c>
      <c r="E3889" s="396" t="s">
        <v>7620</v>
      </c>
      <c r="F3889" s="396" t="s">
        <v>7600</v>
      </c>
    </row>
    <row r="3890">
      <c r="A3890" s="311">
        <v>3889</v>
      </c>
      <c r="B3890" s="396" t="s">
        <v>7644</v>
      </c>
      <c r="C3890" s="396" t="s">
        <v>7645</v>
      </c>
      <c r="D3890" s="396" t="s">
        <v>7646</v>
      </c>
      <c r="E3890" s="396" t="s">
        <v>7647</v>
      </c>
      <c r="F3890" s="396" t="s">
        <v>7600</v>
      </c>
    </row>
    <row r="3891">
      <c r="A3891" s="311">
        <v>3890</v>
      </c>
      <c r="B3891" s="396" t="s">
        <v>7648</v>
      </c>
      <c r="C3891" s="396" t="s">
        <v>7649</v>
      </c>
      <c r="D3891" s="396" t="s">
        <v>7646</v>
      </c>
      <c r="E3891" s="396" t="s">
        <v>7647</v>
      </c>
      <c r="F3891" s="396" t="s">
        <v>7600</v>
      </c>
    </row>
    <row r="3892">
      <c r="A3892" s="311">
        <v>3891</v>
      </c>
      <c r="B3892" s="396" t="s">
        <v>7650</v>
      </c>
      <c r="C3892" s="396" t="s">
        <v>7651</v>
      </c>
      <c r="D3892" s="396" t="s">
        <v>7646</v>
      </c>
      <c r="E3892" s="396" t="s">
        <v>7647</v>
      </c>
      <c r="F3892" s="396" t="s">
        <v>7600</v>
      </c>
    </row>
    <row r="3893">
      <c r="A3893" s="311">
        <v>3892</v>
      </c>
      <c r="B3893" s="396" t="s">
        <v>7652</v>
      </c>
      <c r="C3893" s="396" t="s">
        <v>7653</v>
      </c>
      <c r="D3893" s="396" t="s">
        <v>7646</v>
      </c>
      <c r="E3893" s="396" t="s">
        <v>7647</v>
      </c>
      <c r="F3893" s="396" t="s">
        <v>7600</v>
      </c>
    </row>
    <row r="3894">
      <c r="A3894" s="311">
        <v>3893</v>
      </c>
      <c r="B3894" s="396" t="s">
        <v>7654</v>
      </c>
      <c r="C3894" s="396" t="s">
        <v>5687</v>
      </c>
      <c r="D3894" s="396" t="s">
        <v>7646</v>
      </c>
      <c r="E3894" s="396" t="s">
        <v>7647</v>
      </c>
      <c r="F3894" s="396" t="s">
        <v>7600</v>
      </c>
    </row>
    <row r="3895">
      <c r="A3895" s="311">
        <v>3894</v>
      </c>
      <c r="B3895" s="396" t="s">
        <v>7655</v>
      </c>
      <c r="C3895" s="396" t="s">
        <v>7656</v>
      </c>
      <c r="D3895" s="396" t="s">
        <v>7646</v>
      </c>
      <c r="E3895" s="396" t="s">
        <v>7647</v>
      </c>
      <c r="F3895" s="396" t="s">
        <v>7600</v>
      </c>
    </row>
    <row r="3896">
      <c r="A3896" s="311">
        <v>3895</v>
      </c>
      <c r="B3896" s="396" t="s">
        <v>7657</v>
      </c>
      <c r="C3896" s="396" t="s">
        <v>7658</v>
      </c>
      <c r="D3896" s="396" t="s">
        <v>7646</v>
      </c>
      <c r="E3896" s="396" t="s">
        <v>7647</v>
      </c>
      <c r="F3896" s="396" t="s">
        <v>7600</v>
      </c>
    </row>
    <row r="3897">
      <c r="A3897" s="311">
        <v>3896</v>
      </c>
      <c r="B3897" s="396" t="s">
        <v>7659</v>
      </c>
      <c r="C3897" s="396" t="s">
        <v>7660</v>
      </c>
      <c r="D3897" s="396" t="s">
        <v>7646</v>
      </c>
      <c r="E3897" s="396" t="s">
        <v>7647</v>
      </c>
      <c r="F3897" s="396" t="s">
        <v>7600</v>
      </c>
    </row>
    <row r="3898">
      <c r="A3898" s="311">
        <v>3897</v>
      </c>
      <c r="B3898" s="396" t="s">
        <v>7661</v>
      </c>
      <c r="C3898" s="396" t="s">
        <v>7662</v>
      </c>
      <c r="D3898" s="396" t="s">
        <v>7646</v>
      </c>
      <c r="E3898" s="396" t="s">
        <v>7647</v>
      </c>
      <c r="F3898" s="396" t="s">
        <v>7600</v>
      </c>
    </row>
    <row r="3899">
      <c r="A3899" s="311">
        <v>3898</v>
      </c>
      <c r="B3899" s="396" t="s">
        <v>7663</v>
      </c>
      <c r="C3899" s="396" t="s">
        <v>7664</v>
      </c>
      <c r="D3899" s="396" t="s">
        <v>7646</v>
      </c>
      <c r="E3899" s="396" t="s">
        <v>7647</v>
      </c>
      <c r="F3899" s="396" t="s">
        <v>7600</v>
      </c>
    </row>
    <row r="3900">
      <c r="A3900" s="311">
        <v>3899</v>
      </c>
      <c r="B3900" s="396" t="s">
        <v>7665</v>
      </c>
      <c r="C3900" s="396" t="s">
        <v>7666</v>
      </c>
      <c r="D3900" s="396" t="s">
        <v>7646</v>
      </c>
      <c r="E3900" s="396" t="s">
        <v>7647</v>
      </c>
      <c r="F3900" s="396" t="s">
        <v>7600</v>
      </c>
    </row>
    <row r="3901">
      <c r="A3901" s="311">
        <v>3900</v>
      </c>
      <c r="B3901" s="396" t="s">
        <v>7667</v>
      </c>
      <c r="C3901" s="396" t="s">
        <v>7668</v>
      </c>
      <c r="D3901" s="396" t="s">
        <v>7646</v>
      </c>
      <c r="E3901" s="396" t="s">
        <v>7647</v>
      </c>
      <c r="F3901" s="396" t="s">
        <v>7600</v>
      </c>
    </row>
    <row r="3902">
      <c r="A3902" s="311">
        <v>3901</v>
      </c>
      <c r="B3902" s="396" t="s">
        <v>7669</v>
      </c>
      <c r="C3902" s="396" t="s">
        <v>7670</v>
      </c>
      <c r="D3902" s="396" t="s">
        <v>7646</v>
      </c>
      <c r="E3902" s="396" t="s">
        <v>7647</v>
      </c>
      <c r="F3902" s="396" t="s">
        <v>7600</v>
      </c>
    </row>
    <row r="3903">
      <c r="A3903" s="311">
        <v>3902</v>
      </c>
      <c r="B3903" s="396" t="s">
        <v>7671</v>
      </c>
      <c r="C3903" s="396" t="s">
        <v>7672</v>
      </c>
      <c r="D3903" s="396" t="s">
        <v>7646</v>
      </c>
      <c r="E3903" s="396" t="s">
        <v>7647</v>
      </c>
      <c r="F3903" s="396" t="s">
        <v>7600</v>
      </c>
    </row>
    <row r="3904">
      <c r="A3904" s="311">
        <v>3903</v>
      </c>
      <c r="B3904" s="396" t="s">
        <v>7673</v>
      </c>
      <c r="C3904" s="396" t="s">
        <v>7674</v>
      </c>
      <c r="D3904" s="396" t="s">
        <v>7646</v>
      </c>
      <c r="E3904" s="396" t="s">
        <v>7647</v>
      </c>
      <c r="F3904" s="396" t="s">
        <v>7600</v>
      </c>
    </row>
    <row r="3905">
      <c r="A3905" s="311">
        <v>3904</v>
      </c>
      <c r="B3905" s="396" t="s">
        <v>7675</v>
      </c>
      <c r="C3905" s="396" t="s">
        <v>7676</v>
      </c>
      <c r="D3905" s="396" t="s">
        <v>7677</v>
      </c>
      <c r="E3905" s="396" t="s">
        <v>7678</v>
      </c>
      <c r="F3905" s="396" t="s">
        <v>7600</v>
      </c>
    </row>
    <row r="3906">
      <c r="A3906" s="311">
        <v>3905</v>
      </c>
      <c r="B3906" s="396" t="s">
        <v>7679</v>
      </c>
      <c r="C3906" s="396" t="s">
        <v>7680</v>
      </c>
      <c r="D3906" s="396" t="s">
        <v>7677</v>
      </c>
      <c r="E3906" s="396" t="s">
        <v>7678</v>
      </c>
      <c r="F3906" s="396" t="s">
        <v>7600</v>
      </c>
    </row>
    <row r="3907">
      <c r="A3907" s="311">
        <v>3906</v>
      </c>
      <c r="B3907" s="396" t="s">
        <v>7681</v>
      </c>
      <c r="C3907" s="396" t="s">
        <v>7682</v>
      </c>
      <c r="D3907" s="396" t="s">
        <v>7677</v>
      </c>
      <c r="E3907" s="396" t="s">
        <v>7678</v>
      </c>
      <c r="F3907" s="396" t="s">
        <v>7600</v>
      </c>
    </row>
    <row r="3908">
      <c r="A3908" s="311">
        <v>3907</v>
      </c>
      <c r="B3908" s="396" t="s">
        <v>7683</v>
      </c>
      <c r="C3908" s="396" t="s">
        <v>7684</v>
      </c>
      <c r="D3908" s="396" t="s">
        <v>7677</v>
      </c>
      <c r="E3908" s="396" t="s">
        <v>7678</v>
      </c>
      <c r="F3908" s="396" t="s">
        <v>7600</v>
      </c>
    </row>
    <row r="3909">
      <c r="A3909" s="311">
        <v>3908</v>
      </c>
      <c r="B3909" s="396" t="s">
        <v>7685</v>
      </c>
      <c r="C3909" s="396" t="s">
        <v>7686</v>
      </c>
      <c r="D3909" s="396" t="s">
        <v>7677</v>
      </c>
      <c r="E3909" s="396" t="s">
        <v>7678</v>
      </c>
      <c r="F3909" s="396" t="s">
        <v>7600</v>
      </c>
    </row>
    <row r="3910">
      <c r="A3910" s="311">
        <v>3909</v>
      </c>
      <c r="B3910" s="396" t="s">
        <v>7687</v>
      </c>
      <c r="C3910" s="396" t="s">
        <v>7688</v>
      </c>
      <c r="D3910" s="396" t="s">
        <v>7677</v>
      </c>
      <c r="E3910" s="396" t="s">
        <v>7678</v>
      </c>
      <c r="F3910" s="396" t="s">
        <v>7600</v>
      </c>
    </row>
    <row r="3911">
      <c r="A3911" s="311">
        <v>3910</v>
      </c>
      <c r="B3911" s="396" t="s">
        <v>7689</v>
      </c>
      <c r="C3911" s="396" t="s">
        <v>7690</v>
      </c>
      <c r="D3911" s="396" t="s">
        <v>7677</v>
      </c>
      <c r="E3911" s="396" t="s">
        <v>7678</v>
      </c>
      <c r="F3911" s="396" t="s">
        <v>7600</v>
      </c>
    </row>
    <row r="3912">
      <c r="A3912" s="311">
        <v>3911</v>
      </c>
      <c r="B3912" s="396" t="s">
        <v>7691</v>
      </c>
      <c r="C3912" s="396" t="s">
        <v>7692</v>
      </c>
      <c r="D3912" s="396" t="s">
        <v>7677</v>
      </c>
      <c r="E3912" s="396" t="s">
        <v>7678</v>
      </c>
      <c r="F3912" s="396" t="s">
        <v>7600</v>
      </c>
    </row>
    <row r="3913">
      <c r="A3913" s="311">
        <v>3912</v>
      </c>
      <c r="B3913" s="396" t="s">
        <v>7693</v>
      </c>
      <c r="C3913" s="396" t="s">
        <v>7694</v>
      </c>
      <c r="D3913" s="396" t="s">
        <v>7695</v>
      </c>
      <c r="E3913" s="396" t="s">
        <v>7696</v>
      </c>
      <c r="F3913" s="396" t="s">
        <v>7600</v>
      </c>
    </row>
    <row r="3914">
      <c r="A3914" s="311">
        <v>3913</v>
      </c>
      <c r="B3914" s="396" t="s">
        <v>7697</v>
      </c>
      <c r="C3914" s="396" t="s">
        <v>7698</v>
      </c>
      <c r="D3914" s="396" t="s">
        <v>7695</v>
      </c>
      <c r="E3914" s="396" t="s">
        <v>7696</v>
      </c>
      <c r="F3914" s="396" t="s">
        <v>7600</v>
      </c>
    </row>
    <row r="3915">
      <c r="A3915" s="311">
        <v>3914</v>
      </c>
      <c r="B3915" s="396" t="s">
        <v>7699</v>
      </c>
      <c r="C3915" s="396" t="s">
        <v>7700</v>
      </c>
      <c r="D3915" s="396" t="s">
        <v>7695</v>
      </c>
      <c r="E3915" s="396" t="s">
        <v>7696</v>
      </c>
      <c r="F3915" s="396" t="s">
        <v>7600</v>
      </c>
    </row>
    <row r="3916">
      <c r="A3916" s="311">
        <v>3915</v>
      </c>
      <c r="B3916" s="396" t="s">
        <v>7701</v>
      </c>
      <c r="C3916" s="396" t="s">
        <v>4843</v>
      </c>
      <c r="D3916" s="396" t="s">
        <v>7695</v>
      </c>
      <c r="E3916" s="396" t="s">
        <v>7696</v>
      </c>
      <c r="F3916" s="396" t="s">
        <v>7600</v>
      </c>
    </row>
    <row r="3917">
      <c r="A3917" s="311">
        <v>3916</v>
      </c>
      <c r="B3917" s="396" t="s">
        <v>7702</v>
      </c>
      <c r="C3917" s="396" t="s">
        <v>7703</v>
      </c>
      <c r="D3917" s="396" t="s">
        <v>7695</v>
      </c>
      <c r="E3917" s="396" t="s">
        <v>7696</v>
      </c>
      <c r="F3917" s="396" t="s">
        <v>7600</v>
      </c>
    </row>
    <row r="3918">
      <c r="A3918" s="311">
        <v>3917</v>
      </c>
      <c r="B3918" s="396" t="s">
        <v>7704</v>
      </c>
      <c r="C3918" s="396" t="s">
        <v>7705</v>
      </c>
      <c r="D3918" s="396" t="s">
        <v>7695</v>
      </c>
      <c r="E3918" s="396" t="s">
        <v>7696</v>
      </c>
      <c r="F3918" s="396" t="s">
        <v>7600</v>
      </c>
    </row>
    <row r="3919">
      <c r="A3919" s="311">
        <v>3918</v>
      </c>
      <c r="B3919" s="396" t="s">
        <v>7706</v>
      </c>
      <c r="C3919" s="396" t="s">
        <v>7707</v>
      </c>
      <c r="D3919" s="396" t="s">
        <v>7695</v>
      </c>
      <c r="E3919" s="396" t="s">
        <v>7696</v>
      </c>
      <c r="F3919" s="396" t="s">
        <v>7600</v>
      </c>
    </row>
    <row r="3920">
      <c r="A3920" s="311">
        <v>3919</v>
      </c>
      <c r="B3920" s="396" t="s">
        <v>7708</v>
      </c>
      <c r="C3920" s="396" t="s">
        <v>7709</v>
      </c>
      <c r="D3920" s="396" t="s">
        <v>7695</v>
      </c>
      <c r="E3920" s="396" t="s">
        <v>7696</v>
      </c>
      <c r="F3920" s="396" t="s">
        <v>7600</v>
      </c>
    </row>
    <row r="3921">
      <c r="A3921" s="311">
        <v>3920</v>
      </c>
      <c r="B3921" s="396" t="s">
        <v>7710</v>
      </c>
      <c r="C3921" s="396" t="s">
        <v>7711</v>
      </c>
      <c r="D3921" s="396" t="s">
        <v>7695</v>
      </c>
      <c r="E3921" s="396" t="s">
        <v>7696</v>
      </c>
      <c r="F3921" s="396" t="s">
        <v>7600</v>
      </c>
    </row>
    <row r="3922">
      <c r="A3922" s="311">
        <v>3921</v>
      </c>
      <c r="B3922" s="396" t="s">
        <v>7712</v>
      </c>
      <c r="C3922" s="396" t="s">
        <v>7713</v>
      </c>
      <c r="D3922" s="396" t="s">
        <v>7695</v>
      </c>
      <c r="E3922" s="396" t="s">
        <v>7696</v>
      </c>
      <c r="F3922" s="396" t="s">
        <v>7600</v>
      </c>
    </row>
    <row r="3923">
      <c r="A3923" s="311">
        <v>3922</v>
      </c>
      <c r="B3923" s="396" t="s">
        <v>7714</v>
      </c>
      <c r="C3923" s="396" t="s">
        <v>7715</v>
      </c>
      <c r="D3923" s="396" t="s">
        <v>7716</v>
      </c>
      <c r="E3923" s="396" t="s">
        <v>7717</v>
      </c>
      <c r="F3923" s="396" t="s">
        <v>7600</v>
      </c>
    </row>
    <row r="3924">
      <c r="A3924" s="311">
        <v>3923</v>
      </c>
      <c r="B3924" s="396" t="s">
        <v>7718</v>
      </c>
      <c r="C3924" s="396" t="s">
        <v>7719</v>
      </c>
      <c r="D3924" s="396" t="s">
        <v>7716</v>
      </c>
      <c r="E3924" s="396" t="s">
        <v>7717</v>
      </c>
      <c r="F3924" s="396" t="s">
        <v>7600</v>
      </c>
    </row>
    <row r="3925">
      <c r="A3925" s="311">
        <v>3924</v>
      </c>
      <c r="B3925" s="396" t="s">
        <v>7720</v>
      </c>
      <c r="C3925" s="396" t="s">
        <v>7721</v>
      </c>
      <c r="D3925" s="396" t="s">
        <v>7716</v>
      </c>
      <c r="E3925" s="396" t="s">
        <v>7717</v>
      </c>
      <c r="F3925" s="396" t="s">
        <v>7600</v>
      </c>
    </row>
    <row r="3926">
      <c r="A3926" s="311">
        <v>3925</v>
      </c>
      <c r="B3926" s="396" t="s">
        <v>7722</v>
      </c>
      <c r="C3926" s="396" t="s">
        <v>7723</v>
      </c>
      <c r="D3926" s="396" t="s">
        <v>7716</v>
      </c>
      <c r="E3926" s="396" t="s">
        <v>7717</v>
      </c>
      <c r="F3926" s="396" t="s">
        <v>7600</v>
      </c>
    </row>
    <row r="3927">
      <c r="A3927" s="311">
        <v>3926</v>
      </c>
      <c r="B3927" s="396" t="s">
        <v>7724</v>
      </c>
      <c r="C3927" s="396" t="s">
        <v>7725</v>
      </c>
      <c r="D3927" s="396" t="s">
        <v>7716</v>
      </c>
      <c r="E3927" s="396" t="s">
        <v>7717</v>
      </c>
      <c r="F3927" s="396" t="s">
        <v>7600</v>
      </c>
    </row>
    <row r="3928">
      <c r="A3928" s="311">
        <v>3927</v>
      </c>
      <c r="B3928" s="396" t="s">
        <v>7726</v>
      </c>
      <c r="C3928" s="396" t="s">
        <v>7727</v>
      </c>
      <c r="D3928" s="396" t="s">
        <v>7716</v>
      </c>
      <c r="E3928" s="396" t="s">
        <v>7717</v>
      </c>
      <c r="F3928" s="396" t="s">
        <v>7600</v>
      </c>
    </row>
    <row r="3929">
      <c r="A3929" s="311">
        <v>3928</v>
      </c>
      <c r="B3929" s="396" t="s">
        <v>7728</v>
      </c>
      <c r="C3929" s="396" t="s">
        <v>7729</v>
      </c>
      <c r="D3929" s="396" t="s">
        <v>7716</v>
      </c>
      <c r="E3929" s="396" t="s">
        <v>7717</v>
      </c>
      <c r="F3929" s="396" t="s">
        <v>7600</v>
      </c>
    </row>
    <row r="3930">
      <c r="A3930" s="311">
        <v>3929</v>
      </c>
      <c r="B3930" s="396" t="s">
        <v>7730</v>
      </c>
      <c r="C3930" s="396" t="s">
        <v>7731</v>
      </c>
      <c r="D3930" s="396" t="s">
        <v>7732</v>
      </c>
      <c r="E3930" s="396" t="s">
        <v>7733</v>
      </c>
      <c r="F3930" s="396" t="s">
        <v>7600</v>
      </c>
    </row>
    <row r="3931">
      <c r="A3931" s="311">
        <v>3930</v>
      </c>
      <c r="B3931" s="396" t="s">
        <v>7734</v>
      </c>
      <c r="C3931" s="396" t="s">
        <v>5634</v>
      </c>
      <c r="D3931" s="396" t="s">
        <v>7732</v>
      </c>
      <c r="E3931" s="396" t="s">
        <v>7733</v>
      </c>
      <c r="F3931" s="396" t="s">
        <v>7600</v>
      </c>
    </row>
    <row r="3932">
      <c r="A3932" s="311">
        <v>3931</v>
      </c>
      <c r="B3932" s="396" t="s">
        <v>7735</v>
      </c>
      <c r="C3932" s="396" t="s">
        <v>7736</v>
      </c>
      <c r="D3932" s="396" t="s">
        <v>7732</v>
      </c>
      <c r="E3932" s="396" t="s">
        <v>7733</v>
      </c>
      <c r="F3932" s="396" t="s">
        <v>7600</v>
      </c>
    </row>
    <row r="3933">
      <c r="A3933" s="311">
        <v>3932</v>
      </c>
      <c r="B3933" s="396" t="s">
        <v>7737</v>
      </c>
      <c r="C3933" s="396" t="s">
        <v>7738</v>
      </c>
      <c r="D3933" s="396" t="s">
        <v>7732</v>
      </c>
      <c r="E3933" s="396" t="s">
        <v>7733</v>
      </c>
      <c r="F3933" s="396" t="s">
        <v>7600</v>
      </c>
    </row>
    <row r="3934">
      <c r="A3934" s="311">
        <v>3933</v>
      </c>
      <c r="B3934" s="396" t="s">
        <v>7739</v>
      </c>
      <c r="C3934" s="396" t="s">
        <v>7740</v>
      </c>
      <c r="D3934" s="396" t="s">
        <v>7732</v>
      </c>
      <c r="E3934" s="396" t="s">
        <v>7733</v>
      </c>
      <c r="F3934" s="396" t="s">
        <v>7600</v>
      </c>
    </row>
    <row r="3935">
      <c r="A3935" s="311">
        <v>3934</v>
      </c>
      <c r="B3935" s="396" t="s">
        <v>7741</v>
      </c>
      <c r="C3935" s="396" t="s">
        <v>4594</v>
      </c>
      <c r="D3935" s="396" t="s">
        <v>7732</v>
      </c>
      <c r="E3935" s="396" t="s">
        <v>7733</v>
      </c>
      <c r="F3935" s="396" t="s">
        <v>7600</v>
      </c>
    </row>
    <row r="3936">
      <c r="A3936" s="311">
        <v>3935</v>
      </c>
      <c r="B3936" s="396" t="s">
        <v>7742</v>
      </c>
      <c r="C3936" s="396" t="s">
        <v>7743</v>
      </c>
      <c r="D3936" s="396" t="s">
        <v>7744</v>
      </c>
      <c r="E3936" s="396" t="s">
        <v>7745</v>
      </c>
      <c r="F3936" s="396" t="s">
        <v>7600</v>
      </c>
    </row>
    <row r="3937">
      <c r="A3937" s="311">
        <v>3936</v>
      </c>
      <c r="B3937" s="396" t="s">
        <v>7746</v>
      </c>
      <c r="C3937" s="396" t="s">
        <v>7747</v>
      </c>
      <c r="D3937" s="396" t="s">
        <v>7744</v>
      </c>
      <c r="E3937" s="396" t="s">
        <v>7745</v>
      </c>
      <c r="F3937" s="396" t="s">
        <v>7600</v>
      </c>
    </row>
    <row r="3938">
      <c r="A3938" s="311">
        <v>3937</v>
      </c>
      <c r="B3938" s="396" t="s">
        <v>7748</v>
      </c>
      <c r="C3938" s="396" t="s">
        <v>7749</v>
      </c>
      <c r="D3938" s="396" t="s">
        <v>7744</v>
      </c>
      <c r="E3938" s="396" t="s">
        <v>7745</v>
      </c>
      <c r="F3938" s="396" t="s">
        <v>7600</v>
      </c>
    </row>
    <row r="3939">
      <c r="A3939" s="311">
        <v>3938</v>
      </c>
      <c r="B3939" s="396" t="s">
        <v>7750</v>
      </c>
      <c r="C3939" s="396" t="s">
        <v>7224</v>
      </c>
      <c r="D3939" s="396" t="s">
        <v>7744</v>
      </c>
      <c r="E3939" s="396" t="s">
        <v>7745</v>
      </c>
      <c r="F3939" s="396" t="s">
        <v>7600</v>
      </c>
    </row>
    <row r="3940">
      <c r="A3940" s="311">
        <v>3939</v>
      </c>
      <c r="B3940" s="396" t="s">
        <v>7751</v>
      </c>
      <c r="C3940" s="396" t="s">
        <v>7472</v>
      </c>
      <c r="D3940" s="396" t="s">
        <v>7744</v>
      </c>
      <c r="E3940" s="396" t="s">
        <v>7745</v>
      </c>
      <c r="F3940" s="396" t="s">
        <v>7600</v>
      </c>
    </row>
    <row r="3941">
      <c r="A3941" s="311">
        <v>3940</v>
      </c>
      <c r="B3941" s="396" t="s">
        <v>7752</v>
      </c>
      <c r="C3941" s="396" t="s">
        <v>7753</v>
      </c>
      <c r="D3941" s="396" t="s">
        <v>7744</v>
      </c>
      <c r="E3941" s="396" t="s">
        <v>7745</v>
      </c>
      <c r="F3941" s="396" t="s">
        <v>7600</v>
      </c>
    </row>
    <row r="3942">
      <c r="A3942" s="311">
        <v>3941</v>
      </c>
      <c r="B3942" s="396" t="s">
        <v>7754</v>
      </c>
      <c r="C3942" s="396" t="s">
        <v>7755</v>
      </c>
      <c r="D3942" s="396" t="s">
        <v>7744</v>
      </c>
      <c r="E3942" s="396" t="s">
        <v>7745</v>
      </c>
      <c r="F3942" s="396" t="s">
        <v>7600</v>
      </c>
    </row>
    <row r="3943">
      <c r="A3943" s="311">
        <v>3942</v>
      </c>
      <c r="B3943" s="396" t="s">
        <v>7756</v>
      </c>
      <c r="C3943" s="396" t="s">
        <v>7757</v>
      </c>
      <c r="D3943" s="396" t="s">
        <v>7744</v>
      </c>
      <c r="E3943" s="396" t="s">
        <v>7745</v>
      </c>
      <c r="F3943" s="396" t="s">
        <v>7600</v>
      </c>
    </row>
    <row r="3944">
      <c r="A3944" s="311">
        <v>3943</v>
      </c>
      <c r="B3944" s="396" t="s">
        <v>7758</v>
      </c>
      <c r="C3944" s="396" t="s">
        <v>7759</v>
      </c>
      <c r="D3944" s="396" t="s">
        <v>7744</v>
      </c>
      <c r="E3944" s="396" t="s">
        <v>7745</v>
      </c>
      <c r="F3944" s="396" t="s">
        <v>7600</v>
      </c>
    </row>
    <row r="3945">
      <c r="A3945" s="311">
        <v>3944</v>
      </c>
      <c r="B3945" s="396" t="s">
        <v>7760</v>
      </c>
      <c r="C3945" s="396" t="s">
        <v>7761</v>
      </c>
      <c r="D3945" s="396" t="s">
        <v>7744</v>
      </c>
      <c r="E3945" s="396" t="s">
        <v>7745</v>
      </c>
      <c r="F3945" s="396" t="s">
        <v>7600</v>
      </c>
    </row>
    <row r="3946">
      <c r="A3946" s="311">
        <v>3945</v>
      </c>
      <c r="B3946" s="396" t="s">
        <v>7762</v>
      </c>
      <c r="C3946" s="396" t="s">
        <v>1115</v>
      </c>
      <c r="D3946" s="396" t="s">
        <v>7744</v>
      </c>
      <c r="E3946" s="396" t="s">
        <v>7745</v>
      </c>
      <c r="F3946" s="396" t="s">
        <v>7600</v>
      </c>
    </row>
    <row r="3947">
      <c r="A3947" s="311">
        <v>3946</v>
      </c>
      <c r="B3947" s="396" t="s">
        <v>7763</v>
      </c>
      <c r="C3947" s="396" t="s">
        <v>6369</v>
      </c>
      <c r="D3947" s="396" t="s">
        <v>7744</v>
      </c>
      <c r="E3947" s="396" t="s">
        <v>7745</v>
      </c>
      <c r="F3947" s="396" t="s">
        <v>7600</v>
      </c>
    </row>
    <row r="3948">
      <c r="A3948" s="311">
        <v>3947</v>
      </c>
      <c r="B3948" s="396" t="s">
        <v>7764</v>
      </c>
      <c r="C3948" s="396" t="s">
        <v>7765</v>
      </c>
      <c r="D3948" s="396" t="s">
        <v>7744</v>
      </c>
      <c r="E3948" s="396" t="s">
        <v>7745</v>
      </c>
      <c r="F3948" s="396" t="s">
        <v>7600</v>
      </c>
    </row>
    <row r="3949">
      <c r="A3949" s="311">
        <v>3948</v>
      </c>
      <c r="B3949" s="396" t="s">
        <v>7766</v>
      </c>
      <c r="C3949" s="396" t="s">
        <v>7767</v>
      </c>
      <c r="D3949" s="396" t="s">
        <v>7744</v>
      </c>
      <c r="E3949" s="396" t="s">
        <v>7745</v>
      </c>
      <c r="F3949" s="396" t="s">
        <v>7600</v>
      </c>
    </row>
    <row r="3950">
      <c r="A3950" s="311">
        <v>3949</v>
      </c>
      <c r="B3950" s="396" t="s">
        <v>7768</v>
      </c>
      <c r="C3950" s="396" t="s">
        <v>7200</v>
      </c>
      <c r="D3950" s="396" t="s">
        <v>7744</v>
      </c>
      <c r="E3950" s="396" t="s">
        <v>7745</v>
      </c>
      <c r="F3950" s="396" t="s">
        <v>7600</v>
      </c>
    </row>
    <row r="3951">
      <c r="A3951" s="311">
        <v>3950</v>
      </c>
      <c r="B3951" s="396" t="s">
        <v>7769</v>
      </c>
      <c r="C3951" s="396" t="s">
        <v>2513</v>
      </c>
      <c r="D3951" s="396" t="s">
        <v>7744</v>
      </c>
      <c r="E3951" s="396" t="s">
        <v>7745</v>
      </c>
      <c r="F3951" s="396" t="s">
        <v>7600</v>
      </c>
    </row>
    <row r="3952">
      <c r="A3952" s="311">
        <v>3951</v>
      </c>
      <c r="B3952" s="396" t="s">
        <v>7770</v>
      </c>
      <c r="C3952" s="396" t="s">
        <v>7771</v>
      </c>
      <c r="D3952" s="396" t="s">
        <v>7744</v>
      </c>
      <c r="E3952" s="396" t="s">
        <v>7745</v>
      </c>
      <c r="F3952" s="396" t="s">
        <v>7600</v>
      </c>
    </row>
    <row r="3953">
      <c r="A3953" s="311">
        <v>3952</v>
      </c>
      <c r="B3953" s="396" t="s">
        <v>7772</v>
      </c>
      <c r="C3953" s="396" t="s">
        <v>7773</v>
      </c>
      <c r="D3953" s="396" t="s">
        <v>7744</v>
      </c>
      <c r="E3953" s="396" t="s">
        <v>7745</v>
      </c>
      <c r="F3953" s="396" t="s">
        <v>7600</v>
      </c>
    </row>
    <row r="3954">
      <c r="A3954" s="311">
        <v>3953</v>
      </c>
      <c r="B3954" s="396" t="s">
        <v>7774</v>
      </c>
      <c r="C3954" s="396" t="s">
        <v>902</v>
      </c>
      <c r="D3954" s="396" t="s">
        <v>7744</v>
      </c>
      <c r="E3954" s="396" t="s">
        <v>7745</v>
      </c>
      <c r="F3954" s="396" t="s">
        <v>7600</v>
      </c>
    </row>
    <row r="3955">
      <c r="A3955" s="311">
        <v>3954</v>
      </c>
      <c r="B3955" s="396" t="s">
        <v>7775</v>
      </c>
      <c r="C3955" s="396" t="s">
        <v>1014</v>
      </c>
      <c r="D3955" s="396" t="s">
        <v>7744</v>
      </c>
      <c r="E3955" s="396" t="s">
        <v>7745</v>
      </c>
      <c r="F3955" s="396" t="s">
        <v>7600</v>
      </c>
    </row>
    <row r="3956">
      <c r="A3956" s="311">
        <v>3955</v>
      </c>
      <c r="B3956" s="396" t="s">
        <v>7776</v>
      </c>
      <c r="C3956" s="396" t="s">
        <v>2356</v>
      </c>
      <c r="D3956" s="396" t="s">
        <v>7744</v>
      </c>
      <c r="E3956" s="396" t="s">
        <v>7745</v>
      </c>
      <c r="F3956" s="396" t="s">
        <v>7600</v>
      </c>
    </row>
    <row r="3957">
      <c r="A3957" s="311">
        <v>3956</v>
      </c>
      <c r="B3957" s="396" t="s">
        <v>7777</v>
      </c>
      <c r="C3957" s="396" t="s">
        <v>7778</v>
      </c>
      <c r="D3957" s="396" t="s">
        <v>7744</v>
      </c>
      <c r="E3957" s="396" t="s">
        <v>7745</v>
      </c>
      <c r="F3957" s="396" t="s">
        <v>7600</v>
      </c>
    </row>
    <row r="3958">
      <c r="A3958" s="311">
        <v>3957</v>
      </c>
      <c r="B3958" s="396" t="s">
        <v>7779</v>
      </c>
      <c r="C3958" s="396" t="s">
        <v>7780</v>
      </c>
      <c r="D3958" s="396" t="s">
        <v>7744</v>
      </c>
      <c r="E3958" s="396" t="s">
        <v>7745</v>
      </c>
      <c r="F3958" s="396" t="s">
        <v>7600</v>
      </c>
    </row>
    <row r="3959">
      <c r="A3959" s="311">
        <v>3958</v>
      </c>
      <c r="B3959" s="396" t="s">
        <v>7781</v>
      </c>
      <c r="C3959" s="396" t="s">
        <v>1929</v>
      </c>
      <c r="D3959" s="396" t="s">
        <v>7744</v>
      </c>
      <c r="E3959" s="396" t="s">
        <v>7745</v>
      </c>
      <c r="F3959" s="396" t="s">
        <v>7600</v>
      </c>
    </row>
    <row r="3960">
      <c r="A3960" s="311">
        <v>3959</v>
      </c>
      <c r="B3960" s="396" t="s">
        <v>7782</v>
      </c>
      <c r="C3960" s="396" t="s">
        <v>7783</v>
      </c>
      <c r="D3960" s="396" t="s">
        <v>7744</v>
      </c>
      <c r="E3960" s="396" t="s">
        <v>7745</v>
      </c>
      <c r="F3960" s="396" t="s">
        <v>7600</v>
      </c>
    </row>
    <row r="3961">
      <c r="A3961" s="311">
        <v>3960</v>
      </c>
      <c r="B3961" s="396" t="s">
        <v>7784</v>
      </c>
      <c r="C3961" s="396" t="s">
        <v>972</v>
      </c>
      <c r="D3961" s="396" t="s">
        <v>7744</v>
      </c>
      <c r="E3961" s="396" t="s">
        <v>7745</v>
      </c>
      <c r="F3961" s="396" t="s">
        <v>7600</v>
      </c>
    </row>
    <row r="3962">
      <c r="A3962" s="311">
        <v>3961</v>
      </c>
      <c r="B3962" s="396" t="s">
        <v>7785</v>
      </c>
      <c r="C3962" s="396" t="s">
        <v>7786</v>
      </c>
      <c r="D3962" s="396" t="s">
        <v>7744</v>
      </c>
      <c r="E3962" s="396" t="s">
        <v>7745</v>
      </c>
      <c r="F3962" s="396" t="s">
        <v>7600</v>
      </c>
    </row>
    <row r="3963">
      <c r="A3963" s="311">
        <v>3962</v>
      </c>
      <c r="B3963" s="396" t="s">
        <v>7787</v>
      </c>
      <c r="C3963" s="396" t="s">
        <v>7788</v>
      </c>
      <c r="D3963" s="396" t="s">
        <v>7744</v>
      </c>
      <c r="E3963" s="396" t="s">
        <v>7745</v>
      </c>
      <c r="F3963" s="396" t="s">
        <v>7600</v>
      </c>
    </row>
    <row r="3964">
      <c r="A3964" s="311">
        <v>3963</v>
      </c>
      <c r="B3964" s="396" t="s">
        <v>7789</v>
      </c>
      <c r="C3964" s="396" t="s">
        <v>7790</v>
      </c>
      <c r="D3964" s="396" t="s">
        <v>7744</v>
      </c>
      <c r="E3964" s="396" t="s">
        <v>7745</v>
      </c>
      <c r="F3964" s="396" t="s">
        <v>7600</v>
      </c>
    </row>
    <row r="3965">
      <c r="A3965" s="311">
        <v>3964</v>
      </c>
      <c r="B3965" s="396" t="s">
        <v>7791</v>
      </c>
      <c r="C3965" s="396" t="s">
        <v>7792</v>
      </c>
      <c r="D3965" s="396" t="s">
        <v>7744</v>
      </c>
      <c r="E3965" s="396" t="s">
        <v>7745</v>
      </c>
      <c r="F3965" s="396" t="s">
        <v>7600</v>
      </c>
    </row>
    <row r="3966">
      <c r="A3966" s="311">
        <v>3965</v>
      </c>
      <c r="B3966" s="396" t="s">
        <v>7793</v>
      </c>
      <c r="C3966" s="396" t="s">
        <v>7794</v>
      </c>
      <c r="D3966" s="396" t="s">
        <v>7744</v>
      </c>
      <c r="E3966" s="396" t="s">
        <v>7745</v>
      </c>
      <c r="F3966" s="396" t="s">
        <v>7600</v>
      </c>
    </row>
    <row r="3967">
      <c r="A3967" s="311">
        <v>3966</v>
      </c>
      <c r="B3967" s="396" t="s">
        <v>7795</v>
      </c>
      <c r="C3967" s="396" t="s">
        <v>7796</v>
      </c>
      <c r="D3967" s="396" t="s">
        <v>7744</v>
      </c>
      <c r="E3967" s="396" t="s">
        <v>7745</v>
      </c>
      <c r="F3967" s="396" t="s">
        <v>7600</v>
      </c>
    </row>
    <row r="3968">
      <c r="A3968" s="311">
        <v>3967</v>
      </c>
      <c r="B3968" s="396" t="s">
        <v>7797</v>
      </c>
      <c r="C3968" s="396" t="s">
        <v>7798</v>
      </c>
      <c r="D3968" s="396" t="s">
        <v>7744</v>
      </c>
      <c r="E3968" s="396" t="s">
        <v>7745</v>
      </c>
      <c r="F3968" s="396" t="s">
        <v>7600</v>
      </c>
    </row>
    <row r="3969">
      <c r="A3969" s="311">
        <v>3968</v>
      </c>
      <c r="B3969" s="396" t="s">
        <v>7799</v>
      </c>
      <c r="C3969" s="396" t="s">
        <v>7800</v>
      </c>
      <c r="D3969" s="396" t="s">
        <v>7744</v>
      </c>
      <c r="E3969" s="396" t="s">
        <v>7745</v>
      </c>
      <c r="F3969" s="396" t="s">
        <v>7600</v>
      </c>
    </row>
    <row r="3970">
      <c r="A3970" s="311">
        <v>3969</v>
      </c>
      <c r="B3970" s="396" t="s">
        <v>7801</v>
      </c>
      <c r="C3970" s="396" t="s">
        <v>7802</v>
      </c>
      <c r="D3970" s="396" t="s">
        <v>7744</v>
      </c>
      <c r="E3970" s="396" t="s">
        <v>7745</v>
      </c>
      <c r="F3970" s="396" t="s">
        <v>7600</v>
      </c>
    </row>
    <row r="3971">
      <c r="A3971" s="311">
        <v>3970</v>
      </c>
      <c r="B3971" s="396" t="s">
        <v>7803</v>
      </c>
      <c r="C3971" s="396" t="s">
        <v>2789</v>
      </c>
      <c r="D3971" s="396" t="s">
        <v>7744</v>
      </c>
      <c r="E3971" s="396" t="s">
        <v>7745</v>
      </c>
      <c r="F3971" s="396" t="s">
        <v>7600</v>
      </c>
    </row>
    <row r="3972">
      <c r="A3972" s="311">
        <v>3971</v>
      </c>
      <c r="B3972" s="396" t="s">
        <v>7804</v>
      </c>
      <c r="C3972" s="396" t="s">
        <v>7805</v>
      </c>
      <c r="D3972" s="396" t="s">
        <v>7744</v>
      </c>
      <c r="E3972" s="396" t="s">
        <v>7745</v>
      </c>
      <c r="F3972" s="396" t="s">
        <v>7600</v>
      </c>
    </row>
    <row r="3973">
      <c r="A3973" s="311">
        <v>3972</v>
      </c>
      <c r="B3973" s="396" t="s">
        <v>7806</v>
      </c>
      <c r="C3973" s="396" t="s">
        <v>7807</v>
      </c>
      <c r="D3973" s="396" t="s">
        <v>7808</v>
      </c>
      <c r="E3973" s="396" t="s">
        <v>7809</v>
      </c>
      <c r="F3973" s="396" t="s">
        <v>7600</v>
      </c>
    </row>
    <row r="3974">
      <c r="A3974" s="311">
        <v>3973</v>
      </c>
      <c r="B3974" s="396" t="s">
        <v>7810</v>
      </c>
      <c r="C3974" s="396" t="s">
        <v>7811</v>
      </c>
      <c r="D3974" s="396" t="s">
        <v>7808</v>
      </c>
      <c r="E3974" s="396" t="s">
        <v>7809</v>
      </c>
      <c r="F3974" s="396" t="s">
        <v>7600</v>
      </c>
    </row>
    <row r="3975">
      <c r="A3975" s="311">
        <v>3974</v>
      </c>
      <c r="B3975" s="396" t="s">
        <v>7812</v>
      </c>
      <c r="C3975" s="396" t="s">
        <v>7813</v>
      </c>
      <c r="D3975" s="396" t="s">
        <v>7808</v>
      </c>
      <c r="E3975" s="396" t="s">
        <v>7809</v>
      </c>
      <c r="F3975" s="396" t="s">
        <v>7600</v>
      </c>
    </row>
    <row r="3976">
      <c r="A3976" s="311">
        <v>3975</v>
      </c>
      <c r="B3976" s="396" t="s">
        <v>7814</v>
      </c>
      <c r="C3976" s="396" t="s">
        <v>6720</v>
      </c>
      <c r="D3976" s="396" t="s">
        <v>7808</v>
      </c>
      <c r="E3976" s="396" t="s">
        <v>7809</v>
      </c>
      <c r="F3976" s="396" t="s">
        <v>7600</v>
      </c>
    </row>
    <row r="3977">
      <c r="A3977" s="311">
        <v>3976</v>
      </c>
      <c r="B3977" s="396" t="s">
        <v>7815</v>
      </c>
      <c r="C3977" s="396" t="s">
        <v>944</v>
      </c>
      <c r="D3977" s="396" t="s">
        <v>7808</v>
      </c>
      <c r="E3977" s="396" t="s">
        <v>7809</v>
      </c>
      <c r="F3977" s="396" t="s">
        <v>7600</v>
      </c>
    </row>
    <row r="3978">
      <c r="A3978" s="311">
        <v>3977</v>
      </c>
      <c r="B3978" s="396" t="s">
        <v>7816</v>
      </c>
      <c r="C3978" s="396" t="s">
        <v>926</v>
      </c>
      <c r="D3978" s="396" t="s">
        <v>7808</v>
      </c>
      <c r="E3978" s="396" t="s">
        <v>7809</v>
      </c>
      <c r="F3978" s="396" t="s">
        <v>7600</v>
      </c>
    </row>
    <row r="3979">
      <c r="A3979" s="311">
        <v>3978</v>
      </c>
      <c r="B3979" s="396" t="s">
        <v>7817</v>
      </c>
      <c r="C3979" s="396" t="s">
        <v>7818</v>
      </c>
      <c r="D3979" s="396" t="s">
        <v>7808</v>
      </c>
      <c r="E3979" s="396" t="s">
        <v>7809</v>
      </c>
      <c r="F3979" s="396" t="s">
        <v>7600</v>
      </c>
    </row>
    <row r="3980">
      <c r="A3980" s="311">
        <v>3979</v>
      </c>
      <c r="B3980" s="396" t="s">
        <v>7819</v>
      </c>
      <c r="C3980" s="396" t="s">
        <v>7820</v>
      </c>
      <c r="D3980" s="396" t="s">
        <v>7808</v>
      </c>
      <c r="E3980" s="396" t="s">
        <v>7809</v>
      </c>
      <c r="F3980" s="396" t="s">
        <v>7600</v>
      </c>
    </row>
    <row r="3981">
      <c r="A3981" s="311">
        <v>3980</v>
      </c>
      <c r="B3981" s="396" t="s">
        <v>7821</v>
      </c>
      <c r="C3981" s="396" t="s">
        <v>286</v>
      </c>
      <c r="D3981" s="396" t="s">
        <v>7808</v>
      </c>
      <c r="E3981" s="396" t="s">
        <v>7809</v>
      </c>
      <c r="F3981" s="396" t="s">
        <v>7600</v>
      </c>
    </row>
    <row r="3982">
      <c r="A3982" s="311">
        <v>3981</v>
      </c>
      <c r="B3982" s="396" t="s">
        <v>7822</v>
      </c>
      <c r="C3982" s="396" t="s">
        <v>292</v>
      </c>
      <c r="D3982" s="396" t="s">
        <v>7808</v>
      </c>
      <c r="E3982" s="396" t="s">
        <v>7809</v>
      </c>
      <c r="F3982" s="396" t="s">
        <v>7600</v>
      </c>
    </row>
    <row r="3983">
      <c r="A3983" s="311">
        <v>3982</v>
      </c>
      <c r="B3983" s="396" t="s">
        <v>7823</v>
      </c>
      <c r="C3983" s="396" t="s">
        <v>1042</v>
      </c>
      <c r="D3983" s="396" t="s">
        <v>7808</v>
      </c>
      <c r="E3983" s="396" t="s">
        <v>7809</v>
      </c>
      <c r="F3983" s="396" t="s">
        <v>7600</v>
      </c>
    </row>
    <row r="3984">
      <c r="A3984" s="311">
        <v>3983</v>
      </c>
      <c r="B3984" s="396" t="s">
        <v>7824</v>
      </c>
      <c r="C3984" s="396" t="s">
        <v>7825</v>
      </c>
      <c r="D3984" s="396" t="s">
        <v>7808</v>
      </c>
      <c r="E3984" s="396" t="s">
        <v>7809</v>
      </c>
      <c r="F3984" s="396" t="s">
        <v>7600</v>
      </c>
    </row>
    <row r="3985">
      <c r="A3985" s="311">
        <v>3984</v>
      </c>
      <c r="B3985" s="396" t="s">
        <v>7826</v>
      </c>
      <c r="C3985" s="396" t="s">
        <v>641</v>
      </c>
      <c r="D3985" s="396" t="s">
        <v>7808</v>
      </c>
      <c r="E3985" s="396" t="s">
        <v>7809</v>
      </c>
      <c r="F3985" s="396" t="s">
        <v>7600</v>
      </c>
    </row>
    <row r="3986">
      <c r="A3986" s="311">
        <v>3985</v>
      </c>
      <c r="B3986" s="396" t="s">
        <v>7827</v>
      </c>
      <c r="C3986" s="396" t="s">
        <v>7217</v>
      </c>
      <c r="D3986" s="396" t="s">
        <v>7808</v>
      </c>
      <c r="E3986" s="396" t="s">
        <v>7809</v>
      </c>
      <c r="F3986" s="396" t="s">
        <v>7600</v>
      </c>
    </row>
    <row r="3987">
      <c r="A3987" s="311">
        <v>3986</v>
      </c>
      <c r="B3987" s="396" t="s">
        <v>7828</v>
      </c>
      <c r="C3987" s="396" t="s">
        <v>7829</v>
      </c>
      <c r="D3987" s="396" t="s">
        <v>7808</v>
      </c>
      <c r="E3987" s="396" t="s">
        <v>7809</v>
      </c>
      <c r="F3987" s="396" t="s">
        <v>7600</v>
      </c>
    </row>
    <row r="3988">
      <c r="A3988" s="311">
        <v>3987</v>
      </c>
      <c r="B3988" s="396" t="s">
        <v>7830</v>
      </c>
      <c r="C3988" s="396" t="s">
        <v>1082</v>
      </c>
      <c r="D3988" s="396" t="s">
        <v>7808</v>
      </c>
      <c r="E3988" s="396" t="s">
        <v>7809</v>
      </c>
      <c r="F3988" s="396" t="s">
        <v>7600</v>
      </c>
    </row>
    <row r="3989">
      <c r="A3989" s="311">
        <v>3988</v>
      </c>
      <c r="B3989" s="396" t="s">
        <v>7831</v>
      </c>
      <c r="C3989" s="396" t="s">
        <v>7832</v>
      </c>
      <c r="D3989" s="396" t="s">
        <v>7833</v>
      </c>
      <c r="E3989" s="396" t="s">
        <v>7834</v>
      </c>
      <c r="F3989" s="396" t="s">
        <v>7600</v>
      </c>
    </row>
    <row r="3990">
      <c r="A3990" s="311">
        <v>3989</v>
      </c>
      <c r="B3990" s="396" t="s">
        <v>7835</v>
      </c>
      <c r="C3990" s="396" t="s">
        <v>7836</v>
      </c>
      <c r="D3990" s="396" t="s">
        <v>7833</v>
      </c>
      <c r="E3990" s="396" t="s">
        <v>7834</v>
      </c>
      <c r="F3990" s="396" t="s">
        <v>7600</v>
      </c>
    </row>
    <row r="3991">
      <c r="A3991" s="311">
        <v>3990</v>
      </c>
      <c r="B3991" s="396" t="s">
        <v>7837</v>
      </c>
      <c r="C3991" s="396" t="s">
        <v>7838</v>
      </c>
      <c r="D3991" s="396" t="s">
        <v>7833</v>
      </c>
      <c r="E3991" s="396" t="s">
        <v>7834</v>
      </c>
      <c r="F3991" s="396" t="s">
        <v>7600</v>
      </c>
    </row>
    <row r="3992">
      <c r="A3992" s="311">
        <v>3991</v>
      </c>
      <c r="B3992" s="396" t="s">
        <v>7839</v>
      </c>
      <c r="C3992" s="396" t="s">
        <v>7346</v>
      </c>
      <c r="D3992" s="396" t="s">
        <v>7833</v>
      </c>
      <c r="E3992" s="396" t="s">
        <v>7834</v>
      </c>
      <c r="F3992" s="396" t="s">
        <v>7600</v>
      </c>
    </row>
    <row r="3993">
      <c r="A3993" s="311">
        <v>3992</v>
      </c>
      <c r="B3993" s="396" t="s">
        <v>7840</v>
      </c>
      <c r="C3993" s="396" t="s">
        <v>1214</v>
      </c>
      <c r="D3993" s="396" t="s">
        <v>7833</v>
      </c>
      <c r="E3993" s="396" t="s">
        <v>7834</v>
      </c>
      <c r="F3993" s="396" t="s">
        <v>7600</v>
      </c>
    </row>
    <row r="3994">
      <c r="A3994" s="311">
        <v>3993</v>
      </c>
      <c r="B3994" s="396" t="s">
        <v>7841</v>
      </c>
      <c r="C3994" s="396" t="s">
        <v>7540</v>
      </c>
      <c r="D3994" s="396" t="s">
        <v>7833</v>
      </c>
      <c r="E3994" s="396" t="s">
        <v>7834</v>
      </c>
      <c r="F3994" s="396" t="s">
        <v>7600</v>
      </c>
    </row>
    <row r="3995">
      <c r="A3995" s="311">
        <v>3994</v>
      </c>
      <c r="B3995" s="396" t="s">
        <v>7842</v>
      </c>
      <c r="C3995" s="396" t="s">
        <v>1086</v>
      </c>
      <c r="D3995" s="396" t="s">
        <v>7833</v>
      </c>
      <c r="E3995" s="396" t="s">
        <v>7834</v>
      </c>
      <c r="F3995" s="396" t="s">
        <v>7600</v>
      </c>
    </row>
    <row r="3996">
      <c r="A3996" s="311">
        <v>3995</v>
      </c>
      <c r="B3996" s="396" t="s">
        <v>7843</v>
      </c>
      <c r="C3996" s="396" t="s">
        <v>7217</v>
      </c>
      <c r="D3996" s="396" t="s">
        <v>7833</v>
      </c>
      <c r="E3996" s="396" t="s">
        <v>7834</v>
      </c>
      <c r="F3996" s="396" t="s">
        <v>7600</v>
      </c>
    </row>
    <row r="3997">
      <c r="A3997" s="311">
        <v>3996</v>
      </c>
      <c r="B3997" s="396" t="s">
        <v>7844</v>
      </c>
      <c r="C3997" s="396" t="s">
        <v>2059</v>
      </c>
      <c r="D3997" s="396" t="s">
        <v>7833</v>
      </c>
      <c r="E3997" s="396" t="s">
        <v>7834</v>
      </c>
      <c r="F3997" s="396" t="s">
        <v>7600</v>
      </c>
    </row>
    <row r="3998">
      <c r="A3998" s="311">
        <v>3997</v>
      </c>
      <c r="B3998" s="396" t="s">
        <v>7845</v>
      </c>
      <c r="C3998" s="396" t="s">
        <v>7846</v>
      </c>
      <c r="D3998" s="396" t="s">
        <v>7833</v>
      </c>
      <c r="E3998" s="396" t="s">
        <v>7834</v>
      </c>
      <c r="F3998" s="396" t="s">
        <v>7600</v>
      </c>
    </row>
    <row r="3999">
      <c r="A3999" s="311">
        <v>3998</v>
      </c>
      <c r="B3999" s="396" t="s">
        <v>7847</v>
      </c>
      <c r="C3999" s="396" t="s">
        <v>310</v>
      </c>
      <c r="D3999" s="396" t="s">
        <v>7833</v>
      </c>
      <c r="E3999" s="396" t="s">
        <v>7834</v>
      </c>
      <c r="F3999" s="396" t="s">
        <v>7600</v>
      </c>
    </row>
    <row r="4000">
      <c r="A4000" s="311">
        <v>3999</v>
      </c>
      <c r="B4000" s="396" t="s">
        <v>7848</v>
      </c>
      <c r="C4000" s="396" t="s">
        <v>1669</v>
      </c>
      <c r="D4000" s="396" t="s">
        <v>7833</v>
      </c>
      <c r="E4000" s="396" t="s">
        <v>7834</v>
      </c>
      <c r="F4000" s="396" t="s">
        <v>7600</v>
      </c>
    </row>
    <row r="4001">
      <c r="A4001" s="311">
        <v>4000</v>
      </c>
      <c r="B4001" s="396" t="s">
        <v>7849</v>
      </c>
      <c r="C4001" s="396" t="s">
        <v>7850</v>
      </c>
      <c r="D4001" s="396" t="s">
        <v>7833</v>
      </c>
      <c r="E4001" s="396" t="s">
        <v>7834</v>
      </c>
      <c r="F4001" s="396" t="s">
        <v>7600</v>
      </c>
    </row>
    <row r="4002">
      <c r="A4002" s="311">
        <v>4001</v>
      </c>
      <c r="B4002" s="396" t="s">
        <v>7851</v>
      </c>
      <c r="C4002" s="396" t="s">
        <v>7852</v>
      </c>
      <c r="D4002" s="396" t="s">
        <v>7833</v>
      </c>
      <c r="E4002" s="396" t="s">
        <v>7834</v>
      </c>
      <c r="F4002" s="396" t="s">
        <v>7600</v>
      </c>
    </row>
    <row r="4003">
      <c r="A4003" s="311">
        <v>4002</v>
      </c>
      <c r="B4003" s="396" t="s">
        <v>7853</v>
      </c>
      <c r="C4003" s="396" t="s">
        <v>5146</v>
      </c>
      <c r="D4003" s="396" t="s">
        <v>7833</v>
      </c>
      <c r="E4003" s="396" t="s">
        <v>7834</v>
      </c>
      <c r="F4003" s="396" t="s">
        <v>7600</v>
      </c>
    </row>
    <row r="4004">
      <c r="A4004" s="311">
        <v>4003</v>
      </c>
      <c r="B4004" s="396" t="s">
        <v>7854</v>
      </c>
      <c r="C4004" s="396" t="s">
        <v>7855</v>
      </c>
      <c r="D4004" s="396" t="s">
        <v>7833</v>
      </c>
      <c r="E4004" s="396" t="s">
        <v>7834</v>
      </c>
      <c r="F4004" s="396" t="s">
        <v>7600</v>
      </c>
    </row>
    <row r="4005">
      <c r="A4005" s="311">
        <v>4004</v>
      </c>
      <c r="B4005" s="396" t="s">
        <v>7856</v>
      </c>
      <c r="C4005" s="396" t="s">
        <v>7857</v>
      </c>
      <c r="D4005" s="396" t="s">
        <v>7833</v>
      </c>
      <c r="E4005" s="396" t="s">
        <v>7834</v>
      </c>
      <c r="F4005" s="396" t="s">
        <v>7600</v>
      </c>
    </row>
    <row r="4006">
      <c r="A4006" s="311">
        <v>4005</v>
      </c>
      <c r="B4006" s="396" t="s">
        <v>7858</v>
      </c>
      <c r="C4006" s="396" t="s">
        <v>7859</v>
      </c>
      <c r="D4006" s="396" t="s">
        <v>7860</v>
      </c>
      <c r="E4006" s="396" t="s">
        <v>7861</v>
      </c>
      <c r="F4006" s="396" t="s">
        <v>7600</v>
      </c>
    </row>
    <row r="4007">
      <c r="A4007" s="311">
        <v>4006</v>
      </c>
      <c r="B4007" s="396" t="s">
        <v>7862</v>
      </c>
      <c r="C4007" s="396" t="s">
        <v>7863</v>
      </c>
      <c r="D4007" s="396" t="s">
        <v>7860</v>
      </c>
      <c r="E4007" s="396" t="s">
        <v>7861</v>
      </c>
      <c r="F4007" s="396" t="s">
        <v>7600</v>
      </c>
    </row>
    <row r="4008">
      <c r="A4008" s="311">
        <v>4007</v>
      </c>
      <c r="B4008" s="396" t="s">
        <v>7864</v>
      </c>
      <c r="C4008" s="396" t="s">
        <v>7865</v>
      </c>
      <c r="D4008" s="396" t="s">
        <v>7860</v>
      </c>
      <c r="E4008" s="396" t="s">
        <v>7861</v>
      </c>
      <c r="F4008" s="396" t="s">
        <v>7600</v>
      </c>
    </row>
    <row r="4009">
      <c r="A4009" s="311">
        <v>4008</v>
      </c>
      <c r="B4009" s="396" t="s">
        <v>7866</v>
      </c>
      <c r="C4009" s="396" t="s">
        <v>878</v>
      </c>
      <c r="D4009" s="396" t="s">
        <v>7860</v>
      </c>
      <c r="E4009" s="396" t="s">
        <v>7861</v>
      </c>
      <c r="F4009" s="396" t="s">
        <v>7600</v>
      </c>
    </row>
    <row r="4010">
      <c r="A4010" s="311">
        <v>4009</v>
      </c>
      <c r="B4010" s="396" t="s">
        <v>7867</v>
      </c>
      <c r="C4010" s="396" t="s">
        <v>854</v>
      </c>
      <c r="D4010" s="396" t="s">
        <v>7860</v>
      </c>
      <c r="E4010" s="396" t="s">
        <v>7861</v>
      </c>
      <c r="F4010" s="396" t="s">
        <v>7600</v>
      </c>
    </row>
    <row r="4011">
      <c r="A4011" s="311">
        <v>4010</v>
      </c>
      <c r="B4011" s="396" t="s">
        <v>7868</v>
      </c>
      <c r="C4011" s="396" t="s">
        <v>7298</v>
      </c>
      <c r="D4011" s="396" t="s">
        <v>7860</v>
      </c>
      <c r="E4011" s="396" t="s">
        <v>7861</v>
      </c>
      <c r="F4011" s="396" t="s">
        <v>7600</v>
      </c>
    </row>
    <row r="4012">
      <c r="A4012" s="311">
        <v>4011</v>
      </c>
      <c r="B4012" s="396" t="s">
        <v>7869</v>
      </c>
      <c r="C4012" s="396" t="s">
        <v>7547</v>
      </c>
      <c r="D4012" s="396" t="s">
        <v>7860</v>
      </c>
      <c r="E4012" s="396" t="s">
        <v>7861</v>
      </c>
      <c r="F4012" s="396" t="s">
        <v>7600</v>
      </c>
    </row>
    <row r="4013">
      <c r="A4013" s="311">
        <v>4012</v>
      </c>
      <c r="B4013" s="396" t="s">
        <v>7870</v>
      </c>
      <c r="C4013" s="396" t="s">
        <v>7871</v>
      </c>
      <c r="D4013" s="396" t="s">
        <v>7860</v>
      </c>
      <c r="E4013" s="396" t="s">
        <v>7861</v>
      </c>
      <c r="F4013" s="396" t="s">
        <v>7600</v>
      </c>
    </row>
    <row r="4014">
      <c r="A4014" s="311">
        <v>4013</v>
      </c>
      <c r="B4014" s="396" t="s">
        <v>7872</v>
      </c>
      <c r="C4014" s="396" t="s">
        <v>7873</v>
      </c>
      <c r="D4014" s="396" t="s">
        <v>7860</v>
      </c>
      <c r="E4014" s="396" t="s">
        <v>7861</v>
      </c>
      <c r="F4014" s="396" t="s">
        <v>7600</v>
      </c>
    </row>
    <row r="4015">
      <c r="A4015" s="311">
        <v>4014</v>
      </c>
      <c r="B4015" s="396" t="s">
        <v>7874</v>
      </c>
      <c r="C4015" s="396" t="s">
        <v>5178</v>
      </c>
      <c r="D4015" s="396" t="s">
        <v>7860</v>
      </c>
      <c r="E4015" s="396" t="s">
        <v>7861</v>
      </c>
      <c r="F4015" s="396" t="s">
        <v>7600</v>
      </c>
    </row>
    <row r="4016">
      <c r="A4016" s="311">
        <v>4015</v>
      </c>
      <c r="B4016" s="396" t="s">
        <v>7875</v>
      </c>
      <c r="C4016" s="396" t="s">
        <v>1115</v>
      </c>
      <c r="D4016" s="396" t="s">
        <v>7860</v>
      </c>
      <c r="E4016" s="396" t="s">
        <v>7861</v>
      </c>
      <c r="F4016" s="396" t="s">
        <v>7600</v>
      </c>
    </row>
    <row r="4017">
      <c r="A4017" s="311">
        <v>4016</v>
      </c>
      <c r="B4017" s="396" t="s">
        <v>7876</v>
      </c>
      <c r="C4017" s="396" t="s">
        <v>7877</v>
      </c>
      <c r="D4017" s="396" t="s">
        <v>7860</v>
      </c>
      <c r="E4017" s="396" t="s">
        <v>7861</v>
      </c>
      <c r="F4017" s="396" t="s">
        <v>7600</v>
      </c>
    </row>
    <row r="4018">
      <c r="A4018" s="311">
        <v>4017</v>
      </c>
      <c r="B4018" s="396" t="s">
        <v>7878</v>
      </c>
      <c r="C4018" s="396" t="s">
        <v>7879</v>
      </c>
      <c r="D4018" s="396" t="s">
        <v>7860</v>
      </c>
      <c r="E4018" s="396" t="s">
        <v>7861</v>
      </c>
      <c r="F4018" s="396" t="s">
        <v>7600</v>
      </c>
    </row>
    <row r="4019">
      <c r="A4019" s="311">
        <v>4018</v>
      </c>
      <c r="B4019" s="396" t="s">
        <v>7880</v>
      </c>
      <c r="C4019" s="396" t="s">
        <v>3622</v>
      </c>
      <c r="D4019" s="396" t="s">
        <v>7860</v>
      </c>
      <c r="E4019" s="396" t="s">
        <v>7861</v>
      </c>
      <c r="F4019" s="396" t="s">
        <v>7600</v>
      </c>
    </row>
    <row r="4020">
      <c r="A4020" s="311">
        <v>4019</v>
      </c>
      <c r="B4020" s="396" t="s">
        <v>7881</v>
      </c>
      <c r="C4020" s="396" t="s">
        <v>2501</v>
      </c>
      <c r="D4020" s="396" t="s">
        <v>7860</v>
      </c>
      <c r="E4020" s="396" t="s">
        <v>7861</v>
      </c>
      <c r="F4020" s="396" t="s">
        <v>7600</v>
      </c>
    </row>
    <row r="4021">
      <c r="A4021" s="311">
        <v>4020</v>
      </c>
      <c r="B4021" s="396" t="s">
        <v>7882</v>
      </c>
      <c r="C4021" s="396" t="s">
        <v>7883</v>
      </c>
      <c r="D4021" s="396" t="s">
        <v>7860</v>
      </c>
      <c r="E4021" s="396" t="s">
        <v>7861</v>
      </c>
      <c r="F4021" s="396" t="s">
        <v>7600</v>
      </c>
    </row>
    <row r="4022">
      <c r="A4022" s="311">
        <v>4021</v>
      </c>
      <c r="B4022" s="396" t="s">
        <v>7884</v>
      </c>
      <c r="C4022" s="396" t="s">
        <v>4300</v>
      </c>
      <c r="D4022" s="396" t="s">
        <v>7860</v>
      </c>
      <c r="E4022" s="396" t="s">
        <v>7861</v>
      </c>
      <c r="F4022" s="396" t="s">
        <v>7600</v>
      </c>
    </row>
    <row r="4023">
      <c r="A4023" s="311">
        <v>4022</v>
      </c>
      <c r="B4023" s="396" t="s">
        <v>7885</v>
      </c>
      <c r="C4023" s="396" t="s">
        <v>7494</v>
      </c>
      <c r="D4023" s="396" t="s">
        <v>7860</v>
      </c>
      <c r="E4023" s="396" t="s">
        <v>7861</v>
      </c>
      <c r="F4023" s="396" t="s">
        <v>7600</v>
      </c>
    </row>
    <row r="4024">
      <c r="A4024" s="311">
        <v>4023</v>
      </c>
      <c r="B4024" s="396" t="s">
        <v>7886</v>
      </c>
      <c r="C4024" s="396" t="s">
        <v>7887</v>
      </c>
      <c r="D4024" s="396" t="s">
        <v>7888</v>
      </c>
      <c r="E4024" s="396" t="s">
        <v>7889</v>
      </c>
      <c r="F4024" s="396" t="s">
        <v>7600</v>
      </c>
    </row>
    <row r="4025">
      <c r="A4025" s="311">
        <v>4024</v>
      </c>
      <c r="B4025" s="396" t="s">
        <v>7890</v>
      </c>
      <c r="C4025" s="396" t="s">
        <v>1076</v>
      </c>
      <c r="D4025" s="396" t="s">
        <v>7888</v>
      </c>
      <c r="E4025" s="396" t="s">
        <v>7889</v>
      </c>
      <c r="F4025" s="396" t="s">
        <v>7600</v>
      </c>
    </row>
    <row r="4026">
      <c r="A4026" s="311">
        <v>4025</v>
      </c>
      <c r="B4026" s="396" t="s">
        <v>7891</v>
      </c>
      <c r="C4026" s="396" t="s">
        <v>7892</v>
      </c>
      <c r="D4026" s="396" t="s">
        <v>7888</v>
      </c>
      <c r="E4026" s="396" t="s">
        <v>7889</v>
      </c>
      <c r="F4026" s="396" t="s">
        <v>7600</v>
      </c>
    </row>
    <row r="4027">
      <c r="A4027" s="311">
        <v>4026</v>
      </c>
      <c r="B4027" s="396" t="s">
        <v>7893</v>
      </c>
      <c r="C4027" s="396" t="s">
        <v>7894</v>
      </c>
      <c r="D4027" s="396" t="s">
        <v>7888</v>
      </c>
      <c r="E4027" s="396" t="s">
        <v>7889</v>
      </c>
      <c r="F4027" s="396" t="s">
        <v>7600</v>
      </c>
    </row>
    <row r="4028">
      <c r="A4028" s="311">
        <v>4027</v>
      </c>
      <c r="B4028" s="396" t="s">
        <v>7895</v>
      </c>
      <c r="C4028" s="396" t="s">
        <v>7896</v>
      </c>
      <c r="D4028" s="396" t="s">
        <v>7888</v>
      </c>
      <c r="E4028" s="396" t="s">
        <v>7889</v>
      </c>
      <c r="F4028" s="396" t="s">
        <v>7600</v>
      </c>
    </row>
    <row r="4029">
      <c r="A4029" s="311">
        <v>4028</v>
      </c>
      <c r="B4029" s="396" t="s">
        <v>7897</v>
      </c>
      <c r="C4029" s="396" t="s">
        <v>1372</v>
      </c>
      <c r="D4029" s="396" t="s">
        <v>7888</v>
      </c>
      <c r="E4029" s="396" t="s">
        <v>7889</v>
      </c>
      <c r="F4029" s="396" t="s">
        <v>7600</v>
      </c>
    </row>
    <row r="4030">
      <c r="A4030" s="311">
        <v>4029</v>
      </c>
      <c r="B4030" s="396" t="s">
        <v>7898</v>
      </c>
      <c r="C4030" s="396" t="s">
        <v>7899</v>
      </c>
      <c r="D4030" s="396" t="s">
        <v>7888</v>
      </c>
      <c r="E4030" s="396" t="s">
        <v>7889</v>
      </c>
      <c r="F4030" s="396" t="s">
        <v>7600</v>
      </c>
    </row>
    <row r="4031">
      <c r="A4031" s="311">
        <v>4030</v>
      </c>
      <c r="B4031" s="396" t="s">
        <v>7900</v>
      </c>
      <c r="C4031" s="396" t="s">
        <v>7901</v>
      </c>
      <c r="D4031" s="396" t="s">
        <v>7888</v>
      </c>
      <c r="E4031" s="396" t="s">
        <v>7889</v>
      </c>
      <c r="F4031" s="396" t="s">
        <v>7600</v>
      </c>
    </row>
    <row r="4032">
      <c r="A4032" s="311">
        <v>4031</v>
      </c>
      <c r="B4032" s="396" t="s">
        <v>7902</v>
      </c>
      <c r="C4032" s="396" t="s">
        <v>2511</v>
      </c>
      <c r="D4032" s="396" t="s">
        <v>7888</v>
      </c>
      <c r="E4032" s="396" t="s">
        <v>7889</v>
      </c>
      <c r="F4032" s="396" t="s">
        <v>7600</v>
      </c>
    </row>
    <row r="4033">
      <c r="A4033" s="311">
        <v>4032</v>
      </c>
      <c r="B4033" s="396" t="s">
        <v>7903</v>
      </c>
      <c r="C4033" s="396" t="s">
        <v>2441</v>
      </c>
      <c r="D4033" s="396" t="s">
        <v>7888</v>
      </c>
      <c r="E4033" s="396" t="s">
        <v>7889</v>
      </c>
      <c r="F4033" s="396" t="s">
        <v>7600</v>
      </c>
    </row>
    <row r="4034">
      <c r="A4034" s="311">
        <v>4033</v>
      </c>
      <c r="B4034" s="396" t="s">
        <v>7904</v>
      </c>
      <c r="C4034" s="396" t="s">
        <v>7905</v>
      </c>
      <c r="D4034" s="396" t="s">
        <v>7888</v>
      </c>
      <c r="E4034" s="396" t="s">
        <v>7889</v>
      </c>
      <c r="F4034" s="396" t="s">
        <v>7600</v>
      </c>
    </row>
    <row r="4035">
      <c r="A4035" s="311">
        <v>4034</v>
      </c>
      <c r="B4035" s="396" t="s">
        <v>7906</v>
      </c>
      <c r="C4035" s="396" t="s">
        <v>1948</v>
      </c>
      <c r="D4035" s="396" t="s">
        <v>7888</v>
      </c>
      <c r="E4035" s="396" t="s">
        <v>7889</v>
      </c>
      <c r="F4035" s="396" t="s">
        <v>7600</v>
      </c>
    </row>
    <row r="4036">
      <c r="A4036" s="311">
        <v>4035</v>
      </c>
      <c r="B4036" s="396" t="s">
        <v>7907</v>
      </c>
      <c r="C4036" s="396" t="s">
        <v>7483</v>
      </c>
      <c r="D4036" s="396" t="s">
        <v>7888</v>
      </c>
      <c r="E4036" s="396" t="s">
        <v>7889</v>
      </c>
      <c r="F4036" s="396" t="s">
        <v>7600</v>
      </c>
    </row>
    <row r="4037">
      <c r="A4037" s="311">
        <v>4036</v>
      </c>
      <c r="B4037" s="396" t="s">
        <v>7908</v>
      </c>
      <c r="C4037" s="396" t="s">
        <v>7450</v>
      </c>
      <c r="D4037" s="396" t="s">
        <v>7888</v>
      </c>
      <c r="E4037" s="396" t="s">
        <v>7889</v>
      </c>
      <c r="F4037" s="396" t="s">
        <v>7600</v>
      </c>
    </row>
    <row r="4038">
      <c r="A4038" s="311">
        <v>4037</v>
      </c>
      <c r="B4038" s="396" t="s">
        <v>7909</v>
      </c>
      <c r="C4038" s="396" t="s">
        <v>7910</v>
      </c>
      <c r="D4038" s="396" t="s">
        <v>7888</v>
      </c>
      <c r="E4038" s="396" t="s">
        <v>7889</v>
      </c>
      <c r="F4038" s="396" t="s">
        <v>7600</v>
      </c>
    </row>
    <row r="4039">
      <c r="A4039" s="311">
        <v>4038</v>
      </c>
      <c r="B4039" s="396" t="s">
        <v>7911</v>
      </c>
      <c r="C4039" s="396" t="s">
        <v>7912</v>
      </c>
      <c r="D4039" s="396" t="s">
        <v>7888</v>
      </c>
      <c r="E4039" s="396" t="s">
        <v>7889</v>
      </c>
      <c r="F4039" s="396" t="s">
        <v>7600</v>
      </c>
    </row>
    <row r="4040">
      <c r="A4040" s="311">
        <v>4039</v>
      </c>
      <c r="B4040" s="396" t="s">
        <v>7913</v>
      </c>
      <c r="C4040" s="396" t="s">
        <v>7914</v>
      </c>
      <c r="D4040" s="396" t="s">
        <v>7888</v>
      </c>
      <c r="E4040" s="396" t="s">
        <v>7889</v>
      </c>
      <c r="F4040" s="396" t="s">
        <v>7600</v>
      </c>
    </row>
    <row r="4041">
      <c r="A4041" s="311">
        <v>4040</v>
      </c>
      <c r="B4041" s="396" t="s">
        <v>7915</v>
      </c>
      <c r="C4041" s="396" t="s">
        <v>7208</v>
      </c>
      <c r="D4041" s="396" t="s">
        <v>7888</v>
      </c>
      <c r="E4041" s="396" t="s">
        <v>7889</v>
      </c>
      <c r="F4041" s="396" t="s">
        <v>7600</v>
      </c>
    </row>
    <row r="4042">
      <c r="A4042" s="311">
        <v>4041</v>
      </c>
      <c r="B4042" s="396" t="s">
        <v>7916</v>
      </c>
      <c r="C4042" s="396" t="s">
        <v>7403</v>
      </c>
      <c r="D4042" s="396" t="s">
        <v>7888</v>
      </c>
      <c r="E4042" s="396" t="s">
        <v>7889</v>
      </c>
      <c r="F4042" s="396" t="s">
        <v>7600</v>
      </c>
    </row>
    <row r="4043">
      <c r="A4043" s="311">
        <v>4042</v>
      </c>
      <c r="B4043" s="396" t="s">
        <v>7917</v>
      </c>
      <c r="C4043" s="396" t="s">
        <v>7918</v>
      </c>
      <c r="D4043" s="396" t="s">
        <v>7888</v>
      </c>
      <c r="E4043" s="396" t="s">
        <v>7889</v>
      </c>
      <c r="F4043" s="396" t="s">
        <v>7600</v>
      </c>
    </row>
    <row r="4044">
      <c r="A4044" s="311">
        <v>4043</v>
      </c>
      <c r="B4044" s="396" t="s">
        <v>7919</v>
      </c>
      <c r="C4044" s="396" t="s">
        <v>5839</v>
      </c>
      <c r="D4044" s="396" t="s">
        <v>7888</v>
      </c>
      <c r="E4044" s="396" t="s">
        <v>7889</v>
      </c>
      <c r="F4044" s="396" t="s">
        <v>7600</v>
      </c>
    </row>
    <row r="4045">
      <c r="A4045" s="311">
        <v>4044</v>
      </c>
      <c r="B4045" s="396" t="s">
        <v>7920</v>
      </c>
      <c r="C4045" s="396" t="s">
        <v>5854</v>
      </c>
      <c r="D4045" s="396" t="s">
        <v>7888</v>
      </c>
      <c r="E4045" s="396" t="s">
        <v>7889</v>
      </c>
      <c r="F4045" s="396" t="s">
        <v>7600</v>
      </c>
    </row>
    <row r="4046">
      <c r="A4046" s="311">
        <v>4045</v>
      </c>
      <c r="B4046" s="396" t="s">
        <v>7921</v>
      </c>
      <c r="C4046" s="396" t="s">
        <v>2387</v>
      </c>
      <c r="D4046" s="396" t="s">
        <v>7888</v>
      </c>
      <c r="E4046" s="396" t="s">
        <v>7889</v>
      </c>
      <c r="F4046" s="396" t="s">
        <v>7600</v>
      </c>
    </row>
    <row r="4047">
      <c r="A4047" s="311">
        <v>4046</v>
      </c>
      <c r="B4047" s="396" t="s">
        <v>7922</v>
      </c>
      <c r="C4047" s="396" t="s">
        <v>7923</v>
      </c>
      <c r="D4047" s="396" t="s">
        <v>7924</v>
      </c>
      <c r="E4047" s="396" t="s">
        <v>7925</v>
      </c>
      <c r="F4047" s="396" t="s">
        <v>7600</v>
      </c>
    </row>
    <row r="4048">
      <c r="A4048" s="311">
        <v>4047</v>
      </c>
      <c r="B4048" s="396" t="s">
        <v>7926</v>
      </c>
      <c r="C4048" s="396" t="s">
        <v>1046</v>
      </c>
      <c r="D4048" s="396" t="s">
        <v>7924</v>
      </c>
      <c r="E4048" s="396" t="s">
        <v>7925</v>
      </c>
      <c r="F4048" s="396" t="s">
        <v>7600</v>
      </c>
    </row>
    <row r="4049">
      <c r="A4049" s="311">
        <v>4048</v>
      </c>
      <c r="B4049" s="396" t="s">
        <v>7927</v>
      </c>
      <c r="C4049" s="396" t="s">
        <v>7928</v>
      </c>
      <c r="D4049" s="396" t="s">
        <v>7924</v>
      </c>
      <c r="E4049" s="396" t="s">
        <v>7925</v>
      </c>
      <c r="F4049" s="396" t="s">
        <v>7600</v>
      </c>
    </row>
    <row r="4050">
      <c r="A4050" s="311">
        <v>4049</v>
      </c>
      <c r="B4050" s="396" t="s">
        <v>7929</v>
      </c>
      <c r="C4050" s="396" t="s">
        <v>7930</v>
      </c>
      <c r="D4050" s="396" t="s">
        <v>7924</v>
      </c>
      <c r="E4050" s="396" t="s">
        <v>7925</v>
      </c>
      <c r="F4050" s="396" t="s">
        <v>7600</v>
      </c>
    </row>
    <row r="4051">
      <c r="A4051" s="311">
        <v>4050</v>
      </c>
      <c r="B4051" s="396" t="s">
        <v>7931</v>
      </c>
      <c r="C4051" s="396" t="s">
        <v>7932</v>
      </c>
      <c r="D4051" s="396" t="s">
        <v>7924</v>
      </c>
      <c r="E4051" s="396" t="s">
        <v>7925</v>
      </c>
      <c r="F4051" s="396" t="s">
        <v>7600</v>
      </c>
    </row>
    <row r="4052">
      <c r="A4052" s="311">
        <v>4051</v>
      </c>
      <c r="B4052" s="396" t="s">
        <v>7933</v>
      </c>
      <c r="C4052" s="396" t="s">
        <v>2798</v>
      </c>
      <c r="D4052" s="396" t="s">
        <v>7924</v>
      </c>
      <c r="E4052" s="396" t="s">
        <v>7925</v>
      </c>
      <c r="F4052" s="396" t="s">
        <v>7600</v>
      </c>
    </row>
    <row r="4053">
      <c r="A4053" s="311">
        <v>4052</v>
      </c>
      <c r="B4053" s="396" t="s">
        <v>7934</v>
      </c>
      <c r="C4053" s="396" t="s">
        <v>7935</v>
      </c>
      <c r="D4053" s="396" t="s">
        <v>7924</v>
      </c>
      <c r="E4053" s="396" t="s">
        <v>7925</v>
      </c>
      <c r="F4053" s="396" t="s">
        <v>7600</v>
      </c>
    </row>
    <row r="4054">
      <c r="A4054" s="311">
        <v>4053</v>
      </c>
      <c r="B4054" s="396" t="s">
        <v>7936</v>
      </c>
      <c r="C4054" s="396" t="s">
        <v>7937</v>
      </c>
      <c r="D4054" s="396" t="s">
        <v>7924</v>
      </c>
      <c r="E4054" s="396" t="s">
        <v>7925</v>
      </c>
      <c r="F4054" s="396" t="s">
        <v>7600</v>
      </c>
    </row>
    <row r="4055">
      <c r="A4055" s="311">
        <v>4054</v>
      </c>
      <c r="B4055" s="396" t="s">
        <v>7938</v>
      </c>
      <c r="C4055" s="396" t="s">
        <v>5648</v>
      </c>
      <c r="D4055" s="396" t="s">
        <v>7924</v>
      </c>
      <c r="E4055" s="396" t="s">
        <v>7925</v>
      </c>
      <c r="F4055" s="396" t="s">
        <v>7600</v>
      </c>
    </row>
    <row r="4056">
      <c r="A4056" s="311">
        <v>4055</v>
      </c>
      <c r="B4056" s="396" t="s">
        <v>7939</v>
      </c>
      <c r="C4056" s="396" t="s">
        <v>1212</v>
      </c>
      <c r="D4056" s="396" t="s">
        <v>7924</v>
      </c>
      <c r="E4056" s="396" t="s">
        <v>7925</v>
      </c>
      <c r="F4056" s="396" t="s">
        <v>7600</v>
      </c>
    </row>
    <row r="4057">
      <c r="A4057" s="311">
        <v>4056</v>
      </c>
      <c r="B4057" s="396" t="s">
        <v>7940</v>
      </c>
      <c r="C4057" s="396" t="s">
        <v>6720</v>
      </c>
      <c r="D4057" s="396" t="s">
        <v>7924</v>
      </c>
      <c r="E4057" s="396" t="s">
        <v>7925</v>
      </c>
      <c r="F4057" s="396" t="s">
        <v>7600</v>
      </c>
    </row>
    <row r="4058">
      <c r="A4058" s="311">
        <v>4057</v>
      </c>
      <c r="B4058" s="396" t="s">
        <v>7941</v>
      </c>
      <c r="C4058" s="396" t="s">
        <v>296</v>
      </c>
      <c r="D4058" s="396" t="s">
        <v>7924</v>
      </c>
      <c r="E4058" s="396" t="s">
        <v>7925</v>
      </c>
      <c r="F4058" s="396" t="s">
        <v>7600</v>
      </c>
    </row>
    <row r="4059">
      <c r="A4059" s="311">
        <v>4058</v>
      </c>
      <c r="B4059" s="396" t="s">
        <v>7942</v>
      </c>
      <c r="C4059" s="396" t="s">
        <v>5068</v>
      </c>
      <c r="D4059" s="396" t="s">
        <v>7924</v>
      </c>
      <c r="E4059" s="396" t="s">
        <v>7925</v>
      </c>
      <c r="F4059" s="396" t="s">
        <v>7600</v>
      </c>
    </row>
    <row r="4060">
      <c r="A4060" s="311">
        <v>4059</v>
      </c>
      <c r="B4060" s="396" t="s">
        <v>7943</v>
      </c>
      <c r="C4060" s="396" t="s">
        <v>6961</v>
      </c>
      <c r="D4060" s="396" t="s">
        <v>7924</v>
      </c>
      <c r="E4060" s="396" t="s">
        <v>7925</v>
      </c>
      <c r="F4060" s="396" t="s">
        <v>7600</v>
      </c>
    </row>
    <row r="4061">
      <c r="A4061" s="311">
        <v>4060</v>
      </c>
      <c r="B4061" s="396" t="s">
        <v>7944</v>
      </c>
      <c r="C4061" s="396" t="s">
        <v>2552</v>
      </c>
      <c r="D4061" s="396" t="s">
        <v>7924</v>
      </c>
      <c r="E4061" s="396" t="s">
        <v>7925</v>
      </c>
      <c r="F4061" s="396" t="s">
        <v>7600</v>
      </c>
    </row>
    <row r="4062">
      <c r="A4062" s="311">
        <v>4061</v>
      </c>
      <c r="B4062" s="396" t="s">
        <v>7945</v>
      </c>
      <c r="C4062" s="396" t="s">
        <v>7946</v>
      </c>
      <c r="D4062" s="396" t="s">
        <v>7924</v>
      </c>
      <c r="E4062" s="396" t="s">
        <v>7925</v>
      </c>
      <c r="F4062" s="396" t="s">
        <v>7600</v>
      </c>
    </row>
    <row r="4063">
      <c r="A4063" s="311">
        <v>4062</v>
      </c>
      <c r="B4063" s="396" t="s">
        <v>7947</v>
      </c>
      <c r="C4063" s="396" t="s">
        <v>2387</v>
      </c>
      <c r="D4063" s="396" t="s">
        <v>7924</v>
      </c>
      <c r="E4063" s="396" t="s">
        <v>7925</v>
      </c>
      <c r="F4063" s="396" t="s">
        <v>7600</v>
      </c>
    </row>
    <row r="4064">
      <c r="A4064" s="311">
        <v>4063</v>
      </c>
      <c r="B4064" s="396" t="s">
        <v>7948</v>
      </c>
      <c r="C4064" s="396" t="s">
        <v>7949</v>
      </c>
      <c r="D4064" s="396" t="s">
        <v>7924</v>
      </c>
      <c r="E4064" s="396" t="s">
        <v>7925</v>
      </c>
      <c r="F4064" s="396" t="s">
        <v>7600</v>
      </c>
    </row>
    <row r="4065">
      <c r="A4065" s="311">
        <v>4064</v>
      </c>
      <c r="B4065" s="396" t="s">
        <v>7950</v>
      </c>
      <c r="C4065" s="396" t="s">
        <v>4098</v>
      </c>
      <c r="D4065" s="396" t="s">
        <v>7924</v>
      </c>
      <c r="E4065" s="396" t="s">
        <v>7925</v>
      </c>
      <c r="F4065" s="396" t="s">
        <v>7600</v>
      </c>
    </row>
    <row r="4066">
      <c r="A4066" s="311">
        <v>4065</v>
      </c>
      <c r="B4066" s="396" t="s">
        <v>7951</v>
      </c>
      <c r="C4066" s="396" t="s">
        <v>7952</v>
      </c>
      <c r="D4066" s="396" t="s">
        <v>7924</v>
      </c>
      <c r="E4066" s="396" t="s">
        <v>7925</v>
      </c>
      <c r="F4066" s="396" t="s">
        <v>7600</v>
      </c>
    </row>
    <row r="4067">
      <c r="A4067" s="311">
        <v>4066</v>
      </c>
      <c r="B4067" s="396" t="s">
        <v>7953</v>
      </c>
      <c r="C4067" s="396" t="s">
        <v>7954</v>
      </c>
      <c r="D4067" s="396" t="s">
        <v>7924</v>
      </c>
      <c r="E4067" s="396" t="s">
        <v>7925</v>
      </c>
      <c r="F4067" s="396" t="s">
        <v>7600</v>
      </c>
    </row>
    <row r="4068">
      <c r="A4068" s="311">
        <v>4067</v>
      </c>
      <c r="B4068" s="396" t="s">
        <v>7955</v>
      </c>
      <c r="C4068" s="396" t="s">
        <v>6485</v>
      </c>
      <c r="D4068" s="396" t="s">
        <v>7924</v>
      </c>
      <c r="E4068" s="396" t="s">
        <v>7925</v>
      </c>
      <c r="F4068" s="396" t="s">
        <v>7600</v>
      </c>
    </row>
    <row r="4069">
      <c r="A4069" s="311">
        <v>4068</v>
      </c>
      <c r="B4069" s="396" t="s">
        <v>7956</v>
      </c>
      <c r="C4069" s="396" t="s">
        <v>1014</v>
      </c>
      <c r="D4069" s="396" t="s">
        <v>7924</v>
      </c>
      <c r="E4069" s="396" t="s">
        <v>7925</v>
      </c>
      <c r="F4069" s="396" t="s">
        <v>7600</v>
      </c>
    </row>
    <row r="4070">
      <c r="A4070" s="311">
        <v>4069</v>
      </c>
      <c r="B4070" s="396" t="s">
        <v>7957</v>
      </c>
      <c r="C4070" s="396" t="s">
        <v>549</v>
      </c>
      <c r="D4070" s="396" t="s">
        <v>7924</v>
      </c>
      <c r="E4070" s="396" t="s">
        <v>7925</v>
      </c>
      <c r="F4070" s="396" t="s">
        <v>7600</v>
      </c>
    </row>
    <row r="4071">
      <c r="A4071" s="311">
        <v>4070</v>
      </c>
      <c r="B4071" s="396" t="s">
        <v>7958</v>
      </c>
      <c r="C4071" s="396" t="s">
        <v>1663</v>
      </c>
      <c r="D4071" s="396" t="s">
        <v>7924</v>
      </c>
      <c r="E4071" s="396" t="s">
        <v>7925</v>
      </c>
      <c r="F4071" s="396" t="s">
        <v>7600</v>
      </c>
    </row>
    <row r="4072">
      <c r="A4072" s="311">
        <v>4071</v>
      </c>
      <c r="B4072" s="396" t="s">
        <v>7959</v>
      </c>
      <c r="C4072" s="396" t="s">
        <v>7960</v>
      </c>
      <c r="D4072" s="396" t="s">
        <v>7924</v>
      </c>
      <c r="E4072" s="396" t="s">
        <v>7925</v>
      </c>
      <c r="F4072" s="396" t="s">
        <v>7600</v>
      </c>
    </row>
    <row r="4073">
      <c r="A4073" s="311">
        <v>4072</v>
      </c>
      <c r="B4073" s="396" t="s">
        <v>7961</v>
      </c>
      <c r="C4073" s="396" t="s">
        <v>4938</v>
      </c>
      <c r="D4073" s="396" t="s">
        <v>7924</v>
      </c>
      <c r="E4073" s="396" t="s">
        <v>7925</v>
      </c>
      <c r="F4073" s="396" t="s">
        <v>7600</v>
      </c>
    </row>
    <row r="4074">
      <c r="A4074" s="311">
        <v>4073</v>
      </c>
      <c r="B4074" s="396" t="s">
        <v>7962</v>
      </c>
      <c r="C4074" s="396" t="s">
        <v>7963</v>
      </c>
      <c r="D4074" s="396" t="s">
        <v>7924</v>
      </c>
      <c r="E4074" s="396" t="s">
        <v>7925</v>
      </c>
      <c r="F4074" s="396" t="s">
        <v>7600</v>
      </c>
    </row>
    <row r="4075">
      <c r="A4075" s="311">
        <v>4074</v>
      </c>
      <c r="B4075" s="396" t="s">
        <v>7964</v>
      </c>
      <c r="C4075" s="396" t="s">
        <v>4304</v>
      </c>
      <c r="D4075" s="396" t="s">
        <v>7924</v>
      </c>
      <c r="E4075" s="396" t="s">
        <v>7925</v>
      </c>
      <c r="F4075" s="396" t="s">
        <v>7600</v>
      </c>
    </row>
    <row r="4076">
      <c r="A4076" s="311">
        <v>4075</v>
      </c>
      <c r="B4076" s="396" t="s">
        <v>7965</v>
      </c>
      <c r="C4076" s="396" t="s">
        <v>7966</v>
      </c>
      <c r="D4076" s="396" t="s">
        <v>7924</v>
      </c>
      <c r="E4076" s="396" t="s">
        <v>7925</v>
      </c>
      <c r="F4076" s="396" t="s">
        <v>7600</v>
      </c>
    </row>
    <row r="4077">
      <c r="A4077" s="311">
        <v>4076</v>
      </c>
      <c r="B4077" s="396" t="s">
        <v>7967</v>
      </c>
      <c r="C4077" s="396" t="s">
        <v>7968</v>
      </c>
      <c r="D4077" s="396" t="s">
        <v>7969</v>
      </c>
      <c r="E4077" s="396" t="s">
        <v>7970</v>
      </c>
      <c r="F4077" s="396" t="s">
        <v>7600</v>
      </c>
    </row>
    <row r="4078">
      <c r="A4078" s="311">
        <v>4077</v>
      </c>
      <c r="B4078" s="396" t="s">
        <v>7971</v>
      </c>
      <c r="C4078" s="396" t="s">
        <v>7972</v>
      </c>
      <c r="D4078" s="396" t="s">
        <v>7969</v>
      </c>
      <c r="E4078" s="396" t="s">
        <v>7970</v>
      </c>
      <c r="F4078" s="396" t="s">
        <v>7600</v>
      </c>
    </row>
    <row r="4079">
      <c r="A4079" s="311">
        <v>4078</v>
      </c>
      <c r="B4079" s="396" t="s">
        <v>7973</v>
      </c>
      <c r="C4079" s="396" t="s">
        <v>7974</v>
      </c>
      <c r="D4079" s="396" t="s">
        <v>7969</v>
      </c>
      <c r="E4079" s="396" t="s">
        <v>7970</v>
      </c>
      <c r="F4079" s="396" t="s">
        <v>7600</v>
      </c>
    </row>
    <row r="4080">
      <c r="A4080" s="311">
        <v>4079</v>
      </c>
      <c r="B4080" s="396" t="s">
        <v>7975</v>
      </c>
      <c r="C4080" s="396" t="s">
        <v>7976</v>
      </c>
      <c r="D4080" s="396" t="s">
        <v>7969</v>
      </c>
      <c r="E4080" s="396" t="s">
        <v>7970</v>
      </c>
      <c r="F4080" s="396" t="s">
        <v>7600</v>
      </c>
    </row>
    <row r="4081">
      <c r="A4081" s="311">
        <v>4080</v>
      </c>
      <c r="B4081" s="396" t="s">
        <v>7977</v>
      </c>
      <c r="C4081" s="396" t="s">
        <v>7978</v>
      </c>
      <c r="D4081" s="396" t="s">
        <v>7969</v>
      </c>
      <c r="E4081" s="396" t="s">
        <v>7970</v>
      </c>
      <c r="F4081" s="396" t="s">
        <v>7600</v>
      </c>
    </row>
    <row r="4082">
      <c r="A4082" s="311">
        <v>4081</v>
      </c>
      <c r="B4082" s="396" t="s">
        <v>7979</v>
      </c>
      <c r="C4082" s="396" t="s">
        <v>7980</v>
      </c>
      <c r="D4082" s="396" t="s">
        <v>7969</v>
      </c>
      <c r="E4082" s="396" t="s">
        <v>7970</v>
      </c>
      <c r="F4082" s="396" t="s">
        <v>7600</v>
      </c>
    </row>
    <row r="4083">
      <c r="A4083" s="311">
        <v>4082</v>
      </c>
      <c r="B4083" s="396" t="s">
        <v>7981</v>
      </c>
      <c r="C4083" s="396" t="s">
        <v>7982</v>
      </c>
      <c r="D4083" s="396" t="s">
        <v>7969</v>
      </c>
      <c r="E4083" s="396" t="s">
        <v>7970</v>
      </c>
      <c r="F4083" s="396" t="s">
        <v>7600</v>
      </c>
    </row>
    <row r="4084">
      <c r="A4084" s="311">
        <v>4083</v>
      </c>
      <c r="B4084" s="396" t="s">
        <v>7983</v>
      </c>
      <c r="C4084" s="396" t="s">
        <v>7984</v>
      </c>
      <c r="D4084" s="396" t="s">
        <v>7969</v>
      </c>
      <c r="E4084" s="396" t="s">
        <v>7970</v>
      </c>
      <c r="F4084" s="396" t="s">
        <v>7600</v>
      </c>
    </row>
    <row r="4085">
      <c r="A4085" s="311">
        <v>4084</v>
      </c>
      <c r="B4085" s="396" t="s">
        <v>7985</v>
      </c>
      <c r="C4085" s="396" t="s">
        <v>7986</v>
      </c>
      <c r="D4085" s="396" t="s">
        <v>7969</v>
      </c>
      <c r="E4085" s="396" t="s">
        <v>7970</v>
      </c>
      <c r="F4085" s="396" t="s">
        <v>7600</v>
      </c>
    </row>
    <row r="4086">
      <c r="A4086" s="311">
        <v>4085</v>
      </c>
      <c r="B4086" s="396" t="s">
        <v>7987</v>
      </c>
      <c r="C4086" s="396" t="s">
        <v>7988</v>
      </c>
      <c r="D4086" s="396" t="s">
        <v>7969</v>
      </c>
      <c r="E4086" s="396" t="s">
        <v>7970</v>
      </c>
      <c r="F4086" s="396" t="s">
        <v>7600</v>
      </c>
    </row>
    <row r="4087">
      <c r="A4087" s="311">
        <v>4086</v>
      </c>
      <c r="B4087" s="396" t="s">
        <v>7989</v>
      </c>
      <c r="C4087" s="396" t="s">
        <v>7990</v>
      </c>
      <c r="D4087" s="396" t="s">
        <v>7969</v>
      </c>
      <c r="E4087" s="396" t="s">
        <v>7970</v>
      </c>
      <c r="F4087" s="396" t="s">
        <v>7600</v>
      </c>
    </row>
    <row r="4088">
      <c r="A4088" s="311">
        <v>4087</v>
      </c>
      <c r="B4088" s="396" t="s">
        <v>7991</v>
      </c>
      <c r="C4088" s="396" t="s">
        <v>7992</v>
      </c>
      <c r="D4088" s="396" t="s">
        <v>7969</v>
      </c>
      <c r="E4088" s="396" t="s">
        <v>7970</v>
      </c>
      <c r="F4088" s="396" t="s">
        <v>7600</v>
      </c>
    </row>
    <row r="4089">
      <c r="A4089" s="311">
        <v>4088</v>
      </c>
      <c r="B4089" s="396" t="s">
        <v>7993</v>
      </c>
      <c r="C4089" s="396" t="s">
        <v>7651</v>
      </c>
      <c r="D4089" s="396" t="s">
        <v>7994</v>
      </c>
      <c r="E4089" s="396" t="s">
        <v>7995</v>
      </c>
      <c r="F4089" s="396" t="s">
        <v>7996</v>
      </c>
    </row>
    <row r="4090">
      <c r="A4090" s="311">
        <v>4089</v>
      </c>
      <c r="B4090" s="396" t="s">
        <v>7997</v>
      </c>
      <c r="C4090" s="396" t="s">
        <v>7998</v>
      </c>
      <c r="D4090" s="396" t="s">
        <v>7994</v>
      </c>
      <c r="E4090" s="396" t="s">
        <v>7995</v>
      </c>
      <c r="F4090" s="396" t="s">
        <v>7996</v>
      </c>
    </row>
    <row r="4091">
      <c r="A4091" s="311">
        <v>4090</v>
      </c>
      <c r="B4091" s="396" t="s">
        <v>7999</v>
      </c>
      <c r="C4091" s="396" t="s">
        <v>8000</v>
      </c>
      <c r="D4091" s="396" t="s">
        <v>7994</v>
      </c>
      <c r="E4091" s="396" t="s">
        <v>7995</v>
      </c>
      <c r="F4091" s="396" t="s">
        <v>7996</v>
      </c>
    </row>
    <row r="4092">
      <c r="A4092" s="311">
        <v>4091</v>
      </c>
      <c r="B4092" s="396" t="s">
        <v>8001</v>
      </c>
      <c r="C4092" s="396" t="s">
        <v>588</v>
      </c>
      <c r="D4092" s="396" t="s">
        <v>7994</v>
      </c>
      <c r="E4092" s="396" t="s">
        <v>7995</v>
      </c>
      <c r="F4092" s="396" t="s">
        <v>7996</v>
      </c>
    </row>
    <row r="4093">
      <c r="A4093" s="311">
        <v>4092</v>
      </c>
      <c r="B4093" s="396" t="s">
        <v>8002</v>
      </c>
      <c r="C4093" s="396" t="s">
        <v>224</v>
      </c>
      <c r="D4093" s="396" t="s">
        <v>7994</v>
      </c>
      <c r="E4093" s="396" t="s">
        <v>7995</v>
      </c>
      <c r="F4093" s="396" t="s">
        <v>7996</v>
      </c>
    </row>
    <row r="4094">
      <c r="A4094" s="311">
        <v>4093</v>
      </c>
      <c r="B4094" s="396" t="s">
        <v>8003</v>
      </c>
      <c r="C4094" s="396" t="s">
        <v>168</v>
      </c>
      <c r="D4094" s="396" t="s">
        <v>7994</v>
      </c>
      <c r="E4094" s="396" t="s">
        <v>7995</v>
      </c>
      <c r="F4094" s="396" t="s">
        <v>7996</v>
      </c>
    </row>
    <row r="4095">
      <c r="A4095" s="311">
        <v>4094</v>
      </c>
      <c r="B4095" s="396" t="s">
        <v>8004</v>
      </c>
      <c r="C4095" s="396" t="s">
        <v>8005</v>
      </c>
      <c r="D4095" s="396" t="s">
        <v>7994</v>
      </c>
      <c r="E4095" s="396" t="s">
        <v>7995</v>
      </c>
      <c r="F4095" s="396" t="s">
        <v>7996</v>
      </c>
    </row>
    <row r="4096">
      <c r="A4096" s="311">
        <v>4095</v>
      </c>
      <c r="B4096" s="396" t="s">
        <v>8006</v>
      </c>
      <c r="C4096" s="396" t="s">
        <v>6592</v>
      </c>
      <c r="D4096" s="396" t="s">
        <v>7994</v>
      </c>
      <c r="E4096" s="396" t="s">
        <v>7995</v>
      </c>
      <c r="F4096" s="396" t="s">
        <v>7996</v>
      </c>
    </row>
    <row r="4097">
      <c r="A4097" s="311">
        <v>4096</v>
      </c>
      <c r="B4097" s="396" t="s">
        <v>8007</v>
      </c>
      <c r="C4097" s="396" t="s">
        <v>1024</v>
      </c>
      <c r="D4097" s="396" t="s">
        <v>7994</v>
      </c>
      <c r="E4097" s="396" t="s">
        <v>7995</v>
      </c>
      <c r="F4097" s="396" t="s">
        <v>7996</v>
      </c>
    </row>
    <row r="4098">
      <c r="A4098" s="311">
        <v>4097</v>
      </c>
      <c r="B4098" s="396" t="s">
        <v>8008</v>
      </c>
      <c r="C4098" s="396" t="s">
        <v>1956</v>
      </c>
      <c r="D4098" s="396" t="s">
        <v>7994</v>
      </c>
      <c r="E4098" s="396" t="s">
        <v>7995</v>
      </c>
      <c r="F4098" s="396" t="s">
        <v>7996</v>
      </c>
    </row>
    <row r="4099">
      <c r="A4099" s="311">
        <v>4098</v>
      </c>
      <c r="B4099" s="396" t="s">
        <v>8009</v>
      </c>
      <c r="C4099" s="396" t="s">
        <v>8010</v>
      </c>
      <c r="D4099" s="396" t="s">
        <v>7994</v>
      </c>
      <c r="E4099" s="396" t="s">
        <v>7995</v>
      </c>
      <c r="F4099" s="396" t="s">
        <v>7996</v>
      </c>
    </row>
    <row r="4100">
      <c r="A4100" s="311">
        <v>4099</v>
      </c>
      <c r="B4100" s="396" t="s">
        <v>8011</v>
      </c>
      <c r="C4100" s="396" t="s">
        <v>8012</v>
      </c>
      <c r="D4100" s="396" t="s">
        <v>7994</v>
      </c>
      <c r="E4100" s="396" t="s">
        <v>7995</v>
      </c>
      <c r="F4100" s="396" t="s">
        <v>7996</v>
      </c>
    </row>
    <row r="4101">
      <c r="A4101" s="311">
        <v>4100</v>
      </c>
      <c r="B4101" s="396" t="s">
        <v>8013</v>
      </c>
      <c r="C4101" s="396" t="s">
        <v>328</v>
      </c>
      <c r="D4101" s="396" t="s">
        <v>7994</v>
      </c>
      <c r="E4101" s="396" t="s">
        <v>7995</v>
      </c>
      <c r="F4101" s="396" t="s">
        <v>7996</v>
      </c>
    </row>
    <row r="4102">
      <c r="A4102" s="311">
        <v>4101</v>
      </c>
      <c r="B4102" s="396" t="s">
        <v>8014</v>
      </c>
      <c r="C4102" s="396" t="s">
        <v>8015</v>
      </c>
      <c r="D4102" s="396" t="s">
        <v>7994</v>
      </c>
      <c r="E4102" s="396" t="s">
        <v>7995</v>
      </c>
      <c r="F4102" s="396" t="s">
        <v>7996</v>
      </c>
    </row>
    <row r="4103">
      <c r="A4103" s="311">
        <v>4102</v>
      </c>
      <c r="B4103" s="396" t="s">
        <v>8016</v>
      </c>
      <c r="C4103" s="396" t="s">
        <v>8017</v>
      </c>
      <c r="D4103" s="396" t="s">
        <v>7994</v>
      </c>
      <c r="E4103" s="396" t="s">
        <v>7995</v>
      </c>
      <c r="F4103" s="396" t="s">
        <v>7996</v>
      </c>
    </row>
    <row r="4104">
      <c r="A4104" s="311">
        <v>4103</v>
      </c>
      <c r="B4104" s="396" t="s">
        <v>8018</v>
      </c>
      <c r="C4104" s="396" t="s">
        <v>296</v>
      </c>
      <c r="D4104" s="396" t="s">
        <v>7994</v>
      </c>
      <c r="E4104" s="396" t="s">
        <v>7995</v>
      </c>
      <c r="F4104" s="396" t="s">
        <v>7996</v>
      </c>
    </row>
    <row r="4105">
      <c r="A4105" s="311">
        <v>4104</v>
      </c>
      <c r="B4105" s="396" t="s">
        <v>8019</v>
      </c>
      <c r="C4105" s="396" t="s">
        <v>7538</v>
      </c>
      <c r="D4105" s="396" t="s">
        <v>7994</v>
      </c>
      <c r="E4105" s="396" t="s">
        <v>7995</v>
      </c>
      <c r="F4105" s="396" t="s">
        <v>7996</v>
      </c>
    </row>
    <row r="4106">
      <c r="A4106" s="311">
        <v>4105</v>
      </c>
      <c r="B4106" s="396" t="s">
        <v>8020</v>
      </c>
      <c r="C4106" s="396" t="s">
        <v>8021</v>
      </c>
      <c r="D4106" s="396" t="s">
        <v>8022</v>
      </c>
      <c r="E4106" s="396" t="s">
        <v>8023</v>
      </c>
      <c r="F4106" s="396" t="s">
        <v>7996</v>
      </c>
    </row>
    <row r="4107">
      <c r="A4107" s="311">
        <v>4106</v>
      </c>
      <c r="B4107" s="396" t="s">
        <v>8024</v>
      </c>
      <c r="C4107" s="396" t="s">
        <v>8025</v>
      </c>
      <c r="D4107" s="396" t="s">
        <v>8022</v>
      </c>
      <c r="E4107" s="396" t="s">
        <v>8023</v>
      </c>
      <c r="F4107" s="396" t="s">
        <v>7996</v>
      </c>
    </row>
    <row r="4108">
      <c r="A4108" s="311">
        <v>4107</v>
      </c>
      <c r="B4108" s="396" t="s">
        <v>8026</v>
      </c>
      <c r="C4108" s="396" t="s">
        <v>8027</v>
      </c>
      <c r="D4108" s="396" t="s">
        <v>8022</v>
      </c>
      <c r="E4108" s="396" t="s">
        <v>8023</v>
      </c>
      <c r="F4108" s="396" t="s">
        <v>7996</v>
      </c>
    </row>
    <row r="4109">
      <c r="A4109" s="311">
        <v>4108</v>
      </c>
      <c r="B4109" s="396" t="s">
        <v>8028</v>
      </c>
      <c r="C4109" s="396" t="s">
        <v>854</v>
      </c>
      <c r="D4109" s="396" t="s">
        <v>8022</v>
      </c>
      <c r="E4109" s="396" t="s">
        <v>8023</v>
      </c>
      <c r="F4109" s="396" t="s">
        <v>7996</v>
      </c>
    </row>
    <row r="4110">
      <c r="A4110" s="311">
        <v>4109</v>
      </c>
      <c r="B4110" s="396" t="s">
        <v>8029</v>
      </c>
      <c r="C4110" s="396" t="s">
        <v>7290</v>
      </c>
      <c r="D4110" s="396" t="s">
        <v>8022</v>
      </c>
      <c r="E4110" s="396" t="s">
        <v>8023</v>
      </c>
      <c r="F4110" s="396" t="s">
        <v>7996</v>
      </c>
    </row>
    <row r="4111">
      <c r="A4111" s="311">
        <v>4110</v>
      </c>
      <c r="B4111" s="396" t="s">
        <v>8030</v>
      </c>
      <c r="C4111" s="396" t="s">
        <v>1556</v>
      </c>
      <c r="D4111" s="396" t="s">
        <v>8022</v>
      </c>
      <c r="E4111" s="396" t="s">
        <v>8023</v>
      </c>
      <c r="F4111" s="396" t="s">
        <v>7996</v>
      </c>
    </row>
    <row r="4112">
      <c r="A4112" s="311">
        <v>4111</v>
      </c>
      <c r="B4112" s="396" t="s">
        <v>8031</v>
      </c>
      <c r="C4112" s="396" t="s">
        <v>8032</v>
      </c>
      <c r="D4112" s="396" t="s">
        <v>8022</v>
      </c>
      <c r="E4112" s="396" t="s">
        <v>8023</v>
      </c>
      <c r="F4112" s="396" t="s">
        <v>7996</v>
      </c>
    </row>
    <row r="4113">
      <c r="A4113" s="311">
        <v>4112</v>
      </c>
      <c r="B4113" s="396" t="s">
        <v>8033</v>
      </c>
      <c r="C4113" s="396" t="s">
        <v>8034</v>
      </c>
      <c r="D4113" s="396" t="s">
        <v>8022</v>
      </c>
      <c r="E4113" s="396" t="s">
        <v>8023</v>
      </c>
      <c r="F4113" s="396" t="s">
        <v>7996</v>
      </c>
    </row>
    <row r="4114">
      <c r="A4114" s="311">
        <v>4113</v>
      </c>
      <c r="B4114" s="396" t="s">
        <v>8035</v>
      </c>
      <c r="C4114" s="396" t="s">
        <v>8036</v>
      </c>
      <c r="D4114" s="396" t="s">
        <v>8022</v>
      </c>
      <c r="E4114" s="396" t="s">
        <v>8023</v>
      </c>
      <c r="F4114" s="396" t="s">
        <v>7996</v>
      </c>
    </row>
    <row r="4115">
      <c r="A4115" s="311">
        <v>4114</v>
      </c>
      <c r="B4115" s="396" t="s">
        <v>8037</v>
      </c>
      <c r="C4115" s="396" t="s">
        <v>8038</v>
      </c>
      <c r="D4115" s="396" t="s">
        <v>8022</v>
      </c>
      <c r="E4115" s="396" t="s">
        <v>8023</v>
      </c>
      <c r="F4115" s="396" t="s">
        <v>7996</v>
      </c>
    </row>
    <row r="4116">
      <c r="A4116" s="311">
        <v>4115</v>
      </c>
      <c r="B4116" s="396" t="s">
        <v>8039</v>
      </c>
      <c r="C4116" s="396" t="s">
        <v>8040</v>
      </c>
      <c r="D4116" s="396" t="s">
        <v>8022</v>
      </c>
      <c r="E4116" s="396" t="s">
        <v>8023</v>
      </c>
      <c r="F4116" s="396" t="s">
        <v>7996</v>
      </c>
    </row>
    <row r="4117">
      <c r="A4117" s="311">
        <v>4116</v>
      </c>
      <c r="B4117" s="396" t="s">
        <v>8041</v>
      </c>
      <c r="C4117" s="396" t="s">
        <v>8042</v>
      </c>
      <c r="D4117" s="396" t="s">
        <v>8043</v>
      </c>
      <c r="E4117" s="396" t="s">
        <v>8044</v>
      </c>
      <c r="F4117" s="396" t="s">
        <v>7996</v>
      </c>
    </row>
    <row r="4118">
      <c r="A4118" s="311">
        <v>4117</v>
      </c>
      <c r="B4118" s="396" t="s">
        <v>8045</v>
      </c>
      <c r="C4118" s="396" t="s">
        <v>8046</v>
      </c>
      <c r="D4118" s="396" t="s">
        <v>8043</v>
      </c>
      <c r="E4118" s="396" t="s">
        <v>8044</v>
      </c>
      <c r="F4118" s="396" t="s">
        <v>7996</v>
      </c>
    </row>
    <row r="4119">
      <c r="A4119" s="311">
        <v>4118</v>
      </c>
      <c r="B4119" s="396" t="s">
        <v>8047</v>
      </c>
      <c r="C4119" s="396" t="s">
        <v>8048</v>
      </c>
      <c r="D4119" s="396" t="s">
        <v>8043</v>
      </c>
      <c r="E4119" s="396" t="s">
        <v>8044</v>
      </c>
      <c r="F4119" s="396" t="s">
        <v>7996</v>
      </c>
    </row>
    <row r="4120">
      <c r="A4120" s="311">
        <v>4119</v>
      </c>
      <c r="B4120" s="396" t="s">
        <v>8049</v>
      </c>
      <c r="C4120" s="396" t="s">
        <v>8050</v>
      </c>
      <c r="D4120" s="396" t="s">
        <v>8043</v>
      </c>
      <c r="E4120" s="396" t="s">
        <v>8044</v>
      </c>
      <c r="F4120" s="396" t="s">
        <v>7996</v>
      </c>
    </row>
    <row r="4121">
      <c r="A4121" s="311">
        <v>4120</v>
      </c>
      <c r="B4121" s="396" t="s">
        <v>8051</v>
      </c>
      <c r="C4121" s="396" t="s">
        <v>8052</v>
      </c>
      <c r="D4121" s="396" t="s">
        <v>8043</v>
      </c>
      <c r="E4121" s="396" t="s">
        <v>8044</v>
      </c>
      <c r="F4121" s="396" t="s">
        <v>7996</v>
      </c>
    </row>
    <row r="4122">
      <c r="A4122" s="311">
        <v>4121</v>
      </c>
      <c r="B4122" s="396" t="s">
        <v>8053</v>
      </c>
      <c r="C4122" s="396" t="s">
        <v>8054</v>
      </c>
      <c r="D4122" s="396" t="s">
        <v>8043</v>
      </c>
      <c r="E4122" s="396" t="s">
        <v>8044</v>
      </c>
      <c r="F4122" s="396" t="s">
        <v>7996</v>
      </c>
    </row>
    <row r="4123">
      <c r="A4123" s="311">
        <v>4122</v>
      </c>
      <c r="B4123" s="396" t="s">
        <v>8055</v>
      </c>
      <c r="C4123" s="396" t="s">
        <v>8056</v>
      </c>
      <c r="D4123" s="396" t="s">
        <v>8043</v>
      </c>
      <c r="E4123" s="396" t="s">
        <v>8044</v>
      </c>
      <c r="F4123" s="396" t="s">
        <v>7996</v>
      </c>
    </row>
    <row r="4124">
      <c r="A4124" s="311">
        <v>4123</v>
      </c>
      <c r="B4124" s="396" t="s">
        <v>8057</v>
      </c>
      <c r="C4124" s="396" t="s">
        <v>8058</v>
      </c>
      <c r="D4124" s="396" t="s">
        <v>8043</v>
      </c>
      <c r="E4124" s="396" t="s">
        <v>8044</v>
      </c>
      <c r="F4124" s="396" t="s">
        <v>7996</v>
      </c>
    </row>
    <row r="4125">
      <c r="A4125" s="311">
        <v>4124</v>
      </c>
      <c r="B4125" s="396" t="s">
        <v>8059</v>
      </c>
      <c r="C4125" s="396" t="s">
        <v>926</v>
      </c>
      <c r="D4125" s="396" t="s">
        <v>8043</v>
      </c>
      <c r="E4125" s="396" t="s">
        <v>8044</v>
      </c>
      <c r="F4125" s="396" t="s">
        <v>7996</v>
      </c>
    </row>
    <row r="4126">
      <c r="A4126" s="311">
        <v>4125</v>
      </c>
      <c r="B4126" s="396" t="s">
        <v>8060</v>
      </c>
      <c r="C4126" s="396" t="s">
        <v>1044</v>
      </c>
      <c r="D4126" s="396" t="s">
        <v>8043</v>
      </c>
      <c r="E4126" s="396" t="s">
        <v>8044</v>
      </c>
      <c r="F4126" s="396" t="s">
        <v>7996</v>
      </c>
    </row>
    <row r="4127">
      <c r="A4127" s="311">
        <v>4126</v>
      </c>
      <c r="B4127" s="396" t="s">
        <v>8061</v>
      </c>
      <c r="C4127" s="396" t="s">
        <v>8062</v>
      </c>
      <c r="D4127" s="396" t="s">
        <v>8043</v>
      </c>
      <c r="E4127" s="396" t="s">
        <v>8044</v>
      </c>
      <c r="F4127" s="396" t="s">
        <v>7996</v>
      </c>
    </row>
    <row r="4128">
      <c r="A4128" s="311">
        <v>4127</v>
      </c>
      <c r="B4128" s="396" t="s">
        <v>8063</v>
      </c>
      <c r="C4128" s="396" t="s">
        <v>8064</v>
      </c>
      <c r="D4128" s="396" t="s">
        <v>8065</v>
      </c>
      <c r="E4128" s="396" t="s">
        <v>8066</v>
      </c>
      <c r="F4128" s="396" t="s">
        <v>7996</v>
      </c>
    </row>
    <row r="4129">
      <c r="A4129" s="311">
        <v>4128</v>
      </c>
      <c r="B4129" s="396" t="s">
        <v>8067</v>
      </c>
      <c r="C4129" s="396" t="s">
        <v>8068</v>
      </c>
      <c r="D4129" s="396" t="s">
        <v>8065</v>
      </c>
      <c r="E4129" s="396" t="s">
        <v>8066</v>
      </c>
      <c r="F4129" s="396" t="s">
        <v>7996</v>
      </c>
    </row>
    <row r="4130">
      <c r="A4130" s="311">
        <v>4129</v>
      </c>
      <c r="B4130" s="396" t="s">
        <v>8069</v>
      </c>
      <c r="C4130" s="396" t="s">
        <v>8070</v>
      </c>
      <c r="D4130" s="396" t="s">
        <v>8065</v>
      </c>
      <c r="E4130" s="396" t="s">
        <v>8066</v>
      </c>
      <c r="F4130" s="396" t="s">
        <v>7996</v>
      </c>
    </row>
    <row r="4131">
      <c r="A4131" s="311">
        <v>4130</v>
      </c>
      <c r="B4131" s="396" t="s">
        <v>8071</v>
      </c>
      <c r="C4131" s="396" t="s">
        <v>8072</v>
      </c>
      <c r="D4131" s="396" t="s">
        <v>8065</v>
      </c>
      <c r="E4131" s="396" t="s">
        <v>8066</v>
      </c>
      <c r="F4131" s="396" t="s">
        <v>7996</v>
      </c>
    </row>
    <row r="4132">
      <c r="A4132" s="311">
        <v>4131</v>
      </c>
      <c r="B4132" s="396" t="s">
        <v>8073</v>
      </c>
      <c r="C4132" s="396" t="s">
        <v>1340</v>
      </c>
      <c r="D4132" s="396" t="s">
        <v>8065</v>
      </c>
      <c r="E4132" s="396" t="s">
        <v>8066</v>
      </c>
      <c r="F4132" s="396" t="s">
        <v>7996</v>
      </c>
    </row>
    <row r="4133">
      <c r="A4133" s="311">
        <v>4132</v>
      </c>
      <c r="B4133" s="396" t="s">
        <v>8074</v>
      </c>
      <c r="C4133" s="396" t="s">
        <v>8075</v>
      </c>
      <c r="D4133" s="396" t="s">
        <v>8065</v>
      </c>
      <c r="E4133" s="396" t="s">
        <v>8066</v>
      </c>
      <c r="F4133" s="396" t="s">
        <v>7996</v>
      </c>
    </row>
    <row r="4134">
      <c r="A4134" s="311">
        <v>4133</v>
      </c>
      <c r="B4134" s="396" t="s">
        <v>8076</v>
      </c>
      <c r="C4134" s="396" t="s">
        <v>8077</v>
      </c>
      <c r="D4134" s="396" t="s">
        <v>8065</v>
      </c>
      <c r="E4134" s="396" t="s">
        <v>8066</v>
      </c>
      <c r="F4134" s="396" t="s">
        <v>7996</v>
      </c>
    </row>
    <row r="4135">
      <c r="A4135" s="311">
        <v>4134</v>
      </c>
      <c r="B4135" s="396" t="s">
        <v>8078</v>
      </c>
      <c r="C4135" s="396" t="s">
        <v>752</v>
      </c>
      <c r="D4135" s="396" t="s">
        <v>8065</v>
      </c>
      <c r="E4135" s="396" t="s">
        <v>8066</v>
      </c>
      <c r="F4135" s="396" t="s">
        <v>7996</v>
      </c>
    </row>
    <row r="4136">
      <c r="A4136" s="311">
        <v>4135</v>
      </c>
      <c r="B4136" s="396" t="s">
        <v>8079</v>
      </c>
      <c r="C4136" s="396" t="s">
        <v>1727</v>
      </c>
      <c r="D4136" s="396" t="s">
        <v>8065</v>
      </c>
      <c r="E4136" s="396" t="s">
        <v>8066</v>
      </c>
      <c r="F4136" s="396" t="s">
        <v>7996</v>
      </c>
    </row>
    <row r="4137">
      <c r="A4137" s="311">
        <v>4136</v>
      </c>
      <c r="B4137" s="396" t="s">
        <v>8080</v>
      </c>
      <c r="C4137" s="396" t="s">
        <v>2416</v>
      </c>
      <c r="D4137" s="396" t="s">
        <v>8065</v>
      </c>
      <c r="E4137" s="396" t="s">
        <v>8066</v>
      </c>
      <c r="F4137" s="396" t="s">
        <v>7996</v>
      </c>
    </row>
    <row r="4138">
      <c r="A4138" s="311">
        <v>4137</v>
      </c>
      <c r="B4138" s="396" t="s">
        <v>8081</v>
      </c>
      <c r="C4138" s="396" t="s">
        <v>4022</v>
      </c>
      <c r="D4138" s="396" t="s">
        <v>8065</v>
      </c>
      <c r="E4138" s="396" t="s">
        <v>8066</v>
      </c>
      <c r="F4138" s="396" t="s">
        <v>7996</v>
      </c>
    </row>
    <row r="4139">
      <c r="A4139" s="311">
        <v>4138</v>
      </c>
      <c r="B4139" s="396" t="s">
        <v>8082</v>
      </c>
      <c r="C4139" s="396" t="s">
        <v>916</v>
      </c>
      <c r="D4139" s="396" t="s">
        <v>8065</v>
      </c>
      <c r="E4139" s="396" t="s">
        <v>8066</v>
      </c>
      <c r="F4139" s="396" t="s">
        <v>7996</v>
      </c>
    </row>
    <row r="4140">
      <c r="A4140" s="311">
        <v>4139</v>
      </c>
      <c r="B4140" s="396" t="s">
        <v>8083</v>
      </c>
      <c r="C4140" s="396" t="s">
        <v>4227</v>
      </c>
      <c r="D4140" s="396" t="s">
        <v>8065</v>
      </c>
      <c r="E4140" s="396" t="s">
        <v>8066</v>
      </c>
      <c r="F4140" s="396" t="s">
        <v>7996</v>
      </c>
    </row>
    <row r="4141">
      <c r="A4141" s="311">
        <v>4140</v>
      </c>
      <c r="B4141" s="396" t="s">
        <v>8084</v>
      </c>
      <c r="C4141" s="396" t="s">
        <v>645</v>
      </c>
      <c r="D4141" s="396" t="s">
        <v>8065</v>
      </c>
      <c r="E4141" s="396" t="s">
        <v>8066</v>
      </c>
      <c r="F4141" s="396" t="s">
        <v>7996</v>
      </c>
    </row>
    <row r="4142">
      <c r="A4142" s="311">
        <v>4141</v>
      </c>
      <c r="B4142" s="396" t="s">
        <v>8085</v>
      </c>
      <c r="C4142" s="396" t="s">
        <v>8086</v>
      </c>
      <c r="D4142" s="396" t="s">
        <v>8065</v>
      </c>
      <c r="E4142" s="396" t="s">
        <v>8066</v>
      </c>
      <c r="F4142" s="396" t="s">
        <v>7996</v>
      </c>
    </row>
    <row r="4143">
      <c r="A4143" s="311">
        <v>4142</v>
      </c>
      <c r="B4143" s="396" t="s">
        <v>8087</v>
      </c>
      <c r="C4143" s="396" t="s">
        <v>8088</v>
      </c>
      <c r="D4143" s="396" t="s">
        <v>8065</v>
      </c>
      <c r="E4143" s="396" t="s">
        <v>8066</v>
      </c>
      <c r="F4143" s="396" t="s">
        <v>7996</v>
      </c>
    </row>
    <row r="4144">
      <c r="A4144" s="311">
        <v>4143</v>
      </c>
      <c r="B4144" s="396" t="s">
        <v>8089</v>
      </c>
      <c r="C4144" s="396" t="s">
        <v>1661</v>
      </c>
      <c r="D4144" s="396" t="s">
        <v>8065</v>
      </c>
      <c r="E4144" s="396" t="s">
        <v>8066</v>
      </c>
      <c r="F4144" s="396" t="s">
        <v>7996</v>
      </c>
    </row>
    <row r="4145">
      <c r="A4145" s="311">
        <v>4144</v>
      </c>
      <c r="B4145" s="396" t="s">
        <v>8090</v>
      </c>
      <c r="C4145" s="396" t="s">
        <v>8091</v>
      </c>
      <c r="D4145" s="396" t="s">
        <v>8092</v>
      </c>
      <c r="E4145" s="396" t="s">
        <v>8093</v>
      </c>
      <c r="F4145" s="396" t="s">
        <v>7996</v>
      </c>
    </row>
    <row r="4146">
      <c r="A4146" s="311">
        <v>4145</v>
      </c>
      <c r="B4146" s="396" t="s">
        <v>8094</v>
      </c>
      <c r="C4146" s="396" t="s">
        <v>8095</v>
      </c>
      <c r="D4146" s="396" t="s">
        <v>8092</v>
      </c>
      <c r="E4146" s="396" t="s">
        <v>8093</v>
      </c>
      <c r="F4146" s="396" t="s">
        <v>7996</v>
      </c>
    </row>
    <row r="4147">
      <c r="A4147" s="311">
        <v>4146</v>
      </c>
      <c r="B4147" s="396" t="s">
        <v>8096</v>
      </c>
      <c r="C4147" s="396" t="s">
        <v>8097</v>
      </c>
      <c r="D4147" s="396" t="s">
        <v>8092</v>
      </c>
      <c r="E4147" s="396" t="s">
        <v>8093</v>
      </c>
      <c r="F4147" s="396" t="s">
        <v>7996</v>
      </c>
    </row>
    <row r="4148">
      <c r="A4148" s="311">
        <v>4147</v>
      </c>
      <c r="B4148" s="396" t="s">
        <v>8098</v>
      </c>
      <c r="C4148" s="396" t="s">
        <v>416</v>
      </c>
      <c r="D4148" s="396" t="s">
        <v>8092</v>
      </c>
      <c r="E4148" s="396" t="s">
        <v>8093</v>
      </c>
      <c r="F4148" s="396" t="s">
        <v>7996</v>
      </c>
    </row>
    <row r="4149">
      <c r="A4149" s="311">
        <v>4148</v>
      </c>
      <c r="B4149" s="396" t="s">
        <v>8099</v>
      </c>
      <c r="C4149" s="396" t="s">
        <v>8100</v>
      </c>
      <c r="D4149" s="396" t="s">
        <v>8092</v>
      </c>
      <c r="E4149" s="396" t="s">
        <v>8093</v>
      </c>
      <c r="F4149" s="396" t="s">
        <v>7996</v>
      </c>
    </row>
    <row r="4150">
      <c r="A4150" s="311">
        <v>4149</v>
      </c>
      <c r="B4150" s="396" t="s">
        <v>8101</v>
      </c>
      <c r="C4150" s="396" t="s">
        <v>6961</v>
      </c>
      <c r="D4150" s="396" t="s">
        <v>8092</v>
      </c>
      <c r="E4150" s="396" t="s">
        <v>8093</v>
      </c>
      <c r="F4150" s="396" t="s">
        <v>7996</v>
      </c>
    </row>
    <row r="4151">
      <c r="A4151" s="311">
        <v>4150</v>
      </c>
      <c r="B4151" s="396" t="s">
        <v>8102</v>
      </c>
      <c r="C4151" s="396" t="s">
        <v>8103</v>
      </c>
      <c r="D4151" s="396" t="s">
        <v>8092</v>
      </c>
      <c r="E4151" s="396" t="s">
        <v>8093</v>
      </c>
      <c r="F4151" s="396" t="s">
        <v>7996</v>
      </c>
    </row>
    <row r="4152">
      <c r="A4152" s="311">
        <v>4151</v>
      </c>
      <c r="B4152" s="396" t="s">
        <v>8104</v>
      </c>
      <c r="C4152" s="396" t="s">
        <v>8105</v>
      </c>
      <c r="D4152" s="396" t="s">
        <v>8092</v>
      </c>
      <c r="E4152" s="396" t="s">
        <v>8093</v>
      </c>
      <c r="F4152" s="396" t="s">
        <v>7996</v>
      </c>
    </row>
    <row r="4153">
      <c r="A4153" s="311">
        <v>4152</v>
      </c>
      <c r="B4153" s="396" t="s">
        <v>8106</v>
      </c>
      <c r="C4153" s="396" t="s">
        <v>1149</v>
      </c>
      <c r="D4153" s="396" t="s">
        <v>8092</v>
      </c>
      <c r="E4153" s="396" t="s">
        <v>8093</v>
      </c>
      <c r="F4153" s="396" t="s">
        <v>7996</v>
      </c>
    </row>
    <row r="4154">
      <c r="A4154" s="311">
        <v>4153</v>
      </c>
      <c r="B4154" s="396" t="s">
        <v>8107</v>
      </c>
      <c r="C4154" s="396" t="s">
        <v>8108</v>
      </c>
      <c r="D4154" s="396" t="s">
        <v>8092</v>
      </c>
      <c r="E4154" s="396" t="s">
        <v>8093</v>
      </c>
      <c r="F4154" s="396" t="s">
        <v>7996</v>
      </c>
    </row>
    <row r="4155">
      <c r="A4155" s="311">
        <v>4154</v>
      </c>
      <c r="B4155" s="396" t="s">
        <v>8109</v>
      </c>
      <c r="C4155" s="396" t="s">
        <v>8110</v>
      </c>
      <c r="D4155" s="396" t="s">
        <v>8092</v>
      </c>
      <c r="E4155" s="396" t="s">
        <v>8093</v>
      </c>
      <c r="F4155" s="396" t="s">
        <v>7996</v>
      </c>
    </row>
    <row r="4156">
      <c r="A4156" s="311">
        <v>4155</v>
      </c>
      <c r="B4156" s="396" t="s">
        <v>8111</v>
      </c>
      <c r="C4156" s="396" t="s">
        <v>8112</v>
      </c>
      <c r="D4156" s="396" t="s">
        <v>8092</v>
      </c>
      <c r="E4156" s="396" t="s">
        <v>8093</v>
      </c>
      <c r="F4156" s="396" t="s">
        <v>7996</v>
      </c>
    </row>
    <row r="4157">
      <c r="A4157" s="311">
        <v>4156</v>
      </c>
      <c r="B4157" s="396" t="s">
        <v>8113</v>
      </c>
      <c r="C4157" s="396" t="s">
        <v>6388</v>
      </c>
      <c r="D4157" s="396" t="s">
        <v>8092</v>
      </c>
      <c r="E4157" s="396" t="s">
        <v>8093</v>
      </c>
      <c r="F4157" s="396" t="s">
        <v>7996</v>
      </c>
    </row>
    <row r="4158">
      <c r="A4158" s="311">
        <v>4157</v>
      </c>
      <c r="B4158" s="396" t="s">
        <v>8114</v>
      </c>
      <c r="C4158" s="396" t="s">
        <v>8115</v>
      </c>
      <c r="D4158" s="396" t="s">
        <v>8116</v>
      </c>
      <c r="E4158" s="396" t="s">
        <v>8117</v>
      </c>
      <c r="F4158" s="396" t="s">
        <v>7996</v>
      </c>
    </row>
    <row r="4159">
      <c r="A4159" s="311">
        <v>4158</v>
      </c>
      <c r="B4159" s="396" t="s">
        <v>8118</v>
      </c>
      <c r="C4159" s="396" t="s">
        <v>8119</v>
      </c>
      <c r="D4159" s="396" t="s">
        <v>8116</v>
      </c>
      <c r="E4159" s="396" t="s">
        <v>8117</v>
      </c>
      <c r="F4159" s="396" t="s">
        <v>7996</v>
      </c>
    </row>
    <row r="4160">
      <c r="A4160" s="311">
        <v>4159</v>
      </c>
      <c r="B4160" s="396" t="s">
        <v>8120</v>
      </c>
      <c r="C4160" s="396" t="s">
        <v>286</v>
      </c>
      <c r="D4160" s="396" t="s">
        <v>8116</v>
      </c>
      <c r="E4160" s="396" t="s">
        <v>8117</v>
      </c>
      <c r="F4160" s="396" t="s">
        <v>7996</v>
      </c>
    </row>
    <row r="4161">
      <c r="A4161" s="311">
        <v>4160</v>
      </c>
      <c r="B4161" s="396" t="s">
        <v>8121</v>
      </c>
      <c r="C4161" s="396" t="s">
        <v>8122</v>
      </c>
      <c r="D4161" s="396" t="s">
        <v>8116</v>
      </c>
      <c r="E4161" s="396" t="s">
        <v>8117</v>
      </c>
      <c r="F4161" s="396" t="s">
        <v>7996</v>
      </c>
    </row>
    <row r="4162">
      <c r="A4162" s="311">
        <v>4161</v>
      </c>
      <c r="B4162" s="396" t="s">
        <v>8123</v>
      </c>
      <c r="C4162" s="396" t="s">
        <v>8124</v>
      </c>
      <c r="D4162" s="396" t="s">
        <v>8116</v>
      </c>
      <c r="E4162" s="396" t="s">
        <v>8117</v>
      </c>
      <c r="F4162" s="396" t="s">
        <v>7996</v>
      </c>
    </row>
    <row r="4163">
      <c r="A4163" s="311">
        <v>4162</v>
      </c>
      <c r="B4163" s="396" t="s">
        <v>8125</v>
      </c>
      <c r="C4163" s="396" t="s">
        <v>8126</v>
      </c>
      <c r="D4163" s="396" t="s">
        <v>8116</v>
      </c>
      <c r="E4163" s="396" t="s">
        <v>8117</v>
      </c>
      <c r="F4163" s="396" t="s">
        <v>7996</v>
      </c>
    </row>
    <row r="4164">
      <c r="A4164" s="311">
        <v>4163</v>
      </c>
      <c r="B4164" s="396" t="s">
        <v>8127</v>
      </c>
      <c r="C4164" s="396" t="s">
        <v>6177</v>
      </c>
      <c r="D4164" s="396" t="s">
        <v>8116</v>
      </c>
      <c r="E4164" s="396" t="s">
        <v>8117</v>
      </c>
      <c r="F4164" s="396" t="s">
        <v>7996</v>
      </c>
    </row>
    <row r="4165">
      <c r="A4165" s="311">
        <v>4164</v>
      </c>
      <c r="B4165" s="396" t="s">
        <v>8128</v>
      </c>
      <c r="C4165" s="396" t="s">
        <v>1781</v>
      </c>
      <c r="D4165" s="396" t="s">
        <v>8116</v>
      </c>
      <c r="E4165" s="396" t="s">
        <v>8117</v>
      </c>
      <c r="F4165" s="396" t="s">
        <v>7996</v>
      </c>
    </row>
    <row r="4166">
      <c r="A4166" s="311">
        <v>4165</v>
      </c>
      <c r="B4166" s="396" t="s">
        <v>8129</v>
      </c>
      <c r="C4166" s="396" t="s">
        <v>8130</v>
      </c>
      <c r="D4166" s="396" t="s">
        <v>8116</v>
      </c>
      <c r="E4166" s="396" t="s">
        <v>8117</v>
      </c>
      <c r="F4166" s="396" t="s">
        <v>7996</v>
      </c>
    </row>
    <row r="4167">
      <c r="A4167" s="311">
        <v>4166</v>
      </c>
      <c r="B4167" s="396" t="s">
        <v>8131</v>
      </c>
      <c r="C4167" s="396" t="s">
        <v>7177</v>
      </c>
      <c r="D4167" s="396" t="s">
        <v>8116</v>
      </c>
      <c r="E4167" s="396" t="s">
        <v>8117</v>
      </c>
      <c r="F4167" s="396" t="s">
        <v>7996</v>
      </c>
    </row>
    <row r="4168">
      <c r="A4168" s="311">
        <v>4167</v>
      </c>
      <c r="B4168" s="396" t="s">
        <v>8132</v>
      </c>
      <c r="C4168" s="396" t="s">
        <v>8133</v>
      </c>
      <c r="D4168" s="396" t="s">
        <v>8116</v>
      </c>
      <c r="E4168" s="396" t="s">
        <v>8117</v>
      </c>
      <c r="F4168" s="396" t="s">
        <v>7996</v>
      </c>
    </row>
    <row r="4169">
      <c r="A4169" s="311">
        <v>4168</v>
      </c>
      <c r="B4169" s="396" t="s">
        <v>8134</v>
      </c>
      <c r="C4169" s="396" t="s">
        <v>8135</v>
      </c>
      <c r="D4169" s="396" t="s">
        <v>8116</v>
      </c>
      <c r="E4169" s="396" t="s">
        <v>8117</v>
      </c>
      <c r="F4169" s="396" t="s">
        <v>7996</v>
      </c>
    </row>
    <row r="4170">
      <c r="A4170" s="311">
        <v>4169</v>
      </c>
      <c r="B4170" s="396" t="s">
        <v>8136</v>
      </c>
      <c r="C4170" s="396" t="s">
        <v>8137</v>
      </c>
      <c r="D4170" s="396" t="s">
        <v>8116</v>
      </c>
      <c r="E4170" s="396" t="s">
        <v>8117</v>
      </c>
      <c r="F4170" s="396" t="s">
        <v>7996</v>
      </c>
    </row>
    <row r="4171">
      <c r="A4171" s="311">
        <v>4170</v>
      </c>
      <c r="B4171" s="396" t="s">
        <v>8138</v>
      </c>
      <c r="C4171" s="396" t="s">
        <v>8139</v>
      </c>
      <c r="D4171" s="396" t="s">
        <v>8116</v>
      </c>
      <c r="E4171" s="396" t="s">
        <v>8117</v>
      </c>
      <c r="F4171" s="396" t="s">
        <v>7996</v>
      </c>
    </row>
    <row r="4172">
      <c r="A4172" s="311">
        <v>4171</v>
      </c>
      <c r="B4172" s="396" t="s">
        <v>8140</v>
      </c>
      <c r="C4172" s="396" t="s">
        <v>1035</v>
      </c>
      <c r="D4172" s="396" t="s">
        <v>8116</v>
      </c>
      <c r="E4172" s="396" t="s">
        <v>8117</v>
      </c>
      <c r="F4172" s="396" t="s">
        <v>7996</v>
      </c>
    </row>
    <row r="4173">
      <c r="A4173" s="311">
        <v>4172</v>
      </c>
      <c r="B4173" s="396" t="s">
        <v>8141</v>
      </c>
      <c r="C4173" s="396" t="s">
        <v>8142</v>
      </c>
      <c r="D4173" s="396" t="s">
        <v>8116</v>
      </c>
      <c r="E4173" s="396" t="s">
        <v>8117</v>
      </c>
      <c r="F4173" s="396" t="s">
        <v>7996</v>
      </c>
    </row>
    <row r="4174">
      <c r="A4174" s="311">
        <v>4173</v>
      </c>
      <c r="B4174" s="396" t="s">
        <v>8143</v>
      </c>
      <c r="C4174" s="396" t="s">
        <v>8144</v>
      </c>
      <c r="D4174" s="396" t="s">
        <v>8116</v>
      </c>
      <c r="E4174" s="396" t="s">
        <v>8117</v>
      </c>
      <c r="F4174" s="396" t="s">
        <v>7996</v>
      </c>
    </row>
    <row r="4175">
      <c r="A4175" s="311">
        <v>4174</v>
      </c>
      <c r="B4175" s="396" t="s">
        <v>8145</v>
      </c>
      <c r="C4175" s="396" t="s">
        <v>549</v>
      </c>
      <c r="D4175" s="396" t="s">
        <v>8116</v>
      </c>
      <c r="E4175" s="396" t="s">
        <v>8117</v>
      </c>
      <c r="F4175" s="396" t="s">
        <v>7996</v>
      </c>
    </row>
    <row r="4176">
      <c r="A4176" s="311">
        <v>4175</v>
      </c>
      <c r="B4176" s="396" t="s">
        <v>8146</v>
      </c>
      <c r="C4176" s="396" t="s">
        <v>1020</v>
      </c>
      <c r="D4176" s="396" t="s">
        <v>8116</v>
      </c>
      <c r="E4176" s="396" t="s">
        <v>8117</v>
      </c>
      <c r="F4176" s="396" t="s">
        <v>7996</v>
      </c>
    </row>
    <row r="4177">
      <c r="A4177" s="311">
        <v>4176</v>
      </c>
      <c r="B4177" s="396" t="s">
        <v>8147</v>
      </c>
      <c r="C4177" s="396" t="s">
        <v>1175</v>
      </c>
      <c r="D4177" s="396" t="s">
        <v>8116</v>
      </c>
      <c r="E4177" s="396" t="s">
        <v>8117</v>
      </c>
      <c r="F4177" s="396" t="s">
        <v>7996</v>
      </c>
    </row>
    <row r="4178">
      <c r="A4178" s="311">
        <v>4177</v>
      </c>
      <c r="B4178" s="396" t="s">
        <v>8148</v>
      </c>
      <c r="C4178" s="396" t="s">
        <v>8149</v>
      </c>
      <c r="D4178" s="396" t="s">
        <v>8116</v>
      </c>
      <c r="E4178" s="396" t="s">
        <v>8117</v>
      </c>
      <c r="F4178" s="396" t="s">
        <v>7996</v>
      </c>
    </row>
    <row r="4179">
      <c r="A4179" s="311">
        <v>4178</v>
      </c>
      <c r="B4179" s="396" t="s">
        <v>8150</v>
      </c>
      <c r="C4179" s="396" t="s">
        <v>8151</v>
      </c>
      <c r="D4179" s="396" t="s">
        <v>8152</v>
      </c>
      <c r="E4179" s="396" t="s">
        <v>8153</v>
      </c>
      <c r="F4179" s="396" t="s">
        <v>7996</v>
      </c>
    </row>
    <row r="4180">
      <c r="A4180" s="311">
        <v>4179</v>
      </c>
      <c r="B4180" s="396" t="s">
        <v>8154</v>
      </c>
      <c r="C4180" s="396" t="s">
        <v>8155</v>
      </c>
      <c r="D4180" s="396" t="s">
        <v>8152</v>
      </c>
      <c r="E4180" s="396" t="s">
        <v>8153</v>
      </c>
      <c r="F4180" s="396" t="s">
        <v>7996</v>
      </c>
    </row>
    <row r="4181">
      <c r="A4181" s="311">
        <v>4180</v>
      </c>
      <c r="B4181" s="396" t="s">
        <v>8156</v>
      </c>
      <c r="C4181" s="396" t="s">
        <v>970</v>
      </c>
      <c r="D4181" s="396" t="s">
        <v>8152</v>
      </c>
      <c r="E4181" s="396" t="s">
        <v>8153</v>
      </c>
      <c r="F4181" s="396" t="s">
        <v>7996</v>
      </c>
    </row>
    <row r="4182">
      <c r="A4182" s="311">
        <v>4181</v>
      </c>
      <c r="B4182" s="396" t="s">
        <v>8157</v>
      </c>
      <c r="C4182" s="396" t="s">
        <v>8158</v>
      </c>
      <c r="D4182" s="396" t="s">
        <v>8152</v>
      </c>
      <c r="E4182" s="396" t="s">
        <v>8153</v>
      </c>
      <c r="F4182" s="396" t="s">
        <v>7996</v>
      </c>
    </row>
    <row r="4183">
      <c r="A4183" s="311">
        <v>4182</v>
      </c>
      <c r="B4183" s="396" t="s">
        <v>8159</v>
      </c>
      <c r="C4183" s="396" t="s">
        <v>8160</v>
      </c>
      <c r="D4183" s="396" t="s">
        <v>8152</v>
      </c>
      <c r="E4183" s="396" t="s">
        <v>8153</v>
      </c>
      <c r="F4183" s="396" t="s">
        <v>7996</v>
      </c>
    </row>
    <row r="4184">
      <c r="A4184" s="311">
        <v>4183</v>
      </c>
      <c r="B4184" s="396" t="s">
        <v>8161</v>
      </c>
      <c r="C4184" s="396" t="s">
        <v>8162</v>
      </c>
      <c r="D4184" s="396" t="s">
        <v>8152</v>
      </c>
      <c r="E4184" s="396" t="s">
        <v>8153</v>
      </c>
      <c r="F4184" s="396" t="s">
        <v>7996</v>
      </c>
    </row>
    <row r="4185">
      <c r="A4185" s="311">
        <v>4184</v>
      </c>
      <c r="B4185" s="396" t="s">
        <v>8163</v>
      </c>
      <c r="C4185" s="396" t="s">
        <v>310</v>
      </c>
      <c r="D4185" s="396" t="s">
        <v>8152</v>
      </c>
      <c r="E4185" s="396" t="s">
        <v>8153</v>
      </c>
      <c r="F4185" s="396" t="s">
        <v>7996</v>
      </c>
    </row>
    <row r="4186">
      <c r="A4186" s="311">
        <v>4185</v>
      </c>
      <c r="B4186" s="396" t="s">
        <v>8164</v>
      </c>
      <c r="C4186" s="396" t="s">
        <v>8165</v>
      </c>
      <c r="D4186" s="396" t="s">
        <v>8152</v>
      </c>
      <c r="E4186" s="396" t="s">
        <v>8153</v>
      </c>
      <c r="F4186" s="396" t="s">
        <v>7996</v>
      </c>
    </row>
    <row r="4187">
      <c r="A4187" s="311">
        <v>4186</v>
      </c>
      <c r="B4187" s="396" t="s">
        <v>8166</v>
      </c>
      <c r="C4187" s="396" t="s">
        <v>8167</v>
      </c>
      <c r="D4187" s="396" t="s">
        <v>8152</v>
      </c>
      <c r="E4187" s="396" t="s">
        <v>8153</v>
      </c>
      <c r="F4187" s="396" t="s">
        <v>7996</v>
      </c>
    </row>
    <row r="4188">
      <c r="A4188" s="311">
        <v>4187</v>
      </c>
      <c r="B4188" s="396" t="s">
        <v>8168</v>
      </c>
      <c r="C4188" s="396" t="s">
        <v>8169</v>
      </c>
      <c r="D4188" s="396" t="s">
        <v>8152</v>
      </c>
      <c r="E4188" s="396" t="s">
        <v>8153</v>
      </c>
      <c r="F4188" s="396" t="s">
        <v>7996</v>
      </c>
    </row>
    <row r="4189">
      <c r="A4189" s="311">
        <v>4188</v>
      </c>
      <c r="B4189" s="396" t="s">
        <v>8170</v>
      </c>
      <c r="C4189" s="396" t="s">
        <v>8171</v>
      </c>
      <c r="D4189" s="396" t="s">
        <v>8152</v>
      </c>
      <c r="E4189" s="396" t="s">
        <v>8153</v>
      </c>
      <c r="F4189" s="396" t="s">
        <v>7996</v>
      </c>
    </row>
    <row r="4190">
      <c r="A4190" s="311">
        <v>4189</v>
      </c>
      <c r="B4190" s="396" t="s">
        <v>8172</v>
      </c>
      <c r="C4190" s="396" t="s">
        <v>4779</v>
      </c>
      <c r="D4190" s="396" t="s">
        <v>8152</v>
      </c>
      <c r="E4190" s="396" t="s">
        <v>8153</v>
      </c>
      <c r="F4190" s="396" t="s">
        <v>7996</v>
      </c>
    </row>
    <row r="4191">
      <c r="A4191" s="311">
        <v>4190</v>
      </c>
      <c r="B4191" s="396" t="s">
        <v>8173</v>
      </c>
      <c r="C4191" s="396" t="s">
        <v>1137</v>
      </c>
      <c r="D4191" s="396" t="s">
        <v>8152</v>
      </c>
      <c r="E4191" s="396" t="s">
        <v>8153</v>
      </c>
      <c r="F4191" s="396" t="s">
        <v>7996</v>
      </c>
    </row>
    <row r="4192">
      <c r="A4192" s="311">
        <v>4191</v>
      </c>
      <c r="B4192" s="396" t="s">
        <v>8174</v>
      </c>
      <c r="C4192" s="396" t="s">
        <v>4851</v>
      </c>
      <c r="D4192" s="396" t="s">
        <v>8152</v>
      </c>
      <c r="E4192" s="396" t="s">
        <v>8153</v>
      </c>
      <c r="F4192" s="396" t="s">
        <v>7996</v>
      </c>
    </row>
    <row r="4193">
      <c r="A4193" s="311">
        <v>4192</v>
      </c>
      <c r="B4193" s="396" t="s">
        <v>8175</v>
      </c>
      <c r="C4193" s="396" t="s">
        <v>8176</v>
      </c>
      <c r="D4193" s="396" t="s">
        <v>8152</v>
      </c>
      <c r="E4193" s="396" t="s">
        <v>8153</v>
      </c>
      <c r="F4193" s="396" t="s">
        <v>7996</v>
      </c>
    </row>
    <row r="4194">
      <c r="A4194" s="311">
        <v>4193</v>
      </c>
      <c r="B4194" s="396" t="s">
        <v>8177</v>
      </c>
      <c r="C4194" s="396" t="s">
        <v>7753</v>
      </c>
      <c r="D4194" s="396" t="s">
        <v>8152</v>
      </c>
      <c r="E4194" s="396" t="s">
        <v>8153</v>
      </c>
      <c r="F4194" s="396" t="s">
        <v>7996</v>
      </c>
    </row>
    <row r="4195">
      <c r="A4195" s="311">
        <v>4194</v>
      </c>
      <c r="B4195" s="396" t="s">
        <v>8178</v>
      </c>
      <c r="C4195" s="396" t="s">
        <v>8179</v>
      </c>
      <c r="D4195" s="396" t="s">
        <v>8152</v>
      </c>
      <c r="E4195" s="396" t="s">
        <v>8153</v>
      </c>
      <c r="F4195" s="396" t="s">
        <v>7996</v>
      </c>
    </row>
    <row r="4196">
      <c r="A4196" s="311">
        <v>4195</v>
      </c>
      <c r="B4196" s="396" t="s">
        <v>8180</v>
      </c>
      <c r="C4196" s="396" t="s">
        <v>8181</v>
      </c>
      <c r="D4196" s="396" t="s">
        <v>8152</v>
      </c>
      <c r="E4196" s="396" t="s">
        <v>8153</v>
      </c>
      <c r="F4196" s="396" t="s">
        <v>7996</v>
      </c>
    </row>
    <row r="4197">
      <c r="A4197" s="311">
        <v>4196</v>
      </c>
      <c r="B4197" s="396" t="s">
        <v>8182</v>
      </c>
      <c r="C4197" s="396" t="s">
        <v>8183</v>
      </c>
      <c r="D4197" s="396" t="s">
        <v>8152</v>
      </c>
      <c r="E4197" s="396" t="s">
        <v>8153</v>
      </c>
      <c r="F4197" s="396" t="s">
        <v>7996</v>
      </c>
    </row>
    <row r="4198">
      <c r="A4198" s="311">
        <v>4197</v>
      </c>
      <c r="B4198" s="396" t="s">
        <v>8184</v>
      </c>
      <c r="C4198" s="396" t="s">
        <v>8185</v>
      </c>
      <c r="D4198" s="396" t="s">
        <v>8152</v>
      </c>
      <c r="E4198" s="396" t="s">
        <v>8153</v>
      </c>
      <c r="F4198" s="396" t="s">
        <v>7996</v>
      </c>
    </row>
    <row r="4199">
      <c r="A4199" s="311">
        <v>4198</v>
      </c>
      <c r="B4199" s="396" t="s">
        <v>8186</v>
      </c>
      <c r="C4199" s="396" t="s">
        <v>8187</v>
      </c>
      <c r="D4199" s="396" t="s">
        <v>8152</v>
      </c>
      <c r="E4199" s="396" t="s">
        <v>8153</v>
      </c>
      <c r="F4199" s="396" t="s">
        <v>7996</v>
      </c>
    </row>
    <row r="4200">
      <c r="A4200" s="311">
        <v>4199</v>
      </c>
      <c r="B4200" s="396" t="s">
        <v>8188</v>
      </c>
      <c r="C4200" s="396" t="s">
        <v>1204</v>
      </c>
      <c r="D4200" s="396" t="s">
        <v>8152</v>
      </c>
      <c r="E4200" s="396" t="s">
        <v>8153</v>
      </c>
      <c r="F4200" s="396" t="s">
        <v>7996</v>
      </c>
    </row>
    <row r="4201">
      <c r="A4201" s="311">
        <v>4200</v>
      </c>
      <c r="B4201" s="396" t="s">
        <v>8189</v>
      </c>
      <c r="C4201" s="396" t="s">
        <v>8190</v>
      </c>
      <c r="D4201" s="396" t="s">
        <v>8152</v>
      </c>
      <c r="E4201" s="396" t="s">
        <v>8153</v>
      </c>
      <c r="F4201" s="396" t="s">
        <v>7996</v>
      </c>
    </row>
    <row r="4202">
      <c r="A4202" s="311">
        <v>4201</v>
      </c>
      <c r="B4202" s="396" t="s">
        <v>8191</v>
      </c>
      <c r="C4202" s="396" t="s">
        <v>1992</v>
      </c>
      <c r="D4202" s="396" t="s">
        <v>8152</v>
      </c>
      <c r="E4202" s="396" t="s">
        <v>8153</v>
      </c>
      <c r="F4202" s="396" t="s">
        <v>7996</v>
      </c>
    </row>
    <row r="4203">
      <c r="A4203" s="311">
        <v>4202</v>
      </c>
      <c r="B4203" s="396" t="s">
        <v>8192</v>
      </c>
      <c r="C4203" s="396" t="s">
        <v>8193</v>
      </c>
      <c r="D4203" s="396" t="s">
        <v>8152</v>
      </c>
      <c r="E4203" s="396" t="s">
        <v>8153</v>
      </c>
      <c r="F4203" s="396" t="s">
        <v>7996</v>
      </c>
    </row>
    <row r="4204">
      <c r="A4204" s="311">
        <v>4203</v>
      </c>
      <c r="B4204" s="396" t="s">
        <v>8194</v>
      </c>
      <c r="C4204" s="396" t="s">
        <v>8195</v>
      </c>
      <c r="D4204" s="396" t="s">
        <v>8196</v>
      </c>
      <c r="E4204" s="396" t="s">
        <v>8197</v>
      </c>
      <c r="F4204" s="396" t="s">
        <v>7996</v>
      </c>
    </row>
    <row r="4205">
      <c r="A4205" s="311">
        <v>4204</v>
      </c>
      <c r="B4205" s="396" t="s">
        <v>8198</v>
      </c>
      <c r="C4205" s="396" t="s">
        <v>8199</v>
      </c>
      <c r="D4205" s="396" t="s">
        <v>8196</v>
      </c>
      <c r="E4205" s="396" t="s">
        <v>8197</v>
      </c>
      <c r="F4205" s="396" t="s">
        <v>7996</v>
      </c>
    </row>
    <row r="4206">
      <c r="A4206" s="311">
        <v>4205</v>
      </c>
      <c r="B4206" s="396" t="s">
        <v>8200</v>
      </c>
      <c r="C4206" s="396" t="s">
        <v>7450</v>
      </c>
      <c r="D4206" s="396" t="s">
        <v>8196</v>
      </c>
      <c r="E4206" s="396" t="s">
        <v>8197</v>
      </c>
      <c r="F4206" s="396" t="s">
        <v>7996</v>
      </c>
    </row>
    <row r="4207">
      <c r="A4207" s="311">
        <v>4206</v>
      </c>
      <c r="B4207" s="396" t="s">
        <v>8201</v>
      </c>
      <c r="C4207" s="396" t="s">
        <v>8202</v>
      </c>
      <c r="D4207" s="396" t="s">
        <v>8196</v>
      </c>
      <c r="E4207" s="396" t="s">
        <v>8197</v>
      </c>
      <c r="F4207" s="396" t="s">
        <v>7996</v>
      </c>
    </row>
    <row r="4208">
      <c r="A4208" s="311">
        <v>4207</v>
      </c>
      <c r="B4208" s="396" t="s">
        <v>8203</v>
      </c>
      <c r="C4208" s="396" t="s">
        <v>8204</v>
      </c>
      <c r="D4208" s="396" t="s">
        <v>8196</v>
      </c>
      <c r="E4208" s="396" t="s">
        <v>8197</v>
      </c>
      <c r="F4208" s="396" t="s">
        <v>7996</v>
      </c>
    </row>
    <row r="4209">
      <c r="A4209" s="311">
        <v>4208</v>
      </c>
      <c r="B4209" s="396" t="s">
        <v>8205</v>
      </c>
      <c r="C4209" s="396" t="s">
        <v>8206</v>
      </c>
      <c r="D4209" s="396" t="s">
        <v>8196</v>
      </c>
      <c r="E4209" s="396" t="s">
        <v>8197</v>
      </c>
      <c r="F4209" s="396" t="s">
        <v>7996</v>
      </c>
    </row>
    <row r="4210">
      <c r="A4210" s="311">
        <v>4209</v>
      </c>
      <c r="B4210" s="396" t="s">
        <v>8207</v>
      </c>
      <c r="C4210" s="396" t="s">
        <v>8208</v>
      </c>
      <c r="D4210" s="396" t="s">
        <v>8196</v>
      </c>
      <c r="E4210" s="396" t="s">
        <v>8197</v>
      </c>
      <c r="F4210" s="396" t="s">
        <v>7996</v>
      </c>
    </row>
    <row r="4211">
      <c r="A4211" s="311">
        <v>4210</v>
      </c>
      <c r="B4211" s="396" t="s">
        <v>8209</v>
      </c>
      <c r="C4211" s="396" t="s">
        <v>5695</v>
      </c>
      <c r="D4211" s="396" t="s">
        <v>8196</v>
      </c>
      <c r="E4211" s="396" t="s">
        <v>8197</v>
      </c>
      <c r="F4211" s="396" t="s">
        <v>7996</v>
      </c>
    </row>
    <row r="4212">
      <c r="A4212" s="311">
        <v>4211</v>
      </c>
      <c r="B4212" s="396" t="s">
        <v>8210</v>
      </c>
      <c r="C4212" s="396" t="s">
        <v>8211</v>
      </c>
      <c r="D4212" s="396" t="s">
        <v>8196</v>
      </c>
      <c r="E4212" s="396" t="s">
        <v>8197</v>
      </c>
      <c r="F4212" s="396" t="s">
        <v>7996</v>
      </c>
    </row>
    <row r="4213">
      <c r="A4213" s="311">
        <v>4212</v>
      </c>
      <c r="B4213" s="396" t="s">
        <v>8212</v>
      </c>
      <c r="C4213" s="396" t="s">
        <v>8213</v>
      </c>
      <c r="D4213" s="396" t="s">
        <v>8196</v>
      </c>
      <c r="E4213" s="396" t="s">
        <v>8197</v>
      </c>
      <c r="F4213" s="396" t="s">
        <v>7996</v>
      </c>
    </row>
    <row r="4214">
      <c r="A4214" s="311">
        <v>4213</v>
      </c>
      <c r="B4214" s="396" t="s">
        <v>8214</v>
      </c>
      <c r="C4214" s="396" t="s">
        <v>2469</v>
      </c>
      <c r="D4214" s="396" t="s">
        <v>8196</v>
      </c>
      <c r="E4214" s="396" t="s">
        <v>8197</v>
      </c>
      <c r="F4214" s="396" t="s">
        <v>7996</v>
      </c>
    </row>
    <row r="4215">
      <c r="A4215" s="311">
        <v>4214</v>
      </c>
      <c r="B4215" s="396" t="s">
        <v>8215</v>
      </c>
      <c r="C4215" s="396" t="s">
        <v>8216</v>
      </c>
      <c r="D4215" s="396" t="s">
        <v>8196</v>
      </c>
      <c r="E4215" s="396" t="s">
        <v>8197</v>
      </c>
      <c r="F4215" s="396" t="s">
        <v>7996</v>
      </c>
    </row>
    <row r="4216">
      <c r="A4216" s="311">
        <v>4215</v>
      </c>
      <c r="B4216" s="396" t="s">
        <v>8217</v>
      </c>
      <c r="C4216" s="396" t="s">
        <v>8218</v>
      </c>
      <c r="D4216" s="396" t="s">
        <v>8196</v>
      </c>
      <c r="E4216" s="396" t="s">
        <v>8197</v>
      </c>
      <c r="F4216" s="396" t="s">
        <v>7996</v>
      </c>
    </row>
    <row r="4217">
      <c r="A4217" s="311">
        <v>4216</v>
      </c>
      <c r="B4217" s="396" t="s">
        <v>8219</v>
      </c>
      <c r="C4217" s="396" t="s">
        <v>1575</v>
      </c>
      <c r="D4217" s="396" t="s">
        <v>8196</v>
      </c>
      <c r="E4217" s="396" t="s">
        <v>8197</v>
      </c>
      <c r="F4217" s="396" t="s">
        <v>7996</v>
      </c>
    </row>
    <row r="4218">
      <c r="A4218" s="311">
        <v>4217</v>
      </c>
      <c r="B4218" s="396" t="s">
        <v>8220</v>
      </c>
      <c r="C4218" s="396" t="s">
        <v>6663</v>
      </c>
      <c r="D4218" s="396" t="s">
        <v>8196</v>
      </c>
      <c r="E4218" s="396" t="s">
        <v>8197</v>
      </c>
      <c r="F4218" s="396" t="s">
        <v>7996</v>
      </c>
    </row>
    <row r="4219">
      <c r="A4219" s="311">
        <v>4218</v>
      </c>
      <c r="B4219" s="396" t="s">
        <v>8221</v>
      </c>
      <c r="C4219" s="396" t="s">
        <v>5878</v>
      </c>
      <c r="D4219" s="396" t="s">
        <v>8196</v>
      </c>
      <c r="E4219" s="396" t="s">
        <v>8197</v>
      </c>
      <c r="F4219" s="396" t="s">
        <v>7996</v>
      </c>
    </row>
    <row r="4220">
      <c r="A4220" s="311">
        <v>4219</v>
      </c>
      <c r="B4220" s="396" t="s">
        <v>8222</v>
      </c>
      <c r="C4220" s="396" t="s">
        <v>8223</v>
      </c>
      <c r="D4220" s="396" t="s">
        <v>8196</v>
      </c>
      <c r="E4220" s="396" t="s">
        <v>8197</v>
      </c>
      <c r="F4220" s="396" t="s">
        <v>7996</v>
      </c>
    </row>
    <row r="4221">
      <c r="A4221" s="311">
        <v>4220</v>
      </c>
      <c r="B4221" s="396" t="s">
        <v>8224</v>
      </c>
      <c r="C4221" s="396" t="s">
        <v>8225</v>
      </c>
      <c r="D4221" s="396" t="s">
        <v>8226</v>
      </c>
      <c r="E4221" s="396" t="s">
        <v>8227</v>
      </c>
      <c r="F4221" s="396" t="s">
        <v>7996</v>
      </c>
    </row>
    <row r="4222">
      <c r="A4222" s="311">
        <v>4221</v>
      </c>
      <c r="B4222" s="396" t="s">
        <v>8228</v>
      </c>
      <c r="C4222" s="396" t="s">
        <v>1640</v>
      </c>
      <c r="D4222" s="396" t="s">
        <v>8226</v>
      </c>
      <c r="E4222" s="396" t="s">
        <v>8227</v>
      </c>
      <c r="F4222" s="396" t="s">
        <v>7996</v>
      </c>
    </row>
    <row r="4223">
      <c r="A4223" s="311">
        <v>4222</v>
      </c>
      <c r="B4223" s="396" t="s">
        <v>8229</v>
      </c>
      <c r="C4223" s="396" t="s">
        <v>7572</v>
      </c>
      <c r="D4223" s="396" t="s">
        <v>8226</v>
      </c>
      <c r="E4223" s="396" t="s">
        <v>8227</v>
      </c>
      <c r="F4223" s="396" t="s">
        <v>7996</v>
      </c>
    </row>
    <row r="4224">
      <c r="A4224" s="311">
        <v>4223</v>
      </c>
      <c r="B4224" s="396" t="s">
        <v>8230</v>
      </c>
      <c r="C4224" s="396" t="s">
        <v>7463</v>
      </c>
      <c r="D4224" s="396" t="s">
        <v>8226</v>
      </c>
      <c r="E4224" s="396" t="s">
        <v>8227</v>
      </c>
      <c r="F4224" s="396" t="s">
        <v>7996</v>
      </c>
    </row>
    <row r="4225">
      <c r="A4225" s="311">
        <v>4224</v>
      </c>
      <c r="B4225" s="396" t="s">
        <v>8231</v>
      </c>
      <c r="C4225" s="396" t="s">
        <v>8232</v>
      </c>
      <c r="D4225" s="396" t="s">
        <v>8226</v>
      </c>
      <c r="E4225" s="396" t="s">
        <v>8227</v>
      </c>
      <c r="F4225" s="396" t="s">
        <v>7996</v>
      </c>
    </row>
    <row r="4226">
      <c r="A4226" s="311">
        <v>4225</v>
      </c>
      <c r="B4226" s="396" t="s">
        <v>8233</v>
      </c>
      <c r="C4226" s="396" t="s">
        <v>8234</v>
      </c>
      <c r="D4226" s="396" t="s">
        <v>8226</v>
      </c>
      <c r="E4226" s="396" t="s">
        <v>8227</v>
      </c>
      <c r="F4226" s="396" t="s">
        <v>7996</v>
      </c>
    </row>
    <row r="4227">
      <c r="A4227" s="311">
        <v>4226</v>
      </c>
      <c r="B4227" s="396" t="s">
        <v>8235</v>
      </c>
      <c r="C4227" s="396" t="s">
        <v>8236</v>
      </c>
      <c r="D4227" s="396" t="s">
        <v>8226</v>
      </c>
      <c r="E4227" s="396" t="s">
        <v>8227</v>
      </c>
      <c r="F4227" s="396" t="s">
        <v>7996</v>
      </c>
    </row>
    <row r="4228">
      <c r="A4228" s="311">
        <v>4227</v>
      </c>
      <c r="B4228" s="396" t="s">
        <v>8237</v>
      </c>
      <c r="C4228" s="396" t="s">
        <v>6070</v>
      </c>
      <c r="D4228" s="396" t="s">
        <v>8226</v>
      </c>
      <c r="E4228" s="396" t="s">
        <v>8227</v>
      </c>
      <c r="F4228" s="396" t="s">
        <v>7996</v>
      </c>
    </row>
    <row r="4229">
      <c r="A4229" s="311">
        <v>4228</v>
      </c>
      <c r="B4229" s="396" t="s">
        <v>8238</v>
      </c>
      <c r="C4229" s="396" t="s">
        <v>8239</v>
      </c>
      <c r="D4229" s="396" t="s">
        <v>8226</v>
      </c>
      <c r="E4229" s="396" t="s">
        <v>8227</v>
      </c>
      <c r="F4229" s="396" t="s">
        <v>7996</v>
      </c>
    </row>
    <row r="4230">
      <c r="A4230" s="311">
        <v>4229</v>
      </c>
      <c r="B4230" s="396" t="s">
        <v>8240</v>
      </c>
      <c r="C4230" s="396" t="s">
        <v>8241</v>
      </c>
      <c r="D4230" s="396" t="s">
        <v>8226</v>
      </c>
      <c r="E4230" s="396" t="s">
        <v>8227</v>
      </c>
      <c r="F4230" s="396" t="s">
        <v>7996</v>
      </c>
    </row>
    <row r="4231">
      <c r="A4231" s="311">
        <v>4230</v>
      </c>
      <c r="B4231" s="396" t="s">
        <v>8242</v>
      </c>
      <c r="C4231" s="396" t="s">
        <v>8243</v>
      </c>
      <c r="D4231" s="396" t="s">
        <v>8226</v>
      </c>
      <c r="E4231" s="396" t="s">
        <v>8227</v>
      </c>
      <c r="F4231" s="396" t="s">
        <v>7996</v>
      </c>
    </row>
    <row r="4232">
      <c r="A4232" s="311">
        <v>4231</v>
      </c>
      <c r="B4232" s="396" t="s">
        <v>8244</v>
      </c>
      <c r="C4232" s="396" t="s">
        <v>8245</v>
      </c>
      <c r="D4232" s="396" t="s">
        <v>8226</v>
      </c>
      <c r="E4232" s="396" t="s">
        <v>8227</v>
      </c>
      <c r="F4232" s="396" t="s">
        <v>7996</v>
      </c>
    </row>
    <row r="4233">
      <c r="A4233" s="311">
        <v>4232</v>
      </c>
      <c r="B4233" s="396" t="s">
        <v>8246</v>
      </c>
      <c r="C4233" s="396" t="s">
        <v>8247</v>
      </c>
      <c r="D4233" s="396" t="s">
        <v>8226</v>
      </c>
      <c r="E4233" s="396" t="s">
        <v>8227</v>
      </c>
      <c r="F4233" s="396" t="s">
        <v>7996</v>
      </c>
    </row>
    <row r="4234">
      <c r="A4234" s="311">
        <v>4233</v>
      </c>
      <c r="B4234" s="396" t="s">
        <v>8248</v>
      </c>
      <c r="C4234" s="396" t="s">
        <v>8249</v>
      </c>
      <c r="D4234" s="396" t="s">
        <v>8226</v>
      </c>
      <c r="E4234" s="396" t="s">
        <v>8227</v>
      </c>
      <c r="F4234" s="396" t="s">
        <v>7996</v>
      </c>
    </row>
    <row r="4235">
      <c r="A4235" s="311">
        <v>4234</v>
      </c>
      <c r="B4235" s="396" t="s">
        <v>8250</v>
      </c>
      <c r="C4235" s="396" t="s">
        <v>8251</v>
      </c>
      <c r="D4235" s="396" t="s">
        <v>8226</v>
      </c>
      <c r="E4235" s="396" t="s">
        <v>8227</v>
      </c>
      <c r="F4235" s="396" t="s">
        <v>7996</v>
      </c>
    </row>
    <row r="4236">
      <c r="A4236" s="311">
        <v>4235</v>
      </c>
      <c r="B4236" s="396" t="s">
        <v>8252</v>
      </c>
      <c r="C4236" s="396" t="s">
        <v>8253</v>
      </c>
      <c r="D4236" s="396" t="s">
        <v>8254</v>
      </c>
      <c r="E4236" s="396" t="s">
        <v>8255</v>
      </c>
      <c r="F4236" s="396" t="s">
        <v>7996</v>
      </c>
    </row>
    <row r="4237">
      <c r="A4237" s="311">
        <v>4236</v>
      </c>
      <c r="B4237" s="396" t="s">
        <v>8256</v>
      </c>
      <c r="C4237" s="396" t="s">
        <v>1115</v>
      </c>
      <c r="D4237" s="396" t="s">
        <v>8254</v>
      </c>
      <c r="E4237" s="396" t="s">
        <v>8255</v>
      </c>
      <c r="F4237" s="396" t="s">
        <v>7996</v>
      </c>
    </row>
    <row r="4238">
      <c r="A4238" s="311">
        <v>4237</v>
      </c>
      <c r="B4238" s="396" t="s">
        <v>8257</v>
      </c>
      <c r="C4238" s="396" t="s">
        <v>8258</v>
      </c>
      <c r="D4238" s="396" t="s">
        <v>8254</v>
      </c>
      <c r="E4238" s="396" t="s">
        <v>8255</v>
      </c>
      <c r="F4238" s="396" t="s">
        <v>7996</v>
      </c>
    </row>
    <row r="4239">
      <c r="A4239" s="311">
        <v>4238</v>
      </c>
      <c r="B4239" s="396" t="s">
        <v>8259</v>
      </c>
      <c r="C4239" s="396" t="s">
        <v>7540</v>
      </c>
      <c r="D4239" s="396" t="s">
        <v>8254</v>
      </c>
      <c r="E4239" s="396" t="s">
        <v>8255</v>
      </c>
      <c r="F4239" s="396" t="s">
        <v>7996</v>
      </c>
    </row>
    <row r="4240">
      <c r="A4240" s="311">
        <v>4239</v>
      </c>
      <c r="B4240" s="396" t="s">
        <v>8260</v>
      </c>
      <c r="C4240" s="396" t="s">
        <v>8261</v>
      </c>
      <c r="D4240" s="396" t="s">
        <v>8254</v>
      </c>
      <c r="E4240" s="396" t="s">
        <v>8255</v>
      </c>
      <c r="F4240" s="396" t="s">
        <v>7996</v>
      </c>
    </row>
    <row r="4241">
      <c r="A4241" s="311">
        <v>4240</v>
      </c>
      <c r="B4241" s="396" t="s">
        <v>8262</v>
      </c>
      <c r="C4241" s="396" t="s">
        <v>8263</v>
      </c>
      <c r="D4241" s="396" t="s">
        <v>8254</v>
      </c>
      <c r="E4241" s="396" t="s">
        <v>8255</v>
      </c>
      <c r="F4241" s="396" t="s">
        <v>7996</v>
      </c>
    </row>
    <row r="4242">
      <c r="A4242" s="311">
        <v>4241</v>
      </c>
      <c r="B4242" s="396" t="s">
        <v>8264</v>
      </c>
      <c r="C4242" s="396" t="s">
        <v>8265</v>
      </c>
      <c r="D4242" s="396" t="s">
        <v>8254</v>
      </c>
      <c r="E4242" s="396" t="s">
        <v>8255</v>
      </c>
      <c r="F4242" s="396" t="s">
        <v>7996</v>
      </c>
    </row>
    <row r="4243">
      <c r="A4243" s="311">
        <v>4242</v>
      </c>
      <c r="B4243" s="396" t="s">
        <v>8266</v>
      </c>
      <c r="C4243" s="396" t="s">
        <v>8267</v>
      </c>
      <c r="D4243" s="396" t="s">
        <v>8254</v>
      </c>
      <c r="E4243" s="396" t="s">
        <v>8255</v>
      </c>
      <c r="F4243" s="396" t="s">
        <v>7996</v>
      </c>
    </row>
    <row r="4244">
      <c r="A4244" s="311">
        <v>4243</v>
      </c>
      <c r="B4244" s="396" t="s">
        <v>8268</v>
      </c>
      <c r="C4244" s="396" t="s">
        <v>8269</v>
      </c>
      <c r="D4244" s="396" t="s">
        <v>8254</v>
      </c>
      <c r="E4244" s="396" t="s">
        <v>8255</v>
      </c>
      <c r="F4244" s="396" t="s">
        <v>7996</v>
      </c>
    </row>
    <row r="4245">
      <c r="A4245" s="311">
        <v>4244</v>
      </c>
      <c r="B4245" s="396" t="s">
        <v>8270</v>
      </c>
      <c r="C4245" s="396" t="s">
        <v>7331</v>
      </c>
      <c r="D4245" s="396" t="s">
        <v>8254</v>
      </c>
      <c r="E4245" s="396" t="s">
        <v>8255</v>
      </c>
      <c r="F4245" s="396" t="s">
        <v>7996</v>
      </c>
    </row>
    <row r="4246">
      <c r="A4246" s="311">
        <v>4245</v>
      </c>
      <c r="B4246" s="396" t="s">
        <v>8271</v>
      </c>
      <c r="C4246" s="396" t="s">
        <v>2552</v>
      </c>
      <c r="D4246" s="396" t="s">
        <v>8254</v>
      </c>
      <c r="E4246" s="396" t="s">
        <v>8255</v>
      </c>
      <c r="F4246" s="396" t="s">
        <v>7996</v>
      </c>
    </row>
    <row r="4247">
      <c r="A4247" s="311">
        <v>4246</v>
      </c>
      <c r="B4247" s="396" t="s">
        <v>8272</v>
      </c>
      <c r="C4247" s="396" t="s">
        <v>3901</v>
      </c>
      <c r="D4247" s="396" t="s">
        <v>8254</v>
      </c>
      <c r="E4247" s="396" t="s">
        <v>8255</v>
      </c>
      <c r="F4247" s="396" t="s">
        <v>7996</v>
      </c>
    </row>
    <row r="4248">
      <c r="A4248" s="311">
        <v>4247</v>
      </c>
      <c r="B4248" s="396" t="s">
        <v>8273</v>
      </c>
      <c r="C4248" s="396" t="s">
        <v>8274</v>
      </c>
      <c r="D4248" s="396" t="s">
        <v>8254</v>
      </c>
      <c r="E4248" s="396" t="s">
        <v>8255</v>
      </c>
      <c r="F4248" s="396" t="s">
        <v>7996</v>
      </c>
    </row>
    <row r="4249">
      <c r="A4249" s="311">
        <v>4248</v>
      </c>
      <c r="B4249" s="396" t="s">
        <v>8275</v>
      </c>
      <c r="C4249" s="396" t="s">
        <v>8276</v>
      </c>
      <c r="D4249" s="396" t="s">
        <v>8254</v>
      </c>
      <c r="E4249" s="396" t="s">
        <v>8255</v>
      </c>
      <c r="F4249" s="396" t="s">
        <v>7996</v>
      </c>
    </row>
    <row r="4250">
      <c r="A4250" s="311">
        <v>4249</v>
      </c>
      <c r="B4250" s="396" t="s">
        <v>8277</v>
      </c>
      <c r="C4250" s="396" t="s">
        <v>8278</v>
      </c>
      <c r="D4250" s="396" t="s">
        <v>8279</v>
      </c>
      <c r="E4250" s="396" t="s">
        <v>8280</v>
      </c>
      <c r="F4250" s="396" t="s">
        <v>8281</v>
      </c>
    </row>
    <row r="4251">
      <c r="A4251" s="311">
        <v>4250</v>
      </c>
      <c r="B4251" s="396" t="s">
        <v>8282</v>
      </c>
      <c r="C4251" s="396" t="s">
        <v>8283</v>
      </c>
      <c r="D4251" s="396" t="s">
        <v>8279</v>
      </c>
      <c r="E4251" s="396" t="s">
        <v>8280</v>
      </c>
      <c r="F4251" s="396" t="s">
        <v>8281</v>
      </c>
    </row>
    <row r="4252">
      <c r="A4252" s="311">
        <v>4251</v>
      </c>
      <c r="B4252" s="396" t="s">
        <v>8284</v>
      </c>
      <c r="C4252" s="396" t="s">
        <v>1632</v>
      </c>
      <c r="D4252" s="396" t="s">
        <v>8279</v>
      </c>
      <c r="E4252" s="396" t="s">
        <v>8280</v>
      </c>
      <c r="F4252" s="396" t="s">
        <v>8281</v>
      </c>
    </row>
    <row r="4253">
      <c r="A4253" s="311">
        <v>4252</v>
      </c>
      <c r="B4253" s="396" t="s">
        <v>8285</v>
      </c>
      <c r="C4253" s="396" t="s">
        <v>8286</v>
      </c>
      <c r="D4253" s="396" t="s">
        <v>8279</v>
      </c>
      <c r="E4253" s="396" t="s">
        <v>8280</v>
      </c>
      <c r="F4253" s="396" t="s">
        <v>8281</v>
      </c>
    </row>
    <row r="4254">
      <c r="A4254" s="311">
        <v>4253</v>
      </c>
      <c r="B4254" s="396" t="s">
        <v>8287</v>
      </c>
      <c r="C4254" s="396" t="s">
        <v>168</v>
      </c>
      <c r="D4254" s="396" t="s">
        <v>8279</v>
      </c>
      <c r="E4254" s="396" t="s">
        <v>8280</v>
      </c>
      <c r="F4254" s="396" t="s">
        <v>8281</v>
      </c>
    </row>
    <row r="4255">
      <c r="A4255" s="311">
        <v>4254</v>
      </c>
      <c r="B4255" s="396" t="s">
        <v>8288</v>
      </c>
      <c r="C4255" s="396" t="s">
        <v>8289</v>
      </c>
      <c r="D4255" s="396" t="s">
        <v>8279</v>
      </c>
      <c r="E4255" s="396" t="s">
        <v>8280</v>
      </c>
      <c r="F4255" s="396" t="s">
        <v>8281</v>
      </c>
    </row>
    <row r="4256">
      <c r="A4256" s="311">
        <v>4255</v>
      </c>
      <c r="B4256" s="396" t="s">
        <v>8290</v>
      </c>
      <c r="C4256" s="396" t="s">
        <v>8291</v>
      </c>
      <c r="D4256" s="396" t="s">
        <v>8279</v>
      </c>
      <c r="E4256" s="396" t="s">
        <v>8280</v>
      </c>
      <c r="F4256" s="396" t="s">
        <v>8281</v>
      </c>
    </row>
    <row r="4257">
      <c r="A4257" s="311">
        <v>4256</v>
      </c>
      <c r="B4257" s="396" t="s">
        <v>8292</v>
      </c>
      <c r="C4257" s="396" t="s">
        <v>70</v>
      </c>
      <c r="D4257" s="396" t="s">
        <v>8279</v>
      </c>
      <c r="E4257" s="396" t="s">
        <v>8280</v>
      </c>
      <c r="F4257" s="396" t="s">
        <v>8281</v>
      </c>
    </row>
    <row r="4258">
      <c r="A4258" s="311">
        <v>4257</v>
      </c>
      <c r="B4258" s="396" t="s">
        <v>8293</v>
      </c>
      <c r="C4258" s="396" t="s">
        <v>8294</v>
      </c>
      <c r="D4258" s="396" t="s">
        <v>8279</v>
      </c>
      <c r="E4258" s="396" t="s">
        <v>8280</v>
      </c>
      <c r="F4258" s="396" t="s">
        <v>8281</v>
      </c>
    </row>
    <row r="4259">
      <c r="A4259" s="311">
        <v>4258</v>
      </c>
      <c r="B4259" s="396" t="s">
        <v>8295</v>
      </c>
      <c r="C4259" s="396" t="s">
        <v>8296</v>
      </c>
      <c r="D4259" s="396" t="s">
        <v>8279</v>
      </c>
      <c r="E4259" s="396" t="s">
        <v>8280</v>
      </c>
      <c r="F4259" s="396" t="s">
        <v>8281</v>
      </c>
    </row>
    <row r="4260">
      <c r="A4260" s="311">
        <v>4259</v>
      </c>
      <c r="B4260" s="396" t="s">
        <v>8297</v>
      </c>
      <c r="C4260" s="396" t="s">
        <v>8298</v>
      </c>
      <c r="D4260" s="396" t="s">
        <v>8279</v>
      </c>
      <c r="E4260" s="396" t="s">
        <v>8280</v>
      </c>
      <c r="F4260" s="396" t="s">
        <v>8281</v>
      </c>
    </row>
    <row r="4261">
      <c r="A4261" s="311">
        <v>4260</v>
      </c>
      <c r="B4261" s="396" t="s">
        <v>8299</v>
      </c>
      <c r="C4261" s="396" t="s">
        <v>6770</v>
      </c>
      <c r="D4261" s="396" t="s">
        <v>8279</v>
      </c>
      <c r="E4261" s="396" t="s">
        <v>8280</v>
      </c>
      <c r="F4261" s="396" t="s">
        <v>8281</v>
      </c>
    </row>
    <row r="4262">
      <c r="A4262" s="311">
        <v>4261</v>
      </c>
      <c r="B4262" s="396" t="s">
        <v>8300</v>
      </c>
      <c r="C4262" s="396" t="s">
        <v>8301</v>
      </c>
      <c r="D4262" s="396" t="s">
        <v>8279</v>
      </c>
      <c r="E4262" s="396" t="s">
        <v>8280</v>
      </c>
      <c r="F4262" s="396" t="s">
        <v>8281</v>
      </c>
    </row>
    <row r="4263">
      <c r="A4263" s="311">
        <v>4262</v>
      </c>
      <c r="B4263" s="396" t="s">
        <v>8302</v>
      </c>
      <c r="C4263" s="396" t="s">
        <v>8303</v>
      </c>
      <c r="D4263" s="396" t="s">
        <v>8279</v>
      </c>
      <c r="E4263" s="396" t="s">
        <v>8280</v>
      </c>
      <c r="F4263" s="396" t="s">
        <v>8281</v>
      </c>
    </row>
    <row r="4264">
      <c r="A4264" s="311">
        <v>4263</v>
      </c>
      <c r="B4264" s="396" t="s">
        <v>8304</v>
      </c>
      <c r="C4264" s="396" t="s">
        <v>486</v>
      </c>
      <c r="D4264" s="396" t="s">
        <v>8279</v>
      </c>
      <c r="E4264" s="396" t="s">
        <v>8280</v>
      </c>
      <c r="F4264" s="396" t="s">
        <v>8281</v>
      </c>
    </row>
    <row r="4265">
      <c r="A4265" s="311">
        <v>4264</v>
      </c>
      <c r="B4265" s="396" t="s">
        <v>8305</v>
      </c>
      <c r="C4265" s="396" t="s">
        <v>2517</v>
      </c>
      <c r="D4265" s="396" t="s">
        <v>8279</v>
      </c>
      <c r="E4265" s="396" t="s">
        <v>8280</v>
      </c>
      <c r="F4265" s="396" t="s">
        <v>8281</v>
      </c>
    </row>
    <row r="4266">
      <c r="A4266" s="311">
        <v>4265</v>
      </c>
      <c r="B4266" s="396" t="s">
        <v>8306</v>
      </c>
      <c r="C4266" s="396" t="s">
        <v>8307</v>
      </c>
      <c r="D4266" s="396" t="s">
        <v>8279</v>
      </c>
      <c r="E4266" s="396" t="s">
        <v>8280</v>
      </c>
      <c r="F4266" s="396" t="s">
        <v>8281</v>
      </c>
    </row>
    <row r="4267">
      <c r="A4267" s="311">
        <v>4266</v>
      </c>
      <c r="B4267" s="396" t="s">
        <v>8308</v>
      </c>
      <c r="C4267" s="396" t="s">
        <v>8309</v>
      </c>
      <c r="D4267" s="396" t="s">
        <v>8279</v>
      </c>
      <c r="E4267" s="396" t="s">
        <v>8280</v>
      </c>
      <c r="F4267" s="396" t="s">
        <v>8281</v>
      </c>
    </row>
    <row r="4268">
      <c r="A4268" s="311">
        <v>4267</v>
      </c>
      <c r="B4268" s="396" t="s">
        <v>8310</v>
      </c>
      <c r="C4268" s="396" t="s">
        <v>5492</v>
      </c>
      <c r="D4268" s="396" t="s">
        <v>8279</v>
      </c>
      <c r="E4268" s="396" t="s">
        <v>8280</v>
      </c>
      <c r="F4268" s="396" t="s">
        <v>8281</v>
      </c>
    </row>
    <row r="4269">
      <c r="A4269" s="311">
        <v>4268</v>
      </c>
      <c r="B4269" s="396" t="s">
        <v>8311</v>
      </c>
      <c r="C4269" s="396" t="s">
        <v>8312</v>
      </c>
      <c r="D4269" s="396" t="s">
        <v>8313</v>
      </c>
      <c r="E4269" s="396" t="s">
        <v>8314</v>
      </c>
      <c r="F4269" s="396" t="s">
        <v>8281</v>
      </c>
    </row>
    <row r="4270">
      <c r="A4270" s="311">
        <v>4269</v>
      </c>
      <c r="B4270" s="396" t="s">
        <v>8315</v>
      </c>
      <c r="C4270" s="396" t="s">
        <v>8316</v>
      </c>
      <c r="D4270" s="396" t="s">
        <v>8313</v>
      </c>
      <c r="E4270" s="396" t="s">
        <v>8314</v>
      </c>
      <c r="F4270" s="396" t="s">
        <v>8281</v>
      </c>
    </row>
    <row r="4271">
      <c r="A4271" s="311">
        <v>4270</v>
      </c>
      <c r="B4271" s="396" t="s">
        <v>8317</v>
      </c>
      <c r="C4271" s="396" t="s">
        <v>7829</v>
      </c>
      <c r="D4271" s="396" t="s">
        <v>8313</v>
      </c>
      <c r="E4271" s="396" t="s">
        <v>8314</v>
      </c>
      <c r="F4271" s="396" t="s">
        <v>8281</v>
      </c>
    </row>
    <row r="4272">
      <c r="A4272" s="311">
        <v>4271</v>
      </c>
      <c r="B4272" s="396" t="s">
        <v>8318</v>
      </c>
      <c r="C4272" s="396" t="s">
        <v>8319</v>
      </c>
      <c r="D4272" s="396" t="s">
        <v>8313</v>
      </c>
      <c r="E4272" s="396" t="s">
        <v>8314</v>
      </c>
      <c r="F4272" s="396" t="s">
        <v>8281</v>
      </c>
    </row>
    <row r="4273">
      <c r="A4273" s="311">
        <v>4272</v>
      </c>
      <c r="B4273" s="396" t="s">
        <v>8320</v>
      </c>
      <c r="C4273" s="396" t="s">
        <v>8321</v>
      </c>
      <c r="D4273" s="396" t="s">
        <v>8313</v>
      </c>
      <c r="E4273" s="396" t="s">
        <v>8314</v>
      </c>
      <c r="F4273" s="396" t="s">
        <v>8281</v>
      </c>
    </row>
    <row r="4274">
      <c r="A4274" s="311">
        <v>4273</v>
      </c>
      <c r="B4274" s="396" t="s">
        <v>8322</v>
      </c>
      <c r="C4274" s="396" t="s">
        <v>8323</v>
      </c>
      <c r="D4274" s="396" t="s">
        <v>8313</v>
      </c>
      <c r="E4274" s="396" t="s">
        <v>8314</v>
      </c>
      <c r="F4274" s="396" t="s">
        <v>8281</v>
      </c>
    </row>
    <row r="4275">
      <c r="A4275" s="311">
        <v>4274</v>
      </c>
      <c r="B4275" s="396" t="s">
        <v>8324</v>
      </c>
      <c r="C4275" s="396" t="s">
        <v>8325</v>
      </c>
      <c r="D4275" s="396" t="s">
        <v>8313</v>
      </c>
      <c r="E4275" s="396" t="s">
        <v>8314</v>
      </c>
      <c r="F4275" s="396" t="s">
        <v>8281</v>
      </c>
    </row>
    <row r="4276">
      <c r="A4276" s="311">
        <v>4275</v>
      </c>
      <c r="B4276" s="396" t="s">
        <v>8326</v>
      </c>
      <c r="C4276" s="396" t="s">
        <v>8327</v>
      </c>
      <c r="D4276" s="396" t="s">
        <v>8313</v>
      </c>
      <c r="E4276" s="396" t="s">
        <v>8314</v>
      </c>
      <c r="F4276" s="396" t="s">
        <v>8281</v>
      </c>
    </row>
    <row r="4277">
      <c r="A4277" s="311">
        <v>4276</v>
      </c>
      <c r="B4277" s="396" t="s">
        <v>8328</v>
      </c>
      <c r="C4277" s="396" t="s">
        <v>8329</v>
      </c>
      <c r="D4277" s="396" t="s">
        <v>8313</v>
      </c>
      <c r="E4277" s="396" t="s">
        <v>8314</v>
      </c>
      <c r="F4277" s="396" t="s">
        <v>8281</v>
      </c>
    </row>
    <row r="4278">
      <c r="A4278" s="311">
        <v>4277</v>
      </c>
      <c r="B4278" s="396" t="s">
        <v>8330</v>
      </c>
      <c r="C4278" s="396" t="s">
        <v>7857</v>
      </c>
      <c r="D4278" s="396" t="s">
        <v>8313</v>
      </c>
      <c r="E4278" s="396" t="s">
        <v>8314</v>
      </c>
      <c r="F4278" s="396" t="s">
        <v>8281</v>
      </c>
    </row>
    <row r="4279">
      <c r="A4279" s="311">
        <v>4278</v>
      </c>
      <c r="B4279" s="396" t="s">
        <v>8331</v>
      </c>
      <c r="C4279" s="396" t="s">
        <v>8332</v>
      </c>
      <c r="D4279" s="396" t="s">
        <v>8313</v>
      </c>
      <c r="E4279" s="396" t="s">
        <v>8314</v>
      </c>
      <c r="F4279" s="396" t="s">
        <v>8281</v>
      </c>
    </row>
    <row r="4280">
      <c r="A4280" s="311">
        <v>4279</v>
      </c>
      <c r="B4280" s="396" t="s">
        <v>8333</v>
      </c>
      <c r="C4280" s="396" t="s">
        <v>8334</v>
      </c>
      <c r="D4280" s="396" t="s">
        <v>8313</v>
      </c>
      <c r="E4280" s="396" t="s">
        <v>8314</v>
      </c>
      <c r="F4280" s="396" t="s">
        <v>8281</v>
      </c>
    </row>
    <row r="4281">
      <c r="A4281" s="311">
        <v>4280</v>
      </c>
      <c r="B4281" s="396" t="s">
        <v>8335</v>
      </c>
      <c r="C4281" s="396" t="s">
        <v>8336</v>
      </c>
      <c r="D4281" s="396" t="s">
        <v>8313</v>
      </c>
      <c r="E4281" s="396" t="s">
        <v>8314</v>
      </c>
      <c r="F4281" s="396" t="s">
        <v>8281</v>
      </c>
    </row>
    <row r="4282">
      <c r="A4282" s="311">
        <v>4281</v>
      </c>
      <c r="B4282" s="396" t="s">
        <v>8337</v>
      </c>
      <c r="C4282" s="396" t="s">
        <v>8338</v>
      </c>
      <c r="D4282" s="396" t="s">
        <v>8313</v>
      </c>
      <c r="E4282" s="396" t="s">
        <v>8314</v>
      </c>
      <c r="F4282" s="396" t="s">
        <v>8281</v>
      </c>
    </row>
    <row r="4283">
      <c r="A4283" s="311">
        <v>4282</v>
      </c>
      <c r="B4283" s="396" t="s">
        <v>8339</v>
      </c>
      <c r="C4283" s="396" t="s">
        <v>8340</v>
      </c>
      <c r="D4283" s="396" t="s">
        <v>8313</v>
      </c>
      <c r="E4283" s="396" t="s">
        <v>8314</v>
      </c>
      <c r="F4283" s="396" t="s">
        <v>8281</v>
      </c>
    </row>
    <row r="4284">
      <c r="A4284" s="311">
        <v>4283</v>
      </c>
      <c r="B4284" s="396" t="s">
        <v>8341</v>
      </c>
      <c r="C4284" s="396" t="s">
        <v>8342</v>
      </c>
      <c r="D4284" s="396" t="s">
        <v>8313</v>
      </c>
      <c r="E4284" s="396" t="s">
        <v>8314</v>
      </c>
      <c r="F4284" s="396" t="s">
        <v>8281</v>
      </c>
    </row>
    <row r="4285">
      <c r="A4285" s="311">
        <v>4284</v>
      </c>
      <c r="B4285" s="396" t="s">
        <v>8343</v>
      </c>
      <c r="C4285" s="396" t="s">
        <v>8344</v>
      </c>
      <c r="D4285" s="396" t="s">
        <v>8313</v>
      </c>
      <c r="E4285" s="396" t="s">
        <v>8314</v>
      </c>
      <c r="F4285" s="396" t="s">
        <v>8281</v>
      </c>
    </row>
    <row r="4286">
      <c r="A4286" s="311">
        <v>4285</v>
      </c>
      <c r="B4286" s="396" t="s">
        <v>8345</v>
      </c>
      <c r="C4286" s="396" t="s">
        <v>8346</v>
      </c>
      <c r="D4286" s="396" t="s">
        <v>8313</v>
      </c>
      <c r="E4286" s="396" t="s">
        <v>8314</v>
      </c>
      <c r="F4286" s="396" t="s">
        <v>8281</v>
      </c>
    </row>
    <row r="4287">
      <c r="A4287" s="311">
        <v>4286</v>
      </c>
      <c r="B4287" s="396" t="s">
        <v>8347</v>
      </c>
      <c r="C4287" s="396" t="s">
        <v>8348</v>
      </c>
      <c r="D4287" s="396" t="s">
        <v>8313</v>
      </c>
      <c r="E4287" s="396" t="s">
        <v>8314</v>
      </c>
      <c r="F4287" s="396" t="s">
        <v>8281</v>
      </c>
    </row>
    <row r="4288">
      <c r="A4288" s="311">
        <v>4287</v>
      </c>
      <c r="B4288" s="396" t="s">
        <v>8349</v>
      </c>
      <c r="C4288" s="396" t="s">
        <v>8350</v>
      </c>
      <c r="D4288" s="396" t="s">
        <v>8313</v>
      </c>
      <c r="E4288" s="396" t="s">
        <v>8314</v>
      </c>
      <c r="F4288" s="396" t="s">
        <v>8281</v>
      </c>
    </row>
    <row r="4289">
      <c r="A4289" s="311">
        <v>4288</v>
      </c>
      <c r="B4289" s="396" t="s">
        <v>8351</v>
      </c>
      <c r="C4289" s="396" t="s">
        <v>5129</v>
      </c>
      <c r="D4289" s="396" t="s">
        <v>8313</v>
      </c>
      <c r="E4289" s="396" t="s">
        <v>8314</v>
      </c>
      <c r="F4289" s="396" t="s">
        <v>8281</v>
      </c>
    </row>
    <row r="4290">
      <c r="A4290" s="311">
        <v>4289</v>
      </c>
      <c r="B4290" s="396" t="s">
        <v>8352</v>
      </c>
      <c r="C4290" s="396" t="s">
        <v>8353</v>
      </c>
      <c r="D4290" s="396" t="s">
        <v>8313</v>
      </c>
      <c r="E4290" s="396" t="s">
        <v>8314</v>
      </c>
      <c r="F4290" s="396" t="s">
        <v>8281</v>
      </c>
    </row>
    <row r="4291">
      <c r="A4291" s="311">
        <v>4290</v>
      </c>
      <c r="B4291" s="396" t="s">
        <v>8354</v>
      </c>
      <c r="C4291" s="396" t="s">
        <v>8355</v>
      </c>
      <c r="D4291" s="396" t="s">
        <v>8313</v>
      </c>
      <c r="E4291" s="396" t="s">
        <v>8314</v>
      </c>
      <c r="F4291" s="396" t="s">
        <v>8281</v>
      </c>
    </row>
    <row r="4292">
      <c r="A4292" s="311">
        <v>4291</v>
      </c>
      <c r="B4292" s="396" t="s">
        <v>8356</v>
      </c>
      <c r="C4292" s="396" t="s">
        <v>7498</v>
      </c>
      <c r="D4292" s="396" t="s">
        <v>8313</v>
      </c>
      <c r="E4292" s="396" t="s">
        <v>8314</v>
      </c>
      <c r="F4292" s="396" t="s">
        <v>8281</v>
      </c>
    </row>
    <row r="4293">
      <c r="A4293" s="311">
        <v>4292</v>
      </c>
      <c r="B4293" s="396" t="s">
        <v>8357</v>
      </c>
      <c r="C4293" s="396" t="s">
        <v>8358</v>
      </c>
      <c r="D4293" s="396" t="s">
        <v>8313</v>
      </c>
      <c r="E4293" s="396" t="s">
        <v>8314</v>
      </c>
      <c r="F4293" s="396" t="s">
        <v>8281</v>
      </c>
    </row>
    <row r="4294">
      <c r="A4294" s="311">
        <v>4293</v>
      </c>
      <c r="B4294" s="396" t="s">
        <v>8359</v>
      </c>
      <c r="C4294" s="396" t="s">
        <v>8360</v>
      </c>
      <c r="D4294" s="396" t="s">
        <v>8313</v>
      </c>
      <c r="E4294" s="396" t="s">
        <v>8314</v>
      </c>
      <c r="F4294" s="396" t="s">
        <v>8281</v>
      </c>
    </row>
    <row r="4295">
      <c r="A4295" s="311">
        <v>4294</v>
      </c>
      <c r="B4295" s="396" t="s">
        <v>8361</v>
      </c>
      <c r="C4295" s="396" t="s">
        <v>8362</v>
      </c>
      <c r="D4295" s="396" t="s">
        <v>8313</v>
      </c>
      <c r="E4295" s="396" t="s">
        <v>8314</v>
      </c>
      <c r="F4295" s="396" t="s">
        <v>8281</v>
      </c>
    </row>
    <row r="4296">
      <c r="A4296" s="311">
        <v>4295</v>
      </c>
      <c r="B4296" s="396" t="s">
        <v>8363</v>
      </c>
      <c r="C4296" s="396" t="s">
        <v>8364</v>
      </c>
      <c r="D4296" s="396" t="s">
        <v>8313</v>
      </c>
      <c r="E4296" s="396" t="s">
        <v>8314</v>
      </c>
      <c r="F4296" s="396" t="s">
        <v>8281</v>
      </c>
    </row>
    <row r="4297">
      <c r="A4297" s="311">
        <v>4296</v>
      </c>
      <c r="B4297" s="396" t="s">
        <v>8365</v>
      </c>
      <c r="C4297" s="396" t="s">
        <v>8366</v>
      </c>
      <c r="D4297" s="396" t="s">
        <v>8313</v>
      </c>
      <c r="E4297" s="396" t="s">
        <v>8314</v>
      </c>
      <c r="F4297" s="396" t="s">
        <v>8281</v>
      </c>
    </row>
    <row r="4298">
      <c r="A4298" s="311">
        <v>4297</v>
      </c>
      <c r="B4298" s="396" t="s">
        <v>8367</v>
      </c>
      <c r="C4298" s="396" t="s">
        <v>1193</v>
      </c>
      <c r="D4298" s="396" t="s">
        <v>8313</v>
      </c>
      <c r="E4298" s="396" t="s">
        <v>8314</v>
      </c>
      <c r="F4298" s="396" t="s">
        <v>8281</v>
      </c>
    </row>
    <row r="4299">
      <c r="A4299" s="311">
        <v>4298</v>
      </c>
      <c r="B4299" s="396" t="s">
        <v>8368</v>
      </c>
      <c r="C4299" s="396" t="s">
        <v>8369</v>
      </c>
      <c r="D4299" s="396" t="s">
        <v>8313</v>
      </c>
      <c r="E4299" s="396" t="s">
        <v>8314</v>
      </c>
      <c r="F4299" s="396" t="s">
        <v>8281</v>
      </c>
    </row>
    <row r="4300">
      <c r="A4300" s="311">
        <v>4299</v>
      </c>
      <c r="B4300" s="396" t="s">
        <v>8370</v>
      </c>
      <c r="C4300" s="396" t="s">
        <v>8371</v>
      </c>
      <c r="D4300" s="396" t="s">
        <v>8313</v>
      </c>
      <c r="E4300" s="396" t="s">
        <v>8314</v>
      </c>
      <c r="F4300" s="396" t="s">
        <v>8281</v>
      </c>
    </row>
    <row r="4301">
      <c r="A4301" s="311">
        <v>4300</v>
      </c>
      <c r="B4301" s="396" t="s">
        <v>8372</v>
      </c>
      <c r="C4301" s="396" t="s">
        <v>8373</v>
      </c>
      <c r="D4301" s="396" t="s">
        <v>8313</v>
      </c>
      <c r="E4301" s="396" t="s">
        <v>8314</v>
      </c>
      <c r="F4301" s="396" t="s">
        <v>8281</v>
      </c>
    </row>
    <row r="4302">
      <c r="A4302" s="311">
        <v>4301</v>
      </c>
      <c r="B4302" s="396" t="s">
        <v>8374</v>
      </c>
      <c r="C4302" s="396" t="s">
        <v>8375</v>
      </c>
      <c r="D4302" s="396" t="s">
        <v>8313</v>
      </c>
      <c r="E4302" s="396" t="s">
        <v>8314</v>
      </c>
      <c r="F4302" s="396" t="s">
        <v>8281</v>
      </c>
    </row>
    <row r="4303">
      <c r="A4303" s="311">
        <v>4302</v>
      </c>
      <c r="B4303" s="396" t="s">
        <v>8376</v>
      </c>
      <c r="C4303" s="396" t="s">
        <v>5477</v>
      </c>
      <c r="D4303" s="396" t="s">
        <v>8313</v>
      </c>
      <c r="E4303" s="396" t="s">
        <v>8314</v>
      </c>
      <c r="F4303" s="396" t="s">
        <v>8281</v>
      </c>
    </row>
    <row r="4304">
      <c r="A4304" s="311">
        <v>4303</v>
      </c>
      <c r="B4304" s="396" t="s">
        <v>8377</v>
      </c>
      <c r="C4304" s="396" t="s">
        <v>8378</v>
      </c>
      <c r="D4304" s="396" t="s">
        <v>8313</v>
      </c>
      <c r="E4304" s="396" t="s">
        <v>8314</v>
      </c>
      <c r="F4304" s="396" t="s">
        <v>8281</v>
      </c>
    </row>
    <row r="4305">
      <c r="A4305" s="311">
        <v>4304</v>
      </c>
      <c r="B4305" s="396" t="s">
        <v>8379</v>
      </c>
      <c r="C4305" s="396" t="s">
        <v>8380</v>
      </c>
      <c r="D4305" s="396" t="s">
        <v>8313</v>
      </c>
      <c r="E4305" s="396" t="s">
        <v>8314</v>
      </c>
      <c r="F4305" s="396" t="s">
        <v>8281</v>
      </c>
    </row>
    <row r="4306">
      <c r="A4306" s="311">
        <v>4305</v>
      </c>
      <c r="B4306" s="396" t="s">
        <v>8381</v>
      </c>
      <c r="C4306" s="396" t="s">
        <v>1137</v>
      </c>
      <c r="D4306" s="396" t="s">
        <v>8313</v>
      </c>
      <c r="E4306" s="396" t="s">
        <v>8314</v>
      </c>
      <c r="F4306" s="396" t="s">
        <v>8281</v>
      </c>
    </row>
    <row r="4307">
      <c r="A4307" s="311">
        <v>4306</v>
      </c>
      <c r="B4307" s="396" t="s">
        <v>8382</v>
      </c>
      <c r="C4307" s="396" t="s">
        <v>8383</v>
      </c>
      <c r="D4307" s="396" t="s">
        <v>8384</v>
      </c>
      <c r="E4307" s="396" t="s">
        <v>8385</v>
      </c>
      <c r="F4307" s="396" t="s">
        <v>8281</v>
      </c>
    </row>
    <row r="4308">
      <c r="A4308" s="311">
        <v>4307</v>
      </c>
      <c r="B4308" s="396" t="s">
        <v>8386</v>
      </c>
      <c r="C4308" s="396" t="s">
        <v>8387</v>
      </c>
      <c r="D4308" s="396" t="s">
        <v>8384</v>
      </c>
      <c r="E4308" s="396" t="s">
        <v>8385</v>
      </c>
      <c r="F4308" s="396" t="s">
        <v>8281</v>
      </c>
    </row>
    <row r="4309">
      <c r="A4309" s="311">
        <v>4308</v>
      </c>
      <c r="B4309" s="396" t="s">
        <v>8388</v>
      </c>
      <c r="C4309" s="396" t="s">
        <v>8389</v>
      </c>
      <c r="D4309" s="396" t="s">
        <v>8384</v>
      </c>
      <c r="E4309" s="396" t="s">
        <v>8385</v>
      </c>
      <c r="F4309" s="396" t="s">
        <v>8281</v>
      </c>
    </row>
    <row r="4310">
      <c r="A4310" s="311">
        <v>4309</v>
      </c>
      <c r="B4310" s="396" t="s">
        <v>8390</v>
      </c>
      <c r="C4310" s="396" t="s">
        <v>828</v>
      </c>
      <c r="D4310" s="396" t="s">
        <v>8384</v>
      </c>
      <c r="E4310" s="396" t="s">
        <v>8385</v>
      </c>
      <c r="F4310" s="396" t="s">
        <v>8281</v>
      </c>
    </row>
    <row r="4311">
      <c r="A4311" s="311">
        <v>4310</v>
      </c>
      <c r="B4311" s="396" t="s">
        <v>8391</v>
      </c>
      <c r="C4311" s="396" t="s">
        <v>1920</v>
      </c>
      <c r="D4311" s="396" t="s">
        <v>8384</v>
      </c>
      <c r="E4311" s="396" t="s">
        <v>8385</v>
      </c>
      <c r="F4311" s="396" t="s">
        <v>8281</v>
      </c>
    </row>
    <row r="4312">
      <c r="A4312" s="311">
        <v>4311</v>
      </c>
      <c r="B4312" s="396" t="s">
        <v>8392</v>
      </c>
      <c r="C4312" s="396" t="s">
        <v>2001</v>
      </c>
      <c r="D4312" s="396" t="s">
        <v>8384</v>
      </c>
      <c r="E4312" s="396" t="s">
        <v>8385</v>
      </c>
      <c r="F4312" s="396" t="s">
        <v>8281</v>
      </c>
    </row>
    <row r="4313">
      <c r="A4313" s="311">
        <v>4312</v>
      </c>
      <c r="B4313" s="396" t="s">
        <v>8393</v>
      </c>
      <c r="C4313" s="396" t="s">
        <v>6940</v>
      </c>
      <c r="D4313" s="396" t="s">
        <v>8384</v>
      </c>
      <c r="E4313" s="396" t="s">
        <v>8385</v>
      </c>
      <c r="F4313" s="396" t="s">
        <v>8281</v>
      </c>
    </row>
    <row r="4314">
      <c r="A4314" s="311">
        <v>4313</v>
      </c>
      <c r="B4314" s="396" t="s">
        <v>8394</v>
      </c>
      <c r="C4314" s="396" t="s">
        <v>8395</v>
      </c>
      <c r="D4314" s="396" t="s">
        <v>8384</v>
      </c>
      <c r="E4314" s="396" t="s">
        <v>8385</v>
      </c>
      <c r="F4314" s="396" t="s">
        <v>8281</v>
      </c>
    </row>
    <row r="4315">
      <c r="A4315" s="311">
        <v>4314</v>
      </c>
      <c r="B4315" s="396" t="s">
        <v>8396</v>
      </c>
      <c r="C4315" s="396" t="s">
        <v>926</v>
      </c>
      <c r="D4315" s="396" t="s">
        <v>8384</v>
      </c>
      <c r="E4315" s="396" t="s">
        <v>8385</v>
      </c>
      <c r="F4315" s="396" t="s">
        <v>8281</v>
      </c>
    </row>
    <row r="4316">
      <c r="A4316" s="311">
        <v>4315</v>
      </c>
      <c r="B4316" s="396" t="s">
        <v>8397</v>
      </c>
      <c r="C4316" s="396" t="s">
        <v>8398</v>
      </c>
      <c r="D4316" s="396" t="s">
        <v>8384</v>
      </c>
      <c r="E4316" s="396" t="s">
        <v>8385</v>
      </c>
      <c r="F4316" s="396" t="s">
        <v>8281</v>
      </c>
    </row>
    <row r="4317">
      <c r="A4317" s="311">
        <v>4316</v>
      </c>
      <c r="B4317" s="396" t="s">
        <v>8399</v>
      </c>
      <c r="C4317" s="396" t="s">
        <v>8400</v>
      </c>
      <c r="D4317" s="396" t="s">
        <v>8384</v>
      </c>
      <c r="E4317" s="396" t="s">
        <v>8385</v>
      </c>
      <c r="F4317" s="396" t="s">
        <v>8281</v>
      </c>
    </row>
    <row r="4318">
      <c r="A4318" s="311">
        <v>4317</v>
      </c>
      <c r="B4318" s="396" t="s">
        <v>8401</v>
      </c>
      <c r="C4318" s="396" t="s">
        <v>8402</v>
      </c>
      <c r="D4318" s="396" t="s">
        <v>8384</v>
      </c>
      <c r="E4318" s="396" t="s">
        <v>8385</v>
      </c>
      <c r="F4318" s="396" t="s">
        <v>8281</v>
      </c>
    </row>
    <row r="4319">
      <c r="A4319" s="311">
        <v>4318</v>
      </c>
      <c r="B4319" s="396" t="s">
        <v>8403</v>
      </c>
      <c r="C4319" s="396" t="s">
        <v>838</v>
      </c>
      <c r="D4319" s="396" t="s">
        <v>8384</v>
      </c>
      <c r="E4319" s="396" t="s">
        <v>8385</v>
      </c>
      <c r="F4319" s="396" t="s">
        <v>8281</v>
      </c>
    </row>
    <row r="4320">
      <c r="A4320" s="311">
        <v>4319</v>
      </c>
      <c r="B4320" s="396" t="s">
        <v>8404</v>
      </c>
      <c r="C4320" s="396" t="s">
        <v>8405</v>
      </c>
      <c r="D4320" s="396" t="s">
        <v>8384</v>
      </c>
      <c r="E4320" s="396" t="s">
        <v>8385</v>
      </c>
      <c r="F4320" s="396" t="s">
        <v>8281</v>
      </c>
    </row>
    <row r="4321">
      <c r="A4321" s="311">
        <v>4320</v>
      </c>
      <c r="B4321" s="396" t="s">
        <v>8406</v>
      </c>
      <c r="C4321" s="396" t="s">
        <v>286</v>
      </c>
      <c r="D4321" s="396" t="s">
        <v>8384</v>
      </c>
      <c r="E4321" s="396" t="s">
        <v>8385</v>
      </c>
      <c r="F4321" s="396" t="s">
        <v>8281</v>
      </c>
    </row>
    <row r="4322">
      <c r="A4322" s="311">
        <v>4321</v>
      </c>
      <c r="B4322" s="396" t="s">
        <v>8407</v>
      </c>
      <c r="C4322" s="396" t="s">
        <v>8408</v>
      </c>
      <c r="D4322" s="396" t="s">
        <v>8384</v>
      </c>
      <c r="E4322" s="396" t="s">
        <v>8385</v>
      </c>
      <c r="F4322" s="396" t="s">
        <v>8281</v>
      </c>
    </row>
    <row r="4323">
      <c r="A4323" s="311">
        <v>4322</v>
      </c>
      <c r="B4323" s="396" t="s">
        <v>8409</v>
      </c>
      <c r="C4323" s="396" t="s">
        <v>6396</v>
      </c>
      <c r="D4323" s="396" t="s">
        <v>8384</v>
      </c>
      <c r="E4323" s="396" t="s">
        <v>8385</v>
      </c>
      <c r="F4323" s="396" t="s">
        <v>8281</v>
      </c>
    </row>
    <row r="4324">
      <c r="A4324" s="311">
        <v>4323</v>
      </c>
      <c r="B4324" s="396" t="s">
        <v>8410</v>
      </c>
      <c r="C4324" s="396" t="s">
        <v>725</v>
      </c>
      <c r="D4324" s="396" t="s">
        <v>8384</v>
      </c>
      <c r="E4324" s="396" t="s">
        <v>8385</v>
      </c>
      <c r="F4324" s="396" t="s">
        <v>8281</v>
      </c>
    </row>
    <row r="4325">
      <c r="A4325" s="311">
        <v>4324</v>
      </c>
      <c r="B4325" s="396" t="s">
        <v>8411</v>
      </c>
      <c r="C4325" s="396" t="s">
        <v>8412</v>
      </c>
      <c r="D4325" s="396" t="s">
        <v>8384</v>
      </c>
      <c r="E4325" s="396" t="s">
        <v>8385</v>
      </c>
      <c r="F4325" s="396" t="s">
        <v>8281</v>
      </c>
    </row>
    <row r="4326">
      <c r="A4326" s="311">
        <v>4325</v>
      </c>
      <c r="B4326" s="396" t="s">
        <v>8413</v>
      </c>
      <c r="C4326" s="396" t="s">
        <v>1048</v>
      </c>
      <c r="D4326" s="396" t="s">
        <v>8384</v>
      </c>
      <c r="E4326" s="396" t="s">
        <v>8385</v>
      </c>
      <c r="F4326" s="396" t="s">
        <v>8281</v>
      </c>
    </row>
    <row r="4327">
      <c r="A4327" s="311">
        <v>4326</v>
      </c>
      <c r="B4327" s="396" t="s">
        <v>8414</v>
      </c>
      <c r="C4327" s="396" t="s">
        <v>8415</v>
      </c>
      <c r="D4327" s="396" t="s">
        <v>8384</v>
      </c>
      <c r="E4327" s="396" t="s">
        <v>8385</v>
      </c>
      <c r="F4327" s="396" t="s">
        <v>8281</v>
      </c>
    </row>
    <row r="4328">
      <c r="A4328" s="311">
        <v>4327</v>
      </c>
      <c r="B4328" s="396" t="s">
        <v>8416</v>
      </c>
      <c r="C4328" s="396" t="s">
        <v>8417</v>
      </c>
      <c r="D4328" s="396" t="s">
        <v>8384</v>
      </c>
      <c r="E4328" s="396" t="s">
        <v>8385</v>
      </c>
      <c r="F4328" s="396" t="s">
        <v>8281</v>
      </c>
    </row>
    <row r="4329">
      <c r="A4329" s="311">
        <v>4328</v>
      </c>
      <c r="B4329" s="396" t="s">
        <v>8418</v>
      </c>
      <c r="C4329" s="396" t="s">
        <v>8419</v>
      </c>
      <c r="D4329" s="396" t="s">
        <v>8384</v>
      </c>
      <c r="E4329" s="396" t="s">
        <v>8385</v>
      </c>
      <c r="F4329" s="396" t="s">
        <v>8281</v>
      </c>
    </row>
    <row r="4330">
      <c r="A4330" s="311">
        <v>4329</v>
      </c>
      <c r="B4330" s="396" t="s">
        <v>8420</v>
      </c>
      <c r="C4330" s="396" t="s">
        <v>1014</v>
      </c>
      <c r="D4330" s="396" t="s">
        <v>8384</v>
      </c>
      <c r="E4330" s="396" t="s">
        <v>8385</v>
      </c>
      <c r="F4330" s="396" t="s">
        <v>8281</v>
      </c>
    </row>
    <row r="4331">
      <c r="A4331" s="311">
        <v>4330</v>
      </c>
      <c r="B4331" s="396" t="s">
        <v>8421</v>
      </c>
      <c r="C4331" s="396" t="s">
        <v>4949</v>
      </c>
      <c r="D4331" s="396" t="s">
        <v>8384</v>
      </c>
      <c r="E4331" s="396" t="s">
        <v>8385</v>
      </c>
      <c r="F4331" s="396" t="s">
        <v>8281</v>
      </c>
    </row>
    <row r="4332">
      <c r="A4332" s="311">
        <v>4331</v>
      </c>
      <c r="B4332" s="396" t="s">
        <v>8422</v>
      </c>
      <c r="C4332" s="396" t="s">
        <v>766</v>
      </c>
      <c r="D4332" s="396" t="s">
        <v>8384</v>
      </c>
      <c r="E4332" s="396" t="s">
        <v>8385</v>
      </c>
      <c r="F4332" s="396" t="s">
        <v>8281</v>
      </c>
    </row>
    <row r="4333">
      <c r="A4333" s="311">
        <v>4332</v>
      </c>
      <c r="B4333" s="396" t="s">
        <v>8423</v>
      </c>
      <c r="C4333" s="396" t="s">
        <v>1695</v>
      </c>
      <c r="D4333" s="396" t="s">
        <v>8384</v>
      </c>
      <c r="E4333" s="396" t="s">
        <v>8385</v>
      </c>
      <c r="F4333" s="396" t="s">
        <v>8281</v>
      </c>
    </row>
    <row r="4334">
      <c r="A4334" s="311">
        <v>4333</v>
      </c>
      <c r="B4334" s="396" t="s">
        <v>8424</v>
      </c>
      <c r="C4334" s="396" t="s">
        <v>364</v>
      </c>
      <c r="D4334" s="396" t="s">
        <v>8384</v>
      </c>
      <c r="E4334" s="396" t="s">
        <v>8385</v>
      </c>
      <c r="F4334" s="396" t="s">
        <v>8281</v>
      </c>
    </row>
    <row r="4335">
      <c r="A4335" s="311">
        <v>4334</v>
      </c>
      <c r="B4335" s="396" t="s">
        <v>8425</v>
      </c>
      <c r="C4335" s="396" t="s">
        <v>8426</v>
      </c>
      <c r="D4335" s="396" t="s">
        <v>8384</v>
      </c>
      <c r="E4335" s="396" t="s">
        <v>8385</v>
      </c>
      <c r="F4335" s="396" t="s">
        <v>8281</v>
      </c>
    </row>
    <row r="4336">
      <c r="A4336" s="311">
        <v>4335</v>
      </c>
      <c r="B4336" s="396" t="s">
        <v>8427</v>
      </c>
      <c r="C4336" s="396" t="s">
        <v>1115</v>
      </c>
      <c r="D4336" s="396" t="s">
        <v>8384</v>
      </c>
      <c r="E4336" s="396" t="s">
        <v>8385</v>
      </c>
      <c r="F4336" s="396" t="s">
        <v>8281</v>
      </c>
    </row>
    <row r="4337">
      <c r="A4337" s="311">
        <v>4336</v>
      </c>
      <c r="B4337" s="396" t="s">
        <v>8428</v>
      </c>
      <c r="C4337" s="396" t="s">
        <v>6270</v>
      </c>
      <c r="D4337" s="396" t="s">
        <v>8384</v>
      </c>
      <c r="E4337" s="396" t="s">
        <v>8385</v>
      </c>
      <c r="F4337" s="396" t="s">
        <v>8281</v>
      </c>
    </row>
    <row r="4338">
      <c r="A4338" s="311">
        <v>4337</v>
      </c>
      <c r="B4338" s="396" t="s">
        <v>8429</v>
      </c>
      <c r="C4338" s="396" t="s">
        <v>1877</v>
      </c>
      <c r="D4338" s="396" t="s">
        <v>8384</v>
      </c>
      <c r="E4338" s="396" t="s">
        <v>8385</v>
      </c>
      <c r="F4338" s="396" t="s">
        <v>8281</v>
      </c>
    </row>
    <row r="4339">
      <c r="A4339" s="311">
        <v>4338</v>
      </c>
      <c r="B4339" s="396" t="s">
        <v>8430</v>
      </c>
      <c r="C4339" s="396" t="s">
        <v>8431</v>
      </c>
      <c r="D4339" s="396" t="s">
        <v>8384</v>
      </c>
      <c r="E4339" s="396" t="s">
        <v>8385</v>
      </c>
      <c r="F4339" s="396" t="s">
        <v>8281</v>
      </c>
    </row>
    <row r="4340">
      <c r="A4340" s="311">
        <v>4339</v>
      </c>
      <c r="B4340" s="396" t="s">
        <v>8432</v>
      </c>
      <c r="C4340" s="396" t="s">
        <v>5196</v>
      </c>
      <c r="D4340" s="396" t="s">
        <v>8384</v>
      </c>
      <c r="E4340" s="396" t="s">
        <v>8385</v>
      </c>
      <c r="F4340" s="396" t="s">
        <v>8281</v>
      </c>
    </row>
    <row r="4341">
      <c r="A4341" s="311">
        <v>4340</v>
      </c>
      <c r="B4341" s="396" t="s">
        <v>8433</v>
      </c>
      <c r="C4341" s="396" t="s">
        <v>1066</v>
      </c>
      <c r="D4341" s="396" t="s">
        <v>8384</v>
      </c>
      <c r="E4341" s="396" t="s">
        <v>8385</v>
      </c>
      <c r="F4341" s="396" t="s">
        <v>8281</v>
      </c>
    </row>
    <row r="4342">
      <c r="A4342" s="311">
        <v>4341</v>
      </c>
      <c r="B4342" s="396" t="s">
        <v>8434</v>
      </c>
      <c r="C4342" s="396" t="s">
        <v>8435</v>
      </c>
      <c r="D4342" s="396" t="s">
        <v>8436</v>
      </c>
      <c r="E4342" s="396" t="s">
        <v>8437</v>
      </c>
      <c r="F4342" s="396" t="s">
        <v>8281</v>
      </c>
    </row>
    <row r="4343">
      <c r="A4343" s="311">
        <v>4342</v>
      </c>
      <c r="B4343" s="396" t="s">
        <v>8438</v>
      </c>
      <c r="C4343" s="396" t="s">
        <v>5188</v>
      </c>
      <c r="D4343" s="396" t="s">
        <v>8436</v>
      </c>
      <c r="E4343" s="396" t="s">
        <v>8437</v>
      </c>
      <c r="F4343" s="396" t="s">
        <v>8281</v>
      </c>
    </row>
    <row r="4344">
      <c r="A4344" s="311">
        <v>4343</v>
      </c>
      <c r="B4344" s="396" t="s">
        <v>8439</v>
      </c>
      <c r="C4344" s="396" t="s">
        <v>7863</v>
      </c>
      <c r="D4344" s="396" t="s">
        <v>8436</v>
      </c>
      <c r="E4344" s="396" t="s">
        <v>8437</v>
      </c>
      <c r="F4344" s="396" t="s">
        <v>8281</v>
      </c>
    </row>
    <row r="4345">
      <c r="A4345" s="311">
        <v>4344</v>
      </c>
      <c r="B4345" s="396" t="s">
        <v>8440</v>
      </c>
      <c r="C4345" s="396" t="s">
        <v>8441</v>
      </c>
      <c r="D4345" s="396" t="s">
        <v>8436</v>
      </c>
      <c r="E4345" s="396" t="s">
        <v>8437</v>
      </c>
      <c r="F4345" s="396" t="s">
        <v>8281</v>
      </c>
    </row>
    <row r="4346">
      <c r="A4346" s="311">
        <v>4345</v>
      </c>
      <c r="B4346" s="396" t="s">
        <v>8442</v>
      </c>
      <c r="C4346" s="396" t="s">
        <v>5966</v>
      </c>
      <c r="D4346" s="396" t="s">
        <v>8436</v>
      </c>
      <c r="E4346" s="396" t="s">
        <v>8437</v>
      </c>
      <c r="F4346" s="396" t="s">
        <v>8281</v>
      </c>
    </row>
    <row r="4347">
      <c r="A4347" s="311">
        <v>4346</v>
      </c>
      <c r="B4347" s="396" t="s">
        <v>8443</v>
      </c>
      <c r="C4347" s="396" t="s">
        <v>902</v>
      </c>
      <c r="D4347" s="396" t="s">
        <v>8436</v>
      </c>
      <c r="E4347" s="396" t="s">
        <v>8437</v>
      </c>
      <c r="F4347" s="396" t="s">
        <v>8281</v>
      </c>
    </row>
    <row r="4348">
      <c r="A4348" s="311">
        <v>4347</v>
      </c>
      <c r="B4348" s="396" t="s">
        <v>8444</v>
      </c>
      <c r="C4348" s="396" t="s">
        <v>8445</v>
      </c>
      <c r="D4348" s="396" t="s">
        <v>8436</v>
      </c>
      <c r="E4348" s="396" t="s">
        <v>8437</v>
      </c>
      <c r="F4348" s="396" t="s">
        <v>8281</v>
      </c>
    </row>
    <row r="4349">
      <c r="A4349" s="311">
        <v>4348</v>
      </c>
      <c r="B4349" s="396" t="s">
        <v>8446</v>
      </c>
      <c r="C4349" s="396" t="s">
        <v>2542</v>
      </c>
      <c r="D4349" s="396" t="s">
        <v>8436</v>
      </c>
      <c r="E4349" s="396" t="s">
        <v>8437</v>
      </c>
      <c r="F4349" s="396" t="s">
        <v>8281</v>
      </c>
    </row>
    <row r="4350">
      <c r="A4350" s="311">
        <v>4349</v>
      </c>
      <c r="B4350" s="396" t="s">
        <v>8447</v>
      </c>
      <c r="C4350" s="396" t="s">
        <v>543</v>
      </c>
      <c r="D4350" s="396" t="s">
        <v>8436</v>
      </c>
      <c r="E4350" s="396" t="s">
        <v>8437</v>
      </c>
      <c r="F4350" s="396" t="s">
        <v>8281</v>
      </c>
    </row>
    <row r="4351">
      <c r="A4351" s="311">
        <v>4350</v>
      </c>
      <c r="B4351" s="396" t="s">
        <v>8448</v>
      </c>
      <c r="C4351" s="396" t="s">
        <v>8449</v>
      </c>
      <c r="D4351" s="396" t="s">
        <v>8436</v>
      </c>
      <c r="E4351" s="396" t="s">
        <v>8437</v>
      </c>
      <c r="F4351" s="396" t="s">
        <v>8281</v>
      </c>
    </row>
    <row r="4352">
      <c r="A4352" s="311">
        <v>4351</v>
      </c>
      <c r="B4352" s="396" t="s">
        <v>8450</v>
      </c>
      <c r="C4352" s="396" t="s">
        <v>799</v>
      </c>
      <c r="D4352" s="396" t="s">
        <v>8436</v>
      </c>
      <c r="E4352" s="396" t="s">
        <v>8437</v>
      </c>
      <c r="F4352" s="396" t="s">
        <v>8281</v>
      </c>
    </row>
    <row r="4353">
      <c r="A4353" s="311">
        <v>4352</v>
      </c>
      <c r="B4353" s="396" t="s">
        <v>8451</v>
      </c>
      <c r="C4353" s="396" t="s">
        <v>1115</v>
      </c>
      <c r="D4353" s="396" t="s">
        <v>8436</v>
      </c>
      <c r="E4353" s="396" t="s">
        <v>8437</v>
      </c>
      <c r="F4353" s="396" t="s">
        <v>8281</v>
      </c>
    </row>
    <row r="4354">
      <c r="A4354" s="311">
        <v>4353</v>
      </c>
      <c r="B4354" s="396" t="s">
        <v>8452</v>
      </c>
      <c r="C4354" s="396" t="s">
        <v>5567</v>
      </c>
      <c r="D4354" s="396" t="s">
        <v>8436</v>
      </c>
      <c r="E4354" s="396" t="s">
        <v>8437</v>
      </c>
      <c r="F4354" s="396" t="s">
        <v>8281</v>
      </c>
    </row>
    <row r="4355">
      <c r="A4355" s="311">
        <v>4354</v>
      </c>
      <c r="B4355" s="396" t="s">
        <v>8453</v>
      </c>
      <c r="C4355" s="396" t="s">
        <v>1039</v>
      </c>
      <c r="D4355" s="396" t="s">
        <v>8436</v>
      </c>
      <c r="E4355" s="396" t="s">
        <v>8437</v>
      </c>
      <c r="F4355" s="396" t="s">
        <v>8281</v>
      </c>
    </row>
    <row r="4356">
      <c r="A4356" s="311">
        <v>4355</v>
      </c>
      <c r="B4356" s="396" t="s">
        <v>8454</v>
      </c>
      <c r="C4356" s="396" t="s">
        <v>8455</v>
      </c>
      <c r="D4356" s="396" t="s">
        <v>8436</v>
      </c>
      <c r="E4356" s="396" t="s">
        <v>8437</v>
      </c>
      <c r="F4356" s="396" t="s">
        <v>8281</v>
      </c>
    </row>
    <row r="4357">
      <c r="A4357" s="311">
        <v>4356</v>
      </c>
      <c r="B4357" s="396" t="s">
        <v>8456</v>
      </c>
      <c r="C4357" s="396" t="s">
        <v>1816</v>
      </c>
      <c r="D4357" s="396" t="s">
        <v>8436</v>
      </c>
      <c r="E4357" s="396" t="s">
        <v>8437</v>
      </c>
      <c r="F4357" s="396" t="s">
        <v>8281</v>
      </c>
    </row>
    <row r="4358">
      <c r="A4358" s="311">
        <v>4357</v>
      </c>
      <c r="B4358" s="396" t="s">
        <v>8457</v>
      </c>
      <c r="C4358" s="396" t="s">
        <v>1216</v>
      </c>
      <c r="D4358" s="396" t="s">
        <v>8436</v>
      </c>
      <c r="E4358" s="396" t="s">
        <v>8437</v>
      </c>
      <c r="F4358" s="396" t="s">
        <v>8281</v>
      </c>
    </row>
    <row r="4359">
      <c r="A4359" s="311">
        <v>4358</v>
      </c>
      <c r="B4359" s="396" t="s">
        <v>8458</v>
      </c>
      <c r="C4359" s="396" t="s">
        <v>1939</v>
      </c>
      <c r="D4359" s="396" t="s">
        <v>8436</v>
      </c>
      <c r="E4359" s="396" t="s">
        <v>8437</v>
      </c>
      <c r="F4359" s="396" t="s">
        <v>8281</v>
      </c>
    </row>
    <row r="4360">
      <c r="A4360" s="311">
        <v>4359</v>
      </c>
      <c r="B4360" s="396" t="s">
        <v>8459</v>
      </c>
      <c r="C4360" s="396" t="s">
        <v>1366</v>
      </c>
      <c r="D4360" s="396" t="s">
        <v>8436</v>
      </c>
      <c r="E4360" s="396" t="s">
        <v>8437</v>
      </c>
      <c r="F4360" s="396" t="s">
        <v>8281</v>
      </c>
    </row>
    <row r="4361">
      <c r="A4361" s="311">
        <v>4360</v>
      </c>
      <c r="B4361" s="396" t="s">
        <v>8460</v>
      </c>
      <c r="C4361" s="396" t="s">
        <v>8461</v>
      </c>
      <c r="D4361" s="396" t="s">
        <v>8436</v>
      </c>
      <c r="E4361" s="396" t="s">
        <v>8437</v>
      </c>
      <c r="F4361" s="396" t="s">
        <v>8281</v>
      </c>
    </row>
    <row r="4362">
      <c r="A4362" s="311">
        <v>4361</v>
      </c>
      <c r="B4362" s="396" t="s">
        <v>8462</v>
      </c>
      <c r="C4362" s="396" t="s">
        <v>8463</v>
      </c>
      <c r="D4362" s="396" t="s">
        <v>8436</v>
      </c>
      <c r="E4362" s="396" t="s">
        <v>8437</v>
      </c>
      <c r="F4362" s="396" t="s">
        <v>8281</v>
      </c>
    </row>
    <row r="4363">
      <c r="A4363" s="311">
        <v>4362</v>
      </c>
      <c r="B4363" s="396" t="s">
        <v>8464</v>
      </c>
      <c r="C4363" s="396" t="s">
        <v>8465</v>
      </c>
      <c r="D4363" s="396" t="s">
        <v>8436</v>
      </c>
      <c r="E4363" s="396" t="s">
        <v>8437</v>
      </c>
      <c r="F4363" s="396" t="s">
        <v>8281</v>
      </c>
    </row>
    <row r="4364">
      <c r="A4364" s="311">
        <v>4363</v>
      </c>
      <c r="B4364" s="396" t="s">
        <v>8466</v>
      </c>
      <c r="C4364" s="396" t="s">
        <v>7262</v>
      </c>
      <c r="D4364" s="396" t="s">
        <v>8436</v>
      </c>
      <c r="E4364" s="396" t="s">
        <v>8437</v>
      </c>
      <c r="F4364" s="396" t="s">
        <v>8281</v>
      </c>
    </row>
    <row r="4365">
      <c r="A4365" s="311">
        <v>4364</v>
      </c>
      <c r="B4365" s="396" t="s">
        <v>8467</v>
      </c>
      <c r="C4365" s="396" t="s">
        <v>8468</v>
      </c>
      <c r="D4365" s="396" t="s">
        <v>8436</v>
      </c>
      <c r="E4365" s="396" t="s">
        <v>8437</v>
      </c>
      <c r="F4365" s="396" t="s">
        <v>8281</v>
      </c>
    </row>
    <row r="4366">
      <c r="A4366" s="311">
        <v>4365</v>
      </c>
      <c r="B4366" s="396" t="s">
        <v>8469</v>
      </c>
      <c r="C4366" s="396" t="s">
        <v>637</v>
      </c>
      <c r="D4366" s="396" t="s">
        <v>8436</v>
      </c>
      <c r="E4366" s="396" t="s">
        <v>8437</v>
      </c>
      <c r="F4366" s="396" t="s">
        <v>8281</v>
      </c>
    </row>
    <row r="4367">
      <c r="A4367" s="311">
        <v>4366</v>
      </c>
      <c r="B4367" s="396" t="s">
        <v>8470</v>
      </c>
      <c r="C4367" s="396" t="s">
        <v>8471</v>
      </c>
      <c r="D4367" s="396" t="s">
        <v>8436</v>
      </c>
      <c r="E4367" s="396" t="s">
        <v>8437</v>
      </c>
      <c r="F4367" s="396" t="s">
        <v>8281</v>
      </c>
    </row>
    <row r="4368">
      <c r="A4368" s="311">
        <v>4367</v>
      </c>
      <c r="B4368" s="396" t="s">
        <v>8472</v>
      </c>
      <c r="C4368" s="396" t="s">
        <v>645</v>
      </c>
      <c r="D4368" s="396" t="s">
        <v>8436</v>
      </c>
      <c r="E4368" s="396" t="s">
        <v>8437</v>
      </c>
      <c r="F4368" s="396" t="s">
        <v>8281</v>
      </c>
    </row>
    <row r="4369">
      <c r="A4369" s="311">
        <v>4368</v>
      </c>
      <c r="B4369" s="396" t="s">
        <v>8473</v>
      </c>
      <c r="C4369" s="396" t="s">
        <v>8474</v>
      </c>
      <c r="D4369" s="396" t="s">
        <v>8436</v>
      </c>
      <c r="E4369" s="396" t="s">
        <v>8437</v>
      </c>
      <c r="F4369" s="396" t="s">
        <v>8281</v>
      </c>
    </row>
    <row r="4370">
      <c r="A4370" s="311">
        <v>4369</v>
      </c>
      <c r="B4370" s="396" t="s">
        <v>8475</v>
      </c>
      <c r="C4370" s="396" t="s">
        <v>8476</v>
      </c>
      <c r="D4370" s="396" t="s">
        <v>8436</v>
      </c>
      <c r="E4370" s="396" t="s">
        <v>8437</v>
      </c>
      <c r="F4370" s="396" t="s">
        <v>8281</v>
      </c>
    </row>
    <row r="4371">
      <c r="A4371" s="311">
        <v>4370</v>
      </c>
      <c r="B4371" s="396" t="s">
        <v>8477</v>
      </c>
      <c r="C4371" s="396" t="s">
        <v>8478</v>
      </c>
      <c r="D4371" s="396" t="s">
        <v>8436</v>
      </c>
      <c r="E4371" s="396" t="s">
        <v>8437</v>
      </c>
      <c r="F4371" s="396" t="s">
        <v>8281</v>
      </c>
    </row>
    <row r="4372">
      <c r="A4372" s="311">
        <v>4371</v>
      </c>
      <c r="B4372" s="396" t="s">
        <v>8479</v>
      </c>
      <c r="C4372" s="396" t="s">
        <v>6801</v>
      </c>
      <c r="D4372" s="396" t="s">
        <v>8436</v>
      </c>
      <c r="E4372" s="396" t="s">
        <v>8437</v>
      </c>
      <c r="F4372" s="396" t="s">
        <v>8281</v>
      </c>
    </row>
    <row r="4373">
      <c r="A4373" s="311">
        <v>4372</v>
      </c>
      <c r="B4373" s="396" t="s">
        <v>8480</v>
      </c>
      <c r="C4373" s="396" t="s">
        <v>1948</v>
      </c>
      <c r="D4373" s="396" t="s">
        <v>8436</v>
      </c>
      <c r="E4373" s="396" t="s">
        <v>8437</v>
      </c>
      <c r="F4373" s="396" t="s">
        <v>8281</v>
      </c>
    </row>
    <row r="4374">
      <c r="A4374" s="311">
        <v>4373</v>
      </c>
      <c r="B4374" s="396" t="s">
        <v>8481</v>
      </c>
      <c r="C4374" s="396" t="s">
        <v>8482</v>
      </c>
      <c r="D4374" s="396" t="s">
        <v>8436</v>
      </c>
      <c r="E4374" s="396" t="s">
        <v>8437</v>
      </c>
      <c r="F4374" s="396" t="s">
        <v>8281</v>
      </c>
    </row>
    <row r="4375">
      <c r="A4375" s="311">
        <v>4374</v>
      </c>
      <c r="B4375" s="396" t="s">
        <v>8483</v>
      </c>
      <c r="C4375" s="396" t="s">
        <v>8484</v>
      </c>
      <c r="D4375" s="396" t="s">
        <v>8436</v>
      </c>
      <c r="E4375" s="396" t="s">
        <v>8437</v>
      </c>
      <c r="F4375" s="396" t="s">
        <v>8281</v>
      </c>
    </row>
    <row r="4376">
      <c r="A4376" s="311">
        <v>4375</v>
      </c>
      <c r="B4376" s="396" t="s">
        <v>8485</v>
      </c>
      <c r="C4376" s="396" t="s">
        <v>5906</v>
      </c>
      <c r="D4376" s="396" t="s">
        <v>8436</v>
      </c>
      <c r="E4376" s="396" t="s">
        <v>8437</v>
      </c>
      <c r="F4376" s="396" t="s">
        <v>8281</v>
      </c>
    </row>
    <row r="4377">
      <c r="A4377" s="311">
        <v>4376</v>
      </c>
      <c r="B4377" s="396" t="s">
        <v>8486</v>
      </c>
      <c r="C4377" s="396" t="s">
        <v>4354</v>
      </c>
      <c r="D4377" s="396" t="s">
        <v>8436</v>
      </c>
      <c r="E4377" s="396" t="s">
        <v>8437</v>
      </c>
      <c r="F4377" s="396" t="s">
        <v>8281</v>
      </c>
    </row>
    <row r="4378">
      <c r="A4378" s="311">
        <v>4377</v>
      </c>
      <c r="B4378" s="396" t="s">
        <v>8487</v>
      </c>
      <c r="C4378" s="396" t="s">
        <v>657</v>
      </c>
      <c r="D4378" s="396" t="s">
        <v>8436</v>
      </c>
      <c r="E4378" s="396" t="s">
        <v>8437</v>
      </c>
      <c r="F4378" s="396" t="s">
        <v>8281</v>
      </c>
    </row>
    <row r="4379">
      <c r="A4379" s="311">
        <v>4378</v>
      </c>
      <c r="B4379" s="396" t="s">
        <v>8488</v>
      </c>
      <c r="C4379" s="396" t="s">
        <v>324</v>
      </c>
      <c r="D4379" s="396" t="s">
        <v>8436</v>
      </c>
      <c r="E4379" s="396" t="s">
        <v>8437</v>
      </c>
      <c r="F4379" s="396" t="s">
        <v>8281</v>
      </c>
    </row>
    <row r="4380">
      <c r="A4380" s="311">
        <v>4379</v>
      </c>
      <c r="B4380" s="396" t="s">
        <v>8489</v>
      </c>
      <c r="C4380" s="396" t="s">
        <v>8490</v>
      </c>
      <c r="D4380" s="396" t="s">
        <v>8436</v>
      </c>
      <c r="E4380" s="396" t="s">
        <v>8437</v>
      </c>
      <c r="F4380" s="396" t="s">
        <v>8281</v>
      </c>
    </row>
    <row r="4381">
      <c r="A4381" s="311">
        <v>4380</v>
      </c>
      <c r="B4381" s="396" t="s">
        <v>8491</v>
      </c>
      <c r="C4381" s="396" t="s">
        <v>6289</v>
      </c>
      <c r="D4381" s="396" t="s">
        <v>8436</v>
      </c>
      <c r="E4381" s="396" t="s">
        <v>8437</v>
      </c>
      <c r="F4381" s="396" t="s">
        <v>8281</v>
      </c>
    </row>
    <row r="4382">
      <c r="A4382" s="311">
        <v>4381</v>
      </c>
      <c r="B4382" s="396" t="s">
        <v>8492</v>
      </c>
      <c r="C4382" s="396" t="s">
        <v>8493</v>
      </c>
      <c r="D4382" s="396" t="s">
        <v>8436</v>
      </c>
      <c r="E4382" s="396" t="s">
        <v>8437</v>
      </c>
      <c r="F4382" s="396" t="s">
        <v>8281</v>
      </c>
    </row>
    <row r="4383">
      <c r="A4383" s="311">
        <v>4382</v>
      </c>
      <c r="B4383" s="396" t="s">
        <v>8494</v>
      </c>
      <c r="C4383" s="396" t="s">
        <v>8495</v>
      </c>
      <c r="D4383" s="396" t="s">
        <v>8436</v>
      </c>
      <c r="E4383" s="396" t="s">
        <v>8437</v>
      </c>
      <c r="F4383" s="396" t="s">
        <v>8281</v>
      </c>
    </row>
    <row r="4384">
      <c r="A4384" s="311">
        <v>4383</v>
      </c>
      <c r="B4384" s="396" t="s">
        <v>8496</v>
      </c>
      <c r="C4384" s="396" t="s">
        <v>8497</v>
      </c>
      <c r="D4384" s="396" t="s">
        <v>8436</v>
      </c>
      <c r="E4384" s="396" t="s">
        <v>8437</v>
      </c>
      <c r="F4384" s="396" t="s">
        <v>8281</v>
      </c>
    </row>
    <row r="4385">
      <c r="A4385" s="311">
        <v>4384</v>
      </c>
      <c r="B4385" s="396" t="s">
        <v>8498</v>
      </c>
      <c r="C4385" s="396" t="s">
        <v>946</v>
      </c>
      <c r="D4385" s="396" t="s">
        <v>8436</v>
      </c>
      <c r="E4385" s="396" t="s">
        <v>8437</v>
      </c>
      <c r="F4385" s="396" t="s">
        <v>8281</v>
      </c>
    </row>
    <row r="4386">
      <c r="A4386" s="311">
        <v>4385</v>
      </c>
      <c r="B4386" s="396" t="s">
        <v>8499</v>
      </c>
      <c r="C4386" s="396" t="s">
        <v>8500</v>
      </c>
      <c r="D4386" s="396" t="s">
        <v>8501</v>
      </c>
      <c r="E4386" s="396" t="s">
        <v>8502</v>
      </c>
      <c r="F4386" s="396" t="s">
        <v>8281</v>
      </c>
    </row>
    <row r="4387">
      <c r="A4387" s="311">
        <v>4386</v>
      </c>
      <c r="B4387" s="396" t="s">
        <v>8503</v>
      </c>
      <c r="C4387" s="396" t="s">
        <v>8504</v>
      </c>
      <c r="D4387" s="396" t="s">
        <v>8501</v>
      </c>
      <c r="E4387" s="396" t="s">
        <v>8502</v>
      </c>
      <c r="F4387" s="396" t="s">
        <v>8281</v>
      </c>
    </row>
    <row r="4388">
      <c r="A4388" s="311">
        <v>4387</v>
      </c>
      <c r="B4388" s="396" t="s">
        <v>8505</v>
      </c>
      <c r="C4388" s="396" t="s">
        <v>8506</v>
      </c>
      <c r="D4388" s="396" t="s">
        <v>8501</v>
      </c>
      <c r="E4388" s="396" t="s">
        <v>8502</v>
      </c>
      <c r="F4388" s="396" t="s">
        <v>8281</v>
      </c>
    </row>
    <row r="4389">
      <c r="A4389" s="311">
        <v>4388</v>
      </c>
      <c r="B4389" s="396" t="s">
        <v>8507</v>
      </c>
      <c r="C4389" s="396" t="s">
        <v>8508</v>
      </c>
      <c r="D4389" s="396" t="s">
        <v>8501</v>
      </c>
      <c r="E4389" s="396" t="s">
        <v>8502</v>
      </c>
      <c r="F4389" s="396" t="s">
        <v>8281</v>
      </c>
    </row>
    <row r="4390">
      <c r="A4390" s="311">
        <v>4389</v>
      </c>
      <c r="B4390" s="396" t="s">
        <v>8509</v>
      </c>
      <c r="C4390" s="396" t="s">
        <v>8510</v>
      </c>
      <c r="D4390" s="396" t="s">
        <v>8501</v>
      </c>
      <c r="E4390" s="396" t="s">
        <v>8502</v>
      </c>
      <c r="F4390" s="396" t="s">
        <v>8281</v>
      </c>
    </row>
    <row r="4391">
      <c r="A4391" s="311">
        <v>4390</v>
      </c>
      <c r="B4391" s="396" t="s">
        <v>8511</v>
      </c>
      <c r="C4391" s="396" t="s">
        <v>8512</v>
      </c>
      <c r="D4391" s="396" t="s">
        <v>8501</v>
      </c>
      <c r="E4391" s="396" t="s">
        <v>8502</v>
      </c>
      <c r="F4391" s="396" t="s">
        <v>8281</v>
      </c>
    </row>
    <row r="4392">
      <c r="A4392" s="311">
        <v>4391</v>
      </c>
      <c r="B4392" s="396" t="s">
        <v>8513</v>
      </c>
      <c r="C4392" s="396" t="s">
        <v>8514</v>
      </c>
      <c r="D4392" s="396" t="s">
        <v>8501</v>
      </c>
      <c r="E4392" s="396" t="s">
        <v>8502</v>
      </c>
      <c r="F4392" s="396" t="s">
        <v>8281</v>
      </c>
    </row>
    <row r="4393">
      <c r="A4393" s="311">
        <v>4392</v>
      </c>
      <c r="B4393" s="396" t="s">
        <v>8515</v>
      </c>
      <c r="C4393" s="396" t="s">
        <v>661</v>
      </c>
      <c r="D4393" s="396" t="s">
        <v>8501</v>
      </c>
      <c r="E4393" s="396" t="s">
        <v>8502</v>
      </c>
      <c r="F4393" s="396" t="s">
        <v>8281</v>
      </c>
    </row>
    <row r="4394">
      <c r="A4394" s="311">
        <v>4393</v>
      </c>
      <c r="B4394" s="396" t="s">
        <v>8516</v>
      </c>
      <c r="C4394" s="396" t="s">
        <v>8517</v>
      </c>
      <c r="D4394" s="396" t="s">
        <v>8501</v>
      </c>
      <c r="E4394" s="396" t="s">
        <v>8502</v>
      </c>
      <c r="F4394" s="396" t="s">
        <v>8281</v>
      </c>
    </row>
    <row r="4395">
      <c r="A4395" s="311">
        <v>4394</v>
      </c>
      <c r="B4395" s="396" t="s">
        <v>8518</v>
      </c>
      <c r="C4395" s="396" t="s">
        <v>8519</v>
      </c>
      <c r="D4395" s="396" t="s">
        <v>8501</v>
      </c>
      <c r="E4395" s="396" t="s">
        <v>8502</v>
      </c>
      <c r="F4395" s="396" t="s">
        <v>8281</v>
      </c>
    </row>
    <row r="4396">
      <c r="A4396" s="311">
        <v>4395</v>
      </c>
      <c r="B4396" s="396" t="s">
        <v>8520</v>
      </c>
      <c r="C4396" s="396" t="s">
        <v>8521</v>
      </c>
      <c r="D4396" s="396" t="s">
        <v>8501</v>
      </c>
      <c r="E4396" s="396" t="s">
        <v>8502</v>
      </c>
      <c r="F4396" s="396" t="s">
        <v>8281</v>
      </c>
    </row>
    <row r="4397">
      <c r="A4397" s="311">
        <v>4396</v>
      </c>
      <c r="B4397" s="396" t="s">
        <v>8522</v>
      </c>
      <c r="C4397" s="396" t="s">
        <v>8523</v>
      </c>
      <c r="D4397" s="396" t="s">
        <v>8501</v>
      </c>
      <c r="E4397" s="396" t="s">
        <v>8502</v>
      </c>
      <c r="F4397" s="396" t="s">
        <v>8281</v>
      </c>
    </row>
    <row r="4398">
      <c r="A4398" s="311">
        <v>4397</v>
      </c>
      <c r="B4398" s="396" t="s">
        <v>8524</v>
      </c>
      <c r="C4398" s="396" t="s">
        <v>8525</v>
      </c>
      <c r="D4398" s="396" t="s">
        <v>8501</v>
      </c>
      <c r="E4398" s="396" t="s">
        <v>8502</v>
      </c>
      <c r="F4398" s="396" t="s">
        <v>8281</v>
      </c>
    </row>
    <row r="4399">
      <c r="A4399" s="311">
        <v>4398</v>
      </c>
      <c r="B4399" s="396" t="s">
        <v>8526</v>
      </c>
      <c r="C4399" s="396" t="s">
        <v>8527</v>
      </c>
      <c r="D4399" s="396" t="s">
        <v>8501</v>
      </c>
      <c r="E4399" s="396" t="s">
        <v>8502</v>
      </c>
      <c r="F4399" s="396" t="s">
        <v>8281</v>
      </c>
    </row>
    <row r="4400">
      <c r="A4400" s="311">
        <v>4399</v>
      </c>
      <c r="B4400" s="396" t="s">
        <v>8528</v>
      </c>
      <c r="C4400" s="396" t="s">
        <v>8529</v>
      </c>
      <c r="D4400" s="396" t="s">
        <v>8501</v>
      </c>
      <c r="E4400" s="396" t="s">
        <v>8502</v>
      </c>
      <c r="F4400" s="396" t="s">
        <v>8281</v>
      </c>
    </row>
    <row r="4401">
      <c r="A4401" s="311">
        <v>4400</v>
      </c>
      <c r="B4401" s="396" t="s">
        <v>8530</v>
      </c>
      <c r="C4401" s="396" t="s">
        <v>8531</v>
      </c>
      <c r="D4401" s="396" t="s">
        <v>8501</v>
      </c>
      <c r="E4401" s="396" t="s">
        <v>8502</v>
      </c>
      <c r="F4401" s="396" t="s">
        <v>8281</v>
      </c>
    </row>
    <row r="4402">
      <c r="A4402" s="311">
        <v>4401</v>
      </c>
      <c r="B4402" s="396" t="s">
        <v>8532</v>
      </c>
      <c r="C4402" s="396" t="s">
        <v>8533</v>
      </c>
      <c r="D4402" s="396" t="s">
        <v>8501</v>
      </c>
      <c r="E4402" s="396" t="s">
        <v>8502</v>
      </c>
      <c r="F4402" s="396" t="s">
        <v>8281</v>
      </c>
    </row>
    <row r="4403">
      <c r="A4403" s="311">
        <v>4402</v>
      </c>
      <c r="B4403" s="396" t="s">
        <v>8534</v>
      </c>
      <c r="C4403" s="396" t="s">
        <v>8535</v>
      </c>
      <c r="D4403" s="396" t="s">
        <v>8501</v>
      </c>
      <c r="E4403" s="396" t="s">
        <v>8502</v>
      </c>
      <c r="F4403" s="396" t="s">
        <v>8281</v>
      </c>
    </row>
    <row r="4404">
      <c r="A4404" s="311">
        <v>4403</v>
      </c>
      <c r="B4404" s="396" t="s">
        <v>8536</v>
      </c>
      <c r="C4404" s="396" t="s">
        <v>8537</v>
      </c>
      <c r="D4404" s="396" t="s">
        <v>8501</v>
      </c>
      <c r="E4404" s="396" t="s">
        <v>8502</v>
      </c>
      <c r="F4404" s="396" t="s">
        <v>8281</v>
      </c>
    </row>
    <row r="4405">
      <c r="A4405" s="311">
        <v>4404</v>
      </c>
      <c r="B4405" s="396" t="s">
        <v>8538</v>
      </c>
      <c r="C4405" s="396" t="s">
        <v>8539</v>
      </c>
      <c r="D4405" s="396" t="s">
        <v>8501</v>
      </c>
      <c r="E4405" s="396" t="s">
        <v>8502</v>
      </c>
      <c r="F4405" s="396" t="s">
        <v>8281</v>
      </c>
    </row>
    <row r="4406">
      <c r="A4406" s="311">
        <v>4405</v>
      </c>
      <c r="B4406" s="396" t="s">
        <v>8540</v>
      </c>
      <c r="C4406" s="396" t="s">
        <v>8541</v>
      </c>
      <c r="D4406" s="396" t="s">
        <v>8501</v>
      </c>
      <c r="E4406" s="396" t="s">
        <v>8502</v>
      </c>
      <c r="F4406" s="396" t="s">
        <v>8281</v>
      </c>
    </row>
    <row r="4407">
      <c r="A4407" s="311">
        <v>4406</v>
      </c>
      <c r="B4407" s="396" t="s">
        <v>8542</v>
      </c>
      <c r="C4407" s="396" t="s">
        <v>8543</v>
      </c>
      <c r="D4407" s="396" t="s">
        <v>8501</v>
      </c>
      <c r="E4407" s="396" t="s">
        <v>8502</v>
      </c>
      <c r="F4407" s="396" t="s">
        <v>8281</v>
      </c>
    </row>
    <row r="4408">
      <c r="A4408" s="311">
        <v>4407</v>
      </c>
      <c r="B4408" s="396" t="s">
        <v>8544</v>
      </c>
      <c r="C4408" s="396" t="s">
        <v>8545</v>
      </c>
      <c r="D4408" s="396" t="s">
        <v>8501</v>
      </c>
      <c r="E4408" s="396" t="s">
        <v>8502</v>
      </c>
      <c r="F4408" s="396" t="s">
        <v>8281</v>
      </c>
    </row>
    <row r="4409">
      <c r="A4409" s="311">
        <v>4408</v>
      </c>
      <c r="B4409" s="396" t="s">
        <v>8546</v>
      </c>
      <c r="C4409" s="396" t="s">
        <v>8547</v>
      </c>
      <c r="D4409" s="396" t="s">
        <v>8501</v>
      </c>
      <c r="E4409" s="396" t="s">
        <v>8502</v>
      </c>
      <c r="F4409" s="396" t="s">
        <v>8281</v>
      </c>
    </row>
    <row r="4410">
      <c r="A4410" s="311">
        <v>4409</v>
      </c>
      <c r="B4410" s="396" t="s">
        <v>8548</v>
      </c>
      <c r="C4410" s="396" t="s">
        <v>8549</v>
      </c>
      <c r="D4410" s="396" t="s">
        <v>8501</v>
      </c>
      <c r="E4410" s="396" t="s">
        <v>8502</v>
      </c>
      <c r="F4410" s="396" t="s">
        <v>8281</v>
      </c>
    </row>
    <row r="4411">
      <c r="A4411" s="311">
        <v>4410</v>
      </c>
      <c r="B4411" s="396" t="s">
        <v>8550</v>
      </c>
      <c r="C4411" s="396" t="s">
        <v>8551</v>
      </c>
      <c r="D4411" s="396" t="s">
        <v>8501</v>
      </c>
      <c r="E4411" s="396" t="s">
        <v>8502</v>
      </c>
      <c r="F4411" s="396" t="s">
        <v>8281</v>
      </c>
    </row>
    <row r="4412">
      <c r="A4412" s="311">
        <v>4411</v>
      </c>
      <c r="B4412" s="396" t="s">
        <v>8552</v>
      </c>
      <c r="C4412" s="396" t="s">
        <v>8553</v>
      </c>
      <c r="D4412" s="396" t="s">
        <v>8501</v>
      </c>
      <c r="E4412" s="396" t="s">
        <v>8502</v>
      </c>
      <c r="F4412" s="396" t="s">
        <v>8281</v>
      </c>
    </row>
    <row r="4413">
      <c r="A4413" s="311">
        <v>4412</v>
      </c>
      <c r="B4413" s="396" t="s">
        <v>8554</v>
      </c>
      <c r="C4413" s="396" t="s">
        <v>8555</v>
      </c>
      <c r="D4413" s="396" t="s">
        <v>8501</v>
      </c>
      <c r="E4413" s="396" t="s">
        <v>8502</v>
      </c>
      <c r="F4413" s="396" t="s">
        <v>8281</v>
      </c>
    </row>
    <row r="4414">
      <c r="A4414" s="311">
        <v>4413</v>
      </c>
      <c r="B4414" s="396" t="s">
        <v>8556</v>
      </c>
      <c r="C4414" s="396" t="s">
        <v>8557</v>
      </c>
      <c r="D4414" s="396" t="s">
        <v>8501</v>
      </c>
      <c r="E4414" s="396" t="s">
        <v>8502</v>
      </c>
      <c r="F4414" s="396" t="s">
        <v>8281</v>
      </c>
    </row>
    <row r="4415">
      <c r="A4415" s="311">
        <v>4414</v>
      </c>
      <c r="B4415" s="396" t="s">
        <v>8558</v>
      </c>
      <c r="C4415" s="396" t="s">
        <v>8559</v>
      </c>
      <c r="D4415" s="396" t="s">
        <v>8501</v>
      </c>
      <c r="E4415" s="396" t="s">
        <v>8502</v>
      </c>
      <c r="F4415" s="396" t="s">
        <v>8281</v>
      </c>
    </row>
    <row r="4416">
      <c r="A4416" s="311">
        <v>4415</v>
      </c>
      <c r="B4416" s="396" t="s">
        <v>8560</v>
      </c>
      <c r="C4416" s="396" t="s">
        <v>7422</v>
      </c>
      <c r="D4416" s="396" t="s">
        <v>8501</v>
      </c>
      <c r="E4416" s="396" t="s">
        <v>8502</v>
      </c>
      <c r="F4416" s="396" t="s">
        <v>8281</v>
      </c>
    </row>
    <row r="4417">
      <c r="A4417" s="311">
        <v>4416</v>
      </c>
      <c r="B4417" s="396" t="s">
        <v>8561</v>
      </c>
      <c r="C4417" s="396" t="s">
        <v>8562</v>
      </c>
      <c r="D4417" s="396" t="s">
        <v>8501</v>
      </c>
      <c r="E4417" s="396" t="s">
        <v>8502</v>
      </c>
      <c r="F4417" s="396" t="s">
        <v>8281</v>
      </c>
    </row>
    <row r="4418">
      <c r="A4418" s="311">
        <v>4417</v>
      </c>
      <c r="B4418" s="396" t="s">
        <v>8563</v>
      </c>
      <c r="C4418" s="396" t="s">
        <v>639</v>
      </c>
      <c r="D4418" s="396" t="s">
        <v>8501</v>
      </c>
      <c r="E4418" s="396" t="s">
        <v>8502</v>
      </c>
      <c r="F4418" s="396" t="s">
        <v>8281</v>
      </c>
    </row>
    <row r="4419">
      <c r="A4419" s="311">
        <v>4418</v>
      </c>
      <c r="B4419" s="396" t="s">
        <v>8564</v>
      </c>
      <c r="C4419" s="396" t="s">
        <v>1669</v>
      </c>
      <c r="D4419" s="396" t="s">
        <v>8501</v>
      </c>
      <c r="E4419" s="396" t="s">
        <v>8502</v>
      </c>
      <c r="F4419" s="396" t="s">
        <v>8281</v>
      </c>
    </row>
    <row r="4420">
      <c r="A4420" s="311">
        <v>4419</v>
      </c>
      <c r="B4420" s="396" t="s">
        <v>8565</v>
      </c>
      <c r="C4420" s="396" t="s">
        <v>8566</v>
      </c>
      <c r="D4420" s="396" t="s">
        <v>8501</v>
      </c>
      <c r="E4420" s="396" t="s">
        <v>8502</v>
      </c>
      <c r="F4420" s="396" t="s">
        <v>8281</v>
      </c>
    </row>
    <row r="4421">
      <c r="A4421" s="311">
        <v>4420</v>
      </c>
      <c r="B4421" s="396" t="s">
        <v>8567</v>
      </c>
      <c r="C4421" s="396" t="s">
        <v>1376</v>
      </c>
      <c r="D4421" s="396" t="s">
        <v>8501</v>
      </c>
      <c r="E4421" s="396" t="s">
        <v>8502</v>
      </c>
      <c r="F4421" s="396" t="s">
        <v>8281</v>
      </c>
    </row>
    <row r="4422">
      <c r="A4422" s="311">
        <v>4421</v>
      </c>
      <c r="B4422" s="396" t="s">
        <v>8568</v>
      </c>
      <c r="C4422" s="396" t="s">
        <v>8569</v>
      </c>
      <c r="D4422" s="396" t="s">
        <v>8501</v>
      </c>
      <c r="E4422" s="396" t="s">
        <v>8502</v>
      </c>
      <c r="F4422" s="396" t="s">
        <v>8281</v>
      </c>
    </row>
    <row r="4423">
      <c r="A4423" s="311">
        <v>4422</v>
      </c>
      <c r="B4423" s="396" t="s">
        <v>8570</v>
      </c>
      <c r="C4423" s="396" t="s">
        <v>8417</v>
      </c>
      <c r="D4423" s="396" t="s">
        <v>8501</v>
      </c>
      <c r="E4423" s="396" t="s">
        <v>8502</v>
      </c>
      <c r="F4423" s="396" t="s">
        <v>8281</v>
      </c>
    </row>
    <row r="4424">
      <c r="A4424" s="311">
        <v>4423</v>
      </c>
      <c r="B4424" s="396" t="s">
        <v>8571</v>
      </c>
      <c r="C4424" s="396" t="s">
        <v>8572</v>
      </c>
      <c r="D4424" s="396" t="s">
        <v>8501</v>
      </c>
      <c r="E4424" s="396" t="s">
        <v>8502</v>
      </c>
      <c r="F4424" s="396" t="s">
        <v>8281</v>
      </c>
    </row>
    <row r="4425">
      <c r="A4425" s="311">
        <v>4424</v>
      </c>
      <c r="B4425" s="396" t="s">
        <v>8573</v>
      </c>
      <c r="C4425" s="396" t="s">
        <v>8574</v>
      </c>
      <c r="D4425" s="396" t="s">
        <v>8501</v>
      </c>
      <c r="E4425" s="396" t="s">
        <v>8502</v>
      </c>
      <c r="F4425" s="396" t="s">
        <v>8281</v>
      </c>
    </row>
    <row r="4426">
      <c r="A4426" s="311">
        <v>4425</v>
      </c>
      <c r="B4426" s="396" t="s">
        <v>8575</v>
      </c>
      <c r="C4426" s="396" t="s">
        <v>8576</v>
      </c>
      <c r="D4426" s="396" t="s">
        <v>8501</v>
      </c>
      <c r="E4426" s="396" t="s">
        <v>8502</v>
      </c>
      <c r="F4426" s="396" t="s">
        <v>8281</v>
      </c>
    </row>
    <row r="4427">
      <c r="A4427" s="311">
        <v>4426</v>
      </c>
      <c r="B4427" s="396" t="s">
        <v>8577</v>
      </c>
      <c r="C4427" s="396" t="s">
        <v>8578</v>
      </c>
      <c r="D4427" s="396" t="s">
        <v>8501</v>
      </c>
      <c r="E4427" s="396" t="s">
        <v>8502</v>
      </c>
      <c r="F4427" s="396" t="s">
        <v>8281</v>
      </c>
    </row>
    <row r="4428">
      <c r="A4428" s="311">
        <v>4427</v>
      </c>
      <c r="B4428" s="396" t="s">
        <v>8579</v>
      </c>
      <c r="C4428" s="396" t="s">
        <v>7227</v>
      </c>
      <c r="D4428" s="396" t="s">
        <v>8501</v>
      </c>
      <c r="E4428" s="396" t="s">
        <v>8502</v>
      </c>
      <c r="F4428" s="396" t="s">
        <v>8281</v>
      </c>
    </row>
    <row r="4429">
      <c r="A4429" s="311">
        <v>4428</v>
      </c>
      <c r="B4429" s="396" t="s">
        <v>8580</v>
      </c>
      <c r="C4429" s="396" t="s">
        <v>8581</v>
      </c>
      <c r="D4429" s="396" t="s">
        <v>8501</v>
      </c>
      <c r="E4429" s="396" t="s">
        <v>8502</v>
      </c>
      <c r="F4429" s="396" t="s">
        <v>8281</v>
      </c>
    </row>
    <row r="4430">
      <c r="A4430" s="311">
        <v>4429</v>
      </c>
      <c r="B4430" s="396" t="s">
        <v>8582</v>
      </c>
      <c r="C4430" s="396" t="s">
        <v>1667</v>
      </c>
      <c r="D4430" s="396" t="s">
        <v>8501</v>
      </c>
      <c r="E4430" s="396" t="s">
        <v>8502</v>
      </c>
      <c r="F4430" s="396" t="s">
        <v>8281</v>
      </c>
    </row>
    <row r="4431">
      <c r="A4431" s="311">
        <v>4430</v>
      </c>
      <c r="B4431" s="396" t="s">
        <v>8583</v>
      </c>
      <c r="C4431" s="396" t="s">
        <v>4194</v>
      </c>
      <c r="D4431" s="396" t="s">
        <v>8501</v>
      </c>
      <c r="E4431" s="396" t="s">
        <v>8502</v>
      </c>
      <c r="F4431" s="396" t="s">
        <v>8281</v>
      </c>
    </row>
    <row r="4432">
      <c r="A4432" s="311">
        <v>4431</v>
      </c>
      <c r="B4432" s="396" t="s">
        <v>8584</v>
      </c>
      <c r="C4432" s="396" t="s">
        <v>8585</v>
      </c>
      <c r="D4432" s="396" t="s">
        <v>8501</v>
      </c>
      <c r="E4432" s="396" t="s">
        <v>8502</v>
      </c>
      <c r="F4432" s="396" t="s">
        <v>8281</v>
      </c>
    </row>
    <row r="4433">
      <c r="A4433" s="311">
        <v>4432</v>
      </c>
      <c r="B4433" s="396" t="s">
        <v>8586</v>
      </c>
      <c r="C4433" s="396" t="s">
        <v>8587</v>
      </c>
      <c r="D4433" s="396" t="s">
        <v>8501</v>
      </c>
      <c r="E4433" s="396" t="s">
        <v>8502</v>
      </c>
      <c r="F4433" s="396" t="s">
        <v>8281</v>
      </c>
    </row>
    <row r="4434">
      <c r="A4434" s="311">
        <v>4433</v>
      </c>
      <c r="B4434" s="396" t="s">
        <v>8588</v>
      </c>
      <c r="C4434" s="396" t="s">
        <v>8589</v>
      </c>
      <c r="D4434" s="396" t="s">
        <v>8590</v>
      </c>
      <c r="E4434" s="396" t="s">
        <v>8591</v>
      </c>
      <c r="F4434" s="396" t="s">
        <v>8281</v>
      </c>
    </row>
    <row r="4435">
      <c r="A4435" s="311">
        <v>4434</v>
      </c>
      <c r="B4435" s="396" t="s">
        <v>8592</v>
      </c>
      <c r="C4435" s="396" t="s">
        <v>5477</v>
      </c>
      <c r="D4435" s="396" t="s">
        <v>8590</v>
      </c>
      <c r="E4435" s="396" t="s">
        <v>8591</v>
      </c>
      <c r="F4435" s="396" t="s">
        <v>8281</v>
      </c>
    </row>
    <row r="4436">
      <c r="A4436" s="311">
        <v>4435</v>
      </c>
      <c r="B4436" s="396" t="s">
        <v>8593</v>
      </c>
      <c r="C4436" s="396" t="s">
        <v>8594</v>
      </c>
      <c r="D4436" s="396" t="s">
        <v>8590</v>
      </c>
      <c r="E4436" s="396" t="s">
        <v>8591</v>
      </c>
      <c r="F4436" s="396" t="s">
        <v>8281</v>
      </c>
    </row>
    <row r="4437">
      <c r="A4437" s="311">
        <v>4436</v>
      </c>
      <c r="B4437" s="396" t="s">
        <v>8595</v>
      </c>
      <c r="C4437" s="396" t="s">
        <v>8596</v>
      </c>
      <c r="D4437" s="396" t="s">
        <v>8590</v>
      </c>
      <c r="E4437" s="396" t="s">
        <v>8591</v>
      </c>
      <c r="F4437" s="396" t="s">
        <v>8281</v>
      </c>
    </row>
    <row r="4438">
      <c r="A4438" s="311">
        <v>4437</v>
      </c>
      <c r="B4438" s="396" t="s">
        <v>8597</v>
      </c>
      <c r="C4438" s="396" t="s">
        <v>8598</v>
      </c>
      <c r="D4438" s="396" t="s">
        <v>8590</v>
      </c>
      <c r="E4438" s="396" t="s">
        <v>8591</v>
      </c>
      <c r="F4438" s="396" t="s">
        <v>8281</v>
      </c>
    </row>
    <row r="4439">
      <c r="A4439" s="311">
        <v>4438</v>
      </c>
      <c r="B4439" s="396" t="s">
        <v>8599</v>
      </c>
      <c r="C4439" s="396" t="s">
        <v>5148</v>
      </c>
      <c r="D4439" s="396" t="s">
        <v>8590</v>
      </c>
      <c r="E4439" s="396" t="s">
        <v>8591</v>
      </c>
      <c r="F4439" s="396" t="s">
        <v>8281</v>
      </c>
    </row>
    <row r="4440">
      <c r="A4440" s="311">
        <v>4439</v>
      </c>
      <c r="B4440" s="396" t="s">
        <v>8600</v>
      </c>
      <c r="C4440" s="396" t="s">
        <v>7536</v>
      </c>
      <c r="D4440" s="396" t="s">
        <v>8590</v>
      </c>
      <c r="E4440" s="396" t="s">
        <v>8591</v>
      </c>
      <c r="F4440" s="396" t="s">
        <v>8281</v>
      </c>
    </row>
    <row r="4441">
      <c r="A4441" s="311">
        <v>4440</v>
      </c>
      <c r="B4441" s="396" t="s">
        <v>8601</v>
      </c>
      <c r="C4441" s="396" t="s">
        <v>8602</v>
      </c>
      <c r="D4441" s="396" t="s">
        <v>8590</v>
      </c>
      <c r="E4441" s="396" t="s">
        <v>8591</v>
      </c>
      <c r="F4441" s="396" t="s">
        <v>8281</v>
      </c>
    </row>
    <row r="4442">
      <c r="A4442" s="311">
        <v>4441</v>
      </c>
      <c r="B4442" s="396" t="s">
        <v>8603</v>
      </c>
      <c r="C4442" s="396" t="s">
        <v>8604</v>
      </c>
      <c r="D4442" s="396" t="s">
        <v>8590</v>
      </c>
      <c r="E4442" s="396" t="s">
        <v>8591</v>
      </c>
      <c r="F4442" s="396" t="s">
        <v>8281</v>
      </c>
    </row>
    <row r="4443">
      <c r="A4443" s="311">
        <v>4442</v>
      </c>
      <c r="B4443" s="396" t="s">
        <v>8605</v>
      </c>
      <c r="C4443" s="396" t="s">
        <v>8606</v>
      </c>
      <c r="D4443" s="396" t="s">
        <v>8590</v>
      </c>
      <c r="E4443" s="396" t="s">
        <v>8591</v>
      </c>
      <c r="F4443" s="396" t="s">
        <v>8281</v>
      </c>
    </row>
    <row r="4444">
      <c r="A4444" s="311">
        <v>4443</v>
      </c>
      <c r="B4444" s="396" t="s">
        <v>8607</v>
      </c>
      <c r="C4444" s="396" t="s">
        <v>8493</v>
      </c>
      <c r="D4444" s="396" t="s">
        <v>8590</v>
      </c>
      <c r="E4444" s="396" t="s">
        <v>8591</v>
      </c>
      <c r="F4444" s="396" t="s">
        <v>8281</v>
      </c>
    </row>
    <row r="4445">
      <c r="A4445" s="311">
        <v>4444</v>
      </c>
      <c r="B4445" s="396" t="s">
        <v>8608</v>
      </c>
      <c r="C4445" s="396" t="s">
        <v>1334</v>
      </c>
      <c r="D4445" s="396" t="s">
        <v>8590</v>
      </c>
      <c r="E4445" s="396" t="s">
        <v>8591</v>
      </c>
      <c r="F4445" s="396" t="s">
        <v>8281</v>
      </c>
    </row>
    <row r="4446">
      <c r="A4446" s="311">
        <v>4445</v>
      </c>
      <c r="B4446" s="396" t="s">
        <v>8609</v>
      </c>
      <c r="C4446" s="396" t="s">
        <v>8610</v>
      </c>
      <c r="D4446" s="396" t="s">
        <v>8590</v>
      </c>
      <c r="E4446" s="396" t="s">
        <v>8591</v>
      </c>
      <c r="F4446" s="396" t="s">
        <v>8281</v>
      </c>
    </row>
    <row r="4447">
      <c r="A4447" s="311">
        <v>4446</v>
      </c>
      <c r="B4447" s="396" t="s">
        <v>8611</v>
      </c>
      <c r="C4447" s="396" t="s">
        <v>4354</v>
      </c>
      <c r="D4447" s="396" t="s">
        <v>8590</v>
      </c>
      <c r="E4447" s="396" t="s">
        <v>8591</v>
      </c>
      <c r="F4447" s="396" t="s">
        <v>8281</v>
      </c>
    </row>
    <row r="4448">
      <c r="A4448" s="311">
        <v>4447</v>
      </c>
      <c r="B4448" s="396" t="s">
        <v>8612</v>
      </c>
      <c r="C4448" s="396" t="s">
        <v>8340</v>
      </c>
      <c r="D4448" s="396" t="s">
        <v>8590</v>
      </c>
      <c r="E4448" s="396" t="s">
        <v>8591</v>
      </c>
      <c r="F4448" s="396" t="s">
        <v>8281</v>
      </c>
    </row>
    <row r="4449">
      <c r="A4449" s="311">
        <v>4448</v>
      </c>
      <c r="B4449" s="396" t="s">
        <v>8613</v>
      </c>
      <c r="C4449" s="396" t="s">
        <v>8614</v>
      </c>
      <c r="D4449" s="396" t="s">
        <v>8590</v>
      </c>
      <c r="E4449" s="396" t="s">
        <v>8591</v>
      </c>
      <c r="F4449" s="396" t="s">
        <v>8281</v>
      </c>
    </row>
    <row r="4450">
      <c r="A4450" s="311">
        <v>4449</v>
      </c>
      <c r="B4450" s="396" t="s">
        <v>8615</v>
      </c>
      <c r="C4450" s="396" t="s">
        <v>8616</v>
      </c>
      <c r="D4450" s="396" t="s">
        <v>8590</v>
      </c>
      <c r="E4450" s="396" t="s">
        <v>8591</v>
      </c>
      <c r="F4450" s="396" t="s">
        <v>8281</v>
      </c>
    </row>
    <row r="4451">
      <c r="A4451" s="311">
        <v>4450</v>
      </c>
      <c r="B4451" s="396" t="s">
        <v>8617</v>
      </c>
      <c r="C4451" s="396" t="s">
        <v>8618</v>
      </c>
      <c r="D4451" s="396" t="s">
        <v>8590</v>
      </c>
      <c r="E4451" s="396" t="s">
        <v>8591</v>
      </c>
      <c r="F4451" s="396" t="s">
        <v>8281</v>
      </c>
    </row>
    <row r="4452">
      <c r="A4452" s="311">
        <v>4451</v>
      </c>
      <c r="B4452" s="396" t="s">
        <v>8619</v>
      </c>
      <c r="C4452" s="396" t="s">
        <v>8620</v>
      </c>
      <c r="D4452" s="396" t="s">
        <v>8590</v>
      </c>
      <c r="E4452" s="396" t="s">
        <v>8591</v>
      </c>
      <c r="F4452" s="396" t="s">
        <v>8281</v>
      </c>
    </row>
    <row r="4453">
      <c r="A4453" s="311">
        <v>4452</v>
      </c>
      <c r="B4453" s="396" t="s">
        <v>8621</v>
      </c>
      <c r="C4453" s="396" t="s">
        <v>8622</v>
      </c>
      <c r="D4453" s="396" t="s">
        <v>8590</v>
      </c>
      <c r="E4453" s="396" t="s">
        <v>8591</v>
      </c>
      <c r="F4453" s="396" t="s">
        <v>8281</v>
      </c>
    </row>
    <row r="4454">
      <c r="A4454" s="311">
        <v>4453</v>
      </c>
      <c r="B4454" s="396" t="s">
        <v>8623</v>
      </c>
      <c r="C4454" s="396" t="s">
        <v>4358</v>
      </c>
      <c r="D4454" s="396" t="s">
        <v>8590</v>
      </c>
      <c r="E4454" s="396" t="s">
        <v>8591</v>
      </c>
      <c r="F4454" s="396" t="s">
        <v>8281</v>
      </c>
    </row>
    <row r="4455">
      <c r="A4455" s="311">
        <v>4454</v>
      </c>
      <c r="B4455" s="396" t="s">
        <v>8624</v>
      </c>
      <c r="C4455" s="396" t="s">
        <v>8625</v>
      </c>
      <c r="D4455" s="396" t="s">
        <v>8590</v>
      </c>
      <c r="E4455" s="396" t="s">
        <v>8591</v>
      </c>
      <c r="F4455" s="396" t="s">
        <v>8281</v>
      </c>
    </row>
    <row r="4456">
      <c r="A4456" s="311">
        <v>4455</v>
      </c>
      <c r="B4456" s="396" t="s">
        <v>8626</v>
      </c>
      <c r="C4456" s="396" t="s">
        <v>2165</v>
      </c>
      <c r="D4456" s="396" t="s">
        <v>8590</v>
      </c>
      <c r="E4456" s="396" t="s">
        <v>8591</v>
      </c>
      <c r="F4456" s="396" t="s">
        <v>8281</v>
      </c>
    </row>
    <row r="4457">
      <c r="A4457" s="311">
        <v>4456</v>
      </c>
      <c r="B4457" s="396" t="s">
        <v>8627</v>
      </c>
      <c r="C4457" s="396" t="s">
        <v>8628</v>
      </c>
      <c r="D4457" s="396" t="s">
        <v>8590</v>
      </c>
      <c r="E4457" s="396" t="s">
        <v>8591</v>
      </c>
      <c r="F4457" s="396" t="s">
        <v>8281</v>
      </c>
    </row>
    <row r="4458">
      <c r="A4458" s="311">
        <v>4457</v>
      </c>
      <c r="B4458" s="396" t="s">
        <v>8629</v>
      </c>
      <c r="C4458" s="396" t="s">
        <v>8630</v>
      </c>
      <c r="D4458" s="396" t="s">
        <v>8590</v>
      </c>
      <c r="E4458" s="396" t="s">
        <v>8591</v>
      </c>
      <c r="F4458" s="396" t="s">
        <v>8281</v>
      </c>
    </row>
    <row r="4459">
      <c r="A4459" s="311">
        <v>4458</v>
      </c>
      <c r="B4459" s="396" t="s">
        <v>8631</v>
      </c>
      <c r="C4459" s="396" t="s">
        <v>7219</v>
      </c>
      <c r="D4459" s="396" t="s">
        <v>8590</v>
      </c>
      <c r="E4459" s="396" t="s">
        <v>8591</v>
      </c>
      <c r="F4459" s="396" t="s">
        <v>8281</v>
      </c>
    </row>
    <row r="4460">
      <c r="A4460" s="311">
        <v>4459</v>
      </c>
      <c r="B4460" s="396" t="s">
        <v>8632</v>
      </c>
      <c r="C4460" s="396" t="s">
        <v>8633</v>
      </c>
      <c r="D4460" s="396" t="s">
        <v>8590</v>
      </c>
      <c r="E4460" s="396" t="s">
        <v>8591</v>
      </c>
      <c r="F4460" s="396" t="s">
        <v>8281</v>
      </c>
    </row>
    <row r="4461">
      <c r="A4461" s="311">
        <v>4460</v>
      </c>
      <c r="B4461" s="396" t="s">
        <v>8634</v>
      </c>
      <c r="C4461" s="396" t="s">
        <v>8635</v>
      </c>
      <c r="D4461" s="396" t="s">
        <v>8590</v>
      </c>
      <c r="E4461" s="396" t="s">
        <v>8591</v>
      </c>
      <c r="F4461" s="396" t="s">
        <v>8281</v>
      </c>
    </row>
    <row r="4462">
      <c r="A4462" s="311">
        <v>4461</v>
      </c>
      <c r="B4462" s="396" t="s">
        <v>8636</v>
      </c>
      <c r="C4462" s="396" t="s">
        <v>8637</v>
      </c>
      <c r="D4462" s="396" t="s">
        <v>8590</v>
      </c>
      <c r="E4462" s="396" t="s">
        <v>8591</v>
      </c>
      <c r="F4462" s="396" t="s">
        <v>8281</v>
      </c>
    </row>
    <row r="4463">
      <c r="A4463" s="311">
        <v>4462</v>
      </c>
      <c r="B4463" s="396" t="s">
        <v>8638</v>
      </c>
      <c r="C4463" s="396" t="s">
        <v>8639</v>
      </c>
      <c r="D4463" s="396" t="s">
        <v>8590</v>
      </c>
      <c r="E4463" s="396" t="s">
        <v>8591</v>
      </c>
      <c r="F4463" s="396" t="s">
        <v>8281</v>
      </c>
    </row>
    <row r="4464">
      <c r="A4464" s="311">
        <v>4463</v>
      </c>
      <c r="B4464" s="396" t="s">
        <v>8640</v>
      </c>
      <c r="C4464" s="396" t="s">
        <v>7222</v>
      </c>
      <c r="D4464" s="396" t="s">
        <v>8590</v>
      </c>
      <c r="E4464" s="396" t="s">
        <v>8591</v>
      </c>
      <c r="F4464" s="396" t="s">
        <v>8281</v>
      </c>
    </row>
    <row r="4465">
      <c r="A4465" s="311">
        <v>4464</v>
      </c>
      <c r="B4465" s="396" t="s">
        <v>8641</v>
      </c>
      <c r="C4465" s="396" t="s">
        <v>348</v>
      </c>
      <c r="D4465" s="396" t="s">
        <v>8590</v>
      </c>
      <c r="E4465" s="396" t="s">
        <v>8591</v>
      </c>
      <c r="F4465" s="396" t="s">
        <v>8281</v>
      </c>
    </row>
    <row r="4466">
      <c r="A4466" s="311">
        <v>4465</v>
      </c>
      <c r="B4466" s="396" t="s">
        <v>8642</v>
      </c>
      <c r="C4466" s="396" t="s">
        <v>7208</v>
      </c>
      <c r="D4466" s="396" t="s">
        <v>8590</v>
      </c>
      <c r="E4466" s="396" t="s">
        <v>8591</v>
      </c>
      <c r="F4466" s="396" t="s">
        <v>8281</v>
      </c>
    </row>
    <row r="4467">
      <c r="A4467" s="311">
        <v>4466</v>
      </c>
      <c r="B4467" s="396" t="s">
        <v>8643</v>
      </c>
      <c r="C4467" s="396" t="s">
        <v>8644</v>
      </c>
      <c r="D4467" s="396" t="s">
        <v>8590</v>
      </c>
      <c r="E4467" s="396" t="s">
        <v>8591</v>
      </c>
      <c r="F4467" s="396" t="s">
        <v>8281</v>
      </c>
    </row>
    <row r="4468">
      <c r="A4468" s="311">
        <v>4467</v>
      </c>
      <c r="B4468" s="396" t="s">
        <v>8645</v>
      </c>
      <c r="C4468" s="396" t="s">
        <v>8646</v>
      </c>
      <c r="D4468" s="396" t="s">
        <v>8590</v>
      </c>
      <c r="E4468" s="396" t="s">
        <v>8591</v>
      </c>
      <c r="F4468" s="396" t="s">
        <v>8281</v>
      </c>
    </row>
    <row r="4469">
      <c r="A4469" s="311">
        <v>4468</v>
      </c>
      <c r="B4469" s="396" t="s">
        <v>8647</v>
      </c>
      <c r="C4469" s="396" t="s">
        <v>8648</v>
      </c>
      <c r="D4469" s="396" t="s">
        <v>8649</v>
      </c>
      <c r="E4469" s="396" t="s">
        <v>8650</v>
      </c>
      <c r="F4469" s="396" t="s">
        <v>8281</v>
      </c>
    </row>
    <row r="4470">
      <c r="A4470" s="311">
        <v>4469</v>
      </c>
      <c r="B4470" s="396" t="s">
        <v>8651</v>
      </c>
      <c r="C4470" s="396" t="s">
        <v>8652</v>
      </c>
      <c r="D4470" s="396" t="s">
        <v>8649</v>
      </c>
      <c r="E4470" s="396" t="s">
        <v>8650</v>
      </c>
      <c r="F4470" s="396" t="s">
        <v>8281</v>
      </c>
    </row>
    <row r="4471">
      <c r="A4471" s="311">
        <v>4470</v>
      </c>
      <c r="B4471" s="396" t="s">
        <v>8653</v>
      </c>
      <c r="C4471" s="396" t="s">
        <v>7217</v>
      </c>
      <c r="D4471" s="396" t="s">
        <v>8649</v>
      </c>
      <c r="E4471" s="396" t="s">
        <v>8650</v>
      </c>
      <c r="F4471" s="396" t="s">
        <v>8281</v>
      </c>
    </row>
    <row r="4472">
      <c r="A4472" s="311">
        <v>4471</v>
      </c>
      <c r="B4472" s="396" t="s">
        <v>8654</v>
      </c>
      <c r="C4472" s="396" t="s">
        <v>3923</v>
      </c>
      <c r="D4472" s="396" t="s">
        <v>8649</v>
      </c>
      <c r="E4472" s="396" t="s">
        <v>8650</v>
      </c>
      <c r="F4472" s="396" t="s">
        <v>8281</v>
      </c>
    </row>
    <row r="4473">
      <c r="A4473" s="311">
        <v>4472</v>
      </c>
      <c r="B4473" s="396" t="s">
        <v>8655</v>
      </c>
      <c r="C4473" s="396" t="s">
        <v>8656</v>
      </c>
      <c r="D4473" s="396" t="s">
        <v>8649</v>
      </c>
      <c r="E4473" s="396" t="s">
        <v>8650</v>
      </c>
      <c r="F4473" s="396" t="s">
        <v>8281</v>
      </c>
    </row>
    <row r="4474">
      <c r="A4474" s="311">
        <v>4473</v>
      </c>
      <c r="B4474" s="396" t="s">
        <v>8657</v>
      </c>
      <c r="C4474" s="396" t="s">
        <v>1082</v>
      </c>
      <c r="D4474" s="396" t="s">
        <v>8649</v>
      </c>
      <c r="E4474" s="396" t="s">
        <v>8650</v>
      </c>
      <c r="F4474" s="396" t="s">
        <v>8281</v>
      </c>
    </row>
    <row r="4475">
      <c r="A4475" s="311">
        <v>4474</v>
      </c>
      <c r="B4475" s="396" t="s">
        <v>8658</v>
      </c>
      <c r="C4475" s="396" t="s">
        <v>8659</v>
      </c>
      <c r="D4475" s="396" t="s">
        <v>8649</v>
      </c>
      <c r="E4475" s="396" t="s">
        <v>8650</v>
      </c>
      <c r="F4475" s="396" t="s">
        <v>8281</v>
      </c>
    </row>
    <row r="4476">
      <c r="A4476" s="311">
        <v>4475</v>
      </c>
      <c r="B4476" s="396" t="s">
        <v>8660</v>
      </c>
      <c r="C4476" s="396" t="s">
        <v>5141</v>
      </c>
      <c r="D4476" s="396" t="s">
        <v>8649</v>
      </c>
      <c r="E4476" s="396" t="s">
        <v>8650</v>
      </c>
      <c r="F4476" s="396" t="s">
        <v>8281</v>
      </c>
    </row>
    <row r="4477">
      <c r="A4477" s="311">
        <v>4476</v>
      </c>
      <c r="B4477" s="396" t="s">
        <v>8661</v>
      </c>
      <c r="C4477" s="396" t="s">
        <v>1042</v>
      </c>
      <c r="D4477" s="396" t="s">
        <v>8649</v>
      </c>
      <c r="E4477" s="396" t="s">
        <v>8650</v>
      </c>
      <c r="F4477" s="396" t="s">
        <v>8281</v>
      </c>
    </row>
    <row r="4478">
      <c r="A4478" s="311">
        <v>4477</v>
      </c>
      <c r="B4478" s="396" t="s">
        <v>8662</v>
      </c>
      <c r="C4478" s="396" t="s">
        <v>1372</v>
      </c>
      <c r="D4478" s="396" t="s">
        <v>8649</v>
      </c>
      <c r="E4478" s="396" t="s">
        <v>8650</v>
      </c>
      <c r="F4478" s="396" t="s">
        <v>8281</v>
      </c>
    </row>
    <row r="4479">
      <c r="A4479" s="311">
        <v>4478</v>
      </c>
      <c r="B4479" s="396" t="s">
        <v>8663</v>
      </c>
      <c r="C4479" s="396" t="s">
        <v>5152</v>
      </c>
      <c r="D4479" s="396" t="s">
        <v>8649</v>
      </c>
      <c r="E4479" s="396" t="s">
        <v>8650</v>
      </c>
      <c r="F4479" s="396" t="s">
        <v>8281</v>
      </c>
    </row>
    <row r="4480">
      <c r="A4480" s="311">
        <v>4479</v>
      </c>
      <c r="B4480" s="396" t="s">
        <v>8664</v>
      </c>
      <c r="C4480" s="396" t="s">
        <v>8665</v>
      </c>
      <c r="D4480" s="396" t="s">
        <v>8649</v>
      </c>
      <c r="E4480" s="396" t="s">
        <v>8650</v>
      </c>
      <c r="F4480" s="396" t="s">
        <v>8281</v>
      </c>
    </row>
    <row r="4481">
      <c r="A4481" s="311">
        <v>4480</v>
      </c>
      <c r="B4481" s="396" t="s">
        <v>8666</v>
      </c>
      <c r="C4481" s="396" t="s">
        <v>8667</v>
      </c>
      <c r="D4481" s="396" t="s">
        <v>8649</v>
      </c>
      <c r="E4481" s="396" t="s">
        <v>8650</v>
      </c>
      <c r="F4481" s="396" t="s">
        <v>8281</v>
      </c>
    </row>
    <row r="4482">
      <c r="A4482" s="311">
        <v>4481</v>
      </c>
      <c r="B4482" s="396" t="s">
        <v>8668</v>
      </c>
      <c r="C4482" s="396" t="s">
        <v>1652</v>
      </c>
      <c r="D4482" s="396" t="s">
        <v>8649</v>
      </c>
      <c r="E4482" s="396" t="s">
        <v>8650</v>
      </c>
      <c r="F4482" s="396" t="s">
        <v>8281</v>
      </c>
    </row>
    <row r="4483">
      <c r="A4483" s="311">
        <v>4482</v>
      </c>
      <c r="B4483" s="396" t="s">
        <v>8669</v>
      </c>
      <c r="C4483" s="396" t="s">
        <v>1702</v>
      </c>
      <c r="D4483" s="396" t="s">
        <v>8649</v>
      </c>
      <c r="E4483" s="396" t="s">
        <v>8650</v>
      </c>
      <c r="F4483" s="396" t="s">
        <v>8281</v>
      </c>
    </row>
    <row r="4484">
      <c r="A4484" s="311">
        <v>4483</v>
      </c>
      <c r="B4484" s="396" t="s">
        <v>8670</v>
      </c>
      <c r="C4484" s="396" t="s">
        <v>8671</v>
      </c>
      <c r="D4484" s="396" t="s">
        <v>8649</v>
      </c>
      <c r="E4484" s="396" t="s">
        <v>8650</v>
      </c>
      <c r="F4484" s="396" t="s">
        <v>8281</v>
      </c>
    </row>
    <row r="4485">
      <c r="A4485" s="311">
        <v>4484</v>
      </c>
      <c r="B4485" s="396" t="s">
        <v>8672</v>
      </c>
      <c r="C4485" s="396" t="s">
        <v>8673</v>
      </c>
      <c r="D4485" s="396" t="s">
        <v>8649</v>
      </c>
      <c r="E4485" s="396" t="s">
        <v>8650</v>
      </c>
      <c r="F4485" s="396" t="s">
        <v>8281</v>
      </c>
    </row>
    <row r="4486">
      <c r="A4486" s="311">
        <v>4485</v>
      </c>
      <c r="B4486" s="396" t="s">
        <v>8674</v>
      </c>
      <c r="C4486" s="396" t="s">
        <v>8675</v>
      </c>
      <c r="D4486" s="396" t="s">
        <v>8649</v>
      </c>
      <c r="E4486" s="396" t="s">
        <v>8650</v>
      </c>
      <c r="F4486" s="396" t="s">
        <v>8281</v>
      </c>
    </row>
    <row r="4487">
      <c r="A4487" s="311">
        <v>4486</v>
      </c>
      <c r="B4487" s="396" t="s">
        <v>8676</v>
      </c>
      <c r="C4487" s="396" t="s">
        <v>1014</v>
      </c>
      <c r="D4487" s="396" t="s">
        <v>8649</v>
      </c>
      <c r="E4487" s="396" t="s">
        <v>8650</v>
      </c>
      <c r="F4487" s="396" t="s">
        <v>8281</v>
      </c>
    </row>
    <row r="4488">
      <c r="A4488" s="311">
        <v>4487</v>
      </c>
      <c r="B4488" s="396" t="s">
        <v>8677</v>
      </c>
      <c r="C4488" s="396" t="s">
        <v>970</v>
      </c>
      <c r="D4488" s="396" t="s">
        <v>8649</v>
      </c>
      <c r="E4488" s="396" t="s">
        <v>8650</v>
      </c>
      <c r="F4488" s="396" t="s">
        <v>8281</v>
      </c>
    </row>
    <row r="4489">
      <c r="A4489" s="311">
        <v>4488</v>
      </c>
      <c r="B4489" s="396" t="s">
        <v>8678</v>
      </c>
      <c r="C4489" s="396" t="s">
        <v>8679</v>
      </c>
      <c r="D4489" s="396" t="s">
        <v>8649</v>
      </c>
      <c r="E4489" s="396" t="s">
        <v>8650</v>
      </c>
      <c r="F4489" s="396" t="s">
        <v>8281</v>
      </c>
    </row>
    <row r="4490">
      <c r="A4490" s="311">
        <v>4489</v>
      </c>
      <c r="B4490" s="396" t="s">
        <v>8680</v>
      </c>
      <c r="C4490" s="396" t="s">
        <v>8681</v>
      </c>
      <c r="D4490" s="396" t="s">
        <v>8649</v>
      </c>
      <c r="E4490" s="396" t="s">
        <v>8650</v>
      </c>
      <c r="F4490" s="396" t="s">
        <v>8281</v>
      </c>
    </row>
    <row r="4491">
      <c r="A4491" s="311">
        <v>4490</v>
      </c>
      <c r="B4491" s="396" t="s">
        <v>8682</v>
      </c>
      <c r="C4491" s="396" t="s">
        <v>8683</v>
      </c>
      <c r="D4491" s="396" t="s">
        <v>8649</v>
      </c>
      <c r="E4491" s="396" t="s">
        <v>8650</v>
      </c>
      <c r="F4491" s="396" t="s">
        <v>8281</v>
      </c>
    </row>
    <row r="4492">
      <c r="A4492" s="311">
        <v>4491</v>
      </c>
      <c r="B4492" s="396" t="s">
        <v>8684</v>
      </c>
      <c r="C4492" s="396" t="s">
        <v>8685</v>
      </c>
      <c r="D4492" s="396" t="s">
        <v>8649</v>
      </c>
      <c r="E4492" s="396" t="s">
        <v>8650</v>
      </c>
      <c r="F4492" s="396" t="s">
        <v>8281</v>
      </c>
    </row>
    <row r="4493">
      <c r="A4493" s="311">
        <v>4492</v>
      </c>
      <c r="B4493" s="396" t="s">
        <v>8686</v>
      </c>
      <c r="C4493" s="396" t="s">
        <v>8687</v>
      </c>
      <c r="D4493" s="396" t="s">
        <v>8649</v>
      </c>
      <c r="E4493" s="396" t="s">
        <v>8650</v>
      </c>
      <c r="F4493" s="396" t="s">
        <v>8281</v>
      </c>
    </row>
    <row r="4494">
      <c r="A4494" s="311">
        <v>4493</v>
      </c>
      <c r="B4494" s="396" t="s">
        <v>8688</v>
      </c>
      <c r="C4494" s="396" t="s">
        <v>8689</v>
      </c>
      <c r="D4494" s="396" t="s">
        <v>8649</v>
      </c>
      <c r="E4494" s="396" t="s">
        <v>8650</v>
      </c>
      <c r="F4494" s="396" t="s">
        <v>8281</v>
      </c>
    </row>
    <row r="4495">
      <c r="A4495" s="311">
        <v>4494</v>
      </c>
      <c r="B4495" s="396" t="s">
        <v>8690</v>
      </c>
      <c r="C4495" s="396" t="s">
        <v>8691</v>
      </c>
      <c r="D4495" s="396" t="s">
        <v>8649</v>
      </c>
      <c r="E4495" s="396" t="s">
        <v>8650</v>
      </c>
      <c r="F4495" s="396" t="s">
        <v>8281</v>
      </c>
    </row>
    <row r="4496">
      <c r="A4496" s="311">
        <v>4495</v>
      </c>
      <c r="B4496" s="396" t="s">
        <v>8692</v>
      </c>
      <c r="C4496" s="396" t="s">
        <v>1568</v>
      </c>
      <c r="D4496" s="396" t="s">
        <v>8649</v>
      </c>
      <c r="E4496" s="396" t="s">
        <v>8650</v>
      </c>
      <c r="F4496" s="396" t="s">
        <v>8281</v>
      </c>
    </row>
    <row r="4497">
      <c r="A4497" s="311">
        <v>4496</v>
      </c>
      <c r="B4497" s="396" t="s">
        <v>8693</v>
      </c>
      <c r="C4497" s="396" t="s">
        <v>1086</v>
      </c>
      <c r="D4497" s="396" t="s">
        <v>8649</v>
      </c>
      <c r="E4497" s="396" t="s">
        <v>8650</v>
      </c>
      <c r="F4497" s="396" t="s">
        <v>8281</v>
      </c>
    </row>
    <row r="4498">
      <c r="A4498" s="311">
        <v>4497</v>
      </c>
      <c r="B4498" s="396" t="s">
        <v>8694</v>
      </c>
      <c r="C4498" s="396" t="s">
        <v>8695</v>
      </c>
      <c r="D4498" s="396" t="s">
        <v>8649</v>
      </c>
      <c r="E4498" s="396" t="s">
        <v>8650</v>
      </c>
      <c r="F4498" s="396" t="s">
        <v>8281</v>
      </c>
    </row>
    <row r="4499">
      <c r="A4499" s="311">
        <v>4498</v>
      </c>
      <c r="B4499" s="396" t="s">
        <v>8696</v>
      </c>
      <c r="C4499" s="396" t="s">
        <v>7540</v>
      </c>
      <c r="D4499" s="396" t="s">
        <v>8649</v>
      </c>
      <c r="E4499" s="396" t="s">
        <v>8650</v>
      </c>
      <c r="F4499" s="396" t="s">
        <v>8281</v>
      </c>
    </row>
    <row r="4500">
      <c r="A4500" s="311">
        <v>4499</v>
      </c>
      <c r="B4500" s="396" t="s">
        <v>8697</v>
      </c>
      <c r="C4500" s="396" t="s">
        <v>8698</v>
      </c>
      <c r="D4500" s="396" t="s">
        <v>8649</v>
      </c>
      <c r="E4500" s="396" t="s">
        <v>8650</v>
      </c>
      <c r="F4500" s="396" t="s">
        <v>8281</v>
      </c>
    </row>
    <row r="4501">
      <c r="A4501" s="311">
        <v>4500</v>
      </c>
      <c r="B4501" s="396" t="s">
        <v>8699</v>
      </c>
      <c r="C4501" s="396" t="s">
        <v>1115</v>
      </c>
      <c r="D4501" s="396" t="s">
        <v>8649</v>
      </c>
      <c r="E4501" s="396" t="s">
        <v>8650</v>
      </c>
      <c r="F4501" s="396" t="s">
        <v>8281</v>
      </c>
    </row>
    <row r="4502">
      <c r="A4502" s="311">
        <v>4501</v>
      </c>
      <c r="B4502" s="396" t="s">
        <v>8700</v>
      </c>
      <c r="C4502" s="396" t="s">
        <v>8701</v>
      </c>
      <c r="D4502" s="396" t="s">
        <v>8649</v>
      </c>
      <c r="E4502" s="396" t="s">
        <v>8650</v>
      </c>
      <c r="F4502" s="396" t="s">
        <v>8281</v>
      </c>
    </row>
    <row r="4503">
      <c r="A4503" s="311">
        <v>4502</v>
      </c>
      <c r="B4503" s="396" t="s">
        <v>8702</v>
      </c>
      <c r="C4503" s="396" t="s">
        <v>4347</v>
      </c>
      <c r="D4503" s="396" t="s">
        <v>8649</v>
      </c>
      <c r="E4503" s="396" t="s">
        <v>8650</v>
      </c>
      <c r="F4503" s="396" t="s">
        <v>8281</v>
      </c>
    </row>
    <row r="4504">
      <c r="A4504" s="311">
        <v>4503</v>
      </c>
      <c r="B4504" s="396" t="s">
        <v>8703</v>
      </c>
      <c r="C4504" s="396" t="s">
        <v>6779</v>
      </c>
      <c r="D4504" s="396" t="s">
        <v>8649</v>
      </c>
      <c r="E4504" s="396" t="s">
        <v>8650</v>
      </c>
      <c r="F4504" s="396" t="s">
        <v>8281</v>
      </c>
    </row>
    <row r="4505">
      <c r="A4505" s="311">
        <v>4504</v>
      </c>
      <c r="B4505" s="396" t="s">
        <v>8704</v>
      </c>
      <c r="C4505" s="396" t="s">
        <v>4851</v>
      </c>
      <c r="D4505" s="396" t="s">
        <v>8649</v>
      </c>
      <c r="E4505" s="396" t="s">
        <v>8650</v>
      </c>
      <c r="F4505" s="396" t="s">
        <v>8281</v>
      </c>
    </row>
    <row r="4506">
      <c r="A4506" s="311">
        <v>4505</v>
      </c>
      <c r="B4506" s="396" t="s">
        <v>8705</v>
      </c>
      <c r="C4506" s="396" t="s">
        <v>8706</v>
      </c>
      <c r="D4506" s="396" t="s">
        <v>8707</v>
      </c>
      <c r="E4506" s="396" t="s">
        <v>8708</v>
      </c>
      <c r="F4506" s="396" t="s">
        <v>8281</v>
      </c>
    </row>
    <row r="4507">
      <c r="A4507" s="311">
        <v>4506</v>
      </c>
      <c r="B4507" s="396" t="s">
        <v>8709</v>
      </c>
      <c r="C4507" s="396" t="s">
        <v>8710</v>
      </c>
      <c r="D4507" s="396" t="s">
        <v>8707</v>
      </c>
      <c r="E4507" s="396" t="s">
        <v>8708</v>
      </c>
      <c r="F4507" s="396" t="s">
        <v>8281</v>
      </c>
    </row>
    <row r="4508">
      <c r="A4508" s="311">
        <v>4507</v>
      </c>
      <c r="B4508" s="396" t="s">
        <v>8711</v>
      </c>
      <c r="C4508" s="396" t="s">
        <v>8208</v>
      </c>
      <c r="D4508" s="396" t="s">
        <v>8707</v>
      </c>
      <c r="E4508" s="396" t="s">
        <v>8708</v>
      </c>
      <c r="F4508" s="396" t="s">
        <v>8281</v>
      </c>
    </row>
    <row r="4509">
      <c r="A4509" s="311">
        <v>4508</v>
      </c>
      <c r="B4509" s="396" t="s">
        <v>8712</v>
      </c>
      <c r="C4509" s="396" t="s">
        <v>2787</v>
      </c>
      <c r="D4509" s="396" t="s">
        <v>8707</v>
      </c>
      <c r="E4509" s="396" t="s">
        <v>8708</v>
      </c>
      <c r="F4509" s="396" t="s">
        <v>8281</v>
      </c>
    </row>
    <row r="4510">
      <c r="A4510" s="311">
        <v>4509</v>
      </c>
      <c r="B4510" s="396" t="s">
        <v>8713</v>
      </c>
      <c r="C4510" s="396" t="s">
        <v>5648</v>
      </c>
      <c r="D4510" s="396" t="s">
        <v>8707</v>
      </c>
      <c r="E4510" s="396" t="s">
        <v>8708</v>
      </c>
      <c r="F4510" s="396" t="s">
        <v>8281</v>
      </c>
    </row>
    <row r="4511">
      <c r="A4511" s="311">
        <v>4510</v>
      </c>
      <c r="B4511" s="396" t="s">
        <v>8714</v>
      </c>
      <c r="C4511" s="396" t="s">
        <v>8715</v>
      </c>
      <c r="D4511" s="396" t="s">
        <v>8707</v>
      </c>
      <c r="E4511" s="396" t="s">
        <v>8708</v>
      </c>
      <c r="F4511" s="396" t="s">
        <v>8281</v>
      </c>
    </row>
    <row r="4512">
      <c r="A4512" s="311">
        <v>4511</v>
      </c>
      <c r="B4512" s="396" t="s">
        <v>8716</v>
      </c>
      <c r="C4512" s="396" t="s">
        <v>3622</v>
      </c>
      <c r="D4512" s="396" t="s">
        <v>8707</v>
      </c>
      <c r="E4512" s="396" t="s">
        <v>8708</v>
      </c>
      <c r="F4512" s="396" t="s">
        <v>8281</v>
      </c>
    </row>
    <row r="4513">
      <c r="A4513" s="311">
        <v>4512</v>
      </c>
      <c r="B4513" s="396" t="s">
        <v>8717</v>
      </c>
      <c r="C4513" s="396" t="s">
        <v>8718</v>
      </c>
      <c r="D4513" s="396" t="s">
        <v>8707</v>
      </c>
      <c r="E4513" s="396" t="s">
        <v>8708</v>
      </c>
      <c r="F4513" s="396" t="s">
        <v>8281</v>
      </c>
    </row>
    <row r="4514">
      <c r="A4514" s="311">
        <v>4513</v>
      </c>
      <c r="B4514" s="396" t="s">
        <v>8719</v>
      </c>
      <c r="C4514" s="396" t="s">
        <v>838</v>
      </c>
      <c r="D4514" s="396" t="s">
        <v>8707</v>
      </c>
      <c r="E4514" s="396" t="s">
        <v>8708</v>
      </c>
      <c r="F4514" s="396" t="s">
        <v>8281</v>
      </c>
    </row>
    <row r="4515">
      <c r="A4515" s="311">
        <v>4514</v>
      </c>
      <c r="B4515" s="396" t="s">
        <v>8720</v>
      </c>
      <c r="C4515" s="396" t="s">
        <v>360</v>
      </c>
      <c r="D4515" s="396" t="s">
        <v>8707</v>
      </c>
      <c r="E4515" s="396" t="s">
        <v>8708</v>
      </c>
      <c r="F4515" s="396" t="s">
        <v>8281</v>
      </c>
    </row>
    <row r="4516">
      <c r="A4516" s="311">
        <v>4515</v>
      </c>
      <c r="B4516" s="396" t="s">
        <v>8721</v>
      </c>
      <c r="C4516" s="396" t="s">
        <v>8722</v>
      </c>
      <c r="D4516" s="396" t="s">
        <v>8707</v>
      </c>
      <c r="E4516" s="396" t="s">
        <v>8708</v>
      </c>
      <c r="F4516" s="396" t="s">
        <v>8281</v>
      </c>
    </row>
    <row r="4517">
      <c r="A4517" s="311">
        <v>4516</v>
      </c>
      <c r="B4517" s="396" t="s">
        <v>8723</v>
      </c>
      <c r="C4517" s="396" t="s">
        <v>766</v>
      </c>
      <c r="D4517" s="396" t="s">
        <v>8707</v>
      </c>
      <c r="E4517" s="396" t="s">
        <v>8708</v>
      </c>
      <c r="F4517" s="396" t="s">
        <v>8281</v>
      </c>
    </row>
    <row r="4518">
      <c r="A4518" s="311">
        <v>4517</v>
      </c>
      <c r="B4518" s="396" t="s">
        <v>8724</v>
      </c>
      <c r="C4518" s="396" t="s">
        <v>8725</v>
      </c>
      <c r="D4518" s="396" t="s">
        <v>8707</v>
      </c>
      <c r="E4518" s="396" t="s">
        <v>8708</v>
      </c>
      <c r="F4518" s="396" t="s">
        <v>8281</v>
      </c>
    </row>
    <row r="4519">
      <c r="A4519" s="311">
        <v>4518</v>
      </c>
      <c r="B4519" s="396" t="s">
        <v>8726</v>
      </c>
      <c r="C4519" s="396" t="s">
        <v>671</v>
      </c>
      <c r="D4519" s="396" t="s">
        <v>8707</v>
      </c>
      <c r="E4519" s="396" t="s">
        <v>8708</v>
      </c>
      <c r="F4519" s="396" t="s">
        <v>8281</v>
      </c>
    </row>
    <row r="4520">
      <c r="A4520" s="311">
        <v>4519</v>
      </c>
      <c r="B4520" s="396" t="s">
        <v>8727</v>
      </c>
      <c r="C4520" s="396" t="s">
        <v>8728</v>
      </c>
      <c r="D4520" s="396" t="s">
        <v>8707</v>
      </c>
      <c r="E4520" s="396" t="s">
        <v>8708</v>
      </c>
      <c r="F4520" s="396" t="s">
        <v>8281</v>
      </c>
    </row>
    <row r="4521">
      <c r="A4521" s="311">
        <v>4520</v>
      </c>
      <c r="B4521" s="396" t="s">
        <v>8729</v>
      </c>
      <c r="C4521" s="396" t="s">
        <v>752</v>
      </c>
      <c r="D4521" s="396" t="s">
        <v>8707</v>
      </c>
      <c r="E4521" s="396" t="s">
        <v>8708</v>
      </c>
      <c r="F4521" s="396" t="s">
        <v>8281</v>
      </c>
    </row>
    <row r="4522">
      <c r="A4522" s="311">
        <v>4521</v>
      </c>
      <c r="B4522" s="396" t="s">
        <v>8730</v>
      </c>
      <c r="C4522" s="396" t="s">
        <v>8731</v>
      </c>
      <c r="D4522" s="396" t="s">
        <v>8707</v>
      </c>
      <c r="E4522" s="396" t="s">
        <v>8708</v>
      </c>
      <c r="F4522" s="396" t="s">
        <v>8281</v>
      </c>
    </row>
    <row r="4523">
      <c r="A4523" s="311">
        <v>4522</v>
      </c>
      <c r="B4523" s="396" t="s">
        <v>8732</v>
      </c>
      <c r="C4523" s="396" t="s">
        <v>8733</v>
      </c>
      <c r="D4523" s="396" t="s">
        <v>8707</v>
      </c>
      <c r="E4523" s="396" t="s">
        <v>8708</v>
      </c>
      <c r="F4523" s="396" t="s">
        <v>8281</v>
      </c>
    </row>
    <row r="4524">
      <c r="A4524" s="311">
        <v>4523</v>
      </c>
      <c r="B4524" s="396" t="s">
        <v>8734</v>
      </c>
      <c r="C4524" s="396" t="s">
        <v>8735</v>
      </c>
      <c r="D4524" s="396" t="s">
        <v>8707</v>
      </c>
      <c r="E4524" s="396" t="s">
        <v>8708</v>
      </c>
      <c r="F4524" s="396" t="s">
        <v>8281</v>
      </c>
    </row>
    <row r="4525">
      <c r="A4525" s="311">
        <v>4524</v>
      </c>
      <c r="B4525" s="396" t="s">
        <v>8736</v>
      </c>
      <c r="C4525" s="396" t="s">
        <v>8737</v>
      </c>
      <c r="D4525" s="396" t="s">
        <v>8707</v>
      </c>
      <c r="E4525" s="396" t="s">
        <v>8708</v>
      </c>
      <c r="F4525" s="396" t="s">
        <v>8281</v>
      </c>
    </row>
    <row r="4526">
      <c r="A4526" s="311">
        <v>4525</v>
      </c>
      <c r="B4526" s="396" t="s">
        <v>8738</v>
      </c>
      <c r="C4526" s="396" t="s">
        <v>8739</v>
      </c>
      <c r="D4526" s="396" t="s">
        <v>8707</v>
      </c>
      <c r="E4526" s="396" t="s">
        <v>8708</v>
      </c>
      <c r="F4526" s="396" t="s">
        <v>8281</v>
      </c>
    </row>
    <row r="4527">
      <c r="A4527" s="311">
        <v>4526</v>
      </c>
      <c r="B4527" s="396" t="s">
        <v>8740</v>
      </c>
      <c r="C4527" s="396" t="s">
        <v>1014</v>
      </c>
      <c r="D4527" s="396" t="s">
        <v>8707</v>
      </c>
      <c r="E4527" s="396" t="s">
        <v>8708</v>
      </c>
      <c r="F4527" s="396" t="s">
        <v>8281</v>
      </c>
    </row>
    <row r="4528">
      <c r="A4528" s="311">
        <v>4527</v>
      </c>
      <c r="B4528" s="396" t="s">
        <v>8741</v>
      </c>
      <c r="C4528" s="396" t="s">
        <v>8455</v>
      </c>
      <c r="D4528" s="396" t="s">
        <v>8707</v>
      </c>
      <c r="E4528" s="396" t="s">
        <v>8708</v>
      </c>
      <c r="F4528" s="396" t="s">
        <v>8281</v>
      </c>
    </row>
    <row r="4529">
      <c r="A4529" s="311">
        <v>4528</v>
      </c>
      <c r="B4529" s="396" t="s">
        <v>8742</v>
      </c>
      <c r="C4529" s="396" t="s">
        <v>8743</v>
      </c>
      <c r="D4529" s="396" t="s">
        <v>8707</v>
      </c>
      <c r="E4529" s="396" t="s">
        <v>8708</v>
      </c>
      <c r="F4529" s="396" t="s">
        <v>8281</v>
      </c>
    </row>
    <row r="4530">
      <c r="A4530" s="311">
        <v>4529</v>
      </c>
      <c r="B4530" s="396" t="s">
        <v>8744</v>
      </c>
      <c r="C4530" s="396" t="s">
        <v>8745</v>
      </c>
      <c r="D4530" s="396" t="s">
        <v>8707</v>
      </c>
      <c r="E4530" s="396" t="s">
        <v>8708</v>
      </c>
      <c r="F4530" s="396" t="s">
        <v>8281</v>
      </c>
    </row>
    <row r="4531">
      <c r="A4531" s="311">
        <v>4530</v>
      </c>
      <c r="B4531" s="396" t="s">
        <v>8746</v>
      </c>
      <c r="C4531" s="396" t="s">
        <v>8747</v>
      </c>
      <c r="D4531" s="396" t="s">
        <v>8707</v>
      </c>
      <c r="E4531" s="396" t="s">
        <v>8708</v>
      </c>
      <c r="F4531" s="396" t="s">
        <v>8281</v>
      </c>
    </row>
    <row r="4532">
      <c r="A4532" s="311">
        <v>4531</v>
      </c>
      <c r="B4532" s="396" t="s">
        <v>8748</v>
      </c>
      <c r="C4532" s="396" t="s">
        <v>8749</v>
      </c>
      <c r="D4532" s="396" t="s">
        <v>8707</v>
      </c>
      <c r="E4532" s="396" t="s">
        <v>8708</v>
      </c>
      <c r="F4532" s="396" t="s">
        <v>8281</v>
      </c>
    </row>
    <row r="4533">
      <c r="A4533" s="311">
        <v>4532</v>
      </c>
      <c r="B4533" s="396" t="s">
        <v>8750</v>
      </c>
      <c r="C4533" s="396" t="s">
        <v>8751</v>
      </c>
      <c r="D4533" s="396" t="s">
        <v>8707</v>
      </c>
      <c r="E4533" s="396" t="s">
        <v>8708</v>
      </c>
      <c r="F4533" s="396" t="s">
        <v>8281</v>
      </c>
    </row>
    <row r="4534">
      <c r="A4534" s="311">
        <v>4533</v>
      </c>
      <c r="B4534" s="396" t="s">
        <v>8752</v>
      </c>
      <c r="C4534" s="396" t="s">
        <v>8753</v>
      </c>
      <c r="D4534" s="396" t="s">
        <v>8707</v>
      </c>
      <c r="E4534" s="396" t="s">
        <v>8708</v>
      </c>
      <c r="F4534" s="396" t="s">
        <v>8281</v>
      </c>
    </row>
    <row r="4535">
      <c r="A4535" s="311">
        <v>4534</v>
      </c>
      <c r="B4535" s="396" t="s">
        <v>8754</v>
      </c>
      <c r="C4535" s="396" t="s">
        <v>944</v>
      </c>
      <c r="D4535" s="396" t="s">
        <v>8707</v>
      </c>
      <c r="E4535" s="396" t="s">
        <v>8708</v>
      </c>
      <c r="F4535" s="396" t="s">
        <v>8281</v>
      </c>
    </row>
    <row r="4536">
      <c r="A4536" s="311">
        <v>4535</v>
      </c>
      <c r="B4536" s="396" t="s">
        <v>8755</v>
      </c>
      <c r="C4536" s="396" t="s">
        <v>168</v>
      </c>
      <c r="D4536" s="396" t="s">
        <v>8756</v>
      </c>
      <c r="E4536" s="396" t="s">
        <v>8757</v>
      </c>
      <c r="F4536" s="396" t="s">
        <v>8758</v>
      </c>
    </row>
    <row r="4537">
      <c r="A4537" s="311">
        <v>4536</v>
      </c>
      <c r="B4537" s="396" t="s">
        <v>8759</v>
      </c>
      <c r="C4537" s="396" t="s">
        <v>7630</v>
      </c>
      <c r="D4537" s="396" t="s">
        <v>8756</v>
      </c>
      <c r="E4537" s="396" t="s">
        <v>8757</v>
      </c>
      <c r="F4537" s="396" t="s">
        <v>8758</v>
      </c>
    </row>
    <row r="4538">
      <c r="A4538" s="311">
        <v>4537</v>
      </c>
      <c r="B4538" s="396" t="s">
        <v>8760</v>
      </c>
      <c r="C4538" s="396" t="s">
        <v>8278</v>
      </c>
      <c r="D4538" s="396" t="s">
        <v>8756</v>
      </c>
      <c r="E4538" s="396" t="s">
        <v>8757</v>
      </c>
      <c r="F4538" s="396" t="s">
        <v>8758</v>
      </c>
    </row>
    <row r="4539">
      <c r="A4539" s="311">
        <v>4538</v>
      </c>
      <c r="B4539" s="396" t="s">
        <v>8761</v>
      </c>
      <c r="C4539" s="396" t="s">
        <v>224</v>
      </c>
      <c r="D4539" s="396" t="s">
        <v>8756</v>
      </c>
      <c r="E4539" s="396" t="s">
        <v>8757</v>
      </c>
      <c r="F4539" s="396" t="s">
        <v>8758</v>
      </c>
    </row>
    <row r="4540">
      <c r="A4540" s="311">
        <v>4539</v>
      </c>
      <c r="B4540" s="396" t="s">
        <v>8762</v>
      </c>
      <c r="C4540" s="396" t="s">
        <v>8763</v>
      </c>
      <c r="D4540" s="396" t="s">
        <v>8756</v>
      </c>
      <c r="E4540" s="396" t="s">
        <v>8757</v>
      </c>
      <c r="F4540" s="396" t="s">
        <v>8758</v>
      </c>
    </row>
    <row r="4541">
      <c r="A4541" s="311">
        <v>4540</v>
      </c>
      <c r="B4541" s="396" t="s">
        <v>8764</v>
      </c>
      <c r="C4541" s="396" t="s">
        <v>70</v>
      </c>
      <c r="D4541" s="396" t="s">
        <v>8756</v>
      </c>
      <c r="E4541" s="396" t="s">
        <v>8757</v>
      </c>
      <c r="F4541" s="396" t="s">
        <v>8758</v>
      </c>
    </row>
    <row r="4542">
      <c r="A4542" s="311">
        <v>4541</v>
      </c>
      <c r="B4542" s="396" t="s">
        <v>8765</v>
      </c>
      <c r="C4542" s="396" t="s">
        <v>8766</v>
      </c>
      <c r="D4542" s="396" t="s">
        <v>8756</v>
      </c>
      <c r="E4542" s="396" t="s">
        <v>8757</v>
      </c>
      <c r="F4542" s="396" t="s">
        <v>8758</v>
      </c>
    </row>
    <row r="4543">
      <c r="A4543" s="311">
        <v>4542</v>
      </c>
      <c r="B4543" s="396" t="s">
        <v>8767</v>
      </c>
      <c r="C4543" s="396" t="s">
        <v>8768</v>
      </c>
      <c r="D4543" s="396" t="s">
        <v>8756</v>
      </c>
      <c r="E4543" s="396" t="s">
        <v>8757</v>
      </c>
      <c r="F4543" s="396" t="s">
        <v>8758</v>
      </c>
    </row>
    <row r="4544">
      <c r="A4544" s="311">
        <v>4543</v>
      </c>
      <c r="B4544" s="396" t="s">
        <v>8769</v>
      </c>
      <c r="C4544" s="396" t="s">
        <v>8770</v>
      </c>
      <c r="D4544" s="396" t="s">
        <v>8756</v>
      </c>
      <c r="E4544" s="396" t="s">
        <v>8757</v>
      </c>
      <c r="F4544" s="396" t="s">
        <v>8758</v>
      </c>
    </row>
    <row r="4545">
      <c r="A4545" s="311">
        <v>4544</v>
      </c>
      <c r="B4545" s="396" t="s">
        <v>8771</v>
      </c>
      <c r="C4545" s="396" t="s">
        <v>8772</v>
      </c>
      <c r="D4545" s="396" t="s">
        <v>8756</v>
      </c>
      <c r="E4545" s="396" t="s">
        <v>8757</v>
      </c>
      <c r="F4545" s="396" t="s">
        <v>8758</v>
      </c>
    </row>
    <row r="4546">
      <c r="A4546" s="311">
        <v>4545</v>
      </c>
      <c r="B4546" s="396" t="s">
        <v>8773</v>
      </c>
      <c r="C4546" s="396" t="s">
        <v>8774</v>
      </c>
      <c r="D4546" s="396" t="s">
        <v>8756</v>
      </c>
      <c r="E4546" s="396" t="s">
        <v>8757</v>
      </c>
      <c r="F4546" s="396" t="s">
        <v>8758</v>
      </c>
    </row>
    <row r="4547">
      <c r="A4547" s="311">
        <v>4546</v>
      </c>
      <c r="B4547" s="396" t="s">
        <v>8775</v>
      </c>
      <c r="C4547" s="396" t="s">
        <v>8776</v>
      </c>
      <c r="D4547" s="396" t="s">
        <v>8756</v>
      </c>
      <c r="E4547" s="396" t="s">
        <v>8757</v>
      </c>
      <c r="F4547" s="396" t="s">
        <v>8758</v>
      </c>
    </row>
    <row r="4548">
      <c r="A4548" s="311">
        <v>4547</v>
      </c>
      <c r="B4548" s="396" t="s">
        <v>8777</v>
      </c>
      <c r="C4548" s="396" t="s">
        <v>8778</v>
      </c>
      <c r="D4548" s="396" t="s">
        <v>8756</v>
      </c>
      <c r="E4548" s="396" t="s">
        <v>8757</v>
      </c>
      <c r="F4548" s="396" t="s">
        <v>8758</v>
      </c>
    </row>
    <row r="4549">
      <c r="A4549" s="311">
        <v>4548</v>
      </c>
      <c r="B4549" s="396" t="s">
        <v>8779</v>
      </c>
      <c r="C4549" s="396" t="s">
        <v>8780</v>
      </c>
      <c r="D4549" s="396" t="s">
        <v>8756</v>
      </c>
      <c r="E4549" s="396" t="s">
        <v>8757</v>
      </c>
      <c r="F4549" s="396" t="s">
        <v>8758</v>
      </c>
    </row>
    <row r="4550">
      <c r="A4550" s="311">
        <v>4549</v>
      </c>
      <c r="B4550" s="396" t="s">
        <v>8781</v>
      </c>
      <c r="C4550" s="396" t="s">
        <v>8782</v>
      </c>
      <c r="D4550" s="396" t="s">
        <v>8756</v>
      </c>
      <c r="E4550" s="396" t="s">
        <v>8757</v>
      </c>
      <c r="F4550" s="396" t="s">
        <v>8758</v>
      </c>
    </row>
    <row r="4551">
      <c r="A4551" s="311">
        <v>4550</v>
      </c>
      <c r="B4551" s="396" t="s">
        <v>8783</v>
      </c>
      <c r="C4551" s="396" t="s">
        <v>2383</v>
      </c>
      <c r="D4551" s="396" t="s">
        <v>8756</v>
      </c>
      <c r="E4551" s="396" t="s">
        <v>8757</v>
      </c>
      <c r="F4551" s="396" t="s">
        <v>8758</v>
      </c>
    </row>
    <row r="4552">
      <c r="A4552" s="311">
        <v>4551</v>
      </c>
      <c r="B4552" s="396" t="s">
        <v>8784</v>
      </c>
      <c r="C4552" s="396" t="s">
        <v>8785</v>
      </c>
      <c r="D4552" s="396" t="s">
        <v>8756</v>
      </c>
      <c r="E4552" s="396" t="s">
        <v>8757</v>
      </c>
      <c r="F4552" s="396" t="s">
        <v>8758</v>
      </c>
    </row>
    <row r="4553">
      <c r="A4553" s="311">
        <v>4552</v>
      </c>
      <c r="B4553" s="396" t="s">
        <v>8786</v>
      </c>
      <c r="C4553" s="396" t="s">
        <v>8787</v>
      </c>
      <c r="D4553" s="396" t="s">
        <v>8756</v>
      </c>
      <c r="E4553" s="396" t="s">
        <v>8757</v>
      </c>
      <c r="F4553" s="396" t="s">
        <v>8758</v>
      </c>
    </row>
    <row r="4554">
      <c r="A4554" s="311">
        <v>4553</v>
      </c>
      <c r="B4554" s="396" t="s">
        <v>8788</v>
      </c>
      <c r="C4554" s="396" t="s">
        <v>8789</v>
      </c>
      <c r="D4554" s="396" t="s">
        <v>8756</v>
      </c>
      <c r="E4554" s="396" t="s">
        <v>8757</v>
      </c>
      <c r="F4554" s="396" t="s">
        <v>8758</v>
      </c>
    </row>
    <row r="4555">
      <c r="A4555" s="311">
        <v>4554</v>
      </c>
      <c r="B4555" s="396" t="s">
        <v>8790</v>
      </c>
      <c r="C4555" s="396" t="s">
        <v>8791</v>
      </c>
      <c r="D4555" s="396" t="s">
        <v>8756</v>
      </c>
      <c r="E4555" s="396" t="s">
        <v>8757</v>
      </c>
      <c r="F4555" s="396" t="s">
        <v>8758</v>
      </c>
    </row>
    <row r="4556">
      <c r="A4556" s="311">
        <v>4555</v>
      </c>
      <c r="B4556" s="396" t="s">
        <v>8792</v>
      </c>
      <c r="C4556" s="396" t="s">
        <v>8793</v>
      </c>
      <c r="D4556" s="396" t="s">
        <v>8756</v>
      </c>
      <c r="E4556" s="396" t="s">
        <v>8757</v>
      </c>
      <c r="F4556" s="396" t="s">
        <v>8758</v>
      </c>
    </row>
    <row r="4557">
      <c r="A4557" s="311">
        <v>4556</v>
      </c>
      <c r="B4557" s="396" t="s">
        <v>8794</v>
      </c>
      <c r="C4557" s="396" t="s">
        <v>1243</v>
      </c>
      <c r="D4557" s="396" t="s">
        <v>8795</v>
      </c>
      <c r="E4557" s="396" t="s">
        <v>8796</v>
      </c>
      <c r="F4557" s="396" t="s">
        <v>8758</v>
      </c>
    </row>
    <row r="4558">
      <c r="A4558" s="311">
        <v>4557</v>
      </c>
      <c r="B4558" s="396" t="s">
        <v>8797</v>
      </c>
      <c r="C4558" s="396" t="s">
        <v>8798</v>
      </c>
      <c r="D4558" s="396" t="s">
        <v>8795</v>
      </c>
      <c r="E4558" s="396" t="s">
        <v>8796</v>
      </c>
      <c r="F4558" s="396" t="s">
        <v>8758</v>
      </c>
    </row>
    <row r="4559">
      <c r="A4559" s="311">
        <v>4558</v>
      </c>
      <c r="B4559" s="396" t="s">
        <v>8799</v>
      </c>
      <c r="C4559" s="396" t="s">
        <v>8800</v>
      </c>
      <c r="D4559" s="396" t="s">
        <v>8795</v>
      </c>
      <c r="E4559" s="396" t="s">
        <v>8796</v>
      </c>
      <c r="F4559" s="396" t="s">
        <v>8758</v>
      </c>
    </row>
    <row r="4560">
      <c r="A4560" s="311">
        <v>4559</v>
      </c>
      <c r="B4560" s="396" t="s">
        <v>8801</v>
      </c>
      <c r="C4560" s="396" t="s">
        <v>8802</v>
      </c>
      <c r="D4560" s="396" t="s">
        <v>8795</v>
      </c>
      <c r="E4560" s="396" t="s">
        <v>8796</v>
      </c>
      <c r="F4560" s="396" t="s">
        <v>8758</v>
      </c>
    </row>
    <row r="4561">
      <c r="A4561" s="311">
        <v>4560</v>
      </c>
      <c r="B4561" s="396" t="s">
        <v>8803</v>
      </c>
      <c r="C4561" s="396" t="s">
        <v>8804</v>
      </c>
      <c r="D4561" s="396" t="s">
        <v>8795</v>
      </c>
      <c r="E4561" s="396" t="s">
        <v>8796</v>
      </c>
      <c r="F4561" s="396" t="s">
        <v>8758</v>
      </c>
    </row>
    <row r="4562">
      <c r="A4562" s="311">
        <v>4561</v>
      </c>
      <c r="B4562" s="396" t="s">
        <v>8805</v>
      </c>
      <c r="C4562" s="396" t="s">
        <v>8806</v>
      </c>
      <c r="D4562" s="396" t="s">
        <v>8795</v>
      </c>
      <c r="E4562" s="396" t="s">
        <v>8796</v>
      </c>
      <c r="F4562" s="396" t="s">
        <v>8758</v>
      </c>
    </row>
    <row r="4563">
      <c r="A4563" s="311">
        <v>4562</v>
      </c>
      <c r="B4563" s="396" t="s">
        <v>8807</v>
      </c>
      <c r="C4563" s="396" t="s">
        <v>8808</v>
      </c>
      <c r="D4563" s="396" t="s">
        <v>8795</v>
      </c>
      <c r="E4563" s="396" t="s">
        <v>8796</v>
      </c>
      <c r="F4563" s="396" t="s">
        <v>8758</v>
      </c>
    </row>
    <row r="4564">
      <c r="A4564" s="311">
        <v>4563</v>
      </c>
      <c r="B4564" s="396" t="s">
        <v>8809</v>
      </c>
      <c r="C4564" s="396" t="s">
        <v>8810</v>
      </c>
      <c r="D4564" s="396" t="s">
        <v>8795</v>
      </c>
      <c r="E4564" s="396" t="s">
        <v>8796</v>
      </c>
      <c r="F4564" s="396" t="s">
        <v>8758</v>
      </c>
    </row>
    <row r="4565">
      <c r="A4565" s="311">
        <v>4564</v>
      </c>
      <c r="B4565" s="396" t="s">
        <v>8811</v>
      </c>
      <c r="C4565" s="396" t="s">
        <v>8812</v>
      </c>
      <c r="D4565" s="396" t="s">
        <v>8795</v>
      </c>
      <c r="E4565" s="396" t="s">
        <v>8796</v>
      </c>
      <c r="F4565" s="396" t="s">
        <v>8758</v>
      </c>
    </row>
    <row r="4566">
      <c r="A4566" s="311">
        <v>4565</v>
      </c>
      <c r="B4566" s="396" t="s">
        <v>8813</v>
      </c>
      <c r="C4566" s="396" t="s">
        <v>8814</v>
      </c>
      <c r="D4566" s="396" t="s">
        <v>8795</v>
      </c>
      <c r="E4566" s="396" t="s">
        <v>8796</v>
      </c>
      <c r="F4566" s="396" t="s">
        <v>8758</v>
      </c>
    </row>
    <row r="4567">
      <c r="A4567" s="311">
        <v>4566</v>
      </c>
      <c r="B4567" s="396" t="s">
        <v>8815</v>
      </c>
      <c r="C4567" s="396" t="s">
        <v>8816</v>
      </c>
      <c r="D4567" s="396" t="s">
        <v>8795</v>
      </c>
      <c r="E4567" s="396" t="s">
        <v>8796</v>
      </c>
      <c r="F4567" s="396" t="s">
        <v>8758</v>
      </c>
    </row>
    <row r="4568">
      <c r="A4568" s="311">
        <v>4567</v>
      </c>
      <c r="B4568" s="396" t="s">
        <v>8817</v>
      </c>
      <c r="C4568" s="396" t="s">
        <v>8818</v>
      </c>
      <c r="D4568" s="396" t="s">
        <v>8795</v>
      </c>
      <c r="E4568" s="396" t="s">
        <v>8796</v>
      </c>
      <c r="F4568" s="396" t="s">
        <v>8758</v>
      </c>
    </row>
    <row r="4569">
      <c r="A4569" s="311">
        <v>4568</v>
      </c>
      <c r="B4569" s="396" t="s">
        <v>8819</v>
      </c>
      <c r="C4569" s="396" t="s">
        <v>8820</v>
      </c>
      <c r="D4569" s="396" t="s">
        <v>8795</v>
      </c>
      <c r="E4569" s="396" t="s">
        <v>8796</v>
      </c>
      <c r="F4569" s="396" t="s">
        <v>8758</v>
      </c>
    </row>
    <row r="4570">
      <c r="A4570" s="311">
        <v>4569</v>
      </c>
      <c r="B4570" s="396" t="s">
        <v>8821</v>
      </c>
      <c r="C4570" s="396" t="s">
        <v>8822</v>
      </c>
      <c r="D4570" s="396" t="s">
        <v>8795</v>
      </c>
      <c r="E4570" s="396" t="s">
        <v>8796</v>
      </c>
      <c r="F4570" s="396" t="s">
        <v>8758</v>
      </c>
    </row>
    <row r="4571">
      <c r="A4571" s="311">
        <v>4570</v>
      </c>
      <c r="B4571" s="396" t="s">
        <v>8823</v>
      </c>
      <c r="C4571" s="396" t="s">
        <v>8824</v>
      </c>
      <c r="D4571" s="396" t="s">
        <v>8795</v>
      </c>
      <c r="E4571" s="396" t="s">
        <v>8796</v>
      </c>
      <c r="F4571" s="396" t="s">
        <v>8758</v>
      </c>
    </row>
    <row r="4572">
      <c r="A4572" s="311">
        <v>4571</v>
      </c>
      <c r="B4572" s="396" t="s">
        <v>8825</v>
      </c>
      <c r="C4572" s="396" t="s">
        <v>8826</v>
      </c>
      <c r="D4572" s="396" t="s">
        <v>8795</v>
      </c>
      <c r="E4572" s="396" t="s">
        <v>8796</v>
      </c>
      <c r="F4572" s="396" t="s">
        <v>8758</v>
      </c>
    </row>
    <row r="4573">
      <c r="A4573" s="311">
        <v>4572</v>
      </c>
      <c r="B4573" s="396" t="s">
        <v>8827</v>
      </c>
      <c r="C4573" s="396" t="s">
        <v>629</v>
      </c>
      <c r="D4573" s="396" t="s">
        <v>8795</v>
      </c>
      <c r="E4573" s="396" t="s">
        <v>8796</v>
      </c>
      <c r="F4573" s="396" t="s">
        <v>8758</v>
      </c>
    </row>
    <row r="4574">
      <c r="A4574" s="311">
        <v>4573</v>
      </c>
      <c r="B4574" s="396" t="s">
        <v>8828</v>
      </c>
      <c r="C4574" s="396" t="s">
        <v>549</v>
      </c>
      <c r="D4574" s="396" t="s">
        <v>8795</v>
      </c>
      <c r="E4574" s="396" t="s">
        <v>8796</v>
      </c>
      <c r="F4574" s="396" t="s">
        <v>8758</v>
      </c>
    </row>
    <row r="4575">
      <c r="A4575" s="311">
        <v>4574</v>
      </c>
      <c r="B4575" s="396" t="s">
        <v>8829</v>
      </c>
      <c r="C4575" s="396" t="s">
        <v>8830</v>
      </c>
      <c r="D4575" s="396" t="s">
        <v>8831</v>
      </c>
      <c r="E4575" s="396" t="s">
        <v>8832</v>
      </c>
      <c r="F4575" s="396" t="s">
        <v>8758</v>
      </c>
    </row>
    <row r="4576">
      <c r="A4576" s="311">
        <v>4575</v>
      </c>
      <c r="B4576" s="396" t="s">
        <v>8833</v>
      </c>
      <c r="C4576" s="396" t="s">
        <v>8834</v>
      </c>
      <c r="D4576" s="396" t="s">
        <v>8831</v>
      </c>
      <c r="E4576" s="396" t="s">
        <v>8832</v>
      </c>
      <c r="F4576" s="396" t="s">
        <v>8758</v>
      </c>
    </row>
    <row r="4577">
      <c r="A4577" s="311">
        <v>4576</v>
      </c>
      <c r="B4577" s="396" t="s">
        <v>8835</v>
      </c>
      <c r="C4577" s="396" t="s">
        <v>8836</v>
      </c>
      <c r="D4577" s="396" t="s">
        <v>8831</v>
      </c>
      <c r="E4577" s="396" t="s">
        <v>8832</v>
      </c>
      <c r="F4577" s="396" t="s">
        <v>8758</v>
      </c>
    </row>
    <row r="4578">
      <c r="A4578" s="311">
        <v>4577</v>
      </c>
      <c r="B4578" s="396" t="s">
        <v>8837</v>
      </c>
      <c r="C4578" s="396" t="s">
        <v>8838</v>
      </c>
      <c r="D4578" s="396" t="s">
        <v>8831</v>
      </c>
      <c r="E4578" s="396" t="s">
        <v>8832</v>
      </c>
      <c r="F4578" s="396" t="s">
        <v>8758</v>
      </c>
    </row>
    <row r="4579">
      <c r="A4579" s="311">
        <v>4578</v>
      </c>
      <c r="B4579" s="396" t="s">
        <v>8839</v>
      </c>
      <c r="C4579" s="396" t="s">
        <v>8840</v>
      </c>
      <c r="D4579" s="396" t="s">
        <v>8831</v>
      </c>
      <c r="E4579" s="396" t="s">
        <v>8832</v>
      </c>
      <c r="F4579" s="396" t="s">
        <v>8758</v>
      </c>
    </row>
    <row r="4580">
      <c r="A4580" s="311">
        <v>4579</v>
      </c>
      <c r="B4580" s="396" t="s">
        <v>8841</v>
      </c>
      <c r="C4580" s="396" t="s">
        <v>8842</v>
      </c>
      <c r="D4580" s="396" t="s">
        <v>8831</v>
      </c>
      <c r="E4580" s="396" t="s">
        <v>8832</v>
      </c>
      <c r="F4580" s="396" t="s">
        <v>8758</v>
      </c>
    </row>
    <row r="4581">
      <c r="A4581" s="311">
        <v>4580</v>
      </c>
      <c r="B4581" s="396" t="s">
        <v>8843</v>
      </c>
      <c r="C4581" s="396" t="s">
        <v>7463</v>
      </c>
      <c r="D4581" s="396" t="s">
        <v>8831</v>
      </c>
      <c r="E4581" s="396" t="s">
        <v>8832</v>
      </c>
      <c r="F4581" s="396" t="s">
        <v>8758</v>
      </c>
    </row>
    <row r="4582">
      <c r="A4582" s="311">
        <v>4581</v>
      </c>
      <c r="B4582" s="396" t="s">
        <v>8844</v>
      </c>
      <c r="C4582" s="396" t="s">
        <v>8845</v>
      </c>
      <c r="D4582" s="396" t="s">
        <v>8831</v>
      </c>
      <c r="E4582" s="396" t="s">
        <v>8832</v>
      </c>
      <c r="F4582" s="396" t="s">
        <v>8758</v>
      </c>
    </row>
    <row r="4583">
      <c r="A4583" s="311">
        <v>4582</v>
      </c>
      <c r="B4583" s="396" t="s">
        <v>8846</v>
      </c>
      <c r="C4583" s="396" t="s">
        <v>8847</v>
      </c>
      <c r="D4583" s="396" t="s">
        <v>8831</v>
      </c>
      <c r="E4583" s="396" t="s">
        <v>8832</v>
      </c>
      <c r="F4583" s="396" t="s">
        <v>8758</v>
      </c>
    </row>
    <row r="4584">
      <c r="A4584" s="311">
        <v>4583</v>
      </c>
      <c r="B4584" s="396" t="s">
        <v>8848</v>
      </c>
      <c r="C4584" s="396" t="s">
        <v>2206</v>
      </c>
      <c r="D4584" s="396" t="s">
        <v>8831</v>
      </c>
      <c r="E4584" s="396" t="s">
        <v>8832</v>
      </c>
      <c r="F4584" s="396" t="s">
        <v>8758</v>
      </c>
    </row>
    <row r="4585">
      <c r="A4585" s="311">
        <v>4584</v>
      </c>
      <c r="B4585" s="396" t="s">
        <v>8849</v>
      </c>
      <c r="C4585" s="396" t="s">
        <v>8247</v>
      </c>
      <c r="D4585" s="396" t="s">
        <v>8831</v>
      </c>
      <c r="E4585" s="396" t="s">
        <v>8832</v>
      </c>
      <c r="F4585" s="396" t="s">
        <v>8758</v>
      </c>
    </row>
    <row r="4586">
      <c r="A4586" s="311">
        <v>4585</v>
      </c>
      <c r="B4586" s="396" t="s">
        <v>8850</v>
      </c>
      <c r="C4586" s="396" t="s">
        <v>8851</v>
      </c>
      <c r="D4586" s="396" t="s">
        <v>8831</v>
      </c>
      <c r="E4586" s="396" t="s">
        <v>8832</v>
      </c>
      <c r="F4586" s="396" t="s">
        <v>8758</v>
      </c>
    </row>
    <row r="4587">
      <c r="A4587" s="311">
        <v>4586</v>
      </c>
      <c r="B4587" s="396" t="s">
        <v>8852</v>
      </c>
      <c r="C4587" s="396" t="s">
        <v>8853</v>
      </c>
      <c r="D4587" s="396" t="s">
        <v>8831</v>
      </c>
      <c r="E4587" s="396" t="s">
        <v>8832</v>
      </c>
      <c r="F4587" s="396" t="s">
        <v>8758</v>
      </c>
    </row>
    <row r="4588">
      <c r="A4588" s="311">
        <v>4587</v>
      </c>
      <c r="B4588" s="396" t="s">
        <v>8854</v>
      </c>
      <c r="C4588" s="396" t="s">
        <v>4494</v>
      </c>
      <c r="D4588" s="396" t="s">
        <v>8831</v>
      </c>
      <c r="E4588" s="396" t="s">
        <v>8832</v>
      </c>
      <c r="F4588" s="396" t="s">
        <v>8758</v>
      </c>
    </row>
    <row r="4589">
      <c r="A4589" s="311">
        <v>4588</v>
      </c>
      <c r="B4589" s="396" t="s">
        <v>8855</v>
      </c>
      <c r="C4589" s="396" t="s">
        <v>8856</v>
      </c>
      <c r="D4589" s="396" t="s">
        <v>8831</v>
      </c>
      <c r="E4589" s="396" t="s">
        <v>8832</v>
      </c>
      <c r="F4589" s="396" t="s">
        <v>8758</v>
      </c>
    </row>
    <row r="4590">
      <c r="A4590" s="311">
        <v>4589</v>
      </c>
      <c r="B4590" s="396" t="s">
        <v>8857</v>
      </c>
      <c r="C4590" s="396" t="s">
        <v>4273</v>
      </c>
      <c r="D4590" s="396" t="s">
        <v>8831</v>
      </c>
      <c r="E4590" s="396" t="s">
        <v>8832</v>
      </c>
      <c r="F4590" s="396" t="s">
        <v>8758</v>
      </c>
    </row>
    <row r="4591">
      <c r="A4591" s="311">
        <v>4590</v>
      </c>
      <c r="B4591" s="396" t="s">
        <v>8858</v>
      </c>
      <c r="C4591" s="396" t="s">
        <v>8859</v>
      </c>
      <c r="D4591" s="396" t="s">
        <v>8831</v>
      </c>
      <c r="E4591" s="396" t="s">
        <v>8832</v>
      </c>
      <c r="F4591" s="396" t="s">
        <v>8758</v>
      </c>
    </row>
    <row r="4592">
      <c r="A4592" s="311">
        <v>4591</v>
      </c>
      <c r="B4592" s="396" t="s">
        <v>8860</v>
      </c>
      <c r="C4592" s="396" t="s">
        <v>5178</v>
      </c>
      <c r="D4592" s="396" t="s">
        <v>8831</v>
      </c>
      <c r="E4592" s="396" t="s">
        <v>8832</v>
      </c>
      <c r="F4592" s="396" t="s">
        <v>8758</v>
      </c>
    </row>
    <row r="4593">
      <c r="A4593" s="311">
        <v>4592</v>
      </c>
      <c r="B4593" s="396" t="s">
        <v>8861</v>
      </c>
      <c r="C4593" s="396" t="s">
        <v>8862</v>
      </c>
      <c r="D4593" s="396" t="s">
        <v>8863</v>
      </c>
      <c r="E4593" s="396" t="s">
        <v>8864</v>
      </c>
      <c r="F4593" s="396" t="s">
        <v>8758</v>
      </c>
    </row>
    <row r="4594">
      <c r="A4594" s="311">
        <v>4593</v>
      </c>
      <c r="B4594" s="396" t="s">
        <v>8865</v>
      </c>
      <c r="C4594" s="396" t="s">
        <v>8866</v>
      </c>
      <c r="D4594" s="396" t="s">
        <v>8863</v>
      </c>
      <c r="E4594" s="396" t="s">
        <v>8864</v>
      </c>
      <c r="F4594" s="396" t="s">
        <v>8758</v>
      </c>
    </row>
    <row r="4595">
      <c r="A4595" s="311">
        <v>4594</v>
      </c>
      <c r="B4595" s="396" t="s">
        <v>8867</v>
      </c>
      <c r="C4595" s="396" t="s">
        <v>6326</v>
      </c>
      <c r="D4595" s="396" t="s">
        <v>8863</v>
      </c>
      <c r="E4595" s="396" t="s">
        <v>8864</v>
      </c>
      <c r="F4595" s="396" t="s">
        <v>8758</v>
      </c>
    </row>
    <row r="4596">
      <c r="A4596" s="311">
        <v>4595</v>
      </c>
      <c r="B4596" s="396" t="s">
        <v>8868</v>
      </c>
      <c r="C4596" s="396" t="s">
        <v>8869</v>
      </c>
      <c r="D4596" s="396" t="s">
        <v>8863</v>
      </c>
      <c r="E4596" s="396" t="s">
        <v>8864</v>
      </c>
      <c r="F4596" s="396" t="s">
        <v>8758</v>
      </c>
    </row>
    <row r="4597">
      <c r="A4597" s="311">
        <v>4596</v>
      </c>
      <c r="B4597" s="396" t="s">
        <v>8870</v>
      </c>
      <c r="C4597" s="396" t="s">
        <v>914</v>
      </c>
      <c r="D4597" s="396" t="s">
        <v>8863</v>
      </c>
      <c r="E4597" s="396" t="s">
        <v>8864</v>
      </c>
      <c r="F4597" s="396" t="s">
        <v>8758</v>
      </c>
    </row>
    <row r="4598">
      <c r="A4598" s="311">
        <v>4597</v>
      </c>
      <c r="B4598" s="396" t="s">
        <v>8871</v>
      </c>
      <c r="C4598" s="396" t="s">
        <v>8872</v>
      </c>
      <c r="D4598" s="396" t="s">
        <v>8863</v>
      </c>
      <c r="E4598" s="396" t="s">
        <v>8864</v>
      </c>
      <c r="F4598" s="396" t="s">
        <v>8758</v>
      </c>
    </row>
    <row r="4599">
      <c r="A4599" s="311">
        <v>4598</v>
      </c>
      <c r="B4599" s="396" t="s">
        <v>8873</v>
      </c>
      <c r="C4599" s="396" t="s">
        <v>1395</v>
      </c>
      <c r="D4599" s="396" t="s">
        <v>8863</v>
      </c>
      <c r="E4599" s="396" t="s">
        <v>8864</v>
      </c>
      <c r="F4599" s="396" t="s">
        <v>8758</v>
      </c>
    </row>
    <row r="4600">
      <c r="A4600" s="311">
        <v>4599</v>
      </c>
      <c r="B4600" s="396" t="s">
        <v>8874</v>
      </c>
      <c r="C4600" s="396" t="s">
        <v>8875</v>
      </c>
      <c r="D4600" s="396" t="s">
        <v>8863</v>
      </c>
      <c r="E4600" s="396" t="s">
        <v>8864</v>
      </c>
      <c r="F4600" s="396" t="s">
        <v>8758</v>
      </c>
    </row>
    <row r="4601">
      <c r="A4601" s="311">
        <v>4600</v>
      </c>
      <c r="B4601" s="396" t="s">
        <v>8876</v>
      </c>
      <c r="C4601" s="396" t="s">
        <v>8877</v>
      </c>
      <c r="D4601" s="396" t="s">
        <v>8863</v>
      </c>
      <c r="E4601" s="396" t="s">
        <v>8864</v>
      </c>
      <c r="F4601" s="396" t="s">
        <v>8758</v>
      </c>
    </row>
    <row r="4602">
      <c r="A4602" s="311">
        <v>4601</v>
      </c>
      <c r="B4602" s="396" t="s">
        <v>8878</v>
      </c>
      <c r="C4602" s="396" t="s">
        <v>8665</v>
      </c>
      <c r="D4602" s="396" t="s">
        <v>8863</v>
      </c>
      <c r="E4602" s="396" t="s">
        <v>8864</v>
      </c>
      <c r="F4602" s="396" t="s">
        <v>8758</v>
      </c>
    </row>
    <row r="4603">
      <c r="A4603" s="311">
        <v>4602</v>
      </c>
      <c r="B4603" s="396" t="s">
        <v>8879</v>
      </c>
      <c r="C4603" s="396" t="s">
        <v>8880</v>
      </c>
      <c r="D4603" s="396" t="s">
        <v>8863</v>
      </c>
      <c r="E4603" s="396" t="s">
        <v>8864</v>
      </c>
      <c r="F4603" s="396" t="s">
        <v>8758</v>
      </c>
    </row>
    <row r="4604">
      <c r="A4604" s="311">
        <v>4603</v>
      </c>
      <c r="B4604" s="396" t="s">
        <v>8881</v>
      </c>
      <c r="C4604" s="396" t="s">
        <v>8882</v>
      </c>
      <c r="D4604" s="396" t="s">
        <v>8863</v>
      </c>
      <c r="E4604" s="396" t="s">
        <v>8864</v>
      </c>
      <c r="F4604" s="396" t="s">
        <v>8758</v>
      </c>
    </row>
    <row r="4605">
      <c r="A4605" s="311">
        <v>4604</v>
      </c>
      <c r="B4605" s="396" t="s">
        <v>8883</v>
      </c>
      <c r="C4605" s="396" t="s">
        <v>8884</v>
      </c>
      <c r="D4605" s="396" t="s">
        <v>8863</v>
      </c>
      <c r="E4605" s="396" t="s">
        <v>8864</v>
      </c>
      <c r="F4605" s="396" t="s">
        <v>8758</v>
      </c>
    </row>
    <row r="4606">
      <c r="A4606" s="311">
        <v>4605</v>
      </c>
      <c r="B4606" s="396" t="s">
        <v>8885</v>
      </c>
      <c r="C4606" s="396" t="s">
        <v>8886</v>
      </c>
      <c r="D4606" s="396" t="s">
        <v>8863</v>
      </c>
      <c r="E4606" s="396" t="s">
        <v>8864</v>
      </c>
      <c r="F4606" s="396" t="s">
        <v>8758</v>
      </c>
    </row>
    <row r="4607">
      <c r="A4607" s="311">
        <v>4606</v>
      </c>
      <c r="B4607" s="396" t="s">
        <v>8887</v>
      </c>
      <c r="C4607" s="396" t="s">
        <v>8888</v>
      </c>
      <c r="D4607" s="396" t="s">
        <v>8863</v>
      </c>
      <c r="E4607" s="396" t="s">
        <v>8864</v>
      </c>
      <c r="F4607" s="396" t="s">
        <v>8758</v>
      </c>
    </row>
    <row r="4608">
      <c r="A4608" s="311">
        <v>4607</v>
      </c>
      <c r="B4608" s="396" t="s">
        <v>8889</v>
      </c>
      <c r="C4608" s="396" t="s">
        <v>8890</v>
      </c>
      <c r="D4608" s="396" t="s">
        <v>8863</v>
      </c>
      <c r="E4608" s="396" t="s">
        <v>8864</v>
      </c>
      <c r="F4608" s="396" t="s">
        <v>8758</v>
      </c>
    </row>
    <row r="4609">
      <c r="A4609" s="311">
        <v>4608</v>
      </c>
      <c r="B4609" s="396" t="s">
        <v>8891</v>
      </c>
      <c r="C4609" s="396" t="s">
        <v>5899</v>
      </c>
      <c r="D4609" s="396" t="s">
        <v>8863</v>
      </c>
      <c r="E4609" s="396" t="s">
        <v>8864</v>
      </c>
      <c r="F4609" s="396" t="s">
        <v>8758</v>
      </c>
    </row>
    <row r="4610">
      <c r="A4610" s="311">
        <v>4609</v>
      </c>
      <c r="B4610" s="396" t="s">
        <v>8892</v>
      </c>
      <c r="C4610" s="396" t="s">
        <v>8893</v>
      </c>
      <c r="D4610" s="396" t="s">
        <v>8894</v>
      </c>
      <c r="E4610" s="396" t="s">
        <v>8895</v>
      </c>
      <c r="F4610" s="396" t="s">
        <v>8758</v>
      </c>
    </row>
    <row r="4611">
      <c r="A4611" s="311">
        <v>4610</v>
      </c>
      <c r="B4611" s="396" t="s">
        <v>8896</v>
      </c>
      <c r="C4611" s="396" t="s">
        <v>8897</v>
      </c>
      <c r="D4611" s="396" t="s">
        <v>8894</v>
      </c>
      <c r="E4611" s="396" t="s">
        <v>8895</v>
      </c>
      <c r="F4611" s="396" t="s">
        <v>8758</v>
      </c>
    </row>
    <row r="4612">
      <c r="A4612" s="311">
        <v>4611</v>
      </c>
      <c r="B4612" s="396" t="s">
        <v>8898</v>
      </c>
      <c r="C4612" s="396" t="s">
        <v>5616</v>
      </c>
      <c r="D4612" s="396" t="s">
        <v>8894</v>
      </c>
      <c r="E4612" s="396" t="s">
        <v>8895</v>
      </c>
      <c r="F4612" s="396" t="s">
        <v>8758</v>
      </c>
    </row>
    <row r="4613">
      <c r="A4613" s="311">
        <v>4612</v>
      </c>
      <c r="B4613" s="396" t="s">
        <v>8899</v>
      </c>
      <c r="C4613" s="396" t="s">
        <v>8900</v>
      </c>
      <c r="D4613" s="396" t="s">
        <v>8894</v>
      </c>
      <c r="E4613" s="396" t="s">
        <v>8895</v>
      </c>
      <c r="F4613" s="396" t="s">
        <v>8758</v>
      </c>
    </row>
    <row r="4614">
      <c r="A4614" s="311">
        <v>4613</v>
      </c>
      <c r="B4614" s="396" t="s">
        <v>8901</v>
      </c>
      <c r="C4614" s="396" t="s">
        <v>8902</v>
      </c>
      <c r="D4614" s="396" t="s">
        <v>8894</v>
      </c>
      <c r="E4614" s="396" t="s">
        <v>8895</v>
      </c>
      <c r="F4614" s="396" t="s">
        <v>8758</v>
      </c>
    </row>
    <row r="4615">
      <c r="A4615" s="311">
        <v>4614</v>
      </c>
      <c r="B4615" s="396" t="s">
        <v>8903</v>
      </c>
      <c r="C4615" s="396" t="s">
        <v>8904</v>
      </c>
      <c r="D4615" s="396" t="s">
        <v>8894</v>
      </c>
      <c r="E4615" s="396" t="s">
        <v>8895</v>
      </c>
      <c r="F4615" s="396" t="s">
        <v>8758</v>
      </c>
    </row>
    <row r="4616">
      <c r="A4616" s="311">
        <v>4615</v>
      </c>
      <c r="B4616" s="396" t="s">
        <v>8905</v>
      </c>
      <c r="C4616" s="396" t="s">
        <v>8906</v>
      </c>
      <c r="D4616" s="396" t="s">
        <v>8894</v>
      </c>
      <c r="E4616" s="396" t="s">
        <v>8895</v>
      </c>
      <c r="F4616" s="396" t="s">
        <v>8758</v>
      </c>
    </row>
    <row r="4617">
      <c r="A4617" s="311">
        <v>4616</v>
      </c>
      <c r="B4617" s="396" t="s">
        <v>8907</v>
      </c>
      <c r="C4617" s="396" t="s">
        <v>8340</v>
      </c>
      <c r="D4617" s="396" t="s">
        <v>8894</v>
      </c>
      <c r="E4617" s="396" t="s">
        <v>8895</v>
      </c>
      <c r="F4617" s="396" t="s">
        <v>8758</v>
      </c>
    </row>
    <row r="4618">
      <c r="A4618" s="311">
        <v>4617</v>
      </c>
      <c r="B4618" s="396" t="s">
        <v>8908</v>
      </c>
      <c r="C4618" s="396" t="s">
        <v>8909</v>
      </c>
      <c r="D4618" s="396" t="s">
        <v>8894</v>
      </c>
      <c r="E4618" s="396" t="s">
        <v>8895</v>
      </c>
      <c r="F4618" s="396" t="s">
        <v>8758</v>
      </c>
    </row>
    <row r="4619">
      <c r="A4619" s="311">
        <v>4618</v>
      </c>
      <c r="B4619" s="396" t="s">
        <v>8910</v>
      </c>
      <c r="C4619" s="396" t="s">
        <v>8911</v>
      </c>
      <c r="D4619" s="396" t="s">
        <v>8894</v>
      </c>
      <c r="E4619" s="396" t="s">
        <v>8895</v>
      </c>
      <c r="F4619" s="396" t="s">
        <v>8758</v>
      </c>
    </row>
    <row r="4620">
      <c r="A4620" s="311">
        <v>4619</v>
      </c>
      <c r="B4620" s="396" t="s">
        <v>8912</v>
      </c>
      <c r="C4620" s="396" t="s">
        <v>1193</v>
      </c>
      <c r="D4620" s="396" t="s">
        <v>8894</v>
      </c>
      <c r="E4620" s="396" t="s">
        <v>8895</v>
      </c>
      <c r="F4620" s="396" t="s">
        <v>8758</v>
      </c>
    </row>
    <row r="4621">
      <c r="A4621" s="311">
        <v>4620</v>
      </c>
      <c r="B4621" s="396" t="s">
        <v>8913</v>
      </c>
      <c r="C4621" s="396" t="s">
        <v>8914</v>
      </c>
      <c r="D4621" s="396" t="s">
        <v>8894</v>
      </c>
      <c r="E4621" s="396" t="s">
        <v>8895</v>
      </c>
      <c r="F4621" s="396" t="s">
        <v>8758</v>
      </c>
    </row>
    <row r="4622">
      <c r="A4622" s="311">
        <v>4621</v>
      </c>
      <c r="B4622" s="396" t="s">
        <v>8915</v>
      </c>
      <c r="C4622" s="396" t="s">
        <v>8916</v>
      </c>
      <c r="D4622" s="396" t="s">
        <v>8894</v>
      </c>
      <c r="E4622" s="396" t="s">
        <v>8895</v>
      </c>
      <c r="F4622" s="396" t="s">
        <v>8758</v>
      </c>
    </row>
    <row r="4623">
      <c r="A4623" s="311">
        <v>4622</v>
      </c>
      <c r="B4623" s="396" t="s">
        <v>8917</v>
      </c>
      <c r="C4623" s="396" t="s">
        <v>4678</v>
      </c>
      <c r="D4623" s="396" t="s">
        <v>8894</v>
      </c>
      <c r="E4623" s="396" t="s">
        <v>8895</v>
      </c>
      <c r="F4623" s="396" t="s">
        <v>8758</v>
      </c>
    </row>
    <row r="4624">
      <c r="A4624" s="311">
        <v>4623</v>
      </c>
      <c r="B4624" s="396" t="s">
        <v>8918</v>
      </c>
      <c r="C4624" s="396" t="s">
        <v>8919</v>
      </c>
      <c r="D4624" s="396" t="s">
        <v>8894</v>
      </c>
      <c r="E4624" s="396" t="s">
        <v>8895</v>
      </c>
      <c r="F4624" s="396" t="s">
        <v>8758</v>
      </c>
    </row>
    <row r="4625">
      <c r="A4625" s="311">
        <v>4624</v>
      </c>
      <c r="B4625" s="396" t="s">
        <v>8920</v>
      </c>
      <c r="C4625" s="396" t="s">
        <v>8921</v>
      </c>
      <c r="D4625" s="396" t="s">
        <v>8894</v>
      </c>
      <c r="E4625" s="396" t="s">
        <v>8895</v>
      </c>
      <c r="F4625" s="396" t="s">
        <v>8758</v>
      </c>
    </row>
    <row r="4626">
      <c r="A4626" s="311">
        <v>4625</v>
      </c>
      <c r="B4626" s="396" t="s">
        <v>8922</v>
      </c>
      <c r="C4626" s="396" t="s">
        <v>8923</v>
      </c>
      <c r="D4626" s="396" t="s">
        <v>8894</v>
      </c>
      <c r="E4626" s="396" t="s">
        <v>8895</v>
      </c>
      <c r="F4626" s="396" t="s">
        <v>8758</v>
      </c>
    </row>
    <row r="4627">
      <c r="A4627" s="311">
        <v>4626</v>
      </c>
      <c r="B4627" s="396" t="s">
        <v>8924</v>
      </c>
      <c r="C4627" s="396" t="s">
        <v>8925</v>
      </c>
      <c r="D4627" s="396" t="s">
        <v>8894</v>
      </c>
      <c r="E4627" s="396" t="s">
        <v>8895</v>
      </c>
      <c r="F4627" s="396" t="s">
        <v>8758</v>
      </c>
    </row>
    <row r="4628">
      <c r="A4628" s="311">
        <v>4627</v>
      </c>
      <c r="B4628" s="396" t="s">
        <v>8926</v>
      </c>
      <c r="C4628" s="396" t="s">
        <v>8927</v>
      </c>
      <c r="D4628" s="396" t="s">
        <v>8894</v>
      </c>
      <c r="E4628" s="396" t="s">
        <v>8895</v>
      </c>
      <c r="F4628" s="396" t="s">
        <v>8758</v>
      </c>
    </row>
    <row r="4629">
      <c r="A4629" s="311">
        <v>4628</v>
      </c>
      <c r="B4629" s="396" t="s">
        <v>8928</v>
      </c>
      <c r="C4629" s="396" t="s">
        <v>8929</v>
      </c>
      <c r="D4629" s="396" t="s">
        <v>8930</v>
      </c>
      <c r="E4629" s="396" t="s">
        <v>8931</v>
      </c>
      <c r="F4629" s="396" t="s">
        <v>8758</v>
      </c>
    </row>
    <row r="4630">
      <c r="A4630" s="311">
        <v>4629</v>
      </c>
      <c r="B4630" s="396" t="s">
        <v>8932</v>
      </c>
      <c r="C4630" s="396" t="s">
        <v>6676</v>
      </c>
      <c r="D4630" s="396" t="s">
        <v>8930</v>
      </c>
      <c r="E4630" s="396" t="s">
        <v>8931</v>
      </c>
      <c r="F4630" s="396" t="s">
        <v>8758</v>
      </c>
    </row>
    <row r="4631">
      <c r="A4631" s="311">
        <v>4630</v>
      </c>
      <c r="B4631" s="396" t="s">
        <v>8933</v>
      </c>
      <c r="C4631" s="396" t="s">
        <v>8934</v>
      </c>
      <c r="D4631" s="396" t="s">
        <v>8930</v>
      </c>
      <c r="E4631" s="396" t="s">
        <v>8931</v>
      </c>
      <c r="F4631" s="396" t="s">
        <v>8758</v>
      </c>
    </row>
    <row r="4632">
      <c r="A4632" s="311">
        <v>4631</v>
      </c>
      <c r="B4632" s="396" t="s">
        <v>8935</v>
      </c>
      <c r="C4632" s="396" t="s">
        <v>8936</v>
      </c>
      <c r="D4632" s="396" t="s">
        <v>8930</v>
      </c>
      <c r="E4632" s="396" t="s">
        <v>8931</v>
      </c>
      <c r="F4632" s="396" t="s">
        <v>8758</v>
      </c>
    </row>
    <row r="4633">
      <c r="A4633" s="311">
        <v>4632</v>
      </c>
      <c r="B4633" s="396" t="s">
        <v>8937</v>
      </c>
      <c r="C4633" s="396" t="s">
        <v>8938</v>
      </c>
      <c r="D4633" s="396" t="s">
        <v>8930</v>
      </c>
      <c r="E4633" s="396" t="s">
        <v>8931</v>
      </c>
      <c r="F4633" s="396" t="s">
        <v>8758</v>
      </c>
    </row>
    <row r="4634">
      <c r="A4634" s="311">
        <v>4633</v>
      </c>
      <c r="B4634" s="396" t="s">
        <v>8939</v>
      </c>
      <c r="C4634" s="396" t="s">
        <v>8940</v>
      </c>
      <c r="D4634" s="396" t="s">
        <v>8930</v>
      </c>
      <c r="E4634" s="396" t="s">
        <v>8931</v>
      </c>
      <c r="F4634" s="396" t="s">
        <v>8758</v>
      </c>
    </row>
    <row r="4635">
      <c r="A4635" s="311">
        <v>4634</v>
      </c>
      <c r="B4635" s="396" t="s">
        <v>8941</v>
      </c>
      <c r="C4635" s="396" t="s">
        <v>8942</v>
      </c>
      <c r="D4635" s="396" t="s">
        <v>8930</v>
      </c>
      <c r="E4635" s="396" t="s">
        <v>8931</v>
      </c>
      <c r="F4635" s="396" t="s">
        <v>8758</v>
      </c>
    </row>
    <row r="4636">
      <c r="A4636" s="311">
        <v>4635</v>
      </c>
      <c r="B4636" s="396" t="s">
        <v>8943</v>
      </c>
      <c r="C4636" s="396" t="s">
        <v>8944</v>
      </c>
      <c r="D4636" s="396" t="s">
        <v>8930</v>
      </c>
      <c r="E4636" s="396" t="s">
        <v>8931</v>
      </c>
      <c r="F4636" s="396" t="s">
        <v>8758</v>
      </c>
    </row>
    <row r="4637">
      <c r="A4637" s="311">
        <v>4636</v>
      </c>
      <c r="B4637" s="396" t="s">
        <v>8945</v>
      </c>
      <c r="C4637" s="396" t="s">
        <v>6086</v>
      </c>
      <c r="D4637" s="396" t="s">
        <v>8930</v>
      </c>
      <c r="E4637" s="396" t="s">
        <v>8931</v>
      </c>
      <c r="F4637" s="396" t="s">
        <v>8758</v>
      </c>
    </row>
    <row r="4638">
      <c r="A4638" s="311">
        <v>4637</v>
      </c>
      <c r="B4638" s="396" t="s">
        <v>8946</v>
      </c>
      <c r="C4638" s="396" t="s">
        <v>8947</v>
      </c>
      <c r="D4638" s="396" t="s">
        <v>8930</v>
      </c>
      <c r="E4638" s="396" t="s">
        <v>8931</v>
      </c>
      <c r="F4638" s="396" t="s">
        <v>8758</v>
      </c>
    </row>
    <row r="4639">
      <c r="A4639" s="311">
        <v>4638</v>
      </c>
      <c r="B4639" s="396" t="s">
        <v>8948</v>
      </c>
      <c r="C4639" s="396" t="s">
        <v>6867</v>
      </c>
      <c r="D4639" s="396" t="s">
        <v>8930</v>
      </c>
      <c r="E4639" s="396" t="s">
        <v>8931</v>
      </c>
      <c r="F4639" s="396" t="s">
        <v>8758</v>
      </c>
    </row>
    <row r="4640">
      <c r="A4640" s="311">
        <v>4639</v>
      </c>
      <c r="B4640" s="396" t="s">
        <v>8949</v>
      </c>
      <c r="C4640" s="396" t="s">
        <v>8950</v>
      </c>
      <c r="D4640" s="396" t="s">
        <v>8930</v>
      </c>
      <c r="E4640" s="396" t="s">
        <v>8931</v>
      </c>
      <c r="F4640" s="396" t="s">
        <v>8758</v>
      </c>
    </row>
    <row r="4641">
      <c r="A4641" s="311">
        <v>4640</v>
      </c>
      <c r="B4641" s="396" t="s">
        <v>8951</v>
      </c>
      <c r="C4641" s="396" t="s">
        <v>8952</v>
      </c>
      <c r="D4641" s="396" t="s">
        <v>8930</v>
      </c>
      <c r="E4641" s="396" t="s">
        <v>8931</v>
      </c>
      <c r="F4641" s="396" t="s">
        <v>8758</v>
      </c>
    </row>
    <row r="4642">
      <c r="A4642" s="311">
        <v>4641</v>
      </c>
      <c r="B4642" s="396" t="s">
        <v>8953</v>
      </c>
      <c r="C4642" s="396" t="s">
        <v>8954</v>
      </c>
      <c r="D4642" s="396" t="s">
        <v>8930</v>
      </c>
      <c r="E4642" s="396" t="s">
        <v>8931</v>
      </c>
      <c r="F4642" s="396" t="s">
        <v>8758</v>
      </c>
    </row>
    <row r="4643">
      <c r="A4643" s="311">
        <v>4642</v>
      </c>
      <c r="B4643" s="396" t="s">
        <v>8955</v>
      </c>
      <c r="C4643" s="396" t="s">
        <v>8956</v>
      </c>
      <c r="D4643" s="396" t="s">
        <v>8930</v>
      </c>
      <c r="E4643" s="396" t="s">
        <v>8931</v>
      </c>
      <c r="F4643" s="396" t="s">
        <v>8758</v>
      </c>
    </row>
    <row r="4644">
      <c r="A4644" s="311">
        <v>4643</v>
      </c>
      <c r="B4644" s="396" t="s">
        <v>8957</v>
      </c>
      <c r="C4644" s="396" t="s">
        <v>8958</v>
      </c>
      <c r="D4644" s="396" t="s">
        <v>8930</v>
      </c>
      <c r="E4644" s="396" t="s">
        <v>8931</v>
      </c>
      <c r="F4644" s="396" t="s">
        <v>8758</v>
      </c>
    </row>
    <row r="4645">
      <c r="A4645" s="311">
        <v>4644</v>
      </c>
      <c r="B4645" s="396" t="s">
        <v>8959</v>
      </c>
      <c r="C4645" s="396" t="s">
        <v>4471</v>
      </c>
      <c r="D4645" s="396" t="s">
        <v>8930</v>
      </c>
      <c r="E4645" s="396" t="s">
        <v>8931</v>
      </c>
      <c r="F4645" s="396" t="s">
        <v>8758</v>
      </c>
    </row>
    <row r="4646">
      <c r="A4646" s="311">
        <v>4645</v>
      </c>
      <c r="B4646" s="396" t="s">
        <v>8960</v>
      </c>
      <c r="C4646" s="396" t="s">
        <v>8961</v>
      </c>
      <c r="D4646" s="396" t="s">
        <v>8930</v>
      </c>
      <c r="E4646" s="396" t="s">
        <v>8931</v>
      </c>
      <c r="F4646" s="396" t="s">
        <v>8758</v>
      </c>
    </row>
    <row r="4647">
      <c r="A4647" s="311">
        <v>4646</v>
      </c>
      <c r="B4647" s="396" t="s">
        <v>8962</v>
      </c>
      <c r="C4647" s="396" t="s">
        <v>8963</v>
      </c>
      <c r="D4647" s="396" t="s">
        <v>8930</v>
      </c>
      <c r="E4647" s="396" t="s">
        <v>8931</v>
      </c>
      <c r="F4647" s="396" t="s">
        <v>8758</v>
      </c>
    </row>
    <row r="4648">
      <c r="A4648" s="311">
        <v>4647</v>
      </c>
      <c r="B4648" s="396" t="s">
        <v>8964</v>
      </c>
      <c r="C4648" s="396" t="s">
        <v>8965</v>
      </c>
      <c r="D4648" s="396" t="s">
        <v>8930</v>
      </c>
      <c r="E4648" s="396" t="s">
        <v>8931</v>
      </c>
      <c r="F4648" s="396" t="s">
        <v>8758</v>
      </c>
    </row>
    <row r="4649">
      <c r="A4649" s="311">
        <v>4648</v>
      </c>
      <c r="B4649" s="396" t="s">
        <v>8966</v>
      </c>
      <c r="C4649" s="396" t="s">
        <v>8967</v>
      </c>
      <c r="D4649" s="396" t="s">
        <v>8930</v>
      </c>
      <c r="E4649" s="396" t="s">
        <v>8931</v>
      </c>
      <c r="F4649" s="396" t="s">
        <v>8758</v>
      </c>
    </row>
    <row r="4650">
      <c r="A4650" s="311">
        <v>4649</v>
      </c>
      <c r="B4650" s="396" t="s">
        <v>8968</v>
      </c>
      <c r="C4650" s="396" t="s">
        <v>525</v>
      </c>
      <c r="D4650" s="396" t="s">
        <v>8930</v>
      </c>
      <c r="E4650" s="396" t="s">
        <v>8931</v>
      </c>
      <c r="F4650" s="396" t="s">
        <v>8758</v>
      </c>
    </row>
    <row r="4651">
      <c r="A4651" s="311">
        <v>4650</v>
      </c>
      <c r="B4651" s="396" t="s">
        <v>8969</v>
      </c>
      <c r="C4651" s="396" t="s">
        <v>8970</v>
      </c>
      <c r="D4651" s="396" t="s">
        <v>8930</v>
      </c>
      <c r="E4651" s="396" t="s">
        <v>8931</v>
      </c>
      <c r="F4651" s="396" t="s">
        <v>8758</v>
      </c>
    </row>
    <row r="4652">
      <c r="A4652" s="311">
        <v>4651</v>
      </c>
      <c r="B4652" s="396" t="s">
        <v>8971</v>
      </c>
      <c r="C4652" s="396" t="s">
        <v>8972</v>
      </c>
      <c r="D4652" s="396" t="s">
        <v>8973</v>
      </c>
      <c r="E4652" s="396" t="s">
        <v>8974</v>
      </c>
      <c r="F4652" s="396" t="s">
        <v>8975</v>
      </c>
    </row>
    <row r="4653">
      <c r="A4653" s="311">
        <v>4652</v>
      </c>
      <c r="B4653" s="396" t="s">
        <v>8976</v>
      </c>
      <c r="C4653" s="396" t="s">
        <v>8977</v>
      </c>
      <c r="D4653" s="396" t="s">
        <v>8973</v>
      </c>
      <c r="E4653" s="396" t="s">
        <v>8974</v>
      </c>
      <c r="F4653" s="396" t="s">
        <v>8975</v>
      </c>
    </row>
    <row r="4654">
      <c r="A4654" s="311">
        <v>4653</v>
      </c>
      <c r="B4654" s="396" t="s">
        <v>8978</v>
      </c>
      <c r="C4654" s="396" t="s">
        <v>8979</v>
      </c>
      <c r="D4654" s="396" t="s">
        <v>8973</v>
      </c>
      <c r="E4654" s="396" t="s">
        <v>8974</v>
      </c>
      <c r="F4654" s="396" t="s">
        <v>8975</v>
      </c>
    </row>
    <row r="4655">
      <c r="A4655" s="311">
        <v>4654</v>
      </c>
      <c r="B4655" s="396" t="s">
        <v>8980</v>
      </c>
      <c r="C4655" s="396" t="s">
        <v>8981</v>
      </c>
      <c r="D4655" s="396" t="s">
        <v>8973</v>
      </c>
      <c r="E4655" s="396" t="s">
        <v>8974</v>
      </c>
      <c r="F4655" s="396" t="s">
        <v>8975</v>
      </c>
    </row>
    <row r="4656">
      <c r="A4656" s="311">
        <v>4655</v>
      </c>
      <c r="B4656" s="396" t="s">
        <v>8982</v>
      </c>
      <c r="C4656" s="396" t="s">
        <v>168</v>
      </c>
      <c r="D4656" s="396" t="s">
        <v>8973</v>
      </c>
      <c r="E4656" s="396" t="s">
        <v>8974</v>
      </c>
      <c r="F4656" s="396" t="s">
        <v>8975</v>
      </c>
    </row>
    <row r="4657">
      <c r="A4657" s="311">
        <v>4656</v>
      </c>
      <c r="B4657" s="396" t="s">
        <v>8983</v>
      </c>
      <c r="C4657" s="396" t="s">
        <v>8984</v>
      </c>
      <c r="D4657" s="396" t="s">
        <v>8973</v>
      </c>
      <c r="E4657" s="396" t="s">
        <v>8974</v>
      </c>
      <c r="F4657" s="396" t="s">
        <v>8975</v>
      </c>
    </row>
    <row r="4658">
      <c r="A4658" s="311">
        <v>4657</v>
      </c>
      <c r="B4658" s="396" t="s">
        <v>8985</v>
      </c>
      <c r="C4658" s="396" t="s">
        <v>186</v>
      </c>
      <c r="D4658" s="396" t="s">
        <v>8973</v>
      </c>
      <c r="E4658" s="396" t="s">
        <v>8974</v>
      </c>
      <c r="F4658" s="396" t="s">
        <v>8975</v>
      </c>
    </row>
    <row r="4659">
      <c r="A4659" s="311">
        <v>4658</v>
      </c>
      <c r="B4659" s="396" t="s">
        <v>8986</v>
      </c>
      <c r="C4659" s="396" t="s">
        <v>8987</v>
      </c>
      <c r="D4659" s="396" t="s">
        <v>8973</v>
      </c>
      <c r="E4659" s="396" t="s">
        <v>8974</v>
      </c>
      <c r="F4659" s="396" t="s">
        <v>8975</v>
      </c>
    </row>
    <row r="4660">
      <c r="A4660" s="311">
        <v>4659</v>
      </c>
      <c r="B4660" s="396" t="s">
        <v>8988</v>
      </c>
      <c r="C4660" s="396" t="s">
        <v>8989</v>
      </c>
      <c r="D4660" s="396" t="s">
        <v>8973</v>
      </c>
      <c r="E4660" s="396" t="s">
        <v>8974</v>
      </c>
      <c r="F4660" s="396" t="s">
        <v>8975</v>
      </c>
    </row>
    <row r="4661">
      <c r="A4661" s="311">
        <v>4660</v>
      </c>
      <c r="B4661" s="396" t="s">
        <v>8990</v>
      </c>
      <c r="C4661" s="396" t="s">
        <v>4575</v>
      </c>
      <c r="D4661" s="396" t="s">
        <v>8973</v>
      </c>
      <c r="E4661" s="396" t="s">
        <v>8974</v>
      </c>
      <c r="F4661" s="396" t="s">
        <v>8975</v>
      </c>
    </row>
    <row r="4662">
      <c r="A4662" s="311">
        <v>4661</v>
      </c>
      <c r="B4662" s="396" t="s">
        <v>8991</v>
      </c>
      <c r="C4662" s="396" t="s">
        <v>594</v>
      </c>
      <c r="D4662" s="396" t="s">
        <v>8973</v>
      </c>
      <c r="E4662" s="396" t="s">
        <v>8974</v>
      </c>
      <c r="F4662" s="396" t="s">
        <v>8975</v>
      </c>
    </row>
    <row r="4663">
      <c r="A4663" s="311">
        <v>4662</v>
      </c>
      <c r="B4663" s="396" t="s">
        <v>8992</v>
      </c>
      <c r="C4663" s="396" t="s">
        <v>70</v>
      </c>
      <c r="D4663" s="396" t="s">
        <v>8973</v>
      </c>
      <c r="E4663" s="396" t="s">
        <v>8974</v>
      </c>
      <c r="F4663" s="396" t="s">
        <v>8975</v>
      </c>
    </row>
    <row r="4664">
      <c r="A4664" s="311">
        <v>4663</v>
      </c>
      <c r="B4664" s="396" t="s">
        <v>8993</v>
      </c>
      <c r="C4664" s="396" t="s">
        <v>8994</v>
      </c>
      <c r="D4664" s="396" t="s">
        <v>8973</v>
      </c>
      <c r="E4664" s="396" t="s">
        <v>8974</v>
      </c>
      <c r="F4664" s="396" t="s">
        <v>8975</v>
      </c>
    </row>
    <row r="4665">
      <c r="A4665" s="311">
        <v>4664</v>
      </c>
      <c r="B4665" s="396" t="s">
        <v>8995</v>
      </c>
      <c r="C4665" s="396" t="s">
        <v>8996</v>
      </c>
      <c r="D4665" s="396" t="s">
        <v>8973</v>
      </c>
      <c r="E4665" s="396" t="s">
        <v>8974</v>
      </c>
      <c r="F4665" s="396" t="s">
        <v>8975</v>
      </c>
    </row>
    <row r="4666">
      <c r="A4666" s="311">
        <v>4665</v>
      </c>
      <c r="B4666" s="396" t="s">
        <v>8997</v>
      </c>
      <c r="C4666" s="396" t="s">
        <v>146</v>
      </c>
      <c r="D4666" s="396" t="s">
        <v>8973</v>
      </c>
      <c r="E4666" s="396" t="s">
        <v>8974</v>
      </c>
      <c r="F4666" s="396" t="s">
        <v>8975</v>
      </c>
    </row>
    <row r="4667">
      <c r="A4667" s="311">
        <v>4666</v>
      </c>
      <c r="B4667" s="396" t="s">
        <v>8998</v>
      </c>
      <c r="C4667" s="396" t="s">
        <v>8999</v>
      </c>
      <c r="D4667" s="396" t="s">
        <v>8973</v>
      </c>
      <c r="E4667" s="396" t="s">
        <v>8974</v>
      </c>
      <c r="F4667" s="396" t="s">
        <v>8975</v>
      </c>
    </row>
    <row r="4668">
      <c r="A4668" s="311">
        <v>4667</v>
      </c>
      <c r="B4668" s="396" t="s">
        <v>9000</v>
      </c>
      <c r="C4668" s="396" t="s">
        <v>2579</v>
      </c>
      <c r="D4668" s="396" t="s">
        <v>8973</v>
      </c>
      <c r="E4668" s="396" t="s">
        <v>8974</v>
      </c>
      <c r="F4668" s="396" t="s">
        <v>8975</v>
      </c>
    </row>
    <row r="4669">
      <c r="A4669" s="311">
        <v>4668</v>
      </c>
      <c r="B4669" s="396" t="s">
        <v>9001</v>
      </c>
      <c r="C4669" s="396" t="s">
        <v>9002</v>
      </c>
      <c r="D4669" s="396" t="s">
        <v>8973</v>
      </c>
      <c r="E4669" s="396" t="s">
        <v>8974</v>
      </c>
      <c r="F4669" s="396" t="s">
        <v>8975</v>
      </c>
    </row>
    <row r="4670">
      <c r="A4670" s="311">
        <v>4669</v>
      </c>
      <c r="B4670" s="396" t="s">
        <v>9003</v>
      </c>
      <c r="C4670" s="396" t="s">
        <v>9004</v>
      </c>
      <c r="D4670" s="396" t="s">
        <v>8973</v>
      </c>
      <c r="E4670" s="396" t="s">
        <v>8974</v>
      </c>
      <c r="F4670" s="396" t="s">
        <v>8975</v>
      </c>
    </row>
    <row r="4671">
      <c r="A4671" s="311">
        <v>4670</v>
      </c>
      <c r="B4671" s="396" t="s">
        <v>9005</v>
      </c>
      <c r="C4671" s="396" t="s">
        <v>64</v>
      </c>
      <c r="D4671" s="396" t="s">
        <v>8973</v>
      </c>
      <c r="E4671" s="396" t="s">
        <v>8974</v>
      </c>
      <c r="F4671" s="396" t="s">
        <v>8975</v>
      </c>
    </row>
    <row r="4672">
      <c r="A4672" s="311">
        <v>4671</v>
      </c>
      <c r="B4672" s="396" t="s">
        <v>9006</v>
      </c>
      <c r="C4672" s="396" t="s">
        <v>9007</v>
      </c>
      <c r="D4672" s="396" t="s">
        <v>8973</v>
      </c>
      <c r="E4672" s="396" t="s">
        <v>8974</v>
      </c>
      <c r="F4672" s="396" t="s">
        <v>8975</v>
      </c>
    </row>
    <row r="4673">
      <c r="A4673" s="311">
        <v>4672</v>
      </c>
      <c r="B4673" s="396" t="s">
        <v>9008</v>
      </c>
      <c r="C4673" s="396" t="s">
        <v>1088</v>
      </c>
      <c r="D4673" s="396" t="s">
        <v>8973</v>
      </c>
      <c r="E4673" s="396" t="s">
        <v>8974</v>
      </c>
      <c r="F4673" s="396" t="s">
        <v>8975</v>
      </c>
    </row>
    <row r="4674">
      <c r="A4674" s="311">
        <v>4673</v>
      </c>
      <c r="B4674" s="396" t="s">
        <v>9009</v>
      </c>
      <c r="C4674" s="396" t="s">
        <v>9010</v>
      </c>
      <c r="D4674" s="396" t="s">
        <v>8973</v>
      </c>
      <c r="E4674" s="396" t="s">
        <v>8974</v>
      </c>
      <c r="F4674" s="396" t="s">
        <v>8975</v>
      </c>
    </row>
    <row r="4675">
      <c r="A4675" s="311">
        <v>4674</v>
      </c>
      <c r="B4675" s="396" t="s">
        <v>9011</v>
      </c>
      <c r="C4675" s="396" t="s">
        <v>9012</v>
      </c>
      <c r="D4675" s="396" t="s">
        <v>8973</v>
      </c>
      <c r="E4675" s="396" t="s">
        <v>8974</v>
      </c>
      <c r="F4675" s="396" t="s">
        <v>8975</v>
      </c>
    </row>
    <row r="4676">
      <c r="A4676" s="311">
        <v>4675</v>
      </c>
      <c r="B4676" s="396" t="s">
        <v>9013</v>
      </c>
      <c r="C4676" s="396" t="s">
        <v>9014</v>
      </c>
      <c r="D4676" s="396" t="s">
        <v>8973</v>
      </c>
      <c r="E4676" s="396" t="s">
        <v>8974</v>
      </c>
      <c r="F4676" s="396" t="s">
        <v>8975</v>
      </c>
    </row>
    <row r="4677">
      <c r="A4677" s="311">
        <v>4676</v>
      </c>
      <c r="B4677" s="396" t="s">
        <v>9015</v>
      </c>
      <c r="C4677" s="396" t="s">
        <v>9016</v>
      </c>
      <c r="D4677" s="396" t="s">
        <v>9017</v>
      </c>
      <c r="E4677" s="396" t="s">
        <v>9018</v>
      </c>
      <c r="F4677" s="396" t="s">
        <v>8975</v>
      </c>
    </row>
    <row r="4678">
      <c r="A4678" s="311">
        <v>4677</v>
      </c>
      <c r="B4678" s="396" t="s">
        <v>9019</v>
      </c>
      <c r="C4678" s="396" t="s">
        <v>5810</v>
      </c>
      <c r="D4678" s="396" t="s">
        <v>9017</v>
      </c>
      <c r="E4678" s="396" t="s">
        <v>9018</v>
      </c>
      <c r="F4678" s="396" t="s">
        <v>8975</v>
      </c>
    </row>
    <row r="4679">
      <c r="A4679" s="311">
        <v>4678</v>
      </c>
      <c r="B4679" s="396" t="s">
        <v>9020</v>
      </c>
      <c r="C4679" s="396" t="s">
        <v>9021</v>
      </c>
      <c r="D4679" s="396" t="s">
        <v>9017</v>
      </c>
      <c r="E4679" s="396" t="s">
        <v>9018</v>
      </c>
      <c r="F4679" s="396" t="s">
        <v>8975</v>
      </c>
    </row>
    <row r="4680">
      <c r="A4680" s="311">
        <v>4679</v>
      </c>
      <c r="B4680" s="396" t="s">
        <v>9022</v>
      </c>
      <c r="C4680" s="396" t="s">
        <v>9023</v>
      </c>
      <c r="D4680" s="396" t="s">
        <v>9017</v>
      </c>
      <c r="E4680" s="396" t="s">
        <v>9018</v>
      </c>
      <c r="F4680" s="396" t="s">
        <v>8975</v>
      </c>
    </row>
    <row r="4681">
      <c r="A4681" s="311">
        <v>4680</v>
      </c>
      <c r="B4681" s="396" t="s">
        <v>9024</v>
      </c>
      <c r="C4681" s="396" t="s">
        <v>9025</v>
      </c>
      <c r="D4681" s="396" t="s">
        <v>9017</v>
      </c>
      <c r="E4681" s="396" t="s">
        <v>9018</v>
      </c>
      <c r="F4681" s="396" t="s">
        <v>8975</v>
      </c>
    </row>
    <row r="4682">
      <c r="A4682" s="311">
        <v>4681</v>
      </c>
      <c r="B4682" s="396" t="s">
        <v>9026</v>
      </c>
      <c r="C4682" s="396" t="s">
        <v>9027</v>
      </c>
      <c r="D4682" s="396" t="s">
        <v>9017</v>
      </c>
      <c r="E4682" s="396" t="s">
        <v>9018</v>
      </c>
      <c r="F4682" s="396" t="s">
        <v>8975</v>
      </c>
    </row>
    <row r="4683">
      <c r="A4683" s="311">
        <v>4682</v>
      </c>
      <c r="B4683" s="396" t="s">
        <v>9028</v>
      </c>
      <c r="C4683" s="396" t="s">
        <v>9029</v>
      </c>
      <c r="D4683" s="396" t="s">
        <v>9017</v>
      </c>
      <c r="E4683" s="396" t="s">
        <v>9018</v>
      </c>
      <c r="F4683" s="396" t="s">
        <v>8975</v>
      </c>
    </row>
    <row r="4684">
      <c r="A4684" s="311">
        <v>4683</v>
      </c>
      <c r="B4684" s="396" t="s">
        <v>9030</v>
      </c>
      <c r="C4684" s="396" t="s">
        <v>966</v>
      </c>
      <c r="D4684" s="396" t="s">
        <v>9017</v>
      </c>
      <c r="E4684" s="396" t="s">
        <v>9018</v>
      </c>
      <c r="F4684" s="396" t="s">
        <v>8975</v>
      </c>
    </row>
    <row r="4685">
      <c r="A4685" s="311">
        <v>4684</v>
      </c>
      <c r="B4685" s="396" t="s">
        <v>9031</v>
      </c>
      <c r="C4685" s="396" t="s">
        <v>6614</v>
      </c>
      <c r="D4685" s="396" t="s">
        <v>9017</v>
      </c>
      <c r="E4685" s="396" t="s">
        <v>9018</v>
      </c>
      <c r="F4685" s="396" t="s">
        <v>8975</v>
      </c>
    </row>
    <row r="4686">
      <c r="A4686" s="311">
        <v>4685</v>
      </c>
      <c r="B4686" s="396" t="s">
        <v>9032</v>
      </c>
      <c r="C4686" s="396" t="s">
        <v>9033</v>
      </c>
      <c r="D4686" s="396" t="s">
        <v>9017</v>
      </c>
      <c r="E4686" s="396" t="s">
        <v>9018</v>
      </c>
      <c r="F4686" s="396" t="s">
        <v>8975</v>
      </c>
    </row>
    <row r="4687">
      <c r="A4687" s="311">
        <v>4686</v>
      </c>
      <c r="B4687" s="396" t="s">
        <v>9034</v>
      </c>
      <c r="C4687" s="396" t="s">
        <v>1189</v>
      </c>
      <c r="D4687" s="396" t="s">
        <v>9017</v>
      </c>
      <c r="E4687" s="396" t="s">
        <v>9018</v>
      </c>
      <c r="F4687" s="396" t="s">
        <v>8975</v>
      </c>
    </row>
    <row r="4688">
      <c r="A4688" s="311">
        <v>4687</v>
      </c>
      <c r="B4688" s="396" t="s">
        <v>9035</v>
      </c>
      <c r="C4688" s="396" t="s">
        <v>9036</v>
      </c>
      <c r="D4688" s="396" t="s">
        <v>9037</v>
      </c>
      <c r="E4688" s="396" t="s">
        <v>9038</v>
      </c>
      <c r="F4688" s="396" t="s">
        <v>8975</v>
      </c>
    </row>
    <row r="4689">
      <c r="A4689" s="311">
        <v>4688</v>
      </c>
      <c r="B4689" s="396" t="s">
        <v>9039</v>
      </c>
      <c r="C4689" s="396" t="s">
        <v>9040</v>
      </c>
      <c r="D4689" s="396" t="s">
        <v>9037</v>
      </c>
      <c r="E4689" s="396" t="s">
        <v>9038</v>
      </c>
      <c r="F4689" s="396" t="s">
        <v>8975</v>
      </c>
    </row>
    <row r="4690">
      <c r="A4690" s="311">
        <v>4689</v>
      </c>
      <c r="B4690" s="396" t="s">
        <v>9041</v>
      </c>
      <c r="C4690" s="396" t="s">
        <v>9042</v>
      </c>
      <c r="D4690" s="396" t="s">
        <v>9037</v>
      </c>
      <c r="E4690" s="396" t="s">
        <v>9038</v>
      </c>
      <c r="F4690" s="396" t="s">
        <v>8975</v>
      </c>
    </row>
    <row r="4691">
      <c r="A4691" s="311">
        <v>4690</v>
      </c>
      <c r="B4691" s="396" t="s">
        <v>9043</v>
      </c>
      <c r="C4691" s="396" t="s">
        <v>4876</v>
      </c>
      <c r="D4691" s="396" t="s">
        <v>9037</v>
      </c>
      <c r="E4691" s="396" t="s">
        <v>9038</v>
      </c>
      <c r="F4691" s="396" t="s">
        <v>8975</v>
      </c>
    </row>
    <row r="4692">
      <c r="A4692" s="311">
        <v>4691</v>
      </c>
      <c r="B4692" s="396" t="s">
        <v>9044</v>
      </c>
      <c r="C4692" s="396" t="s">
        <v>9045</v>
      </c>
      <c r="D4692" s="396" t="s">
        <v>9037</v>
      </c>
      <c r="E4692" s="396" t="s">
        <v>9038</v>
      </c>
      <c r="F4692" s="396" t="s">
        <v>8975</v>
      </c>
    </row>
    <row r="4693">
      <c r="A4693" s="311">
        <v>4692</v>
      </c>
      <c r="B4693" s="396" t="s">
        <v>9046</v>
      </c>
      <c r="C4693" s="396" t="s">
        <v>5093</v>
      </c>
      <c r="D4693" s="396" t="s">
        <v>9037</v>
      </c>
      <c r="E4693" s="396" t="s">
        <v>9038</v>
      </c>
      <c r="F4693" s="396" t="s">
        <v>8975</v>
      </c>
    </row>
    <row r="4694">
      <c r="A4694" s="311">
        <v>4693</v>
      </c>
      <c r="B4694" s="396" t="s">
        <v>9047</v>
      </c>
      <c r="C4694" s="396" t="s">
        <v>1552</v>
      </c>
      <c r="D4694" s="396" t="s">
        <v>9037</v>
      </c>
      <c r="E4694" s="396" t="s">
        <v>9038</v>
      </c>
      <c r="F4694" s="396" t="s">
        <v>8975</v>
      </c>
    </row>
    <row r="4695">
      <c r="A4695" s="311">
        <v>4694</v>
      </c>
      <c r="B4695" s="396" t="s">
        <v>9048</v>
      </c>
      <c r="C4695" s="396" t="s">
        <v>828</v>
      </c>
      <c r="D4695" s="396" t="s">
        <v>9037</v>
      </c>
      <c r="E4695" s="396" t="s">
        <v>9038</v>
      </c>
      <c r="F4695" s="396" t="s">
        <v>8975</v>
      </c>
    </row>
    <row r="4696">
      <c r="A4696" s="311">
        <v>4695</v>
      </c>
      <c r="B4696" s="396" t="s">
        <v>9049</v>
      </c>
      <c r="C4696" s="396" t="s">
        <v>1425</v>
      </c>
      <c r="D4696" s="396" t="s">
        <v>9037</v>
      </c>
      <c r="E4696" s="396" t="s">
        <v>9038</v>
      </c>
      <c r="F4696" s="396" t="s">
        <v>8975</v>
      </c>
    </row>
    <row r="4697">
      <c r="A4697" s="311">
        <v>4696</v>
      </c>
      <c r="B4697" s="396" t="s">
        <v>9050</v>
      </c>
      <c r="C4697" s="396" t="s">
        <v>1086</v>
      </c>
      <c r="D4697" s="396" t="s">
        <v>9037</v>
      </c>
      <c r="E4697" s="396" t="s">
        <v>9038</v>
      </c>
      <c r="F4697" s="396" t="s">
        <v>8975</v>
      </c>
    </row>
    <row r="4698">
      <c r="A4698" s="311">
        <v>4697</v>
      </c>
      <c r="B4698" s="396" t="s">
        <v>9051</v>
      </c>
      <c r="C4698" s="396" t="s">
        <v>1115</v>
      </c>
      <c r="D4698" s="396" t="s">
        <v>9037</v>
      </c>
      <c r="E4698" s="396" t="s">
        <v>9038</v>
      </c>
      <c r="F4698" s="396" t="s">
        <v>8975</v>
      </c>
    </row>
    <row r="4699">
      <c r="A4699" s="311">
        <v>4698</v>
      </c>
      <c r="B4699" s="396" t="s">
        <v>9052</v>
      </c>
      <c r="C4699" s="396" t="s">
        <v>9053</v>
      </c>
      <c r="D4699" s="396" t="s">
        <v>9037</v>
      </c>
      <c r="E4699" s="396" t="s">
        <v>9038</v>
      </c>
      <c r="F4699" s="396" t="s">
        <v>8975</v>
      </c>
    </row>
    <row r="4700">
      <c r="A4700" s="311">
        <v>4699</v>
      </c>
      <c r="B4700" s="396" t="s">
        <v>9054</v>
      </c>
      <c r="C4700" s="396" t="s">
        <v>9055</v>
      </c>
      <c r="D4700" s="396" t="s">
        <v>9037</v>
      </c>
      <c r="E4700" s="396" t="s">
        <v>9038</v>
      </c>
      <c r="F4700" s="396" t="s">
        <v>8975</v>
      </c>
    </row>
    <row r="4701">
      <c r="A4701" s="311">
        <v>4700</v>
      </c>
      <c r="B4701" s="396" t="s">
        <v>9056</v>
      </c>
      <c r="C4701" s="396" t="s">
        <v>9057</v>
      </c>
      <c r="D4701" s="396" t="s">
        <v>9037</v>
      </c>
      <c r="E4701" s="396" t="s">
        <v>9038</v>
      </c>
      <c r="F4701" s="396" t="s">
        <v>8975</v>
      </c>
    </row>
    <row r="4702">
      <c r="A4702" s="311">
        <v>4701</v>
      </c>
      <c r="B4702" s="396" t="s">
        <v>9058</v>
      </c>
      <c r="C4702" s="396" t="s">
        <v>4777</v>
      </c>
      <c r="D4702" s="396" t="s">
        <v>9037</v>
      </c>
      <c r="E4702" s="396" t="s">
        <v>9038</v>
      </c>
      <c r="F4702" s="396" t="s">
        <v>8975</v>
      </c>
    </row>
    <row r="4703">
      <c r="A4703" s="311">
        <v>4702</v>
      </c>
      <c r="B4703" s="396" t="s">
        <v>9059</v>
      </c>
      <c r="C4703" s="396" t="s">
        <v>1076</v>
      </c>
      <c r="D4703" s="396" t="s">
        <v>9037</v>
      </c>
      <c r="E4703" s="396" t="s">
        <v>9038</v>
      </c>
      <c r="F4703" s="396" t="s">
        <v>8975</v>
      </c>
    </row>
    <row r="4704">
      <c r="A4704" s="311">
        <v>4703</v>
      </c>
      <c r="B4704" s="396" t="s">
        <v>9060</v>
      </c>
      <c r="C4704" s="396" t="s">
        <v>6628</v>
      </c>
      <c r="D4704" s="396" t="s">
        <v>9037</v>
      </c>
      <c r="E4704" s="396" t="s">
        <v>9038</v>
      </c>
      <c r="F4704" s="396" t="s">
        <v>8975</v>
      </c>
    </row>
    <row r="4705">
      <c r="A4705" s="311">
        <v>4704</v>
      </c>
      <c r="B4705" s="396" t="s">
        <v>9061</v>
      </c>
      <c r="C4705" s="396" t="s">
        <v>9062</v>
      </c>
      <c r="D4705" s="396" t="s">
        <v>9037</v>
      </c>
      <c r="E4705" s="396" t="s">
        <v>9038</v>
      </c>
      <c r="F4705" s="396" t="s">
        <v>8975</v>
      </c>
    </row>
    <row r="4706">
      <c r="A4706" s="311">
        <v>4705</v>
      </c>
      <c r="B4706" s="396" t="s">
        <v>9063</v>
      </c>
      <c r="C4706" s="396" t="s">
        <v>9064</v>
      </c>
      <c r="D4706" s="396" t="s">
        <v>9065</v>
      </c>
      <c r="E4706" s="396" t="s">
        <v>9066</v>
      </c>
      <c r="F4706" s="396" t="s">
        <v>8975</v>
      </c>
    </row>
    <row r="4707">
      <c r="A4707" s="311">
        <v>4706</v>
      </c>
      <c r="B4707" s="396" t="s">
        <v>9067</v>
      </c>
      <c r="C4707" s="396" t="s">
        <v>844</v>
      </c>
      <c r="D4707" s="396" t="s">
        <v>9065</v>
      </c>
      <c r="E4707" s="396" t="s">
        <v>9066</v>
      </c>
      <c r="F4707" s="396" t="s">
        <v>8975</v>
      </c>
    </row>
    <row r="4708">
      <c r="A4708" s="311">
        <v>4707</v>
      </c>
      <c r="B4708" s="396" t="s">
        <v>9068</v>
      </c>
      <c r="C4708" s="396" t="s">
        <v>1599</v>
      </c>
      <c r="D4708" s="396" t="s">
        <v>9065</v>
      </c>
      <c r="E4708" s="396" t="s">
        <v>9066</v>
      </c>
      <c r="F4708" s="396" t="s">
        <v>8975</v>
      </c>
    </row>
    <row r="4709">
      <c r="A4709" s="311">
        <v>4708</v>
      </c>
      <c r="B4709" s="396" t="s">
        <v>9069</v>
      </c>
      <c r="C4709" s="396" t="s">
        <v>9070</v>
      </c>
      <c r="D4709" s="396" t="s">
        <v>9065</v>
      </c>
      <c r="E4709" s="396" t="s">
        <v>9066</v>
      </c>
      <c r="F4709" s="396" t="s">
        <v>8975</v>
      </c>
    </row>
    <row r="4710">
      <c r="A4710" s="311">
        <v>4709</v>
      </c>
      <c r="B4710" s="396" t="s">
        <v>9071</v>
      </c>
      <c r="C4710" s="396" t="s">
        <v>9072</v>
      </c>
      <c r="D4710" s="396" t="s">
        <v>9065</v>
      </c>
      <c r="E4710" s="396" t="s">
        <v>9066</v>
      </c>
      <c r="F4710" s="396" t="s">
        <v>8975</v>
      </c>
    </row>
    <row r="4711">
      <c r="A4711" s="311">
        <v>4710</v>
      </c>
      <c r="B4711" s="396" t="s">
        <v>9073</v>
      </c>
      <c r="C4711" s="396" t="s">
        <v>5629</v>
      </c>
      <c r="D4711" s="396" t="s">
        <v>9065</v>
      </c>
      <c r="E4711" s="396" t="s">
        <v>9066</v>
      </c>
      <c r="F4711" s="396" t="s">
        <v>8975</v>
      </c>
    </row>
    <row r="4712">
      <c r="A4712" s="311">
        <v>4711</v>
      </c>
      <c r="B4712" s="396" t="s">
        <v>9074</v>
      </c>
      <c r="C4712" s="396" t="s">
        <v>9075</v>
      </c>
      <c r="D4712" s="396" t="s">
        <v>9065</v>
      </c>
      <c r="E4712" s="396" t="s">
        <v>9066</v>
      </c>
      <c r="F4712" s="396" t="s">
        <v>8975</v>
      </c>
    </row>
    <row r="4713">
      <c r="A4713" s="311">
        <v>4712</v>
      </c>
      <c r="B4713" s="396" t="s">
        <v>9076</v>
      </c>
      <c r="C4713" s="396" t="s">
        <v>9077</v>
      </c>
      <c r="D4713" s="396" t="s">
        <v>9065</v>
      </c>
      <c r="E4713" s="396" t="s">
        <v>9066</v>
      </c>
      <c r="F4713" s="396" t="s">
        <v>8975</v>
      </c>
    </row>
    <row r="4714">
      <c r="A4714" s="311">
        <v>4713</v>
      </c>
      <c r="B4714" s="396" t="s">
        <v>9078</v>
      </c>
      <c r="C4714" s="396" t="s">
        <v>6792</v>
      </c>
      <c r="D4714" s="396" t="s">
        <v>9065</v>
      </c>
      <c r="E4714" s="396" t="s">
        <v>9066</v>
      </c>
      <c r="F4714" s="396" t="s">
        <v>8975</v>
      </c>
    </row>
    <row r="4715">
      <c r="A4715" s="311">
        <v>4714</v>
      </c>
      <c r="B4715" s="396" t="s">
        <v>9079</v>
      </c>
      <c r="C4715" s="396" t="s">
        <v>9080</v>
      </c>
      <c r="D4715" s="396" t="s">
        <v>9065</v>
      </c>
      <c r="E4715" s="396" t="s">
        <v>9066</v>
      </c>
      <c r="F4715" s="396" t="s">
        <v>8975</v>
      </c>
    </row>
    <row r="4716">
      <c r="A4716" s="311">
        <v>4715</v>
      </c>
      <c r="B4716" s="396" t="s">
        <v>9081</v>
      </c>
      <c r="C4716" s="396" t="s">
        <v>848</v>
      </c>
      <c r="D4716" s="396" t="s">
        <v>9065</v>
      </c>
      <c r="E4716" s="396" t="s">
        <v>9066</v>
      </c>
      <c r="F4716" s="396" t="s">
        <v>8975</v>
      </c>
    </row>
    <row r="4717">
      <c r="A4717" s="311">
        <v>4716</v>
      </c>
      <c r="B4717" s="396" t="s">
        <v>9082</v>
      </c>
      <c r="C4717" s="396" t="s">
        <v>2416</v>
      </c>
      <c r="D4717" s="396" t="s">
        <v>9065</v>
      </c>
      <c r="E4717" s="396" t="s">
        <v>9066</v>
      </c>
      <c r="F4717" s="396" t="s">
        <v>8975</v>
      </c>
    </row>
    <row r="4718">
      <c r="A4718" s="311">
        <v>4717</v>
      </c>
      <c r="B4718" s="396" t="s">
        <v>9083</v>
      </c>
      <c r="C4718" s="396" t="s">
        <v>470</v>
      </c>
      <c r="D4718" s="396" t="s">
        <v>9065</v>
      </c>
      <c r="E4718" s="396" t="s">
        <v>9066</v>
      </c>
      <c r="F4718" s="396" t="s">
        <v>8975</v>
      </c>
    </row>
    <row r="4719">
      <c r="A4719" s="311">
        <v>4718</v>
      </c>
      <c r="B4719" s="396" t="s">
        <v>9084</v>
      </c>
      <c r="C4719" s="396" t="s">
        <v>6738</v>
      </c>
      <c r="D4719" s="396" t="s">
        <v>9065</v>
      </c>
      <c r="E4719" s="396" t="s">
        <v>9066</v>
      </c>
      <c r="F4719" s="396" t="s">
        <v>8975</v>
      </c>
    </row>
    <row r="4720">
      <c r="A4720" s="311">
        <v>4719</v>
      </c>
      <c r="B4720" s="396" t="s">
        <v>9085</v>
      </c>
      <c r="C4720" s="396" t="s">
        <v>9086</v>
      </c>
      <c r="D4720" s="396" t="s">
        <v>9065</v>
      </c>
      <c r="E4720" s="396" t="s">
        <v>9066</v>
      </c>
      <c r="F4720" s="396" t="s">
        <v>8975</v>
      </c>
    </row>
    <row r="4721">
      <c r="A4721" s="311">
        <v>4720</v>
      </c>
      <c r="B4721" s="396" t="s">
        <v>9087</v>
      </c>
      <c r="C4721" s="396" t="s">
        <v>3751</v>
      </c>
      <c r="D4721" s="396" t="s">
        <v>9065</v>
      </c>
      <c r="E4721" s="396" t="s">
        <v>9066</v>
      </c>
      <c r="F4721" s="396" t="s">
        <v>8975</v>
      </c>
    </row>
    <row r="4722">
      <c r="A4722" s="311">
        <v>4721</v>
      </c>
      <c r="B4722" s="396" t="s">
        <v>9088</v>
      </c>
      <c r="C4722" s="396" t="s">
        <v>9089</v>
      </c>
      <c r="D4722" s="396" t="s">
        <v>9065</v>
      </c>
      <c r="E4722" s="396" t="s">
        <v>9066</v>
      </c>
      <c r="F4722" s="396" t="s">
        <v>8975</v>
      </c>
    </row>
    <row r="4723">
      <c r="A4723" s="311">
        <v>4722</v>
      </c>
      <c r="B4723" s="396" t="s">
        <v>9090</v>
      </c>
      <c r="C4723" s="396" t="s">
        <v>1439</v>
      </c>
      <c r="D4723" s="396" t="s">
        <v>9065</v>
      </c>
      <c r="E4723" s="396" t="s">
        <v>9066</v>
      </c>
      <c r="F4723" s="396" t="s">
        <v>8975</v>
      </c>
    </row>
    <row r="4724">
      <c r="A4724" s="311">
        <v>4723</v>
      </c>
      <c r="B4724" s="396" t="s">
        <v>9091</v>
      </c>
      <c r="C4724" s="396" t="s">
        <v>4698</v>
      </c>
      <c r="D4724" s="396" t="s">
        <v>9065</v>
      </c>
      <c r="E4724" s="396" t="s">
        <v>9066</v>
      </c>
      <c r="F4724" s="396" t="s">
        <v>8975</v>
      </c>
    </row>
    <row r="4725">
      <c r="A4725" s="311">
        <v>4724</v>
      </c>
      <c r="B4725" s="396" t="s">
        <v>9092</v>
      </c>
      <c r="C4725" s="396" t="s">
        <v>6562</v>
      </c>
      <c r="D4725" s="396" t="s">
        <v>9065</v>
      </c>
      <c r="E4725" s="396" t="s">
        <v>9066</v>
      </c>
      <c r="F4725" s="396" t="s">
        <v>8975</v>
      </c>
    </row>
    <row r="4726">
      <c r="A4726" s="311">
        <v>4725</v>
      </c>
      <c r="B4726" s="396" t="s">
        <v>9093</v>
      </c>
      <c r="C4726" s="396" t="s">
        <v>9094</v>
      </c>
      <c r="D4726" s="396" t="s">
        <v>9065</v>
      </c>
      <c r="E4726" s="396" t="s">
        <v>9066</v>
      </c>
      <c r="F4726" s="396" t="s">
        <v>8975</v>
      </c>
    </row>
    <row r="4727">
      <c r="A4727" s="311">
        <v>4726</v>
      </c>
      <c r="B4727" s="396" t="s">
        <v>9095</v>
      </c>
      <c r="C4727" s="396" t="s">
        <v>4252</v>
      </c>
      <c r="D4727" s="396" t="s">
        <v>9065</v>
      </c>
      <c r="E4727" s="396" t="s">
        <v>9066</v>
      </c>
      <c r="F4727" s="396" t="s">
        <v>8975</v>
      </c>
    </row>
    <row r="4728">
      <c r="A4728" s="311">
        <v>4727</v>
      </c>
      <c r="B4728" s="396" t="s">
        <v>9096</v>
      </c>
      <c r="C4728" s="396" t="s">
        <v>9097</v>
      </c>
      <c r="D4728" s="396" t="s">
        <v>9065</v>
      </c>
      <c r="E4728" s="396" t="s">
        <v>9066</v>
      </c>
      <c r="F4728" s="396" t="s">
        <v>8975</v>
      </c>
    </row>
    <row r="4729">
      <c r="A4729" s="311">
        <v>4728</v>
      </c>
      <c r="B4729" s="396" t="s">
        <v>9098</v>
      </c>
      <c r="C4729" s="396" t="s">
        <v>3890</v>
      </c>
      <c r="D4729" s="396" t="s">
        <v>9065</v>
      </c>
      <c r="E4729" s="396" t="s">
        <v>9066</v>
      </c>
      <c r="F4729" s="396" t="s">
        <v>8975</v>
      </c>
    </row>
    <row r="4730">
      <c r="A4730" s="311">
        <v>4729</v>
      </c>
      <c r="B4730" s="396" t="s">
        <v>9099</v>
      </c>
      <c r="C4730" s="396" t="s">
        <v>5117</v>
      </c>
      <c r="D4730" s="396" t="s">
        <v>9065</v>
      </c>
      <c r="E4730" s="396" t="s">
        <v>9066</v>
      </c>
      <c r="F4730" s="396" t="s">
        <v>8975</v>
      </c>
    </row>
    <row r="4731">
      <c r="A4731" s="311">
        <v>4730</v>
      </c>
      <c r="B4731" s="396" t="s">
        <v>9100</v>
      </c>
      <c r="C4731" s="396" t="s">
        <v>1445</v>
      </c>
      <c r="D4731" s="396" t="s">
        <v>9065</v>
      </c>
      <c r="E4731" s="396" t="s">
        <v>9066</v>
      </c>
      <c r="F4731" s="396" t="s">
        <v>8975</v>
      </c>
    </row>
    <row r="4732">
      <c r="A4732" s="311">
        <v>4731</v>
      </c>
      <c r="B4732" s="396" t="s">
        <v>9101</v>
      </c>
      <c r="C4732" s="396" t="s">
        <v>9102</v>
      </c>
      <c r="D4732" s="396" t="s">
        <v>9065</v>
      </c>
      <c r="E4732" s="396" t="s">
        <v>9066</v>
      </c>
      <c r="F4732" s="396" t="s">
        <v>8975</v>
      </c>
    </row>
    <row r="4733">
      <c r="A4733" s="311">
        <v>4732</v>
      </c>
      <c r="B4733" s="396" t="s">
        <v>9103</v>
      </c>
      <c r="C4733" s="396" t="s">
        <v>9104</v>
      </c>
      <c r="D4733" s="396" t="s">
        <v>9065</v>
      </c>
      <c r="E4733" s="396" t="s">
        <v>9066</v>
      </c>
      <c r="F4733" s="396" t="s">
        <v>8975</v>
      </c>
    </row>
    <row r="4734">
      <c r="A4734" s="311">
        <v>4733</v>
      </c>
      <c r="B4734" s="396" t="s">
        <v>9105</v>
      </c>
      <c r="C4734" s="396" t="s">
        <v>6787</v>
      </c>
      <c r="D4734" s="396" t="s">
        <v>9065</v>
      </c>
      <c r="E4734" s="396" t="s">
        <v>9066</v>
      </c>
      <c r="F4734" s="396" t="s">
        <v>8975</v>
      </c>
    </row>
    <row r="4735">
      <c r="A4735" s="311">
        <v>4734</v>
      </c>
      <c r="B4735" s="396" t="s">
        <v>9106</v>
      </c>
      <c r="C4735" s="396" t="s">
        <v>9107</v>
      </c>
      <c r="D4735" s="396" t="s">
        <v>9065</v>
      </c>
      <c r="E4735" s="396" t="s">
        <v>9066</v>
      </c>
      <c r="F4735" s="396" t="s">
        <v>8975</v>
      </c>
    </row>
    <row r="4736">
      <c r="A4736" s="311">
        <v>4735</v>
      </c>
      <c r="B4736" s="396" t="s">
        <v>9108</v>
      </c>
      <c r="C4736" s="396" t="s">
        <v>9109</v>
      </c>
      <c r="D4736" s="396" t="s">
        <v>9065</v>
      </c>
      <c r="E4736" s="396" t="s">
        <v>9066</v>
      </c>
      <c r="F4736" s="396" t="s">
        <v>8975</v>
      </c>
    </row>
    <row r="4737">
      <c r="A4737" s="311">
        <v>4736</v>
      </c>
      <c r="B4737" s="396" t="s">
        <v>9110</v>
      </c>
      <c r="C4737" s="396" t="s">
        <v>4530</v>
      </c>
      <c r="D4737" s="396" t="s">
        <v>9065</v>
      </c>
      <c r="E4737" s="396" t="s">
        <v>9066</v>
      </c>
      <c r="F4737" s="396" t="s">
        <v>8975</v>
      </c>
    </row>
    <row r="4738">
      <c r="A4738" s="311">
        <v>4737</v>
      </c>
      <c r="B4738" s="396" t="s">
        <v>9111</v>
      </c>
      <c r="C4738" s="396" t="s">
        <v>9112</v>
      </c>
      <c r="D4738" s="396" t="s">
        <v>9113</v>
      </c>
      <c r="E4738" s="396" t="s">
        <v>9114</v>
      </c>
      <c r="F4738" s="396" t="s">
        <v>8975</v>
      </c>
    </row>
    <row r="4739">
      <c r="A4739" s="311">
        <v>4738</v>
      </c>
      <c r="B4739" s="396" t="s">
        <v>9115</v>
      </c>
      <c r="C4739" s="396" t="s">
        <v>9116</v>
      </c>
      <c r="D4739" s="396" t="s">
        <v>9113</v>
      </c>
      <c r="E4739" s="396" t="s">
        <v>9114</v>
      </c>
      <c r="F4739" s="396" t="s">
        <v>8975</v>
      </c>
    </row>
    <row r="4740">
      <c r="A4740" s="311">
        <v>4739</v>
      </c>
      <c r="B4740" s="396" t="s">
        <v>9117</v>
      </c>
      <c r="C4740" s="396" t="s">
        <v>9118</v>
      </c>
      <c r="D4740" s="396" t="s">
        <v>9113</v>
      </c>
      <c r="E4740" s="396" t="s">
        <v>9114</v>
      </c>
      <c r="F4740" s="396" t="s">
        <v>8975</v>
      </c>
    </row>
    <row r="4741">
      <c r="A4741" s="311">
        <v>4740</v>
      </c>
      <c r="B4741" s="396" t="s">
        <v>9119</v>
      </c>
      <c r="C4741" s="396" t="s">
        <v>9120</v>
      </c>
      <c r="D4741" s="396" t="s">
        <v>9113</v>
      </c>
      <c r="E4741" s="396" t="s">
        <v>9114</v>
      </c>
      <c r="F4741" s="396" t="s">
        <v>8975</v>
      </c>
    </row>
    <row r="4742">
      <c r="A4742" s="311">
        <v>4741</v>
      </c>
      <c r="B4742" s="396" t="s">
        <v>9121</v>
      </c>
      <c r="C4742" s="396" t="s">
        <v>9122</v>
      </c>
      <c r="D4742" s="396" t="s">
        <v>9113</v>
      </c>
      <c r="E4742" s="396" t="s">
        <v>9114</v>
      </c>
      <c r="F4742" s="396" t="s">
        <v>8975</v>
      </c>
    </row>
    <row r="4743">
      <c r="A4743" s="311">
        <v>4742</v>
      </c>
      <c r="B4743" s="396" t="s">
        <v>9123</v>
      </c>
      <c r="C4743" s="396" t="s">
        <v>9124</v>
      </c>
      <c r="D4743" s="396" t="s">
        <v>9113</v>
      </c>
      <c r="E4743" s="396" t="s">
        <v>9114</v>
      </c>
      <c r="F4743" s="396" t="s">
        <v>8975</v>
      </c>
    </row>
    <row r="4744">
      <c r="A4744" s="311">
        <v>4743</v>
      </c>
      <c r="B4744" s="396" t="s">
        <v>9125</v>
      </c>
      <c r="C4744" s="396" t="s">
        <v>9126</v>
      </c>
      <c r="D4744" s="396" t="s">
        <v>9113</v>
      </c>
      <c r="E4744" s="396" t="s">
        <v>9114</v>
      </c>
      <c r="F4744" s="396" t="s">
        <v>8975</v>
      </c>
    </row>
    <row r="4745">
      <c r="A4745" s="311">
        <v>4744</v>
      </c>
      <c r="B4745" s="396" t="s">
        <v>9127</v>
      </c>
      <c r="C4745" s="396" t="s">
        <v>9128</v>
      </c>
      <c r="D4745" s="396" t="s">
        <v>9113</v>
      </c>
      <c r="E4745" s="396" t="s">
        <v>9114</v>
      </c>
      <c r="F4745" s="396" t="s">
        <v>8975</v>
      </c>
    </row>
    <row r="4746">
      <c r="A4746" s="311">
        <v>4745</v>
      </c>
      <c r="B4746" s="396" t="s">
        <v>9129</v>
      </c>
      <c r="C4746" s="396" t="s">
        <v>6028</v>
      </c>
      <c r="D4746" s="396" t="s">
        <v>9113</v>
      </c>
      <c r="E4746" s="396" t="s">
        <v>9114</v>
      </c>
      <c r="F4746" s="396" t="s">
        <v>8975</v>
      </c>
    </row>
    <row r="4747">
      <c r="A4747" s="311">
        <v>4746</v>
      </c>
      <c r="B4747" s="396" t="s">
        <v>9130</v>
      </c>
      <c r="C4747" s="396" t="s">
        <v>4092</v>
      </c>
      <c r="D4747" s="396" t="s">
        <v>9113</v>
      </c>
      <c r="E4747" s="396" t="s">
        <v>9114</v>
      </c>
      <c r="F4747" s="396" t="s">
        <v>8975</v>
      </c>
    </row>
    <row r="4748">
      <c r="A4748" s="311">
        <v>4747</v>
      </c>
      <c r="B4748" s="396" t="s">
        <v>9131</v>
      </c>
      <c r="C4748" s="396" t="s">
        <v>9132</v>
      </c>
      <c r="D4748" s="396" t="s">
        <v>9113</v>
      </c>
      <c r="E4748" s="396" t="s">
        <v>9114</v>
      </c>
      <c r="F4748" s="396" t="s">
        <v>8975</v>
      </c>
    </row>
    <row r="4749">
      <c r="A4749" s="311">
        <v>4748</v>
      </c>
      <c r="B4749" s="396" t="s">
        <v>9133</v>
      </c>
      <c r="C4749" s="396" t="s">
        <v>9134</v>
      </c>
      <c r="D4749" s="396" t="s">
        <v>9113</v>
      </c>
      <c r="E4749" s="396" t="s">
        <v>9114</v>
      </c>
      <c r="F4749" s="396" t="s">
        <v>8975</v>
      </c>
    </row>
    <row r="4750">
      <c r="A4750" s="311">
        <v>4749</v>
      </c>
      <c r="B4750" s="396" t="s">
        <v>9135</v>
      </c>
      <c r="C4750" s="396" t="s">
        <v>9136</v>
      </c>
      <c r="D4750" s="396" t="s">
        <v>9113</v>
      </c>
      <c r="E4750" s="396" t="s">
        <v>9114</v>
      </c>
      <c r="F4750" s="396" t="s">
        <v>8975</v>
      </c>
    </row>
    <row r="4751">
      <c r="A4751" s="311">
        <v>4750</v>
      </c>
      <c r="B4751" s="396" t="s">
        <v>9137</v>
      </c>
      <c r="C4751" s="396" t="s">
        <v>9138</v>
      </c>
      <c r="D4751" s="396" t="s">
        <v>9113</v>
      </c>
      <c r="E4751" s="396" t="s">
        <v>9114</v>
      </c>
      <c r="F4751" s="396" t="s">
        <v>8975</v>
      </c>
    </row>
    <row r="4752">
      <c r="A4752" s="311">
        <v>4751</v>
      </c>
      <c r="B4752" s="396" t="s">
        <v>9139</v>
      </c>
      <c r="C4752" s="396" t="s">
        <v>9140</v>
      </c>
      <c r="D4752" s="396" t="s">
        <v>9113</v>
      </c>
      <c r="E4752" s="396" t="s">
        <v>9114</v>
      </c>
      <c r="F4752" s="396" t="s">
        <v>8975</v>
      </c>
    </row>
    <row r="4753">
      <c r="A4753" s="311">
        <v>4752</v>
      </c>
      <c r="B4753" s="396" t="s">
        <v>9141</v>
      </c>
      <c r="C4753" s="396" t="s">
        <v>9142</v>
      </c>
      <c r="D4753" s="396" t="s">
        <v>9113</v>
      </c>
      <c r="E4753" s="396" t="s">
        <v>9114</v>
      </c>
      <c r="F4753" s="396" t="s">
        <v>8975</v>
      </c>
    </row>
    <row r="4754">
      <c r="A4754" s="311">
        <v>4753</v>
      </c>
      <c r="B4754" s="396" t="s">
        <v>9143</v>
      </c>
      <c r="C4754" s="396" t="s">
        <v>9144</v>
      </c>
      <c r="D4754" s="396" t="s">
        <v>9113</v>
      </c>
      <c r="E4754" s="396" t="s">
        <v>9114</v>
      </c>
      <c r="F4754" s="396" t="s">
        <v>8975</v>
      </c>
    </row>
    <row r="4755">
      <c r="A4755" s="311">
        <v>4754</v>
      </c>
      <c r="B4755" s="396" t="s">
        <v>9145</v>
      </c>
      <c r="C4755" s="396" t="s">
        <v>9146</v>
      </c>
      <c r="D4755" s="396" t="s">
        <v>9113</v>
      </c>
      <c r="E4755" s="396" t="s">
        <v>9114</v>
      </c>
      <c r="F4755" s="396" t="s">
        <v>8975</v>
      </c>
    </row>
    <row r="4756">
      <c r="A4756" s="311">
        <v>4755</v>
      </c>
      <c r="B4756" s="396" t="s">
        <v>9147</v>
      </c>
      <c r="C4756" s="396" t="s">
        <v>9148</v>
      </c>
      <c r="D4756" s="396" t="s">
        <v>9113</v>
      </c>
      <c r="E4756" s="396" t="s">
        <v>9114</v>
      </c>
      <c r="F4756" s="396" t="s">
        <v>8975</v>
      </c>
    </row>
    <row r="4757">
      <c r="A4757" s="311">
        <v>4756</v>
      </c>
      <c r="B4757" s="396" t="s">
        <v>9149</v>
      </c>
      <c r="C4757" s="396" t="s">
        <v>9150</v>
      </c>
      <c r="D4757" s="396" t="s">
        <v>9113</v>
      </c>
      <c r="E4757" s="396" t="s">
        <v>9114</v>
      </c>
      <c r="F4757" s="396" t="s">
        <v>8975</v>
      </c>
    </row>
    <row r="4758">
      <c r="A4758" s="311">
        <v>4757</v>
      </c>
      <c r="B4758" s="396" t="s">
        <v>9151</v>
      </c>
      <c r="C4758" s="396" t="s">
        <v>9152</v>
      </c>
      <c r="D4758" s="396" t="s">
        <v>9113</v>
      </c>
      <c r="E4758" s="396" t="s">
        <v>9114</v>
      </c>
      <c r="F4758" s="396" t="s">
        <v>8975</v>
      </c>
    </row>
    <row r="4759">
      <c r="A4759" s="311">
        <v>4758</v>
      </c>
      <c r="B4759" s="396" t="s">
        <v>9153</v>
      </c>
      <c r="C4759" s="396" t="s">
        <v>3859</v>
      </c>
      <c r="D4759" s="396" t="s">
        <v>9113</v>
      </c>
      <c r="E4759" s="396" t="s">
        <v>9114</v>
      </c>
      <c r="F4759" s="396" t="s">
        <v>8975</v>
      </c>
    </row>
    <row r="4760">
      <c r="A4760" s="311">
        <v>4759</v>
      </c>
      <c r="B4760" s="396" t="s">
        <v>9154</v>
      </c>
      <c r="C4760" s="396" t="s">
        <v>9155</v>
      </c>
      <c r="D4760" s="396" t="s">
        <v>9113</v>
      </c>
      <c r="E4760" s="396" t="s">
        <v>9114</v>
      </c>
      <c r="F4760" s="396" t="s">
        <v>8975</v>
      </c>
    </row>
    <row r="4761">
      <c r="A4761" s="311">
        <v>4760</v>
      </c>
      <c r="B4761" s="396" t="s">
        <v>9156</v>
      </c>
      <c r="C4761" s="396" t="s">
        <v>3861</v>
      </c>
      <c r="D4761" s="396" t="s">
        <v>9113</v>
      </c>
      <c r="E4761" s="396" t="s">
        <v>9114</v>
      </c>
      <c r="F4761" s="396" t="s">
        <v>8975</v>
      </c>
    </row>
    <row r="4762">
      <c r="A4762" s="311">
        <v>4761</v>
      </c>
      <c r="B4762" s="396" t="s">
        <v>9157</v>
      </c>
      <c r="C4762" s="396" t="s">
        <v>9158</v>
      </c>
      <c r="D4762" s="396" t="s">
        <v>9113</v>
      </c>
      <c r="E4762" s="396" t="s">
        <v>9114</v>
      </c>
      <c r="F4762" s="396" t="s">
        <v>8975</v>
      </c>
    </row>
    <row r="4763">
      <c r="A4763" s="311">
        <v>4762</v>
      </c>
      <c r="B4763" s="396" t="s">
        <v>9159</v>
      </c>
      <c r="C4763" s="396" t="s">
        <v>9160</v>
      </c>
      <c r="D4763" s="396" t="s">
        <v>9161</v>
      </c>
      <c r="E4763" s="396" t="s">
        <v>9162</v>
      </c>
      <c r="F4763" s="396" t="s">
        <v>8975</v>
      </c>
    </row>
    <row r="4764">
      <c r="A4764" s="311">
        <v>4763</v>
      </c>
      <c r="B4764" s="396" t="s">
        <v>9163</v>
      </c>
      <c r="C4764" s="396" t="s">
        <v>9164</v>
      </c>
      <c r="D4764" s="396" t="s">
        <v>9161</v>
      </c>
      <c r="E4764" s="396" t="s">
        <v>9162</v>
      </c>
      <c r="F4764" s="396" t="s">
        <v>8975</v>
      </c>
    </row>
    <row r="4765">
      <c r="A4765" s="311">
        <v>4764</v>
      </c>
      <c r="B4765" s="396" t="s">
        <v>9165</v>
      </c>
      <c r="C4765" s="396" t="s">
        <v>5471</v>
      </c>
      <c r="D4765" s="396" t="s">
        <v>9161</v>
      </c>
      <c r="E4765" s="396" t="s">
        <v>9162</v>
      </c>
      <c r="F4765" s="396" t="s">
        <v>8975</v>
      </c>
    </row>
    <row r="4766">
      <c r="A4766" s="311">
        <v>4765</v>
      </c>
      <c r="B4766" s="396" t="s">
        <v>9166</v>
      </c>
      <c r="C4766" s="396" t="s">
        <v>3863</v>
      </c>
      <c r="D4766" s="396" t="s">
        <v>9161</v>
      </c>
      <c r="E4766" s="396" t="s">
        <v>9162</v>
      </c>
      <c r="F4766" s="396" t="s">
        <v>8975</v>
      </c>
    </row>
    <row r="4767">
      <c r="A4767" s="311">
        <v>4766</v>
      </c>
      <c r="B4767" s="396" t="s">
        <v>9167</v>
      </c>
      <c r="C4767" s="396" t="s">
        <v>8630</v>
      </c>
      <c r="D4767" s="396" t="s">
        <v>9161</v>
      </c>
      <c r="E4767" s="396" t="s">
        <v>9162</v>
      </c>
      <c r="F4767" s="396" t="s">
        <v>8975</v>
      </c>
    </row>
    <row r="4768">
      <c r="A4768" s="311">
        <v>4767</v>
      </c>
      <c r="B4768" s="396" t="s">
        <v>9168</v>
      </c>
      <c r="C4768" s="396" t="s">
        <v>9169</v>
      </c>
      <c r="D4768" s="396" t="s">
        <v>9161</v>
      </c>
      <c r="E4768" s="396" t="s">
        <v>9162</v>
      </c>
      <c r="F4768" s="396" t="s">
        <v>8975</v>
      </c>
    </row>
    <row r="4769">
      <c r="A4769" s="311">
        <v>4768</v>
      </c>
      <c r="B4769" s="396" t="s">
        <v>9170</v>
      </c>
      <c r="C4769" s="396" t="s">
        <v>1175</v>
      </c>
      <c r="D4769" s="396" t="s">
        <v>9161</v>
      </c>
      <c r="E4769" s="396" t="s">
        <v>9162</v>
      </c>
      <c r="F4769" s="396" t="s">
        <v>8975</v>
      </c>
    </row>
    <row r="4770">
      <c r="A4770" s="311">
        <v>4769</v>
      </c>
      <c r="B4770" s="396" t="s">
        <v>9171</v>
      </c>
      <c r="C4770" s="396" t="s">
        <v>2380</v>
      </c>
      <c r="D4770" s="396" t="s">
        <v>9161</v>
      </c>
      <c r="E4770" s="396" t="s">
        <v>9162</v>
      </c>
      <c r="F4770" s="396" t="s">
        <v>8975</v>
      </c>
    </row>
    <row r="4771">
      <c r="A4771" s="311">
        <v>4770</v>
      </c>
      <c r="B4771" s="396" t="s">
        <v>9172</v>
      </c>
      <c r="C4771" s="396" t="s">
        <v>2165</v>
      </c>
      <c r="D4771" s="396" t="s">
        <v>9161</v>
      </c>
      <c r="E4771" s="396" t="s">
        <v>9162</v>
      </c>
      <c r="F4771" s="396" t="s">
        <v>8975</v>
      </c>
    </row>
    <row r="4772">
      <c r="A4772" s="311">
        <v>4771</v>
      </c>
      <c r="B4772" s="396" t="s">
        <v>9173</v>
      </c>
      <c r="C4772" s="396" t="s">
        <v>348</v>
      </c>
      <c r="D4772" s="396" t="s">
        <v>9161</v>
      </c>
      <c r="E4772" s="396" t="s">
        <v>9162</v>
      </c>
      <c r="F4772" s="396" t="s">
        <v>8975</v>
      </c>
    </row>
    <row r="4773">
      <c r="A4773" s="311">
        <v>4772</v>
      </c>
      <c r="B4773" s="396" t="s">
        <v>9174</v>
      </c>
      <c r="C4773" s="396" t="s">
        <v>9175</v>
      </c>
      <c r="D4773" s="396" t="s">
        <v>9161</v>
      </c>
      <c r="E4773" s="396" t="s">
        <v>9162</v>
      </c>
      <c r="F4773" s="396" t="s">
        <v>8975</v>
      </c>
    </row>
    <row r="4774">
      <c r="A4774" s="311">
        <v>4773</v>
      </c>
      <c r="B4774" s="396" t="s">
        <v>9176</v>
      </c>
      <c r="C4774" s="396" t="s">
        <v>9177</v>
      </c>
      <c r="D4774" s="396" t="s">
        <v>9161</v>
      </c>
      <c r="E4774" s="396" t="s">
        <v>9162</v>
      </c>
      <c r="F4774" s="396" t="s">
        <v>8975</v>
      </c>
    </row>
    <row r="4775">
      <c r="A4775" s="311">
        <v>4774</v>
      </c>
      <c r="B4775" s="396" t="s">
        <v>9178</v>
      </c>
      <c r="C4775" s="396" t="s">
        <v>5930</v>
      </c>
      <c r="D4775" s="396" t="s">
        <v>9161</v>
      </c>
      <c r="E4775" s="396" t="s">
        <v>9162</v>
      </c>
      <c r="F4775" s="396" t="s">
        <v>8975</v>
      </c>
    </row>
    <row r="4776">
      <c r="A4776" s="311">
        <v>4775</v>
      </c>
      <c r="B4776" s="396" t="s">
        <v>9179</v>
      </c>
      <c r="C4776" s="396" t="s">
        <v>8639</v>
      </c>
      <c r="D4776" s="396" t="s">
        <v>9161</v>
      </c>
      <c r="E4776" s="396" t="s">
        <v>9162</v>
      </c>
      <c r="F4776" s="396" t="s">
        <v>8975</v>
      </c>
    </row>
    <row r="4777">
      <c r="A4777" s="311">
        <v>4776</v>
      </c>
      <c r="B4777" s="396" t="s">
        <v>9180</v>
      </c>
      <c r="C4777" s="396" t="s">
        <v>9181</v>
      </c>
      <c r="D4777" s="396" t="s">
        <v>9161</v>
      </c>
      <c r="E4777" s="396" t="s">
        <v>9162</v>
      </c>
      <c r="F4777" s="396" t="s">
        <v>8975</v>
      </c>
    </row>
    <row r="4778">
      <c r="A4778" s="311">
        <v>4777</v>
      </c>
      <c r="B4778" s="396" t="s">
        <v>9182</v>
      </c>
      <c r="C4778" s="396" t="s">
        <v>970</v>
      </c>
      <c r="D4778" s="396" t="s">
        <v>9161</v>
      </c>
      <c r="E4778" s="396" t="s">
        <v>9162</v>
      </c>
      <c r="F4778" s="396" t="s">
        <v>8975</v>
      </c>
    </row>
    <row r="4779">
      <c r="A4779" s="311">
        <v>4778</v>
      </c>
      <c r="B4779" s="396" t="s">
        <v>9183</v>
      </c>
      <c r="C4779" s="396" t="s">
        <v>5581</v>
      </c>
      <c r="D4779" s="396" t="s">
        <v>9161</v>
      </c>
      <c r="E4779" s="396" t="s">
        <v>9162</v>
      </c>
      <c r="F4779" s="396" t="s">
        <v>8975</v>
      </c>
    </row>
    <row r="4780">
      <c r="A4780" s="311">
        <v>4779</v>
      </c>
      <c r="B4780" s="396" t="s">
        <v>9184</v>
      </c>
      <c r="C4780" s="396" t="s">
        <v>4861</v>
      </c>
      <c r="D4780" s="396" t="s">
        <v>9161</v>
      </c>
      <c r="E4780" s="396" t="s">
        <v>9162</v>
      </c>
      <c r="F4780" s="396" t="s">
        <v>8975</v>
      </c>
    </row>
    <row r="4781">
      <c r="A4781" s="311">
        <v>4780</v>
      </c>
      <c r="B4781" s="396" t="s">
        <v>9185</v>
      </c>
      <c r="C4781" s="396" t="s">
        <v>8644</v>
      </c>
      <c r="D4781" s="396" t="s">
        <v>9161</v>
      </c>
      <c r="E4781" s="396" t="s">
        <v>9162</v>
      </c>
      <c r="F4781" s="396" t="s">
        <v>8975</v>
      </c>
    </row>
    <row r="4782">
      <c r="A4782" s="311">
        <v>4781</v>
      </c>
      <c r="B4782" s="396" t="s">
        <v>9186</v>
      </c>
      <c r="C4782" s="396" t="s">
        <v>9187</v>
      </c>
      <c r="D4782" s="396" t="s">
        <v>9161</v>
      </c>
      <c r="E4782" s="396" t="s">
        <v>9162</v>
      </c>
      <c r="F4782" s="396" t="s">
        <v>8975</v>
      </c>
    </row>
    <row r="4783">
      <c r="A4783" s="311">
        <v>4782</v>
      </c>
      <c r="B4783" s="396" t="s">
        <v>9188</v>
      </c>
      <c r="C4783" s="396" t="s">
        <v>9189</v>
      </c>
      <c r="D4783" s="396" t="s">
        <v>9190</v>
      </c>
      <c r="E4783" s="396" t="s">
        <v>9191</v>
      </c>
      <c r="F4783" s="396" t="s">
        <v>8975</v>
      </c>
    </row>
    <row r="4784">
      <c r="A4784" s="311">
        <v>4783</v>
      </c>
      <c r="B4784" s="396" t="s">
        <v>9192</v>
      </c>
      <c r="C4784" s="396" t="s">
        <v>9193</v>
      </c>
      <c r="D4784" s="396" t="s">
        <v>9190</v>
      </c>
      <c r="E4784" s="396" t="s">
        <v>9191</v>
      </c>
      <c r="F4784" s="396" t="s">
        <v>8975</v>
      </c>
    </row>
    <row r="4785">
      <c r="A4785" s="311">
        <v>4784</v>
      </c>
      <c r="B4785" s="396" t="s">
        <v>9194</v>
      </c>
      <c r="C4785" s="396" t="s">
        <v>9195</v>
      </c>
      <c r="D4785" s="396" t="s">
        <v>9190</v>
      </c>
      <c r="E4785" s="396" t="s">
        <v>9191</v>
      </c>
      <c r="F4785" s="396" t="s">
        <v>8975</v>
      </c>
    </row>
    <row r="4786">
      <c r="A4786" s="311">
        <v>4785</v>
      </c>
      <c r="B4786" s="396" t="s">
        <v>9196</v>
      </c>
      <c r="C4786" s="396" t="s">
        <v>9197</v>
      </c>
      <c r="D4786" s="396" t="s">
        <v>9190</v>
      </c>
      <c r="E4786" s="396" t="s">
        <v>9191</v>
      </c>
      <c r="F4786" s="396" t="s">
        <v>8975</v>
      </c>
    </row>
    <row r="4787">
      <c r="A4787" s="311">
        <v>4786</v>
      </c>
      <c r="B4787" s="396" t="s">
        <v>9198</v>
      </c>
      <c r="C4787" s="396" t="s">
        <v>9199</v>
      </c>
      <c r="D4787" s="396" t="s">
        <v>9190</v>
      </c>
      <c r="E4787" s="396" t="s">
        <v>9191</v>
      </c>
      <c r="F4787" s="396" t="s">
        <v>8975</v>
      </c>
    </row>
    <row r="4788">
      <c r="A4788" s="311">
        <v>4787</v>
      </c>
      <c r="B4788" s="396" t="s">
        <v>9200</v>
      </c>
      <c r="C4788" s="396" t="s">
        <v>9201</v>
      </c>
      <c r="D4788" s="396" t="s">
        <v>9190</v>
      </c>
      <c r="E4788" s="396" t="s">
        <v>9191</v>
      </c>
      <c r="F4788" s="396" t="s">
        <v>8975</v>
      </c>
    </row>
    <row r="4789">
      <c r="A4789" s="311">
        <v>4788</v>
      </c>
      <c r="B4789" s="396" t="s">
        <v>9202</v>
      </c>
      <c r="C4789" s="396" t="s">
        <v>360</v>
      </c>
      <c r="D4789" s="396" t="s">
        <v>9190</v>
      </c>
      <c r="E4789" s="396" t="s">
        <v>9191</v>
      </c>
      <c r="F4789" s="396" t="s">
        <v>8975</v>
      </c>
    </row>
    <row r="4790">
      <c r="A4790" s="311">
        <v>4789</v>
      </c>
      <c r="B4790" s="396" t="s">
        <v>9203</v>
      </c>
      <c r="C4790" s="396" t="s">
        <v>9204</v>
      </c>
      <c r="D4790" s="396" t="s">
        <v>9190</v>
      </c>
      <c r="E4790" s="396" t="s">
        <v>9191</v>
      </c>
      <c r="F4790" s="396" t="s">
        <v>8975</v>
      </c>
    </row>
    <row r="4791">
      <c r="A4791" s="311">
        <v>4790</v>
      </c>
      <c r="B4791" s="396" t="s">
        <v>9205</v>
      </c>
      <c r="C4791" s="396" t="s">
        <v>9206</v>
      </c>
      <c r="D4791" s="396" t="s">
        <v>9190</v>
      </c>
      <c r="E4791" s="396" t="s">
        <v>9191</v>
      </c>
      <c r="F4791" s="396" t="s">
        <v>8975</v>
      </c>
    </row>
    <row r="4792">
      <c r="A4792" s="311">
        <v>4791</v>
      </c>
      <c r="B4792" s="396" t="s">
        <v>9207</v>
      </c>
      <c r="C4792" s="396" t="s">
        <v>9208</v>
      </c>
      <c r="D4792" s="396" t="s">
        <v>9190</v>
      </c>
      <c r="E4792" s="396" t="s">
        <v>9191</v>
      </c>
      <c r="F4792" s="396" t="s">
        <v>8975</v>
      </c>
    </row>
    <row r="4793">
      <c r="A4793" s="311">
        <v>4792</v>
      </c>
      <c r="B4793" s="396" t="s">
        <v>9209</v>
      </c>
      <c r="C4793" s="396" t="s">
        <v>9210</v>
      </c>
      <c r="D4793" s="396" t="s">
        <v>9190</v>
      </c>
      <c r="E4793" s="396" t="s">
        <v>9191</v>
      </c>
      <c r="F4793" s="396" t="s">
        <v>8975</v>
      </c>
    </row>
    <row r="4794">
      <c r="A4794" s="311">
        <v>4793</v>
      </c>
      <c r="B4794" s="396" t="s">
        <v>9211</v>
      </c>
      <c r="C4794" s="396" t="s">
        <v>9212</v>
      </c>
      <c r="D4794" s="396" t="s">
        <v>9190</v>
      </c>
      <c r="E4794" s="396" t="s">
        <v>9191</v>
      </c>
      <c r="F4794" s="396" t="s">
        <v>8975</v>
      </c>
    </row>
    <row r="4795">
      <c r="A4795" s="311">
        <v>4794</v>
      </c>
      <c r="B4795" s="396" t="s">
        <v>9213</v>
      </c>
      <c r="C4795" s="396" t="s">
        <v>9214</v>
      </c>
      <c r="D4795" s="396" t="s">
        <v>9190</v>
      </c>
      <c r="E4795" s="396" t="s">
        <v>9191</v>
      </c>
      <c r="F4795" s="396" t="s">
        <v>8975</v>
      </c>
    </row>
    <row r="4796">
      <c r="A4796" s="311">
        <v>4795</v>
      </c>
      <c r="B4796" s="396" t="s">
        <v>9215</v>
      </c>
      <c r="C4796" s="396" t="s">
        <v>9216</v>
      </c>
      <c r="D4796" s="396" t="s">
        <v>9190</v>
      </c>
      <c r="E4796" s="396" t="s">
        <v>9191</v>
      </c>
      <c r="F4796" s="396" t="s">
        <v>8975</v>
      </c>
    </row>
    <row r="4797">
      <c r="A4797" s="311">
        <v>4796</v>
      </c>
      <c r="B4797" s="396" t="s">
        <v>9217</v>
      </c>
      <c r="C4797" s="396" t="s">
        <v>9218</v>
      </c>
      <c r="D4797" s="396" t="s">
        <v>9190</v>
      </c>
      <c r="E4797" s="396" t="s">
        <v>9191</v>
      </c>
      <c r="F4797" s="396" t="s">
        <v>8975</v>
      </c>
    </row>
    <row r="4798">
      <c r="A4798" s="311">
        <v>4797</v>
      </c>
      <c r="B4798" s="396" t="s">
        <v>9219</v>
      </c>
      <c r="C4798" s="396" t="s">
        <v>9220</v>
      </c>
      <c r="D4798" s="396" t="s">
        <v>9190</v>
      </c>
      <c r="E4798" s="396" t="s">
        <v>9191</v>
      </c>
      <c r="F4798" s="396" t="s">
        <v>8975</v>
      </c>
    </row>
    <row r="4799">
      <c r="A4799" s="311">
        <v>4798</v>
      </c>
      <c r="B4799" s="396" t="s">
        <v>9221</v>
      </c>
      <c r="C4799" s="396" t="s">
        <v>9222</v>
      </c>
      <c r="D4799" s="396" t="s">
        <v>9190</v>
      </c>
      <c r="E4799" s="396" t="s">
        <v>9191</v>
      </c>
      <c r="F4799" s="396" t="s">
        <v>8975</v>
      </c>
    </row>
    <row r="4800">
      <c r="A4800" s="311">
        <v>4799</v>
      </c>
      <c r="B4800" s="396" t="s">
        <v>9223</v>
      </c>
      <c r="C4800" s="396" t="s">
        <v>9224</v>
      </c>
      <c r="D4800" s="396" t="s">
        <v>9190</v>
      </c>
      <c r="E4800" s="396" t="s">
        <v>9191</v>
      </c>
      <c r="F4800" s="396" t="s">
        <v>8975</v>
      </c>
    </row>
    <row r="4801">
      <c r="A4801" s="311">
        <v>4800</v>
      </c>
      <c r="B4801" s="396" t="s">
        <v>9225</v>
      </c>
      <c r="C4801" s="396" t="s">
        <v>9226</v>
      </c>
      <c r="D4801" s="396" t="s">
        <v>9190</v>
      </c>
      <c r="E4801" s="396" t="s">
        <v>9191</v>
      </c>
      <c r="F4801" s="396" t="s">
        <v>8975</v>
      </c>
    </row>
    <row r="4802">
      <c r="A4802" s="311">
        <v>4801</v>
      </c>
      <c r="B4802" s="396" t="s">
        <v>9227</v>
      </c>
      <c r="C4802" s="396" t="s">
        <v>9228</v>
      </c>
      <c r="D4802" s="396" t="s">
        <v>9190</v>
      </c>
      <c r="E4802" s="396" t="s">
        <v>9191</v>
      </c>
      <c r="F4802" s="396" t="s">
        <v>8975</v>
      </c>
    </row>
    <row r="4803">
      <c r="A4803" s="311">
        <v>4802</v>
      </c>
      <c r="B4803" s="396" t="s">
        <v>9229</v>
      </c>
      <c r="C4803" s="396" t="s">
        <v>9230</v>
      </c>
      <c r="D4803" s="396" t="s">
        <v>9190</v>
      </c>
      <c r="E4803" s="396" t="s">
        <v>9191</v>
      </c>
      <c r="F4803" s="396" t="s">
        <v>8975</v>
      </c>
    </row>
    <row r="4804">
      <c r="A4804" s="311">
        <v>4803</v>
      </c>
      <c r="B4804" s="396" t="s">
        <v>9231</v>
      </c>
      <c r="C4804" s="396" t="s">
        <v>9232</v>
      </c>
      <c r="D4804" s="396" t="s">
        <v>9233</v>
      </c>
      <c r="E4804" s="396" t="s">
        <v>9234</v>
      </c>
      <c r="F4804" s="396" t="s">
        <v>8975</v>
      </c>
    </row>
    <row r="4805">
      <c r="A4805" s="311">
        <v>4804</v>
      </c>
      <c r="B4805" s="396" t="s">
        <v>9235</v>
      </c>
      <c r="C4805" s="396" t="s">
        <v>9236</v>
      </c>
      <c r="D4805" s="396" t="s">
        <v>9233</v>
      </c>
      <c r="E4805" s="396" t="s">
        <v>9234</v>
      </c>
      <c r="F4805" s="396" t="s">
        <v>8975</v>
      </c>
    </row>
    <row r="4806">
      <c r="A4806" s="311">
        <v>4805</v>
      </c>
      <c r="B4806" s="396" t="s">
        <v>9237</v>
      </c>
      <c r="C4806" s="396" t="s">
        <v>9238</v>
      </c>
      <c r="D4806" s="396" t="s">
        <v>9233</v>
      </c>
      <c r="E4806" s="396" t="s">
        <v>9234</v>
      </c>
      <c r="F4806" s="396" t="s">
        <v>8975</v>
      </c>
    </row>
    <row r="4807">
      <c r="A4807" s="311">
        <v>4806</v>
      </c>
      <c r="B4807" s="396" t="s">
        <v>9239</v>
      </c>
      <c r="C4807" s="396" t="s">
        <v>9240</v>
      </c>
      <c r="D4807" s="396" t="s">
        <v>9233</v>
      </c>
      <c r="E4807" s="396" t="s">
        <v>9234</v>
      </c>
      <c r="F4807" s="396" t="s">
        <v>8975</v>
      </c>
    </row>
    <row r="4808">
      <c r="A4808" s="311">
        <v>4807</v>
      </c>
      <c r="B4808" s="396" t="s">
        <v>9241</v>
      </c>
      <c r="C4808" s="396" t="s">
        <v>2796</v>
      </c>
      <c r="D4808" s="396" t="s">
        <v>9233</v>
      </c>
      <c r="E4808" s="396" t="s">
        <v>9234</v>
      </c>
      <c r="F4808" s="396" t="s">
        <v>8975</v>
      </c>
    </row>
    <row r="4809">
      <c r="A4809" s="311">
        <v>4808</v>
      </c>
      <c r="B4809" s="396" t="s">
        <v>9242</v>
      </c>
      <c r="C4809" s="396" t="s">
        <v>4356</v>
      </c>
      <c r="D4809" s="396" t="s">
        <v>9233</v>
      </c>
      <c r="E4809" s="396" t="s">
        <v>9234</v>
      </c>
      <c r="F4809" s="396" t="s">
        <v>8975</v>
      </c>
    </row>
    <row r="4810">
      <c r="A4810" s="311">
        <v>4809</v>
      </c>
      <c r="B4810" s="396" t="s">
        <v>9243</v>
      </c>
      <c r="C4810" s="396" t="s">
        <v>6617</v>
      </c>
      <c r="D4810" s="396" t="s">
        <v>9233</v>
      </c>
      <c r="E4810" s="396" t="s">
        <v>9234</v>
      </c>
      <c r="F4810" s="396" t="s">
        <v>8975</v>
      </c>
    </row>
    <row r="4811">
      <c r="A4811" s="311">
        <v>4810</v>
      </c>
      <c r="B4811" s="396" t="s">
        <v>9244</v>
      </c>
      <c r="C4811" s="396" t="s">
        <v>9245</v>
      </c>
      <c r="D4811" s="396" t="s">
        <v>9233</v>
      </c>
      <c r="E4811" s="396" t="s">
        <v>9234</v>
      </c>
      <c r="F4811" s="396" t="s">
        <v>8975</v>
      </c>
    </row>
    <row r="4812">
      <c r="A4812" s="311">
        <v>4811</v>
      </c>
      <c r="B4812" s="396" t="s">
        <v>9246</v>
      </c>
      <c r="C4812" s="396" t="s">
        <v>6385</v>
      </c>
      <c r="D4812" s="396" t="s">
        <v>9233</v>
      </c>
      <c r="E4812" s="396" t="s">
        <v>9234</v>
      </c>
      <c r="F4812" s="396" t="s">
        <v>8975</v>
      </c>
    </row>
    <row r="4813">
      <c r="A4813" s="311">
        <v>4812</v>
      </c>
      <c r="B4813" s="396" t="s">
        <v>9247</v>
      </c>
      <c r="C4813" s="396" t="s">
        <v>9248</v>
      </c>
      <c r="D4813" s="396" t="s">
        <v>9233</v>
      </c>
      <c r="E4813" s="396" t="s">
        <v>9234</v>
      </c>
      <c r="F4813" s="396" t="s">
        <v>8975</v>
      </c>
    </row>
    <row r="4814">
      <c r="A4814" s="311">
        <v>4813</v>
      </c>
      <c r="B4814" s="396" t="s">
        <v>9249</v>
      </c>
      <c r="C4814" s="396" t="s">
        <v>9250</v>
      </c>
      <c r="D4814" s="396" t="s">
        <v>9233</v>
      </c>
      <c r="E4814" s="396" t="s">
        <v>9234</v>
      </c>
      <c r="F4814" s="396" t="s">
        <v>8975</v>
      </c>
    </row>
    <row r="4815">
      <c r="A4815" s="311">
        <v>4814</v>
      </c>
      <c r="B4815" s="396" t="s">
        <v>9251</v>
      </c>
      <c r="C4815" s="396" t="s">
        <v>4892</v>
      </c>
      <c r="D4815" s="396" t="s">
        <v>9233</v>
      </c>
      <c r="E4815" s="396" t="s">
        <v>9234</v>
      </c>
      <c r="F4815" s="396" t="s">
        <v>8975</v>
      </c>
    </row>
    <row r="4816">
      <c r="A4816" s="311">
        <v>4815</v>
      </c>
      <c r="B4816" s="396" t="s">
        <v>9252</v>
      </c>
      <c r="C4816" s="396" t="s">
        <v>9253</v>
      </c>
      <c r="D4816" s="396" t="s">
        <v>9233</v>
      </c>
      <c r="E4816" s="396" t="s">
        <v>9234</v>
      </c>
      <c r="F4816" s="396" t="s">
        <v>8975</v>
      </c>
    </row>
    <row r="4817">
      <c r="A4817" s="311">
        <v>4816</v>
      </c>
      <c r="B4817" s="396" t="s">
        <v>9254</v>
      </c>
      <c r="C4817" s="396" t="s">
        <v>690</v>
      </c>
      <c r="D4817" s="396" t="s">
        <v>9233</v>
      </c>
      <c r="E4817" s="396" t="s">
        <v>9234</v>
      </c>
      <c r="F4817" s="396" t="s">
        <v>8975</v>
      </c>
    </row>
    <row r="4818">
      <c r="A4818" s="311">
        <v>4817</v>
      </c>
      <c r="B4818" s="396" t="s">
        <v>9255</v>
      </c>
      <c r="C4818" s="396" t="s">
        <v>9256</v>
      </c>
      <c r="D4818" s="396" t="s">
        <v>9233</v>
      </c>
      <c r="E4818" s="396" t="s">
        <v>9234</v>
      </c>
      <c r="F4818" s="396" t="s">
        <v>8975</v>
      </c>
    </row>
    <row r="4819">
      <c r="A4819" s="311">
        <v>4818</v>
      </c>
      <c r="B4819" s="396" t="s">
        <v>9257</v>
      </c>
      <c r="C4819" s="396" t="s">
        <v>9258</v>
      </c>
      <c r="D4819" s="396" t="s">
        <v>9233</v>
      </c>
      <c r="E4819" s="396" t="s">
        <v>9234</v>
      </c>
      <c r="F4819" s="396" t="s">
        <v>8975</v>
      </c>
    </row>
    <row r="4820">
      <c r="A4820" s="311">
        <v>4819</v>
      </c>
      <c r="B4820" s="396" t="s">
        <v>9259</v>
      </c>
      <c r="C4820" s="396" t="s">
        <v>9260</v>
      </c>
      <c r="D4820" s="396" t="s">
        <v>9233</v>
      </c>
      <c r="E4820" s="396" t="s">
        <v>9234</v>
      </c>
      <c r="F4820" s="396" t="s">
        <v>8975</v>
      </c>
    </row>
    <row r="4821">
      <c r="A4821" s="311">
        <v>4820</v>
      </c>
      <c r="B4821" s="396" t="s">
        <v>9261</v>
      </c>
      <c r="C4821" s="396" t="s">
        <v>9262</v>
      </c>
      <c r="D4821" s="396" t="s">
        <v>9233</v>
      </c>
      <c r="E4821" s="396" t="s">
        <v>9234</v>
      </c>
      <c r="F4821" s="396" t="s">
        <v>8975</v>
      </c>
    </row>
    <row r="4822">
      <c r="A4822" s="311">
        <v>4821</v>
      </c>
      <c r="B4822" s="396" t="s">
        <v>9263</v>
      </c>
      <c r="C4822" s="396" t="s">
        <v>9264</v>
      </c>
      <c r="D4822" s="396" t="s">
        <v>9233</v>
      </c>
      <c r="E4822" s="396" t="s">
        <v>9234</v>
      </c>
      <c r="F4822" s="396" t="s">
        <v>8975</v>
      </c>
    </row>
    <row r="4823">
      <c r="A4823" s="311">
        <v>4822</v>
      </c>
      <c r="B4823" s="396" t="s">
        <v>9265</v>
      </c>
      <c r="C4823" s="396" t="s">
        <v>2787</v>
      </c>
      <c r="D4823" s="396" t="s">
        <v>9233</v>
      </c>
      <c r="E4823" s="396" t="s">
        <v>9234</v>
      </c>
      <c r="F4823" s="396" t="s">
        <v>8975</v>
      </c>
    </row>
    <row r="4824">
      <c r="A4824" s="311">
        <v>4823</v>
      </c>
      <c r="B4824" s="396" t="s">
        <v>9266</v>
      </c>
      <c r="C4824" s="396" t="s">
        <v>9267</v>
      </c>
      <c r="D4824" s="396" t="s">
        <v>9268</v>
      </c>
      <c r="E4824" s="396" t="s">
        <v>9269</v>
      </c>
      <c r="F4824" s="396" t="s">
        <v>8975</v>
      </c>
    </row>
    <row r="4825">
      <c r="A4825" s="311">
        <v>4824</v>
      </c>
      <c r="B4825" s="396" t="s">
        <v>9270</v>
      </c>
      <c r="C4825" s="396" t="s">
        <v>9271</v>
      </c>
      <c r="D4825" s="396" t="s">
        <v>9268</v>
      </c>
      <c r="E4825" s="396" t="s">
        <v>9269</v>
      </c>
      <c r="F4825" s="396" t="s">
        <v>8975</v>
      </c>
    </row>
    <row r="4826">
      <c r="A4826" s="311">
        <v>4825</v>
      </c>
      <c r="B4826" s="396" t="s">
        <v>9272</v>
      </c>
      <c r="C4826" s="396" t="s">
        <v>9273</v>
      </c>
      <c r="D4826" s="396" t="s">
        <v>9268</v>
      </c>
      <c r="E4826" s="396" t="s">
        <v>9269</v>
      </c>
      <c r="F4826" s="396" t="s">
        <v>8975</v>
      </c>
    </row>
    <row r="4827">
      <c r="A4827" s="311">
        <v>4826</v>
      </c>
      <c r="B4827" s="396" t="s">
        <v>9274</v>
      </c>
      <c r="C4827" s="396" t="s">
        <v>9275</v>
      </c>
      <c r="D4827" s="396" t="s">
        <v>9268</v>
      </c>
      <c r="E4827" s="396" t="s">
        <v>9269</v>
      </c>
      <c r="F4827" s="396" t="s">
        <v>8975</v>
      </c>
    </row>
    <row r="4828">
      <c r="A4828" s="311">
        <v>4827</v>
      </c>
      <c r="B4828" s="396" t="s">
        <v>9276</v>
      </c>
      <c r="C4828" s="396" t="s">
        <v>9277</v>
      </c>
      <c r="D4828" s="396" t="s">
        <v>9268</v>
      </c>
      <c r="E4828" s="396" t="s">
        <v>9269</v>
      </c>
      <c r="F4828" s="396" t="s">
        <v>8975</v>
      </c>
    </row>
    <row r="4829">
      <c r="A4829" s="311">
        <v>4828</v>
      </c>
      <c r="B4829" s="396" t="s">
        <v>9278</v>
      </c>
      <c r="C4829" s="396" t="s">
        <v>9279</v>
      </c>
      <c r="D4829" s="396" t="s">
        <v>9268</v>
      </c>
      <c r="E4829" s="396" t="s">
        <v>9269</v>
      </c>
      <c r="F4829" s="396" t="s">
        <v>8975</v>
      </c>
    </row>
    <row r="4830">
      <c r="A4830" s="311">
        <v>4829</v>
      </c>
      <c r="B4830" s="396" t="s">
        <v>9280</v>
      </c>
      <c r="C4830" s="396" t="s">
        <v>7246</v>
      </c>
      <c r="D4830" s="396" t="s">
        <v>9268</v>
      </c>
      <c r="E4830" s="396" t="s">
        <v>9269</v>
      </c>
      <c r="F4830" s="396" t="s">
        <v>8975</v>
      </c>
    </row>
    <row r="4831">
      <c r="A4831" s="311">
        <v>4830</v>
      </c>
      <c r="B4831" s="396" t="s">
        <v>9281</v>
      </c>
      <c r="C4831" s="396" t="s">
        <v>9282</v>
      </c>
      <c r="D4831" s="396" t="s">
        <v>9268</v>
      </c>
      <c r="E4831" s="396" t="s">
        <v>9269</v>
      </c>
      <c r="F4831" s="396" t="s">
        <v>8975</v>
      </c>
    </row>
    <row r="4832">
      <c r="A4832" s="311">
        <v>4831</v>
      </c>
      <c r="B4832" s="396" t="s">
        <v>9283</v>
      </c>
      <c r="C4832" s="396" t="s">
        <v>9284</v>
      </c>
      <c r="D4832" s="396" t="s">
        <v>9268</v>
      </c>
      <c r="E4832" s="396" t="s">
        <v>9269</v>
      </c>
      <c r="F4832" s="396" t="s">
        <v>8975</v>
      </c>
    </row>
    <row r="4833">
      <c r="A4833" s="311">
        <v>4832</v>
      </c>
      <c r="B4833" s="396" t="s">
        <v>9285</v>
      </c>
      <c r="C4833" s="396" t="s">
        <v>9286</v>
      </c>
      <c r="D4833" s="396" t="s">
        <v>9268</v>
      </c>
      <c r="E4833" s="396" t="s">
        <v>9269</v>
      </c>
      <c r="F4833" s="396" t="s">
        <v>8975</v>
      </c>
    </row>
    <row r="4834">
      <c r="A4834" s="311">
        <v>4833</v>
      </c>
      <c r="B4834" s="396" t="s">
        <v>9287</v>
      </c>
      <c r="C4834" s="396" t="s">
        <v>9288</v>
      </c>
      <c r="D4834" s="396" t="s">
        <v>9268</v>
      </c>
      <c r="E4834" s="396" t="s">
        <v>9269</v>
      </c>
      <c r="F4834" s="396" t="s">
        <v>8975</v>
      </c>
    </row>
    <row r="4835">
      <c r="A4835" s="311">
        <v>4834</v>
      </c>
      <c r="B4835" s="396" t="s">
        <v>9289</v>
      </c>
      <c r="C4835" s="396" t="s">
        <v>9290</v>
      </c>
      <c r="D4835" s="396" t="s">
        <v>9268</v>
      </c>
      <c r="E4835" s="396" t="s">
        <v>9269</v>
      </c>
      <c r="F4835" s="396" t="s">
        <v>8975</v>
      </c>
    </row>
    <row r="4836">
      <c r="A4836" s="311">
        <v>4835</v>
      </c>
      <c r="B4836" s="396" t="s">
        <v>9291</v>
      </c>
      <c r="C4836" s="396" t="s">
        <v>9292</v>
      </c>
      <c r="D4836" s="396" t="s">
        <v>9268</v>
      </c>
      <c r="E4836" s="396" t="s">
        <v>9269</v>
      </c>
      <c r="F4836" s="396" t="s">
        <v>8975</v>
      </c>
    </row>
    <row r="4837">
      <c r="A4837" s="311">
        <v>4836</v>
      </c>
      <c r="B4837" s="396" t="s">
        <v>9293</v>
      </c>
      <c r="C4837" s="396" t="s">
        <v>9294</v>
      </c>
      <c r="D4837" s="396" t="s">
        <v>9268</v>
      </c>
      <c r="E4837" s="396" t="s">
        <v>9269</v>
      </c>
      <c r="F4837" s="396" t="s">
        <v>8975</v>
      </c>
    </row>
    <row r="4838">
      <c r="A4838" s="311">
        <v>4837</v>
      </c>
      <c r="B4838" s="396" t="s">
        <v>9295</v>
      </c>
      <c r="C4838" s="396" t="s">
        <v>9296</v>
      </c>
      <c r="D4838" s="396" t="s">
        <v>9268</v>
      </c>
      <c r="E4838" s="396" t="s">
        <v>9269</v>
      </c>
      <c r="F4838" s="396" t="s">
        <v>8975</v>
      </c>
    </row>
    <row r="4839">
      <c r="A4839" s="311">
        <v>4838</v>
      </c>
      <c r="B4839" s="396" t="s">
        <v>9297</v>
      </c>
      <c r="C4839" s="396" t="s">
        <v>9298</v>
      </c>
      <c r="D4839" s="396" t="s">
        <v>9268</v>
      </c>
      <c r="E4839" s="396" t="s">
        <v>9269</v>
      </c>
      <c r="F4839" s="396" t="s">
        <v>8975</v>
      </c>
    </row>
    <row r="4840">
      <c r="A4840" s="311">
        <v>4839</v>
      </c>
      <c r="B4840" s="396" t="s">
        <v>9299</v>
      </c>
      <c r="C4840" s="396" t="s">
        <v>9300</v>
      </c>
      <c r="D4840" s="396" t="s">
        <v>9268</v>
      </c>
      <c r="E4840" s="396" t="s">
        <v>9269</v>
      </c>
      <c r="F4840" s="396" t="s">
        <v>8975</v>
      </c>
    </row>
    <row r="4841">
      <c r="A4841" s="311">
        <v>4840</v>
      </c>
      <c r="B4841" s="396" t="s">
        <v>9301</v>
      </c>
      <c r="C4841" s="396" t="s">
        <v>9302</v>
      </c>
      <c r="D4841" s="396" t="s">
        <v>9268</v>
      </c>
      <c r="E4841" s="396" t="s">
        <v>9269</v>
      </c>
      <c r="F4841" s="396" t="s">
        <v>8975</v>
      </c>
    </row>
    <row r="4842">
      <c r="A4842" s="311">
        <v>4841</v>
      </c>
      <c r="B4842" s="396" t="s">
        <v>9303</v>
      </c>
      <c r="C4842" s="396" t="s">
        <v>9304</v>
      </c>
      <c r="D4842" s="396" t="s">
        <v>9268</v>
      </c>
      <c r="E4842" s="396" t="s">
        <v>9269</v>
      </c>
      <c r="F4842" s="396" t="s">
        <v>8975</v>
      </c>
    </row>
    <row r="4843">
      <c r="A4843" s="311">
        <v>4842</v>
      </c>
      <c r="B4843" s="396" t="s">
        <v>9305</v>
      </c>
      <c r="C4843" s="396" t="s">
        <v>9306</v>
      </c>
      <c r="D4843" s="396" t="s">
        <v>9268</v>
      </c>
      <c r="E4843" s="396" t="s">
        <v>9269</v>
      </c>
      <c r="F4843" s="396" t="s">
        <v>8975</v>
      </c>
    </row>
    <row r="4844">
      <c r="A4844" s="311">
        <v>4843</v>
      </c>
      <c r="B4844" s="396" t="s">
        <v>9307</v>
      </c>
      <c r="C4844" s="396" t="s">
        <v>9308</v>
      </c>
      <c r="D4844" s="396" t="s">
        <v>9268</v>
      </c>
      <c r="E4844" s="396" t="s">
        <v>9269</v>
      </c>
      <c r="F4844" s="396" t="s">
        <v>8975</v>
      </c>
    </row>
    <row r="4845">
      <c r="A4845" s="311">
        <v>4844</v>
      </c>
      <c r="B4845" s="396" t="s">
        <v>9309</v>
      </c>
      <c r="C4845" s="396" t="s">
        <v>9310</v>
      </c>
      <c r="D4845" s="396" t="s">
        <v>9268</v>
      </c>
      <c r="E4845" s="396" t="s">
        <v>9269</v>
      </c>
      <c r="F4845" s="396" t="s">
        <v>8975</v>
      </c>
    </row>
    <row r="4846">
      <c r="A4846" s="311">
        <v>4845</v>
      </c>
      <c r="B4846" s="396" t="s">
        <v>9311</v>
      </c>
      <c r="C4846" s="396" t="s">
        <v>9312</v>
      </c>
      <c r="D4846" s="396" t="s">
        <v>9313</v>
      </c>
      <c r="E4846" s="396" t="s">
        <v>9314</v>
      </c>
      <c r="F4846" s="396" t="s">
        <v>8975</v>
      </c>
    </row>
    <row r="4847">
      <c r="A4847" s="311">
        <v>4846</v>
      </c>
      <c r="B4847" s="396" t="s">
        <v>9315</v>
      </c>
      <c r="C4847" s="396" t="s">
        <v>9316</v>
      </c>
      <c r="D4847" s="396" t="s">
        <v>9313</v>
      </c>
      <c r="E4847" s="396" t="s">
        <v>9314</v>
      </c>
      <c r="F4847" s="396" t="s">
        <v>8975</v>
      </c>
    </row>
    <row r="4848">
      <c r="A4848" s="311">
        <v>4847</v>
      </c>
      <c r="B4848" s="396" t="s">
        <v>9317</v>
      </c>
      <c r="C4848" s="396" t="s">
        <v>9318</v>
      </c>
      <c r="D4848" s="396" t="s">
        <v>9313</v>
      </c>
      <c r="E4848" s="396" t="s">
        <v>9314</v>
      </c>
      <c r="F4848" s="396" t="s">
        <v>8975</v>
      </c>
    </row>
    <row r="4849">
      <c r="A4849" s="311">
        <v>4848</v>
      </c>
      <c r="B4849" s="396" t="s">
        <v>9319</v>
      </c>
      <c r="C4849" s="396" t="s">
        <v>9320</v>
      </c>
      <c r="D4849" s="396" t="s">
        <v>9313</v>
      </c>
      <c r="E4849" s="396" t="s">
        <v>9314</v>
      </c>
      <c r="F4849" s="396" t="s">
        <v>8975</v>
      </c>
    </row>
    <row r="4850">
      <c r="A4850" s="311">
        <v>4849</v>
      </c>
      <c r="B4850" s="396" t="s">
        <v>9321</v>
      </c>
      <c r="C4850" s="396" t="s">
        <v>9322</v>
      </c>
      <c r="D4850" s="396" t="s">
        <v>9313</v>
      </c>
      <c r="E4850" s="396" t="s">
        <v>9314</v>
      </c>
      <c r="F4850" s="396" t="s">
        <v>8975</v>
      </c>
    </row>
    <row r="4851">
      <c r="A4851" s="311">
        <v>4850</v>
      </c>
      <c r="B4851" s="396" t="s">
        <v>9323</v>
      </c>
      <c r="C4851" s="396" t="s">
        <v>9324</v>
      </c>
      <c r="D4851" s="396" t="s">
        <v>9313</v>
      </c>
      <c r="E4851" s="396" t="s">
        <v>9314</v>
      </c>
      <c r="F4851" s="396" t="s">
        <v>8975</v>
      </c>
    </row>
    <row r="4852">
      <c r="A4852" s="311">
        <v>4851</v>
      </c>
      <c r="B4852" s="396" t="s">
        <v>9325</v>
      </c>
      <c r="C4852" s="396" t="s">
        <v>9326</v>
      </c>
      <c r="D4852" s="396" t="s">
        <v>9313</v>
      </c>
      <c r="E4852" s="396" t="s">
        <v>9314</v>
      </c>
      <c r="F4852" s="396" t="s">
        <v>8975</v>
      </c>
    </row>
    <row r="4853">
      <c r="A4853" s="311">
        <v>4852</v>
      </c>
      <c r="B4853" s="396" t="s">
        <v>9327</v>
      </c>
      <c r="C4853" s="396" t="s">
        <v>9328</v>
      </c>
      <c r="D4853" s="396" t="s">
        <v>9313</v>
      </c>
      <c r="E4853" s="396" t="s">
        <v>9314</v>
      </c>
      <c r="F4853" s="396" t="s">
        <v>8975</v>
      </c>
    </row>
    <row r="4854">
      <c r="A4854" s="311">
        <v>4853</v>
      </c>
      <c r="B4854" s="396" t="s">
        <v>9329</v>
      </c>
      <c r="C4854" s="396" t="s">
        <v>9330</v>
      </c>
      <c r="D4854" s="396" t="s">
        <v>9313</v>
      </c>
      <c r="E4854" s="396" t="s">
        <v>9314</v>
      </c>
      <c r="F4854" s="396" t="s">
        <v>8975</v>
      </c>
    </row>
    <row r="4855">
      <c r="A4855" s="311">
        <v>4854</v>
      </c>
      <c r="B4855" s="396" t="s">
        <v>9331</v>
      </c>
      <c r="C4855" s="396" t="s">
        <v>9332</v>
      </c>
      <c r="D4855" s="396" t="s">
        <v>9313</v>
      </c>
      <c r="E4855" s="396" t="s">
        <v>9314</v>
      </c>
      <c r="F4855" s="396" t="s">
        <v>8975</v>
      </c>
    </row>
    <row r="4856">
      <c r="A4856" s="311">
        <v>4855</v>
      </c>
      <c r="B4856" s="396" t="s">
        <v>9333</v>
      </c>
      <c r="C4856" s="396" t="s">
        <v>9334</v>
      </c>
      <c r="D4856" s="396" t="s">
        <v>9313</v>
      </c>
      <c r="E4856" s="396" t="s">
        <v>9314</v>
      </c>
      <c r="F4856" s="396" t="s">
        <v>8975</v>
      </c>
    </row>
    <row r="4857">
      <c r="A4857" s="311">
        <v>4856</v>
      </c>
      <c r="B4857" s="396" t="s">
        <v>9335</v>
      </c>
      <c r="C4857" s="396" t="s">
        <v>9336</v>
      </c>
      <c r="D4857" s="396" t="s">
        <v>9313</v>
      </c>
      <c r="E4857" s="396" t="s">
        <v>9314</v>
      </c>
      <c r="F4857" s="396" t="s">
        <v>8975</v>
      </c>
    </row>
    <row r="4858">
      <c r="A4858" s="311">
        <v>4857</v>
      </c>
      <c r="B4858" s="396" t="s">
        <v>9337</v>
      </c>
      <c r="C4858" s="396" t="s">
        <v>9338</v>
      </c>
      <c r="D4858" s="396" t="s">
        <v>9313</v>
      </c>
      <c r="E4858" s="396" t="s">
        <v>9314</v>
      </c>
      <c r="F4858" s="396" t="s">
        <v>8975</v>
      </c>
    </row>
    <row r="4859">
      <c r="A4859" s="311">
        <v>4858</v>
      </c>
      <c r="B4859" s="396" t="s">
        <v>9339</v>
      </c>
      <c r="C4859" s="396" t="s">
        <v>9340</v>
      </c>
      <c r="D4859" s="396" t="s">
        <v>9313</v>
      </c>
      <c r="E4859" s="396" t="s">
        <v>9314</v>
      </c>
      <c r="F4859" s="396" t="s">
        <v>8975</v>
      </c>
    </row>
    <row r="4860">
      <c r="A4860" s="311">
        <v>4859</v>
      </c>
      <c r="B4860" s="396" t="s">
        <v>9341</v>
      </c>
      <c r="C4860" s="396" t="s">
        <v>9342</v>
      </c>
      <c r="D4860" s="396" t="s">
        <v>9313</v>
      </c>
      <c r="E4860" s="396" t="s">
        <v>9314</v>
      </c>
      <c r="F4860" s="396" t="s">
        <v>8975</v>
      </c>
    </row>
    <row r="4861">
      <c r="A4861" s="311">
        <v>4860</v>
      </c>
      <c r="B4861" s="396" t="s">
        <v>9343</v>
      </c>
      <c r="C4861" s="396" t="s">
        <v>9344</v>
      </c>
      <c r="D4861" s="396" t="s">
        <v>9313</v>
      </c>
      <c r="E4861" s="396" t="s">
        <v>9314</v>
      </c>
      <c r="F4861" s="396" t="s">
        <v>8975</v>
      </c>
    </row>
    <row r="4862">
      <c r="A4862" s="311">
        <v>4861</v>
      </c>
      <c r="B4862" s="396" t="s">
        <v>9345</v>
      </c>
      <c r="C4862" s="396" t="s">
        <v>9346</v>
      </c>
      <c r="D4862" s="396" t="s">
        <v>9313</v>
      </c>
      <c r="E4862" s="396" t="s">
        <v>9314</v>
      </c>
      <c r="F4862" s="396" t="s">
        <v>8975</v>
      </c>
    </row>
    <row r="4863">
      <c r="A4863" s="311">
        <v>4862</v>
      </c>
      <c r="B4863" s="396" t="s">
        <v>9347</v>
      </c>
      <c r="C4863" s="396" t="s">
        <v>9348</v>
      </c>
      <c r="D4863" s="396" t="s">
        <v>9313</v>
      </c>
      <c r="E4863" s="396" t="s">
        <v>9314</v>
      </c>
      <c r="F4863" s="396" t="s">
        <v>8975</v>
      </c>
    </row>
    <row r="4864">
      <c r="A4864" s="311">
        <v>4863</v>
      </c>
      <c r="B4864" s="396" t="s">
        <v>9349</v>
      </c>
      <c r="C4864" s="396" t="s">
        <v>5369</v>
      </c>
      <c r="D4864" s="396" t="s">
        <v>9313</v>
      </c>
      <c r="E4864" s="396" t="s">
        <v>9314</v>
      </c>
      <c r="F4864" s="396" t="s">
        <v>8975</v>
      </c>
    </row>
    <row r="4865">
      <c r="A4865" s="311">
        <v>4864</v>
      </c>
      <c r="B4865" s="396" t="s">
        <v>9350</v>
      </c>
      <c r="C4865" s="396" t="s">
        <v>5366</v>
      </c>
      <c r="D4865" s="396" t="s">
        <v>9313</v>
      </c>
      <c r="E4865" s="396" t="s">
        <v>9314</v>
      </c>
      <c r="F4865" s="396" t="s">
        <v>8975</v>
      </c>
    </row>
    <row r="4866">
      <c r="A4866" s="311">
        <v>4865</v>
      </c>
      <c r="B4866" s="396" t="s">
        <v>9351</v>
      </c>
      <c r="C4866" s="396" t="s">
        <v>9352</v>
      </c>
      <c r="D4866" s="396" t="s">
        <v>9313</v>
      </c>
      <c r="E4866" s="396" t="s">
        <v>9314</v>
      </c>
      <c r="F4866" s="396" t="s">
        <v>8975</v>
      </c>
    </row>
    <row r="4867">
      <c r="A4867" s="311">
        <v>4866</v>
      </c>
      <c r="B4867" s="396" t="s">
        <v>9353</v>
      </c>
      <c r="C4867" s="396" t="s">
        <v>9354</v>
      </c>
      <c r="D4867" s="396" t="s">
        <v>9313</v>
      </c>
      <c r="E4867" s="396" t="s">
        <v>9314</v>
      </c>
      <c r="F4867" s="396" t="s">
        <v>8975</v>
      </c>
    </row>
    <row r="4868">
      <c r="A4868" s="311">
        <v>4867</v>
      </c>
      <c r="B4868" s="396" t="s">
        <v>9355</v>
      </c>
      <c r="C4868" s="396" t="s">
        <v>9356</v>
      </c>
      <c r="D4868" s="396" t="s">
        <v>9313</v>
      </c>
      <c r="E4868" s="396" t="s">
        <v>9314</v>
      </c>
      <c r="F4868" s="396" t="s">
        <v>8975</v>
      </c>
    </row>
    <row r="4869">
      <c r="A4869" s="311">
        <v>4868</v>
      </c>
      <c r="B4869" s="396" t="s">
        <v>9357</v>
      </c>
      <c r="C4869" s="396" t="s">
        <v>9358</v>
      </c>
      <c r="D4869" s="396" t="s">
        <v>9313</v>
      </c>
      <c r="E4869" s="396" t="s">
        <v>9314</v>
      </c>
      <c r="F4869" s="396" t="s">
        <v>8975</v>
      </c>
    </row>
    <row r="4870">
      <c r="A4870" s="311">
        <v>4869</v>
      </c>
      <c r="B4870" s="396" t="s">
        <v>9359</v>
      </c>
      <c r="C4870" s="396" t="s">
        <v>9360</v>
      </c>
      <c r="D4870" s="396" t="s">
        <v>9313</v>
      </c>
      <c r="E4870" s="396" t="s">
        <v>9314</v>
      </c>
      <c r="F4870" s="396" t="s">
        <v>8975</v>
      </c>
    </row>
    <row r="4871">
      <c r="A4871" s="311">
        <v>4870</v>
      </c>
      <c r="B4871" s="396" t="s">
        <v>9361</v>
      </c>
      <c r="C4871" s="396" t="s">
        <v>9362</v>
      </c>
      <c r="D4871" s="396" t="s">
        <v>9313</v>
      </c>
      <c r="E4871" s="396" t="s">
        <v>9314</v>
      </c>
      <c r="F4871" s="396" t="s">
        <v>8975</v>
      </c>
    </row>
    <row r="4872">
      <c r="A4872" s="311">
        <v>4871</v>
      </c>
      <c r="B4872" s="396" t="s">
        <v>9363</v>
      </c>
      <c r="C4872" s="396" t="s">
        <v>9364</v>
      </c>
      <c r="D4872" s="396" t="s">
        <v>9313</v>
      </c>
      <c r="E4872" s="396" t="s">
        <v>9314</v>
      </c>
      <c r="F4872" s="396" t="s">
        <v>8975</v>
      </c>
    </row>
    <row r="4873">
      <c r="A4873" s="311">
        <v>4872</v>
      </c>
      <c r="B4873" s="396" t="s">
        <v>9365</v>
      </c>
      <c r="C4873" s="396" t="s">
        <v>9366</v>
      </c>
      <c r="D4873" s="396" t="s">
        <v>9313</v>
      </c>
      <c r="E4873" s="396" t="s">
        <v>9314</v>
      </c>
      <c r="F4873" s="396" t="s">
        <v>8975</v>
      </c>
    </row>
    <row r="4874">
      <c r="A4874" s="311">
        <v>4873</v>
      </c>
      <c r="B4874" s="396" t="s">
        <v>9367</v>
      </c>
      <c r="C4874" s="396" t="s">
        <v>9368</v>
      </c>
      <c r="D4874" s="396" t="s">
        <v>9313</v>
      </c>
      <c r="E4874" s="396" t="s">
        <v>9314</v>
      </c>
      <c r="F4874" s="396" t="s">
        <v>8975</v>
      </c>
    </row>
    <row r="4875">
      <c r="A4875" s="311">
        <v>4874</v>
      </c>
      <c r="B4875" s="396" t="s">
        <v>9369</v>
      </c>
      <c r="C4875" s="396" t="s">
        <v>9370</v>
      </c>
      <c r="D4875" s="396" t="s">
        <v>9313</v>
      </c>
      <c r="E4875" s="396" t="s">
        <v>9314</v>
      </c>
      <c r="F4875" s="396" t="s">
        <v>8975</v>
      </c>
    </row>
    <row r="4876">
      <c r="A4876" s="311">
        <v>4875</v>
      </c>
      <c r="B4876" s="396" t="s">
        <v>9371</v>
      </c>
      <c r="C4876" s="396" t="s">
        <v>9372</v>
      </c>
      <c r="D4876" s="396" t="s">
        <v>9313</v>
      </c>
      <c r="E4876" s="396" t="s">
        <v>9314</v>
      </c>
      <c r="F4876" s="396" t="s">
        <v>8975</v>
      </c>
    </row>
    <row r="4877">
      <c r="A4877" s="311">
        <v>4876</v>
      </c>
      <c r="B4877" s="396" t="s">
        <v>9373</v>
      </c>
      <c r="C4877" s="396" t="s">
        <v>5379</v>
      </c>
      <c r="D4877" s="396" t="s">
        <v>9313</v>
      </c>
      <c r="E4877" s="396" t="s">
        <v>9314</v>
      </c>
      <c r="F4877" s="396" t="s">
        <v>8975</v>
      </c>
    </row>
    <row r="4878">
      <c r="A4878" s="311">
        <v>4877</v>
      </c>
      <c r="B4878" s="396" t="s">
        <v>9374</v>
      </c>
      <c r="C4878" s="396" t="s">
        <v>9375</v>
      </c>
      <c r="D4878" s="396" t="s">
        <v>9313</v>
      </c>
      <c r="E4878" s="396" t="s">
        <v>9314</v>
      </c>
      <c r="F4878" s="396" t="s">
        <v>8975</v>
      </c>
    </row>
    <row r="4879">
      <c r="A4879" s="311">
        <v>4878</v>
      </c>
      <c r="B4879" s="396" t="s">
        <v>9376</v>
      </c>
      <c r="C4879" s="396" t="s">
        <v>8241</v>
      </c>
      <c r="D4879" s="396" t="s">
        <v>9313</v>
      </c>
      <c r="E4879" s="396" t="s">
        <v>9314</v>
      </c>
      <c r="F4879" s="396" t="s">
        <v>8975</v>
      </c>
    </row>
    <row r="4880">
      <c r="A4880" s="311">
        <v>4879</v>
      </c>
      <c r="B4880" s="396" t="s">
        <v>9377</v>
      </c>
      <c r="C4880" s="396" t="s">
        <v>9378</v>
      </c>
      <c r="D4880" s="396" t="s">
        <v>9313</v>
      </c>
      <c r="E4880" s="396" t="s">
        <v>9314</v>
      </c>
      <c r="F4880" s="396" t="s">
        <v>8975</v>
      </c>
    </row>
    <row r="4881">
      <c r="A4881" s="311">
        <v>4880</v>
      </c>
      <c r="B4881" s="396" t="s">
        <v>9379</v>
      </c>
      <c r="C4881" s="396" t="s">
        <v>9380</v>
      </c>
      <c r="D4881" s="396" t="s">
        <v>9381</v>
      </c>
      <c r="E4881" s="396" t="s">
        <v>9382</v>
      </c>
      <c r="F4881" s="396" t="s">
        <v>9383</v>
      </c>
    </row>
    <row r="4882">
      <c r="A4882" s="311">
        <v>4881</v>
      </c>
      <c r="B4882" s="396" t="s">
        <v>9384</v>
      </c>
      <c r="C4882" s="396" t="s">
        <v>4594</v>
      </c>
      <c r="D4882" s="396" t="s">
        <v>9381</v>
      </c>
      <c r="E4882" s="396" t="s">
        <v>9382</v>
      </c>
      <c r="F4882" s="396" t="s">
        <v>9383</v>
      </c>
    </row>
    <row r="4883">
      <c r="A4883" s="311">
        <v>4882</v>
      </c>
      <c r="B4883" s="396" t="s">
        <v>9385</v>
      </c>
      <c r="C4883" s="396" t="s">
        <v>2898</v>
      </c>
      <c r="D4883" s="396" t="s">
        <v>9381</v>
      </c>
      <c r="E4883" s="396" t="s">
        <v>9382</v>
      </c>
      <c r="F4883" s="396" t="s">
        <v>9383</v>
      </c>
    </row>
    <row r="4884">
      <c r="A4884" s="311">
        <v>4883</v>
      </c>
      <c r="B4884" s="396" t="s">
        <v>9386</v>
      </c>
      <c r="C4884" s="396" t="s">
        <v>9387</v>
      </c>
      <c r="D4884" s="396" t="s">
        <v>9381</v>
      </c>
      <c r="E4884" s="396" t="s">
        <v>9382</v>
      </c>
      <c r="F4884" s="396" t="s">
        <v>9383</v>
      </c>
    </row>
    <row r="4885">
      <c r="A4885" s="311">
        <v>4884</v>
      </c>
      <c r="B4885" s="396" t="s">
        <v>9388</v>
      </c>
      <c r="C4885" s="396" t="s">
        <v>9389</v>
      </c>
      <c r="D4885" s="396" t="s">
        <v>9381</v>
      </c>
      <c r="E4885" s="396" t="s">
        <v>9382</v>
      </c>
      <c r="F4885" s="396" t="s">
        <v>9383</v>
      </c>
    </row>
    <row r="4886">
      <c r="A4886" s="311">
        <v>4885</v>
      </c>
      <c r="B4886" s="396" t="s">
        <v>9390</v>
      </c>
      <c r="C4886" s="396" t="s">
        <v>9391</v>
      </c>
      <c r="D4886" s="396" t="s">
        <v>9381</v>
      </c>
      <c r="E4886" s="396" t="s">
        <v>9382</v>
      </c>
      <c r="F4886" s="396" t="s">
        <v>9383</v>
      </c>
    </row>
    <row r="4887">
      <c r="A4887" s="311">
        <v>4886</v>
      </c>
      <c r="B4887" s="396" t="s">
        <v>9392</v>
      </c>
      <c r="C4887" s="396" t="s">
        <v>9393</v>
      </c>
      <c r="D4887" s="396" t="s">
        <v>9381</v>
      </c>
      <c r="E4887" s="396" t="s">
        <v>9382</v>
      </c>
      <c r="F4887" s="396" t="s">
        <v>9383</v>
      </c>
    </row>
    <row r="4888">
      <c r="A4888" s="311">
        <v>4887</v>
      </c>
      <c r="B4888" s="396" t="s">
        <v>9394</v>
      </c>
      <c r="C4888" s="396" t="s">
        <v>9395</v>
      </c>
      <c r="D4888" s="396" t="s">
        <v>9381</v>
      </c>
      <c r="E4888" s="396" t="s">
        <v>9382</v>
      </c>
      <c r="F4888" s="396" t="s">
        <v>9383</v>
      </c>
    </row>
    <row r="4889">
      <c r="A4889" s="311">
        <v>4888</v>
      </c>
      <c r="B4889" s="396" t="s">
        <v>9396</v>
      </c>
      <c r="C4889" s="396" t="s">
        <v>9397</v>
      </c>
      <c r="D4889" s="396" t="s">
        <v>9381</v>
      </c>
      <c r="E4889" s="396" t="s">
        <v>9382</v>
      </c>
      <c r="F4889" s="396" t="s">
        <v>9383</v>
      </c>
    </row>
    <row r="4890">
      <c r="A4890" s="311">
        <v>4889</v>
      </c>
      <c r="B4890" s="396" t="s">
        <v>9398</v>
      </c>
      <c r="C4890" s="396" t="s">
        <v>9399</v>
      </c>
      <c r="D4890" s="396" t="s">
        <v>9381</v>
      </c>
      <c r="E4890" s="396" t="s">
        <v>9382</v>
      </c>
      <c r="F4890" s="396" t="s">
        <v>9383</v>
      </c>
    </row>
    <row r="4891">
      <c r="A4891" s="311">
        <v>4890</v>
      </c>
      <c r="B4891" s="396" t="s">
        <v>9400</v>
      </c>
      <c r="C4891" s="396" t="s">
        <v>9401</v>
      </c>
      <c r="D4891" s="396" t="s">
        <v>9381</v>
      </c>
      <c r="E4891" s="396" t="s">
        <v>9382</v>
      </c>
      <c r="F4891" s="396" t="s">
        <v>9383</v>
      </c>
    </row>
    <row r="4892">
      <c r="A4892" s="311">
        <v>4891</v>
      </c>
      <c r="B4892" s="396" t="s">
        <v>9402</v>
      </c>
      <c r="C4892" s="396" t="s">
        <v>9403</v>
      </c>
      <c r="D4892" s="396" t="s">
        <v>9381</v>
      </c>
      <c r="E4892" s="396" t="s">
        <v>9382</v>
      </c>
      <c r="F4892" s="396" t="s">
        <v>9383</v>
      </c>
    </row>
    <row r="4893">
      <c r="A4893" s="311">
        <v>4892</v>
      </c>
      <c r="B4893" s="396" t="s">
        <v>9404</v>
      </c>
      <c r="C4893" s="396" t="s">
        <v>9405</v>
      </c>
      <c r="D4893" s="396" t="s">
        <v>9381</v>
      </c>
      <c r="E4893" s="396" t="s">
        <v>9382</v>
      </c>
      <c r="F4893" s="396" t="s">
        <v>9383</v>
      </c>
    </row>
    <row r="4894">
      <c r="A4894" s="311">
        <v>4893</v>
      </c>
      <c r="B4894" s="396" t="s">
        <v>9406</v>
      </c>
      <c r="C4894" s="396" t="s">
        <v>9407</v>
      </c>
      <c r="D4894" s="396" t="s">
        <v>9381</v>
      </c>
      <c r="E4894" s="396" t="s">
        <v>9382</v>
      </c>
      <c r="F4894" s="396" t="s">
        <v>9383</v>
      </c>
    </row>
    <row r="4895">
      <c r="A4895" s="311">
        <v>4894</v>
      </c>
      <c r="B4895" s="396" t="s">
        <v>9408</v>
      </c>
      <c r="C4895" s="396" t="s">
        <v>4843</v>
      </c>
      <c r="D4895" s="396" t="s">
        <v>9409</v>
      </c>
      <c r="E4895" s="396" t="s">
        <v>9410</v>
      </c>
      <c r="F4895" s="396" t="s">
        <v>9383</v>
      </c>
    </row>
    <row r="4896">
      <c r="A4896" s="311">
        <v>4895</v>
      </c>
      <c r="B4896" s="396" t="s">
        <v>9411</v>
      </c>
      <c r="C4896" s="396" t="s">
        <v>9412</v>
      </c>
      <c r="D4896" s="396" t="s">
        <v>9409</v>
      </c>
      <c r="E4896" s="396" t="s">
        <v>9410</v>
      </c>
      <c r="F4896" s="396" t="s">
        <v>9383</v>
      </c>
    </row>
    <row r="4897">
      <c r="A4897" s="311">
        <v>4896</v>
      </c>
      <c r="B4897" s="396" t="s">
        <v>9413</v>
      </c>
      <c r="C4897" s="396" t="s">
        <v>7703</v>
      </c>
      <c r="D4897" s="396" t="s">
        <v>9409</v>
      </c>
      <c r="E4897" s="396" t="s">
        <v>9410</v>
      </c>
      <c r="F4897" s="396" t="s">
        <v>9383</v>
      </c>
    </row>
    <row r="4898">
      <c r="A4898" s="311">
        <v>4897</v>
      </c>
      <c r="B4898" s="396" t="s">
        <v>9414</v>
      </c>
      <c r="C4898" s="396" t="s">
        <v>9415</v>
      </c>
      <c r="D4898" s="396" t="s">
        <v>9409</v>
      </c>
      <c r="E4898" s="396" t="s">
        <v>9410</v>
      </c>
      <c r="F4898" s="396" t="s">
        <v>9383</v>
      </c>
    </row>
    <row r="4899">
      <c r="A4899" s="311">
        <v>4898</v>
      </c>
      <c r="B4899" s="396" t="s">
        <v>9416</v>
      </c>
      <c r="C4899" s="396" t="s">
        <v>810</v>
      </c>
      <c r="D4899" s="396" t="s">
        <v>9409</v>
      </c>
      <c r="E4899" s="396" t="s">
        <v>9410</v>
      </c>
      <c r="F4899" s="396" t="s">
        <v>9383</v>
      </c>
    </row>
    <row r="4900">
      <c r="A4900" s="311">
        <v>4899</v>
      </c>
      <c r="B4900" s="396" t="s">
        <v>9417</v>
      </c>
      <c r="C4900" s="396" t="s">
        <v>9418</v>
      </c>
      <c r="D4900" s="396" t="s">
        <v>9409</v>
      </c>
      <c r="E4900" s="396" t="s">
        <v>9410</v>
      </c>
      <c r="F4900" s="396" t="s">
        <v>9383</v>
      </c>
    </row>
    <row r="4901">
      <c r="A4901" s="311">
        <v>4900</v>
      </c>
      <c r="B4901" s="396" t="s">
        <v>9419</v>
      </c>
      <c r="C4901" s="396" t="s">
        <v>7149</v>
      </c>
      <c r="D4901" s="396" t="s">
        <v>9409</v>
      </c>
      <c r="E4901" s="396" t="s">
        <v>9410</v>
      </c>
      <c r="F4901" s="396" t="s">
        <v>9383</v>
      </c>
    </row>
    <row r="4902">
      <c r="A4902" s="311">
        <v>4901</v>
      </c>
      <c r="B4902" s="396" t="s">
        <v>9420</v>
      </c>
      <c r="C4902" s="396" t="s">
        <v>4732</v>
      </c>
      <c r="D4902" s="396" t="s">
        <v>9409</v>
      </c>
      <c r="E4902" s="396" t="s">
        <v>9410</v>
      </c>
      <c r="F4902" s="396" t="s">
        <v>9383</v>
      </c>
    </row>
    <row r="4903">
      <c r="A4903" s="311">
        <v>4902</v>
      </c>
      <c r="B4903" s="396" t="s">
        <v>9421</v>
      </c>
      <c r="C4903" s="396" t="s">
        <v>902</v>
      </c>
      <c r="D4903" s="396" t="s">
        <v>9409</v>
      </c>
      <c r="E4903" s="396" t="s">
        <v>9410</v>
      </c>
      <c r="F4903" s="396" t="s">
        <v>9383</v>
      </c>
    </row>
    <row r="4904">
      <c r="A4904" s="311">
        <v>4903</v>
      </c>
      <c r="B4904" s="396" t="s">
        <v>9422</v>
      </c>
      <c r="C4904" s="396" t="s">
        <v>9423</v>
      </c>
      <c r="D4904" s="396" t="s">
        <v>9424</v>
      </c>
      <c r="E4904" s="396" t="s">
        <v>9425</v>
      </c>
      <c r="F4904" s="396" t="s">
        <v>9383</v>
      </c>
    </row>
    <row r="4905">
      <c r="A4905" s="311">
        <v>4904</v>
      </c>
      <c r="B4905" s="396" t="s">
        <v>9426</v>
      </c>
      <c r="C4905" s="396" t="s">
        <v>9427</v>
      </c>
      <c r="D4905" s="396" t="s">
        <v>9424</v>
      </c>
      <c r="E4905" s="396" t="s">
        <v>9425</v>
      </c>
      <c r="F4905" s="396" t="s">
        <v>9383</v>
      </c>
    </row>
    <row r="4906">
      <c r="A4906" s="311">
        <v>4905</v>
      </c>
      <c r="B4906" s="396" t="s">
        <v>9428</v>
      </c>
      <c r="C4906" s="396" t="s">
        <v>9429</v>
      </c>
      <c r="D4906" s="396" t="s">
        <v>9424</v>
      </c>
      <c r="E4906" s="396" t="s">
        <v>9425</v>
      </c>
      <c r="F4906" s="396" t="s">
        <v>9383</v>
      </c>
    </row>
    <row r="4907">
      <c r="A4907" s="311">
        <v>4906</v>
      </c>
      <c r="B4907" s="396" t="s">
        <v>9430</v>
      </c>
      <c r="C4907" s="396" t="s">
        <v>9431</v>
      </c>
      <c r="D4907" s="396" t="s">
        <v>9424</v>
      </c>
      <c r="E4907" s="396" t="s">
        <v>9425</v>
      </c>
      <c r="F4907" s="396" t="s">
        <v>9383</v>
      </c>
    </row>
    <row r="4908">
      <c r="A4908" s="311">
        <v>4907</v>
      </c>
      <c r="B4908" s="396" t="s">
        <v>9432</v>
      </c>
      <c r="C4908" s="396" t="s">
        <v>9433</v>
      </c>
      <c r="D4908" s="396" t="s">
        <v>9424</v>
      </c>
      <c r="E4908" s="396" t="s">
        <v>9425</v>
      </c>
      <c r="F4908" s="396" t="s">
        <v>9383</v>
      </c>
    </row>
    <row r="4909">
      <c r="A4909" s="311">
        <v>4908</v>
      </c>
      <c r="B4909" s="396" t="s">
        <v>9434</v>
      </c>
      <c r="C4909" s="396" t="s">
        <v>9435</v>
      </c>
      <c r="D4909" s="396" t="s">
        <v>9424</v>
      </c>
      <c r="E4909" s="396" t="s">
        <v>9425</v>
      </c>
      <c r="F4909" s="396" t="s">
        <v>9383</v>
      </c>
    </row>
    <row r="4910">
      <c r="A4910" s="311">
        <v>4909</v>
      </c>
      <c r="B4910" s="396" t="s">
        <v>9436</v>
      </c>
      <c r="C4910" s="396" t="s">
        <v>9437</v>
      </c>
      <c r="D4910" s="396" t="s">
        <v>9424</v>
      </c>
      <c r="E4910" s="396" t="s">
        <v>9425</v>
      </c>
      <c r="F4910" s="396" t="s">
        <v>9383</v>
      </c>
    </row>
    <row r="4911">
      <c r="A4911" s="311">
        <v>4910</v>
      </c>
      <c r="B4911" s="396" t="s">
        <v>9438</v>
      </c>
      <c r="C4911" s="396" t="s">
        <v>9439</v>
      </c>
      <c r="D4911" s="396" t="s">
        <v>9424</v>
      </c>
      <c r="E4911" s="396" t="s">
        <v>9425</v>
      </c>
      <c r="F4911" s="396" t="s">
        <v>9383</v>
      </c>
    </row>
    <row r="4912">
      <c r="A4912" s="311">
        <v>4911</v>
      </c>
      <c r="B4912" s="396" t="s">
        <v>9440</v>
      </c>
      <c r="C4912" s="396" t="s">
        <v>643</v>
      </c>
      <c r="D4912" s="396" t="s">
        <v>9424</v>
      </c>
      <c r="E4912" s="396" t="s">
        <v>9425</v>
      </c>
      <c r="F4912" s="396" t="s">
        <v>9383</v>
      </c>
    </row>
    <row r="4913">
      <c r="A4913" s="311">
        <v>4912</v>
      </c>
      <c r="B4913" s="396" t="s">
        <v>9441</v>
      </c>
      <c r="C4913" s="396" t="s">
        <v>1927</v>
      </c>
      <c r="D4913" s="396" t="s">
        <v>9424</v>
      </c>
      <c r="E4913" s="396" t="s">
        <v>9425</v>
      </c>
      <c r="F4913" s="396" t="s">
        <v>9383</v>
      </c>
    </row>
    <row r="4914">
      <c r="A4914" s="311">
        <v>4913</v>
      </c>
      <c r="B4914" s="396" t="s">
        <v>9442</v>
      </c>
      <c r="C4914" s="396" t="s">
        <v>9443</v>
      </c>
      <c r="D4914" s="396" t="s">
        <v>9424</v>
      </c>
      <c r="E4914" s="396" t="s">
        <v>9425</v>
      </c>
      <c r="F4914" s="396" t="s">
        <v>9383</v>
      </c>
    </row>
    <row r="4915">
      <c r="A4915" s="311">
        <v>4914</v>
      </c>
      <c r="B4915" s="396" t="s">
        <v>9444</v>
      </c>
      <c r="C4915" s="396" t="s">
        <v>9445</v>
      </c>
      <c r="D4915" s="396" t="s">
        <v>9424</v>
      </c>
      <c r="E4915" s="396" t="s">
        <v>9425</v>
      </c>
      <c r="F4915" s="396" t="s">
        <v>9383</v>
      </c>
    </row>
    <row r="4916">
      <c r="A4916" s="311">
        <v>4915</v>
      </c>
      <c r="B4916" s="396" t="s">
        <v>9446</v>
      </c>
      <c r="C4916" s="396" t="s">
        <v>4252</v>
      </c>
      <c r="D4916" s="396" t="s">
        <v>9424</v>
      </c>
      <c r="E4916" s="396" t="s">
        <v>9425</v>
      </c>
      <c r="F4916" s="396" t="s">
        <v>9383</v>
      </c>
    </row>
    <row r="4917">
      <c r="A4917" s="311">
        <v>4916</v>
      </c>
      <c r="B4917" s="396" t="s">
        <v>9447</v>
      </c>
      <c r="C4917" s="396" t="s">
        <v>9448</v>
      </c>
      <c r="D4917" s="396" t="s">
        <v>9424</v>
      </c>
      <c r="E4917" s="396" t="s">
        <v>9425</v>
      </c>
      <c r="F4917" s="396" t="s">
        <v>9383</v>
      </c>
    </row>
    <row r="4918">
      <c r="A4918" s="311">
        <v>4917</v>
      </c>
      <c r="B4918" s="396" t="s">
        <v>9449</v>
      </c>
      <c r="C4918" s="396" t="s">
        <v>9450</v>
      </c>
      <c r="D4918" s="396" t="s">
        <v>9424</v>
      </c>
      <c r="E4918" s="396" t="s">
        <v>9425</v>
      </c>
      <c r="F4918" s="396" t="s">
        <v>9383</v>
      </c>
    </row>
    <row r="4919">
      <c r="A4919" s="311">
        <v>4918</v>
      </c>
      <c r="B4919" s="396" t="s">
        <v>9451</v>
      </c>
      <c r="C4919" s="396" t="s">
        <v>7980</v>
      </c>
      <c r="D4919" s="396" t="s">
        <v>9424</v>
      </c>
      <c r="E4919" s="396" t="s">
        <v>9425</v>
      </c>
      <c r="F4919" s="396" t="s">
        <v>9383</v>
      </c>
    </row>
    <row r="4920">
      <c r="A4920" s="311">
        <v>4919</v>
      </c>
      <c r="B4920" s="396" t="s">
        <v>9452</v>
      </c>
      <c r="C4920" s="396" t="s">
        <v>9453</v>
      </c>
      <c r="D4920" s="396" t="s">
        <v>9424</v>
      </c>
      <c r="E4920" s="396" t="s">
        <v>9425</v>
      </c>
      <c r="F4920" s="396" t="s">
        <v>9383</v>
      </c>
    </row>
    <row r="4921">
      <c r="A4921" s="311">
        <v>4920</v>
      </c>
      <c r="B4921" s="396" t="s">
        <v>9454</v>
      </c>
      <c r="C4921" s="396" t="s">
        <v>9455</v>
      </c>
      <c r="D4921" s="396" t="s">
        <v>9424</v>
      </c>
      <c r="E4921" s="396" t="s">
        <v>9425</v>
      </c>
      <c r="F4921" s="396" t="s">
        <v>9383</v>
      </c>
    </row>
    <row r="4922">
      <c r="A4922" s="311">
        <v>4921</v>
      </c>
      <c r="B4922" s="396" t="s">
        <v>9456</v>
      </c>
      <c r="C4922" s="396" t="s">
        <v>9457</v>
      </c>
      <c r="D4922" s="396" t="s">
        <v>9424</v>
      </c>
      <c r="E4922" s="396" t="s">
        <v>9425</v>
      </c>
      <c r="F4922" s="396" t="s">
        <v>9383</v>
      </c>
    </row>
    <row r="4923">
      <c r="A4923" s="311">
        <v>4922</v>
      </c>
      <c r="B4923" s="396" t="s">
        <v>9458</v>
      </c>
      <c r="C4923" s="396" t="s">
        <v>9459</v>
      </c>
      <c r="D4923" s="396" t="s">
        <v>9424</v>
      </c>
      <c r="E4923" s="396" t="s">
        <v>9425</v>
      </c>
      <c r="F4923" s="396" t="s">
        <v>9383</v>
      </c>
    </row>
    <row r="4924">
      <c r="A4924" s="311">
        <v>4923</v>
      </c>
      <c r="B4924" s="396" t="s">
        <v>9460</v>
      </c>
      <c r="C4924" s="396" t="s">
        <v>1026</v>
      </c>
      <c r="D4924" s="396" t="s">
        <v>9424</v>
      </c>
      <c r="E4924" s="396" t="s">
        <v>9425</v>
      </c>
      <c r="F4924" s="396" t="s">
        <v>9383</v>
      </c>
    </row>
    <row r="4925">
      <c r="A4925" s="311">
        <v>4924</v>
      </c>
      <c r="B4925" s="396" t="s">
        <v>9461</v>
      </c>
      <c r="C4925" s="396" t="s">
        <v>6355</v>
      </c>
      <c r="D4925" s="396" t="s">
        <v>9424</v>
      </c>
      <c r="E4925" s="396" t="s">
        <v>9425</v>
      </c>
      <c r="F4925" s="396" t="s">
        <v>9383</v>
      </c>
    </row>
    <row r="4926">
      <c r="A4926" s="311">
        <v>4925</v>
      </c>
      <c r="B4926" s="396" t="s">
        <v>9462</v>
      </c>
      <c r="C4926" s="396" t="s">
        <v>9463</v>
      </c>
      <c r="D4926" s="396" t="s">
        <v>9424</v>
      </c>
      <c r="E4926" s="396" t="s">
        <v>9425</v>
      </c>
      <c r="F4926" s="396" t="s">
        <v>9383</v>
      </c>
    </row>
    <row r="4927">
      <c r="A4927" s="311">
        <v>4926</v>
      </c>
      <c r="B4927" s="396" t="s">
        <v>9464</v>
      </c>
      <c r="C4927" s="396" t="s">
        <v>9465</v>
      </c>
      <c r="D4927" s="396" t="s">
        <v>9424</v>
      </c>
      <c r="E4927" s="396" t="s">
        <v>9425</v>
      </c>
      <c r="F4927" s="396" t="s">
        <v>9383</v>
      </c>
    </row>
    <row r="4928">
      <c r="A4928" s="311">
        <v>4927</v>
      </c>
      <c r="B4928" s="396" t="s">
        <v>9466</v>
      </c>
      <c r="C4928" s="396" t="s">
        <v>1093</v>
      </c>
      <c r="D4928" s="396" t="s">
        <v>9424</v>
      </c>
      <c r="E4928" s="396" t="s">
        <v>9425</v>
      </c>
      <c r="F4928" s="396" t="s">
        <v>9383</v>
      </c>
    </row>
    <row r="4929">
      <c r="A4929" s="311">
        <v>4928</v>
      </c>
      <c r="B4929" s="396" t="s">
        <v>9467</v>
      </c>
      <c r="C4929" s="396" t="s">
        <v>9468</v>
      </c>
      <c r="D4929" s="396" t="s">
        <v>9424</v>
      </c>
      <c r="E4929" s="396" t="s">
        <v>9425</v>
      </c>
      <c r="F4929" s="396" t="s">
        <v>9383</v>
      </c>
    </row>
    <row r="4930">
      <c r="A4930" s="311">
        <v>4929</v>
      </c>
      <c r="B4930" s="396" t="s">
        <v>9469</v>
      </c>
      <c r="C4930" s="396" t="s">
        <v>4924</v>
      </c>
      <c r="D4930" s="396" t="s">
        <v>9424</v>
      </c>
      <c r="E4930" s="396" t="s">
        <v>9425</v>
      </c>
      <c r="F4930" s="396" t="s">
        <v>9383</v>
      </c>
    </row>
    <row r="4931">
      <c r="A4931" s="311">
        <v>4930</v>
      </c>
      <c r="B4931" s="396" t="s">
        <v>9470</v>
      </c>
      <c r="C4931" s="396" t="s">
        <v>9471</v>
      </c>
      <c r="D4931" s="396" t="s">
        <v>9472</v>
      </c>
      <c r="E4931" s="396" t="s">
        <v>9473</v>
      </c>
      <c r="F4931" s="396" t="s">
        <v>9383</v>
      </c>
    </row>
    <row r="4932">
      <c r="A4932" s="311">
        <v>4931</v>
      </c>
      <c r="B4932" s="396" t="s">
        <v>9474</v>
      </c>
      <c r="C4932" s="396" t="s">
        <v>7438</v>
      </c>
      <c r="D4932" s="396" t="s">
        <v>9472</v>
      </c>
      <c r="E4932" s="396" t="s">
        <v>9473</v>
      </c>
      <c r="F4932" s="396" t="s">
        <v>9383</v>
      </c>
    </row>
    <row r="4933">
      <c r="A4933" s="311">
        <v>4932</v>
      </c>
      <c r="B4933" s="396" t="s">
        <v>9475</v>
      </c>
      <c r="C4933" s="396" t="s">
        <v>9476</v>
      </c>
      <c r="D4933" s="396" t="s">
        <v>9472</v>
      </c>
      <c r="E4933" s="396" t="s">
        <v>9473</v>
      </c>
      <c r="F4933" s="396" t="s">
        <v>9383</v>
      </c>
    </row>
    <row r="4934">
      <c r="A4934" s="311">
        <v>4933</v>
      </c>
      <c r="B4934" s="396" t="s">
        <v>9477</v>
      </c>
      <c r="C4934" s="396" t="s">
        <v>4273</v>
      </c>
      <c r="D4934" s="396" t="s">
        <v>9472</v>
      </c>
      <c r="E4934" s="396" t="s">
        <v>9473</v>
      </c>
      <c r="F4934" s="396" t="s">
        <v>9383</v>
      </c>
    </row>
    <row r="4935">
      <c r="A4935" s="311">
        <v>4934</v>
      </c>
      <c r="B4935" s="396" t="s">
        <v>9478</v>
      </c>
      <c r="C4935" s="396" t="s">
        <v>6357</v>
      </c>
      <c r="D4935" s="396" t="s">
        <v>9472</v>
      </c>
      <c r="E4935" s="396" t="s">
        <v>9473</v>
      </c>
      <c r="F4935" s="396" t="s">
        <v>9383</v>
      </c>
    </row>
    <row r="4936">
      <c r="A4936" s="311">
        <v>4935</v>
      </c>
      <c r="B4936" s="396" t="s">
        <v>9479</v>
      </c>
      <c r="C4936" s="396" t="s">
        <v>9480</v>
      </c>
      <c r="D4936" s="396" t="s">
        <v>9472</v>
      </c>
      <c r="E4936" s="396" t="s">
        <v>9473</v>
      </c>
      <c r="F4936" s="396" t="s">
        <v>9383</v>
      </c>
    </row>
    <row r="4937">
      <c r="A4937" s="311">
        <v>4936</v>
      </c>
      <c r="B4937" s="396" t="s">
        <v>9481</v>
      </c>
      <c r="C4937" s="396" t="s">
        <v>2762</v>
      </c>
      <c r="D4937" s="396" t="s">
        <v>9472</v>
      </c>
      <c r="E4937" s="396" t="s">
        <v>9473</v>
      </c>
      <c r="F4937" s="396" t="s">
        <v>9383</v>
      </c>
    </row>
    <row r="4938">
      <c r="A4938" s="311">
        <v>4937</v>
      </c>
      <c r="B4938" s="396" t="s">
        <v>9482</v>
      </c>
      <c r="C4938" s="396" t="s">
        <v>9483</v>
      </c>
      <c r="D4938" s="396" t="s">
        <v>9472</v>
      </c>
      <c r="E4938" s="396" t="s">
        <v>9473</v>
      </c>
      <c r="F4938" s="396" t="s">
        <v>9383</v>
      </c>
    </row>
    <row r="4939">
      <c r="A4939" s="311">
        <v>4938</v>
      </c>
      <c r="B4939" s="396" t="s">
        <v>9484</v>
      </c>
      <c r="C4939" s="396" t="s">
        <v>9485</v>
      </c>
      <c r="D4939" s="396" t="s">
        <v>9472</v>
      </c>
      <c r="E4939" s="396" t="s">
        <v>9473</v>
      </c>
      <c r="F4939" s="396" t="s">
        <v>9383</v>
      </c>
    </row>
    <row r="4940">
      <c r="A4940" s="311">
        <v>4939</v>
      </c>
      <c r="B4940" s="396" t="s">
        <v>9486</v>
      </c>
      <c r="C4940" s="396" t="s">
        <v>9487</v>
      </c>
      <c r="D4940" s="396" t="s">
        <v>9472</v>
      </c>
      <c r="E4940" s="396" t="s">
        <v>9473</v>
      </c>
      <c r="F4940" s="396" t="s">
        <v>9383</v>
      </c>
    </row>
    <row r="4941">
      <c r="A4941" s="311">
        <v>4940</v>
      </c>
      <c r="B4941" s="396" t="s">
        <v>9488</v>
      </c>
      <c r="C4941" s="396" t="s">
        <v>9489</v>
      </c>
      <c r="D4941" s="396" t="s">
        <v>9472</v>
      </c>
      <c r="E4941" s="396" t="s">
        <v>9473</v>
      </c>
      <c r="F4941" s="396" t="s">
        <v>9383</v>
      </c>
    </row>
    <row r="4942">
      <c r="A4942" s="311">
        <v>4941</v>
      </c>
      <c r="B4942" s="396" t="s">
        <v>9490</v>
      </c>
      <c r="C4942" s="396" t="s">
        <v>9491</v>
      </c>
      <c r="D4942" s="396" t="s">
        <v>9472</v>
      </c>
      <c r="E4942" s="396" t="s">
        <v>9473</v>
      </c>
      <c r="F4942" s="396" t="s">
        <v>9383</v>
      </c>
    </row>
    <row r="4943">
      <c r="A4943" s="311">
        <v>4942</v>
      </c>
      <c r="B4943" s="396" t="s">
        <v>9492</v>
      </c>
      <c r="C4943" s="396" t="s">
        <v>9493</v>
      </c>
      <c r="D4943" s="396" t="s">
        <v>9472</v>
      </c>
      <c r="E4943" s="396" t="s">
        <v>9473</v>
      </c>
      <c r="F4943" s="396" t="s">
        <v>9383</v>
      </c>
    </row>
    <row r="4944">
      <c r="A4944" s="311">
        <v>4943</v>
      </c>
      <c r="B4944" s="396" t="s">
        <v>9494</v>
      </c>
      <c r="C4944" s="396" t="s">
        <v>7442</v>
      </c>
      <c r="D4944" s="396" t="s">
        <v>9472</v>
      </c>
      <c r="E4944" s="396" t="s">
        <v>9473</v>
      </c>
      <c r="F4944" s="396" t="s">
        <v>9383</v>
      </c>
    </row>
    <row r="4945">
      <c r="A4945" s="311">
        <v>4944</v>
      </c>
      <c r="B4945" s="396" t="s">
        <v>9495</v>
      </c>
      <c r="C4945" s="396" t="s">
        <v>9496</v>
      </c>
      <c r="D4945" s="396" t="s">
        <v>9472</v>
      </c>
      <c r="E4945" s="396" t="s">
        <v>9473</v>
      </c>
      <c r="F4945" s="396" t="s">
        <v>9383</v>
      </c>
    </row>
    <row r="4946">
      <c r="A4946" s="311">
        <v>4945</v>
      </c>
      <c r="B4946" s="396" t="s">
        <v>9497</v>
      </c>
      <c r="C4946" s="396" t="s">
        <v>9498</v>
      </c>
      <c r="D4946" s="396" t="s">
        <v>9472</v>
      </c>
      <c r="E4946" s="396" t="s">
        <v>9473</v>
      </c>
      <c r="F4946" s="396" t="s">
        <v>9383</v>
      </c>
    </row>
    <row r="4947">
      <c r="A4947" s="311">
        <v>4946</v>
      </c>
      <c r="B4947" s="396" t="s">
        <v>9499</v>
      </c>
      <c r="C4947" s="396" t="s">
        <v>7759</v>
      </c>
      <c r="D4947" s="396" t="s">
        <v>9472</v>
      </c>
      <c r="E4947" s="396" t="s">
        <v>9473</v>
      </c>
      <c r="F4947" s="396" t="s">
        <v>9383</v>
      </c>
    </row>
    <row r="4948">
      <c r="A4948" s="311">
        <v>4947</v>
      </c>
      <c r="B4948" s="396" t="s">
        <v>9500</v>
      </c>
      <c r="C4948" s="396" t="s">
        <v>9501</v>
      </c>
      <c r="D4948" s="396" t="s">
        <v>9472</v>
      </c>
      <c r="E4948" s="396" t="s">
        <v>9473</v>
      </c>
      <c r="F4948" s="396" t="s">
        <v>9383</v>
      </c>
    </row>
    <row r="4949">
      <c r="A4949" s="311">
        <v>4948</v>
      </c>
      <c r="B4949" s="396" t="s">
        <v>9502</v>
      </c>
      <c r="C4949" s="396" t="s">
        <v>9503</v>
      </c>
      <c r="D4949" s="396" t="s">
        <v>9472</v>
      </c>
      <c r="E4949" s="396" t="s">
        <v>9473</v>
      </c>
      <c r="F4949" s="396" t="s">
        <v>9383</v>
      </c>
    </row>
    <row r="4950">
      <c r="A4950" s="311">
        <v>4949</v>
      </c>
      <c r="B4950" s="396" t="s">
        <v>9504</v>
      </c>
      <c r="C4950" s="396" t="s">
        <v>9505</v>
      </c>
      <c r="D4950" s="396" t="s">
        <v>9472</v>
      </c>
      <c r="E4950" s="396" t="s">
        <v>9473</v>
      </c>
      <c r="F4950" s="396" t="s">
        <v>9383</v>
      </c>
    </row>
    <row r="4951">
      <c r="A4951" s="311">
        <v>4950</v>
      </c>
      <c r="B4951" s="396" t="s">
        <v>9506</v>
      </c>
      <c r="C4951" s="396" t="s">
        <v>9507</v>
      </c>
      <c r="D4951" s="396" t="s">
        <v>9472</v>
      </c>
      <c r="E4951" s="396" t="s">
        <v>9473</v>
      </c>
      <c r="F4951" s="396" t="s">
        <v>9383</v>
      </c>
    </row>
    <row r="4952">
      <c r="A4952" s="311">
        <v>4951</v>
      </c>
      <c r="B4952" s="396" t="s">
        <v>9508</v>
      </c>
      <c r="C4952" s="396" t="s">
        <v>9509</v>
      </c>
      <c r="D4952" s="396" t="s">
        <v>9510</v>
      </c>
      <c r="E4952" s="396" t="s">
        <v>9511</v>
      </c>
      <c r="F4952" s="396" t="s">
        <v>9383</v>
      </c>
    </row>
    <row r="4953">
      <c r="A4953" s="311">
        <v>4952</v>
      </c>
      <c r="B4953" s="396" t="s">
        <v>9512</v>
      </c>
      <c r="C4953" s="396" t="s">
        <v>9513</v>
      </c>
      <c r="D4953" s="396" t="s">
        <v>9510</v>
      </c>
      <c r="E4953" s="396" t="s">
        <v>9511</v>
      </c>
      <c r="F4953" s="396" t="s">
        <v>9383</v>
      </c>
    </row>
    <row r="4954">
      <c r="A4954" s="311">
        <v>4953</v>
      </c>
      <c r="B4954" s="396" t="s">
        <v>9514</v>
      </c>
      <c r="C4954" s="396" t="s">
        <v>908</v>
      </c>
      <c r="D4954" s="396" t="s">
        <v>9510</v>
      </c>
      <c r="E4954" s="396" t="s">
        <v>9511</v>
      </c>
      <c r="F4954" s="396" t="s">
        <v>9383</v>
      </c>
    </row>
    <row r="4955">
      <c r="A4955" s="311">
        <v>4954</v>
      </c>
      <c r="B4955" s="396" t="s">
        <v>9515</v>
      </c>
      <c r="C4955" s="396" t="s">
        <v>9516</v>
      </c>
      <c r="D4955" s="396" t="s">
        <v>9510</v>
      </c>
      <c r="E4955" s="396" t="s">
        <v>9511</v>
      </c>
      <c r="F4955" s="396" t="s">
        <v>9383</v>
      </c>
    </row>
    <row r="4956">
      <c r="A4956" s="311">
        <v>4955</v>
      </c>
      <c r="B4956" s="396" t="s">
        <v>9517</v>
      </c>
      <c r="C4956" s="396" t="s">
        <v>9518</v>
      </c>
      <c r="D4956" s="396" t="s">
        <v>9510</v>
      </c>
      <c r="E4956" s="396" t="s">
        <v>9511</v>
      </c>
      <c r="F4956" s="396" t="s">
        <v>9383</v>
      </c>
    </row>
    <row r="4957">
      <c r="A4957" s="311">
        <v>4956</v>
      </c>
      <c r="B4957" s="396" t="s">
        <v>9519</v>
      </c>
      <c r="C4957" s="396" t="s">
        <v>7526</v>
      </c>
      <c r="D4957" s="396" t="s">
        <v>9510</v>
      </c>
      <c r="E4957" s="396" t="s">
        <v>9511</v>
      </c>
      <c r="F4957" s="396" t="s">
        <v>9383</v>
      </c>
    </row>
    <row r="4958">
      <c r="A4958" s="311">
        <v>4957</v>
      </c>
      <c r="B4958" s="396" t="s">
        <v>9520</v>
      </c>
      <c r="C4958" s="396" t="s">
        <v>9521</v>
      </c>
      <c r="D4958" s="396" t="s">
        <v>9510</v>
      </c>
      <c r="E4958" s="396" t="s">
        <v>9511</v>
      </c>
      <c r="F4958" s="396" t="s">
        <v>9383</v>
      </c>
    </row>
    <row r="4959">
      <c r="A4959" s="311">
        <v>4958</v>
      </c>
      <c r="B4959" s="396" t="s">
        <v>9522</v>
      </c>
      <c r="C4959" s="396" t="s">
        <v>7543</v>
      </c>
      <c r="D4959" s="396" t="s">
        <v>9510</v>
      </c>
      <c r="E4959" s="396" t="s">
        <v>9511</v>
      </c>
      <c r="F4959" s="396" t="s">
        <v>9383</v>
      </c>
    </row>
    <row r="4960">
      <c r="A4960" s="311">
        <v>4959</v>
      </c>
      <c r="B4960" s="396" t="s">
        <v>9523</v>
      </c>
      <c r="C4960" s="396" t="s">
        <v>9524</v>
      </c>
      <c r="D4960" s="396" t="s">
        <v>9510</v>
      </c>
      <c r="E4960" s="396" t="s">
        <v>9511</v>
      </c>
      <c r="F4960" s="396" t="s">
        <v>9383</v>
      </c>
    </row>
    <row r="4961">
      <c r="A4961" s="311">
        <v>4960</v>
      </c>
      <c r="B4961" s="396" t="s">
        <v>9525</v>
      </c>
      <c r="C4961" s="396" t="s">
        <v>9526</v>
      </c>
      <c r="D4961" s="396" t="s">
        <v>9510</v>
      </c>
      <c r="E4961" s="396" t="s">
        <v>9511</v>
      </c>
      <c r="F4961" s="396" t="s">
        <v>9383</v>
      </c>
    </row>
    <row r="4962">
      <c r="A4962" s="311">
        <v>4961</v>
      </c>
      <c r="B4962" s="396" t="s">
        <v>9527</v>
      </c>
      <c r="C4962" s="396" t="s">
        <v>9528</v>
      </c>
      <c r="D4962" s="396" t="s">
        <v>9510</v>
      </c>
      <c r="E4962" s="396" t="s">
        <v>9511</v>
      </c>
      <c r="F4962" s="396" t="s">
        <v>9383</v>
      </c>
    </row>
    <row r="4963">
      <c r="A4963" s="311">
        <v>4962</v>
      </c>
      <c r="B4963" s="396" t="s">
        <v>9529</v>
      </c>
      <c r="C4963" s="396" t="s">
        <v>9530</v>
      </c>
      <c r="D4963" s="396" t="s">
        <v>9531</v>
      </c>
      <c r="E4963" s="396" t="s">
        <v>9532</v>
      </c>
      <c r="F4963" s="396" t="s">
        <v>9383</v>
      </c>
    </row>
    <row r="4964">
      <c r="A4964" s="311">
        <v>4963</v>
      </c>
      <c r="B4964" s="396" t="s">
        <v>9533</v>
      </c>
      <c r="C4964" s="396" t="s">
        <v>9534</v>
      </c>
      <c r="D4964" s="396" t="s">
        <v>9531</v>
      </c>
      <c r="E4964" s="396" t="s">
        <v>9532</v>
      </c>
      <c r="F4964" s="396" t="s">
        <v>9383</v>
      </c>
    </row>
    <row r="4965">
      <c r="A4965" s="311">
        <v>4964</v>
      </c>
      <c r="B4965" s="396" t="s">
        <v>9535</v>
      </c>
      <c r="C4965" s="396" t="s">
        <v>9536</v>
      </c>
      <c r="D4965" s="396" t="s">
        <v>9531</v>
      </c>
      <c r="E4965" s="396" t="s">
        <v>9532</v>
      </c>
      <c r="F4965" s="396" t="s">
        <v>9383</v>
      </c>
    </row>
    <row r="4966">
      <c r="A4966" s="311">
        <v>4965</v>
      </c>
      <c r="B4966" s="396" t="s">
        <v>9537</v>
      </c>
      <c r="C4966" s="396" t="s">
        <v>3892</v>
      </c>
      <c r="D4966" s="396" t="s">
        <v>9531</v>
      </c>
      <c r="E4966" s="396" t="s">
        <v>9532</v>
      </c>
      <c r="F4966" s="396" t="s">
        <v>9383</v>
      </c>
    </row>
    <row r="4967">
      <c r="A4967" s="311">
        <v>4966</v>
      </c>
      <c r="B4967" s="396" t="s">
        <v>9538</v>
      </c>
      <c r="C4967" s="396" t="s">
        <v>9539</v>
      </c>
      <c r="D4967" s="396" t="s">
        <v>9531</v>
      </c>
      <c r="E4967" s="396" t="s">
        <v>9532</v>
      </c>
      <c r="F4967" s="396" t="s">
        <v>9383</v>
      </c>
    </row>
    <row r="4968">
      <c r="A4968" s="311">
        <v>4967</v>
      </c>
      <c r="B4968" s="396" t="s">
        <v>9540</v>
      </c>
      <c r="C4968" s="396" t="s">
        <v>9541</v>
      </c>
      <c r="D4968" s="396" t="s">
        <v>9531</v>
      </c>
      <c r="E4968" s="396" t="s">
        <v>9532</v>
      </c>
      <c r="F4968" s="396" t="s">
        <v>9383</v>
      </c>
    </row>
    <row r="4969">
      <c r="A4969" s="311">
        <v>4968</v>
      </c>
      <c r="B4969" s="396" t="s">
        <v>9542</v>
      </c>
      <c r="C4969" s="396" t="s">
        <v>9543</v>
      </c>
      <c r="D4969" s="396" t="s">
        <v>9531</v>
      </c>
      <c r="E4969" s="396" t="s">
        <v>9532</v>
      </c>
      <c r="F4969" s="396" t="s">
        <v>9383</v>
      </c>
    </row>
    <row r="4970">
      <c r="A4970" s="311">
        <v>4969</v>
      </c>
      <c r="B4970" s="396" t="s">
        <v>9544</v>
      </c>
      <c r="C4970" s="396" t="s">
        <v>9545</v>
      </c>
      <c r="D4970" s="396" t="s">
        <v>9531</v>
      </c>
      <c r="E4970" s="396" t="s">
        <v>9532</v>
      </c>
      <c r="F4970" s="396" t="s">
        <v>9383</v>
      </c>
    </row>
    <row r="4971">
      <c r="A4971" s="311">
        <v>4970</v>
      </c>
      <c r="B4971" s="396" t="s">
        <v>9546</v>
      </c>
      <c r="C4971" s="396" t="s">
        <v>3873</v>
      </c>
      <c r="D4971" s="396" t="s">
        <v>9531</v>
      </c>
      <c r="E4971" s="396" t="s">
        <v>9532</v>
      </c>
      <c r="F4971" s="396" t="s">
        <v>9383</v>
      </c>
    </row>
    <row r="4972">
      <c r="A4972" s="311">
        <v>4971</v>
      </c>
      <c r="B4972" s="396" t="s">
        <v>9547</v>
      </c>
      <c r="C4972" s="396" t="s">
        <v>9548</v>
      </c>
      <c r="D4972" s="396" t="s">
        <v>9531</v>
      </c>
      <c r="E4972" s="396" t="s">
        <v>9532</v>
      </c>
      <c r="F4972" s="396" t="s">
        <v>9383</v>
      </c>
    </row>
    <row r="4973">
      <c r="A4973" s="311">
        <v>4972</v>
      </c>
      <c r="B4973" s="396" t="s">
        <v>9549</v>
      </c>
      <c r="C4973" s="396" t="s">
        <v>9550</v>
      </c>
      <c r="D4973" s="396" t="s">
        <v>9531</v>
      </c>
      <c r="E4973" s="396" t="s">
        <v>9532</v>
      </c>
      <c r="F4973" s="396" t="s">
        <v>9383</v>
      </c>
    </row>
    <row r="4974">
      <c r="A4974" s="311">
        <v>4973</v>
      </c>
      <c r="B4974" s="396" t="s">
        <v>9551</v>
      </c>
      <c r="C4974" s="396" t="s">
        <v>9552</v>
      </c>
      <c r="D4974" s="396" t="s">
        <v>9531</v>
      </c>
      <c r="E4974" s="396" t="s">
        <v>9532</v>
      </c>
      <c r="F4974" s="396" t="s">
        <v>9383</v>
      </c>
    </row>
    <row r="4975">
      <c r="A4975" s="311">
        <v>4974</v>
      </c>
      <c r="B4975" s="396" t="s">
        <v>9553</v>
      </c>
      <c r="C4975" s="396" t="s">
        <v>9554</v>
      </c>
      <c r="D4975" s="396" t="s">
        <v>9531</v>
      </c>
      <c r="E4975" s="396" t="s">
        <v>9532</v>
      </c>
      <c r="F4975" s="396" t="s">
        <v>9383</v>
      </c>
    </row>
    <row r="4976">
      <c r="A4976" s="311">
        <v>4975</v>
      </c>
      <c r="B4976" s="396" t="s">
        <v>9555</v>
      </c>
      <c r="C4976" s="396" t="s">
        <v>9556</v>
      </c>
      <c r="D4976" s="396" t="s">
        <v>9531</v>
      </c>
      <c r="E4976" s="396" t="s">
        <v>9532</v>
      </c>
      <c r="F4976" s="396" t="s">
        <v>9383</v>
      </c>
    </row>
    <row r="4977">
      <c r="A4977" s="311">
        <v>4976</v>
      </c>
      <c r="B4977" s="396" t="s">
        <v>9557</v>
      </c>
      <c r="C4977" s="396" t="s">
        <v>9558</v>
      </c>
      <c r="D4977" s="396" t="s">
        <v>9531</v>
      </c>
      <c r="E4977" s="396" t="s">
        <v>9532</v>
      </c>
      <c r="F4977" s="396" t="s">
        <v>9383</v>
      </c>
    </row>
    <row r="4978">
      <c r="A4978" s="311">
        <v>4977</v>
      </c>
      <c r="B4978" s="396" t="s">
        <v>9559</v>
      </c>
      <c r="C4978" s="396" t="s">
        <v>9560</v>
      </c>
      <c r="D4978" s="396" t="s">
        <v>9531</v>
      </c>
      <c r="E4978" s="396" t="s">
        <v>9532</v>
      </c>
      <c r="F4978" s="396" t="s">
        <v>9383</v>
      </c>
    </row>
    <row r="4979">
      <c r="A4979" s="311">
        <v>4978</v>
      </c>
      <c r="B4979" s="396" t="s">
        <v>9561</v>
      </c>
      <c r="C4979" s="396" t="s">
        <v>9562</v>
      </c>
      <c r="D4979" s="396" t="s">
        <v>9531</v>
      </c>
      <c r="E4979" s="396" t="s">
        <v>9532</v>
      </c>
      <c r="F4979" s="396" t="s">
        <v>9383</v>
      </c>
    </row>
    <row r="4980">
      <c r="A4980" s="311">
        <v>4979</v>
      </c>
      <c r="B4980" s="396" t="s">
        <v>9563</v>
      </c>
      <c r="C4980" s="396" t="s">
        <v>9564</v>
      </c>
      <c r="D4980" s="396" t="s">
        <v>9531</v>
      </c>
      <c r="E4980" s="396" t="s">
        <v>9532</v>
      </c>
      <c r="F4980" s="396" t="s">
        <v>9383</v>
      </c>
    </row>
    <row r="4981">
      <c r="A4981" s="311">
        <v>4980</v>
      </c>
      <c r="B4981" s="396" t="s">
        <v>9565</v>
      </c>
      <c r="C4981" s="396" t="s">
        <v>9566</v>
      </c>
      <c r="D4981" s="396" t="s">
        <v>9531</v>
      </c>
      <c r="E4981" s="396" t="s">
        <v>9532</v>
      </c>
      <c r="F4981" s="396" t="s">
        <v>9383</v>
      </c>
    </row>
    <row r="4982">
      <c r="A4982" s="311">
        <v>4981</v>
      </c>
      <c r="B4982" s="396" t="s">
        <v>9567</v>
      </c>
      <c r="C4982" s="396" t="s">
        <v>9568</v>
      </c>
      <c r="D4982" s="396" t="s">
        <v>9569</v>
      </c>
      <c r="E4982" s="396" t="s">
        <v>9570</v>
      </c>
      <c r="F4982" s="396" t="s">
        <v>9383</v>
      </c>
    </row>
    <row r="4983">
      <c r="A4983" s="311">
        <v>4982</v>
      </c>
      <c r="B4983" s="396" t="s">
        <v>9571</v>
      </c>
      <c r="C4983" s="396" t="s">
        <v>9572</v>
      </c>
      <c r="D4983" s="396" t="s">
        <v>9569</v>
      </c>
      <c r="E4983" s="396" t="s">
        <v>9570</v>
      </c>
      <c r="F4983" s="396" t="s">
        <v>9383</v>
      </c>
    </row>
    <row r="4984">
      <c r="A4984" s="311">
        <v>4983</v>
      </c>
      <c r="B4984" s="396" t="s">
        <v>9573</v>
      </c>
      <c r="C4984" s="396" t="s">
        <v>9574</v>
      </c>
      <c r="D4984" s="396" t="s">
        <v>9569</v>
      </c>
      <c r="E4984" s="396" t="s">
        <v>9570</v>
      </c>
      <c r="F4984" s="396" t="s">
        <v>9383</v>
      </c>
    </row>
    <row r="4985">
      <c r="A4985" s="311">
        <v>4984</v>
      </c>
      <c r="B4985" s="396" t="s">
        <v>9575</v>
      </c>
      <c r="C4985" s="396" t="s">
        <v>9576</v>
      </c>
      <c r="D4985" s="396" t="s">
        <v>9569</v>
      </c>
      <c r="E4985" s="396" t="s">
        <v>9570</v>
      </c>
      <c r="F4985" s="396" t="s">
        <v>9383</v>
      </c>
    </row>
    <row r="4986">
      <c r="A4986" s="311">
        <v>4985</v>
      </c>
      <c r="B4986" s="396" t="s">
        <v>9577</v>
      </c>
      <c r="C4986" s="396" t="s">
        <v>9578</v>
      </c>
      <c r="D4986" s="396" t="s">
        <v>9569</v>
      </c>
      <c r="E4986" s="396" t="s">
        <v>9570</v>
      </c>
      <c r="F4986" s="396" t="s">
        <v>9383</v>
      </c>
    </row>
    <row r="4987">
      <c r="A4987" s="311">
        <v>4986</v>
      </c>
      <c r="B4987" s="396" t="s">
        <v>9579</v>
      </c>
      <c r="C4987" s="396" t="s">
        <v>9580</v>
      </c>
      <c r="D4987" s="396" t="s">
        <v>9569</v>
      </c>
      <c r="E4987" s="396" t="s">
        <v>9570</v>
      </c>
      <c r="F4987" s="396" t="s">
        <v>9383</v>
      </c>
    </row>
    <row r="4988">
      <c r="A4988" s="311">
        <v>4987</v>
      </c>
      <c r="B4988" s="396" t="s">
        <v>9581</v>
      </c>
      <c r="C4988" s="396" t="s">
        <v>9582</v>
      </c>
      <c r="D4988" s="396" t="s">
        <v>9569</v>
      </c>
      <c r="E4988" s="396" t="s">
        <v>9570</v>
      </c>
      <c r="F4988" s="396" t="s">
        <v>9383</v>
      </c>
    </row>
    <row r="4989">
      <c r="A4989" s="311">
        <v>4988</v>
      </c>
      <c r="B4989" s="396" t="s">
        <v>9583</v>
      </c>
      <c r="C4989" s="396" t="s">
        <v>1212</v>
      </c>
      <c r="D4989" s="396" t="s">
        <v>9569</v>
      </c>
      <c r="E4989" s="396" t="s">
        <v>9570</v>
      </c>
      <c r="F4989" s="396" t="s">
        <v>9383</v>
      </c>
    </row>
    <row r="4990">
      <c r="A4990" s="311">
        <v>4989</v>
      </c>
      <c r="B4990" s="396" t="s">
        <v>9584</v>
      </c>
      <c r="C4990" s="396" t="s">
        <v>9585</v>
      </c>
      <c r="D4990" s="396" t="s">
        <v>9569</v>
      </c>
      <c r="E4990" s="396" t="s">
        <v>9570</v>
      </c>
      <c r="F4990" s="396" t="s">
        <v>9383</v>
      </c>
    </row>
    <row r="4991">
      <c r="A4991" s="311">
        <v>4990</v>
      </c>
      <c r="B4991" s="396" t="s">
        <v>9586</v>
      </c>
      <c r="C4991" s="396" t="s">
        <v>9587</v>
      </c>
      <c r="D4991" s="396" t="s">
        <v>9569</v>
      </c>
      <c r="E4991" s="396" t="s">
        <v>9570</v>
      </c>
      <c r="F4991" s="396" t="s">
        <v>9383</v>
      </c>
    </row>
    <row r="4992">
      <c r="A4992" s="311">
        <v>4991</v>
      </c>
      <c r="B4992" s="396" t="s">
        <v>9588</v>
      </c>
      <c r="C4992" s="396" t="s">
        <v>9589</v>
      </c>
      <c r="D4992" s="396" t="s">
        <v>9569</v>
      </c>
      <c r="E4992" s="396" t="s">
        <v>9570</v>
      </c>
      <c r="F4992" s="396" t="s">
        <v>9383</v>
      </c>
    </row>
    <row r="4993">
      <c r="A4993" s="311">
        <v>4992</v>
      </c>
      <c r="B4993" s="396" t="s">
        <v>9590</v>
      </c>
      <c r="C4993" s="396" t="s">
        <v>9591</v>
      </c>
      <c r="D4993" s="396" t="s">
        <v>9569</v>
      </c>
      <c r="E4993" s="396" t="s">
        <v>9570</v>
      </c>
      <c r="F4993" s="396" t="s">
        <v>9383</v>
      </c>
    </row>
    <row r="4994">
      <c r="A4994" s="311">
        <v>4993</v>
      </c>
      <c r="B4994" s="396" t="s">
        <v>9592</v>
      </c>
      <c r="C4994" s="396" t="s">
        <v>9593</v>
      </c>
      <c r="D4994" s="396" t="s">
        <v>9569</v>
      </c>
      <c r="E4994" s="396" t="s">
        <v>9570</v>
      </c>
      <c r="F4994" s="396" t="s">
        <v>9383</v>
      </c>
    </row>
    <row r="4995">
      <c r="A4995" s="311">
        <v>4994</v>
      </c>
      <c r="B4995" s="396" t="s">
        <v>9594</v>
      </c>
      <c r="C4995" s="396" t="s">
        <v>9595</v>
      </c>
      <c r="D4995" s="396" t="s">
        <v>9569</v>
      </c>
      <c r="E4995" s="396" t="s">
        <v>9570</v>
      </c>
      <c r="F4995" s="396" t="s">
        <v>9383</v>
      </c>
    </row>
    <row r="4996">
      <c r="A4996" s="311">
        <v>4995</v>
      </c>
      <c r="B4996" s="396" t="s">
        <v>9596</v>
      </c>
      <c r="C4996" s="396" t="s">
        <v>9597</v>
      </c>
      <c r="D4996" s="396" t="s">
        <v>9569</v>
      </c>
      <c r="E4996" s="396" t="s">
        <v>9570</v>
      </c>
      <c r="F4996" s="396" t="s">
        <v>9383</v>
      </c>
    </row>
    <row r="4997">
      <c r="A4997" s="311">
        <v>4996</v>
      </c>
      <c r="B4997" s="396" t="s">
        <v>9598</v>
      </c>
      <c r="C4997" s="396" t="s">
        <v>9599</v>
      </c>
      <c r="D4997" s="396" t="s">
        <v>9569</v>
      </c>
      <c r="E4997" s="396" t="s">
        <v>9570</v>
      </c>
      <c r="F4997" s="396" t="s">
        <v>9383</v>
      </c>
    </row>
    <row r="4998">
      <c r="A4998" s="311">
        <v>4997</v>
      </c>
      <c r="B4998" s="396" t="s">
        <v>9600</v>
      </c>
      <c r="C4998" s="396" t="s">
        <v>1552</v>
      </c>
      <c r="D4998" s="396" t="s">
        <v>9569</v>
      </c>
      <c r="E4998" s="396" t="s">
        <v>9570</v>
      </c>
      <c r="F4998" s="396" t="s">
        <v>9383</v>
      </c>
    </row>
    <row r="4999">
      <c r="A4999" s="311">
        <v>4998</v>
      </c>
      <c r="B4999" s="396" t="s">
        <v>9601</v>
      </c>
      <c r="C4999" s="396" t="s">
        <v>9102</v>
      </c>
      <c r="D4999" s="396" t="s">
        <v>9569</v>
      </c>
      <c r="E4999" s="396" t="s">
        <v>9570</v>
      </c>
      <c r="F4999" s="396" t="s">
        <v>9383</v>
      </c>
    </row>
    <row r="5000">
      <c r="A5000" s="311">
        <v>4999</v>
      </c>
      <c r="B5000" s="396" t="s">
        <v>9602</v>
      </c>
      <c r="C5000" s="396" t="s">
        <v>9603</v>
      </c>
      <c r="D5000" s="396" t="s">
        <v>9569</v>
      </c>
      <c r="E5000" s="396" t="s">
        <v>9570</v>
      </c>
      <c r="F5000" s="396" t="s">
        <v>9383</v>
      </c>
    </row>
    <row r="5001">
      <c r="A5001" s="311">
        <v>5000</v>
      </c>
      <c r="B5001" s="396" t="s">
        <v>9604</v>
      </c>
      <c r="C5001" s="396" t="s">
        <v>9605</v>
      </c>
      <c r="D5001" s="396" t="s">
        <v>9569</v>
      </c>
      <c r="E5001" s="396" t="s">
        <v>9570</v>
      </c>
      <c r="F5001" s="396" t="s">
        <v>9383</v>
      </c>
    </row>
    <row r="5002">
      <c r="A5002" s="311">
        <v>5001</v>
      </c>
      <c r="B5002" s="396" t="s">
        <v>9606</v>
      </c>
      <c r="C5002" s="396" t="s">
        <v>9607</v>
      </c>
      <c r="D5002" s="396" t="s">
        <v>9569</v>
      </c>
      <c r="E5002" s="396" t="s">
        <v>9570</v>
      </c>
      <c r="F5002" s="396" t="s">
        <v>9383</v>
      </c>
    </row>
    <row r="5003">
      <c r="A5003" s="311">
        <v>5002</v>
      </c>
      <c r="B5003" s="396" t="s">
        <v>9608</v>
      </c>
      <c r="C5003" s="396" t="s">
        <v>7304</v>
      </c>
      <c r="D5003" s="396" t="s">
        <v>9569</v>
      </c>
      <c r="E5003" s="396" t="s">
        <v>9570</v>
      </c>
      <c r="F5003" s="396" t="s">
        <v>9383</v>
      </c>
    </row>
    <row r="5004">
      <c r="A5004" s="311">
        <v>5003</v>
      </c>
      <c r="B5004" s="396" t="s">
        <v>9609</v>
      </c>
      <c r="C5004" s="396" t="s">
        <v>9610</v>
      </c>
      <c r="D5004" s="396" t="s">
        <v>9569</v>
      </c>
      <c r="E5004" s="396" t="s">
        <v>9570</v>
      </c>
      <c r="F5004" s="396" t="s">
        <v>9383</v>
      </c>
    </row>
    <row r="5005">
      <c r="A5005" s="311">
        <v>5004</v>
      </c>
      <c r="B5005" s="396" t="s">
        <v>9611</v>
      </c>
      <c r="C5005" s="396" t="s">
        <v>9612</v>
      </c>
      <c r="D5005" s="396" t="s">
        <v>9569</v>
      </c>
      <c r="E5005" s="396" t="s">
        <v>9570</v>
      </c>
      <c r="F5005" s="396" t="s">
        <v>9383</v>
      </c>
    </row>
    <row r="5006">
      <c r="A5006" s="311">
        <v>5005</v>
      </c>
      <c r="B5006" s="396" t="s">
        <v>9613</v>
      </c>
      <c r="C5006" s="396" t="s">
        <v>9614</v>
      </c>
      <c r="D5006" s="396" t="s">
        <v>9569</v>
      </c>
      <c r="E5006" s="396" t="s">
        <v>9570</v>
      </c>
      <c r="F5006" s="396" t="s">
        <v>9383</v>
      </c>
    </row>
    <row r="5007">
      <c r="A5007" s="311">
        <v>5006</v>
      </c>
      <c r="B5007" s="396" t="s">
        <v>9615</v>
      </c>
      <c r="C5007" s="396" t="s">
        <v>9616</v>
      </c>
      <c r="D5007" s="396" t="s">
        <v>9569</v>
      </c>
      <c r="E5007" s="396" t="s">
        <v>9570</v>
      </c>
      <c r="F5007" s="396" t="s">
        <v>9383</v>
      </c>
    </row>
    <row r="5008">
      <c r="A5008" s="311">
        <v>5007</v>
      </c>
      <c r="B5008" s="396" t="s">
        <v>9617</v>
      </c>
      <c r="C5008" s="396" t="s">
        <v>9618</v>
      </c>
      <c r="D5008" s="396" t="s">
        <v>9569</v>
      </c>
      <c r="E5008" s="396" t="s">
        <v>9570</v>
      </c>
      <c r="F5008" s="396" t="s">
        <v>9383</v>
      </c>
    </row>
    <row r="5009">
      <c r="A5009" s="311">
        <v>5008</v>
      </c>
      <c r="B5009" s="396" t="s">
        <v>9619</v>
      </c>
      <c r="C5009" s="396" t="s">
        <v>9620</v>
      </c>
      <c r="D5009" s="396" t="s">
        <v>9621</v>
      </c>
      <c r="E5009" s="396" t="s">
        <v>9622</v>
      </c>
      <c r="F5009" s="396" t="s">
        <v>9383</v>
      </c>
    </row>
    <row r="5010">
      <c r="A5010" s="311">
        <v>5009</v>
      </c>
      <c r="B5010" s="396" t="s">
        <v>9623</v>
      </c>
      <c r="C5010" s="396" t="s">
        <v>679</v>
      </c>
      <c r="D5010" s="396" t="s">
        <v>9621</v>
      </c>
      <c r="E5010" s="396" t="s">
        <v>9622</v>
      </c>
      <c r="F5010" s="396" t="s">
        <v>9383</v>
      </c>
    </row>
    <row r="5011">
      <c r="A5011" s="311">
        <v>5010</v>
      </c>
      <c r="B5011" s="396" t="s">
        <v>9624</v>
      </c>
      <c r="C5011" s="396" t="s">
        <v>9625</v>
      </c>
      <c r="D5011" s="396" t="s">
        <v>9621</v>
      </c>
      <c r="E5011" s="396" t="s">
        <v>9622</v>
      </c>
      <c r="F5011" s="396" t="s">
        <v>9383</v>
      </c>
    </row>
    <row r="5012">
      <c r="A5012" s="311">
        <v>5011</v>
      </c>
      <c r="B5012" s="396" t="s">
        <v>9626</v>
      </c>
      <c r="C5012" s="396" t="s">
        <v>3877</v>
      </c>
      <c r="D5012" s="396" t="s">
        <v>9621</v>
      </c>
      <c r="E5012" s="396" t="s">
        <v>9622</v>
      </c>
      <c r="F5012" s="396" t="s">
        <v>9383</v>
      </c>
    </row>
    <row r="5013">
      <c r="A5013" s="311">
        <v>5012</v>
      </c>
      <c r="B5013" s="396" t="s">
        <v>9627</v>
      </c>
      <c r="C5013" s="396" t="s">
        <v>9628</v>
      </c>
      <c r="D5013" s="396" t="s">
        <v>9621</v>
      </c>
      <c r="E5013" s="396" t="s">
        <v>9622</v>
      </c>
      <c r="F5013" s="396" t="s">
        <v>9383</v>
      </c>
    </row>
    <row r="5014">
      <c r="A5014" s="311">
        <v>5013</v>
      </c>
      <c r="B5014" s="396" t="s">
        <v>9629</v>
      </c>
      <c r="C5014" s="396" t="s">
        <v>1439</v>
      </c>
      <c r="D5014" s="396" t="s">
        <v>9621</v>
      </c>
      <c r="E5014" s="396" t="s">
        <v>9622</v>
      </c>
      <c r="F5014" s="396" t="s">
        <v>9383</v>
      </c>
    </row>
    <row r="5015">
      <c r="A5015" s="311">
        <v>5014</v>
      </c>
      <c r="B5015" s="396" t="s">
        <v>9630</v>
      </c>
      <c r="C5015" s="396" t="s">
        <v>4227</v>
      </c>
      <c r="D5015" s="396" t="s">
        <v>9621</v>
      </c>
      <c r="E5015" s="396" t="s">
        <v>9622</v>
      </c>
      <c r="F5015" s="396" t="s">
        <v>9383</v>
      </c>
    </row>
    <row r="5016">
      <c r="A5016" s="311">
        <v>5015</v>
      </c>
      <c r="B5016" s="396" t="s">
        <v>9631</v>
      </c>
      <c r="C5016" s="396" t="s">
        <v>3890</v>
      </c>
      <c r="D5016" s="396" t="s">
        <v>9621</v>
      </c>
      <c r="E5016" s="396" t="s">
        <v>9622</v>
      </c>
      <c r="F5016" s="396" t="s">
        <v>9383</v>
      </c>
    </row>
    <row r="5017">
      <c r="A5017" s="311">
        <v>5016</v>
      </c>
      <c r="B5017" s="396" t="s">
        <v>9632</v>
      </c>
      <c r="C5017" s="396" t="s">
        <v>9633</v>
      </c>
      <c r="D5017" s="396" t="s">
        <v>9621</v>
      </c>
      <c r="E5017" s="396" t="s">
        <v>9622</v>
      </c>
      <c r="F5017" s="396" t="s">
        <v>9383</v>
      </c>
    </row>
    <row r="5018">
      <c r="A5018" s="311">
        <v>5017</v>
      </c>
      <c r="B5018" s="396" t="s">
        <v>9634</v>
      </c>
      <c r="C5018" s="396" t="s">
        <v>3751</v>
      </c>
      <c r="D5018" s="396" t="s">
        <v>9621</v>
      </c>
      <c r="E5018" s="396" t="s">
        <v>9622</v>
      </c>
      <c r="F5018" s="396" t="s">
        <v>9383</v>
      </c>
    </row>
    <row r="5019">
      <c r="A5019" s="311">
        <v>5018</v>
      </c>
      <c r="B5019" s="396" t="s">
        <v>9635</v>
      </c>
      <c r="C5019" s="396" t="s">
        <v>1599</v>
      </c>
      <c r="D5019" s="396" t="s">
        <v>9621</v>
      </c>
      <c r="E5019" s="396" t="s">
        <v>9622</v>
      </c>
      <c r="F5019" s="396" t="s">
        <v>9383</v>
      </c>
    </row>
    <row r="5020">
      <c r="A5020" s="311">
        <v>5019</v>
      </c>
      <c r="B5020" s="396" t="s">
        <v>9636</v>
      </c>
      <c r="C5020" s="396" t="s">
        <v>9109</v>
      </c>
      <c r="D5020" s="396" t="s">
        <v>9621</v>
      </c>
      <c r="E5020" s="396" t="s">
        <v>9622</v>
      </c>
      <c r="F5020" s="396" t="s">
        <v>9383</v>
      </c>
    </row>
    <row r="5021">
      <c r="A5021" s="311">
        <v>5020</v>
      </c>
      <c r="B5021" s="396" t="s">
        <v>9637</v>
      </c>
      <c r="C5021" s="396" t="s">
        <v>470</v>
      </c>
      <c r="D5021" s="396" t="s">
        <v>9621</v>
      </c>
      <c r="E5021" s="396" t="s">
        <v>9622</v>
      </c>
      <c r="F5021" s="396" t="s">
        <v>9383</v>
      </c>
    </row>
    <row r="5022">
      <c r="A5022" s="311">
        <v>5021</v>
      </c>
      <c r="B5022" s="396" t="s">
        <v>9638</v>
      </c>
      <c r="C5022" s="396" t="s">
        <v>9639</v>
      </c>
      <c r="D5022" s="396" t="s">
        <v>9621</v>
      </c>
      <c r="E5022" s="396" t="s">
        <v>9622</v>
      </c>
      <c r="F5022" s="396" t="s">
        <v>9383</v>
      </c>
    </row>
    <row r="5023">
      <c r="A5023" s="311">
        <v>5022</v>
      </c>
      <c r="B5023" s="396" t="s">
        <v>9640</v>
      </c>
      <c r="C5023" s="396" t="s">
        <v>6787</v>
      </c>
      <c r="D5023" s="396" t="s">
        <v>9621</v>
      </c>
      <c r="E5023" s="396" t="s">
        <v>9622</v>
      </c>
      <c r="F5023" s="396" t="s">
        <v>9383</v>
      </c>
    </row>
    <row r="5024">
      <c r="A5024" s="311">
        <v>5023</v>
      </c>
      <c r="B5024" s="396" t="s">
        <v>9641</v>
      </c>
      <c r="C5024" s="396" t="s">
        <v>3941</v>
      </c>
      <c r="D5024" s="396" t="s">
        <v>9621</v>
      </c>
      <c r="E5024" s="396" t="s">
        <v>9622</v>
      </c>
      <c r="F5024" s="396" t="s">
        <v>9383</v>
      </c>
    </row>
    <row r="5025">
      <c r="A5025" s="311">
        <v>5024</v>
      </c>
      <c r="B5025" s="396" t="s">
        <v>9642</v>
      </c>
      <c r="C5025" s="396" t="s">
        <v>2409</v>
      </c>
      <c r="D5025" s="396" t="s">
        <v>9621</v>
      </c>
      <c r="E5025" s="396" t="s">
        <v>9622</v>
      </c>
      <c r="F5025" s="396" t="s">
        <v>9383</v>
      </c>
    </row>
    <row r="5026">
      <c r="A5026" s="311">
        <v>5025</v>
      </c>
      <c r="B5026" s="396" t="s">
        <v>9643</v>
      </c>
      <c r="C5026" s="396" t="s">
        <v>9644</v>
      </c>
      <c r="D5026" s="396" t="s">
        <v>9645</v>
      </c>
      <c r="E5026" s="396" t="s">
        <v>9646</v>
      </c>
      <c r="F5026" s="396" t="s">
        <v>9647</v>
      </c>
    </row>
    <row r="5027">
      <c r="A5027" s="311">
        <v>5026</v>
      </c>
      <c r="B5027" s="396" t="s">
        <v>9648</v>
      </c>
      <c r="C5027" s="396" t="s">
        <v>9649</v>
      </c>
      <c r="D5027" s="396" t="s">
        <v>9645</v>
      </c>
      <c r="E5027" s="396" t="s">
        <v>9646</v>
      </c>
      <c r="F5027" s="396" t="s">
        <v>9647</v>
      </c>
    </row>
    <row r="5028">
      <c r="A5028" s="311">
        <v>5027</v>
      </c>
      <c r="B5028" s="396" t="s">
        <v>9650</v>
      </c>
      <c r="C5028" s="396" t="s">
        <v>9651</v>
      </c>
      <c r="D5028" s="396" t="s">
        <v>9645</v>
      </c>
      <c r="E5028" s="396" t="s">
        <v>9646</v>
      </c>
      <c r="F5028" s="396" t="s">
        <v>9647</v>
      </c>
    </row>
    <row r="5029">
      <c r="A5029" s="311">
        <v>5028</v>
      </c>
      <c r="B5029" s="396" t="s">
        <v>9652</v>
      </c>
      <c r="C5029" s="396" t="s">
        <v>8989</v>
      </c>
      <c r="D5029" s="396" t="s">
        <v>9645</v>
      </c>
      <c r="E5029" s="396" t="s">
        <v>9646</v>
      </c>
      <c r="F5029" s="396" t="s">
        <v>9647</v>
      </c>
    </row>
    <row r="5030">
      <c r="A5030" s="311">
        <v>5029</v>
      </c>
      <c r="B5030" s="396" t="s">
        <v>9653</v>
      </c>
      <c r="C5030" s="396" t="s">
        <v>26</v>
      </c>
      <c r="D5030" s="396" t="s">
        <v>9645</v>
      </c>
      <c r="E5030" s="396" t="s">
        <v>9646</v>
      </c>
      <c r="F5030" s="396" t="s">
        <v>9647</v>
      </c>
    </row>
    <row r="5031">
      <c r="A5031" s="311">
        <v>5030</v>
      </c>
      <c r="B5031" s="396" t="s">
        <v>9654</v>
      </c>
      <c r="C5031" s="396" t="s">
        <v>9655</v>
      </c>
      <c r="D5031" s="396" t="s">
        <v>9645</v>
      </c>
      <c r="E5031" s="396" t="s">
        <v>9646</v>
      </c>
      <c r="F5031" s="396" t="s">
        <v>9647</v>
      </c>
    </row>
    <row r="5032">
      <c r="A5032" s="311">
        <v>5031</v>
      </c>
      <c r="B5032" s="396" t="s">
        <v>9656</v>
      </c>
      <c r="C5032" s="396" t="s">
        <v>7651</v>
      </c>
      <c r="D5032" s="396" t="s">
        <v>9645</v>
      </c>
      <c r="E5032" s="396" t="s">
        <v>9646</v>
      </c>
      <c r="F5032" s="396" t="s">
        <v>9647</v>
      </c>
    </row>
    <row r="5033">
      <c r="A5033" s="311">
        <v>5032</v>
      </c>
      <c r="B5033" s="396" t="s">
        <v>9657</v>
      </c>
      <c r="C5033" s="396" t="s">
        <v>9658</v>
      </c>
      <c r="D5033" s="396" t="s">
        <v>9645</v>
      </c>
      <c r="E5033" s="396" t="s">
        <v>9646</v>
      </c>
      <c r="F5033" s="396" t="s">
        <v>9647</v>
      </c>
    </row>
    <row r="5034">
      <c r="A5034" s="311">
        <v>5033</v>
      </c>
      <c r="B5034" s="396" t="s">
        <v>9659</v>
      </c>
      <c r="C5034" s="396" t="s">
        <v>9660</v>
      </c>
      <c r="D5034" s="396" t="s">
        <v>9645</v>
      </c>
      <c r="E5034" s="396" t="s">
        <v>9646</v>
      </c>
      <c r="F5034" s="396" t="s">
        <v>9647</v>
      </c>
    </row>
    <row r="5035">
      <c r="A5035" s="311">
        <v>5034</v>
      </c>
      <c r="B5035" s="396" t="s">
        <v>9661</v>
      </c>
      <c r="C5035" s="396" t="s">
        <v>9662</v>
      </c>
      <c r="D5035" s="396" t="s">
        <v>9645</v>
      </c>
      <c r="E5035" s="396" t="s">
        <v>9646</v>
      </c>
      <c r="F5035" s="396" t="s">
        <v>9647</v>
      </c>
    </row>
    <row r="5036">
      <c r="A5036" s="311">
        <v>5035</v>
      </c>
      <c r="B5036" s="396" t="s">
        <v>9663</v>
      </c>
      <c r="C5036" s="396" t="s">
        <v>9664</v>
      </c>
      <c r="D5036" s="396" t="s">
        <v>9645</v>
      </c>
      <c r="E5036" s="396" t="s">
        <v>9646</v>
      </c>
      <c r="F5036" s="396" t="s">
        <v>9647</v>
      </c>
    </row>
    <row r="5037">
      <c r="A5037" s="311">
        <v>5036</v>
      </c>
      <c r="B5037" s="396" t="s">
        <v>9665</v>
      </c>
      <c r="C5037" s="396" t="s">
        <v>9666</v>
      </c>
      <c r="D5037" s="396" t="s">
        <v>9645</v>
      </c>
      <c r="E5037" s="396" t="s">
        <v>9646</v>
      </c>
      <c r="F5037" s="396" t="s">
        <v>9647</v>
      </c>
    </row>
    <row r="5038">
      <c r="A5038" s="311">
        <v>5037</v>
      </c>
      <c r="B5038" s="396" t="s">
        <v>9667</v>
      </c>
      <c r="C5038" s="396" t="s">
        <v>9668</v>
      </c>
      <c r="D5038" s="396" t="s">
        <v>9645</v>
      </c>
      <c r="E5038" s="396" t="s">
        <v>9646</v>
      </c>
      <c r="F5038" s="396" t="s">
        <v>9647</v>
      </c>
    </row>
    <row r="5039">
      <c r="A5039" s="311">
        <v>5038</v>
      </c>
      <c r="B5039" s="396" t="s">
        <v>9669</v>
      </c>
      <c r="C5039" s="396" t="s">
        <v>9670</v>
      </c>
      <c r="D5039" s="396" t="s">
        <v>9645</v>
      </c>
      <c r="E5039" s="396" t="s">
        <v>9646</v>
      </c>
      <c r="F5039" s="396" t="s">
        <v>9647</v>
      </c>
    </row>
    <row r="5040">
      <c r="A5040" s="311">
        <v>5039</v>
      </c>
      <c r="B5040" s="396" t="s">
        <v>9671</v>
      </c>
      <c r="C5040" s="396" t="s">
        <v>7664</v>
      </c>
      <c r="D5040" s="396" t="s">
        <v>9645</v>
      </c>
      <c r="E5040" s="396" t="s">
        <v>9646</v>
      </c>
      <c r="F5040" s="396" t="s">
        <v>9647</v>
      </c>
    </row>
    <row r="5041">
      <c r="A5041" s="311">
        <v>5040</v>
      </c>
      <c r="B5041" s="396" t="s">
        <v>9672</v>
      </c>
      <c r="C5041" s="396" t="s">
        <v>9673</v>
      </c>
      <c r="D5041" s="396" t="s">
        <v>9645</v>
      </c>
      <c r="E5041" s="396" t="s">
        <v>9646</v>
      </c>
      <c r="F5041" s="396" t="s">
        <v>9647</v>
      </c>
    </row>
    <row r="5042">
      <c r="A5042" s="311">
        <v>5041</v>
      </c>
      <c r="B5042" s="396" t="s">
        <v>9674</v>
      </c>
      <c r="C5042" s="396" t="s">
        <v>9675</v>
      </c>
      <c r="D5042" s="396" t="s">
        <v>9645</v>
      </c>
      <c r="E5042" s="396" t="s">
        <v>9646</v>
      </c>
      <c r="F5042" s="396" t="s">
        <v>9647</v>
      </c>
    </row>
    <row r="5043">
      <c r="A5043" s="311">
        <v>5042</v>
      </c>
      <c r="B5043" s="396" t="s">
        <v>9676</v>
      </c>
      <c r="C5043" s="396" t="s">
        <v>9677</v>
      </c>
      <c r="D5043" s="396" t="s">
        <v>9645</v>
      </c>
      <c r="E5043" s="396" t="s">
        <v>9646</v>
      </c>
      <c r="F5043" s="396" t="s">
        <v>9647</v>
      </c>
    </row>
    <row r="5044">
      <c r="A5044" s="311">
        <v>5043</v>
      </c>
      <c r="B5044" s="396" t="s">
        <v>9678</v>
      </c>
      <c r="C5044" s="396" t="s">
        <v>9679</v>
      </c>
      <c r="D5044" s="396" t="s">
        <v>9645</v>
      </c>
      <c r="E5044" s="396" t="s">
        <v>9646</v>
      </c>
      <c r="F5044" s="396" t="s">
        <v>9647</v>
      </c>
    </row>
    <row r="5045">
      <c r="A5045" s="311">
        <v>5044</v>
      </c>
      <c r="B5045" s="396" t="s">
        <v>9680</v>
      </c>
      <c r="C5045" s="396" t="s">
        <v>9681</v>
      </c>
      <c r="D5045" s="396" t="s">
        <v>9645</v>
      </c>
      <c r="E5045" s="396" t="s">
        <v>9646</v>
      </c>
      <c r="F5045" s="396" t="s">
        <v>9647</v>
      </c>
    </row>
    <row r="5046">
      <c r="A5046" s="311">
        <v>5045</v>
      </c>
      <c r="B5046" s="396" t="s">
        <v>9682</v>
      </c>
      <c r="C5046" s="396" t="s">
        <v>9683</v>
      </c>
      <c r="D5046" s="396" t="s">
        <v>9645</v>
      </c>
      <c r="E5046" s="396" t="s">
        <v>9646</v>
      </c>
      <c r="F5046" s="396" t="s">
        <v>9647</v>
      </c>
    </row>
    <row r="5047">
      <c r="A5047" s="311">
        <v>5046</v>
      </c>
      <c r="B5047" s="396" t="s">
        <v>9684</v>
      </c>
      <c r="C5047" s="396" t="s">
        <v>9685</v>
      </c>
      <c r="D5047" s="396" t="s">
        <v>9645</v>
      </c>
      <c r="E5047" s="396" t="s">
        <v>9646</v>
      </c>
      <c r="F5047" s="396" t="s">
        <v>9647</v>
      </c>
    </row>
    <row r="5048">
      <c r="A5048" s="311">
        <v>5047</v>
      </c>
      <c r="B5048" s="396" t="s">
        <v>9686</v>
      </c>
      <c r="C5048" s="396" t="s">
        <v>9687</v>
      </c>
      <c r="D5048" s="396" t="s">
        <v>9645</v>
      </c>
      <c r="E5048" s="396" t="s">
        <v>9646</v>
      </c>
      <c r="F5048" s="396" t="s">
        <v>9647</v>
      </c>
    </row>
    <row r="5049">
      <c r="A5049" s="311">
        <v>5048</v>
      </c>
      <c r="B5049" s="396" t="s">
        <v>9688</v>
      </c>
      <c r="C5049" s="396" t="s">
        <v>9689</v>
      </c>
      <c r="D5049" s="396" t="s">
        <v>9645</v>
      </c>
      <c r="E5049" s="396" t="s">
        <v>9646</v>
      </c>
      <c r="F5049" s="396" t="s">
        <v>9647</v>
      </c>
    </row>
    <row r="5050">
      <c r="A5050" s="311">
        <v>5049</v>
      </c>
      <c r="B5050" s="396" t="s">
        <v>9690</v>
      </c>
      <c r="C5050" s="396" t="s">
        <v>9691</v>
      </c>
      <c r="D5050" s="396" t="s">
        <v>9645</v>
      </c>
      <c r="E5050" s="396" t="s">
        <v>9646</v>
      </c>
      <c r="F5050" s="396" t="s">
        <v>9647</v>
      </c>
    </row>
    <row r="5051">
      <c r="A5051" s="311">
        <v>5050</v>
      </c>
      <c r="B5051" s="396" t="s">
        <v>9692</v>
      </c>
      <c r="C5051" s="396" t="s">
        <v>9693</v>
      </c>
      <c r="D5051" s="396" t="s">
        <v>9645</v>
      </c>
      <c r="E5051" s="396" t="s">
        <v>9646</v>
      </c>
      <c r="F5051" s="396" t="s">
        <v>9647</v>
      </c>
    </row>
    <row r="5052">
      <c r="A5052" s="311">
        <v>5051</v>
      </c>
      <c r="B5052" s="396" t="s">
        <v>9694</v>
      </c>
      <c r="C5052" s="396" t="s">
        <v>9695</v>
      </c>
      <c r="D5052" s="396" t="s">
        <v>9645</v>
      </c>
      <c r="E5052" s="396" t="s">
        <v>9646</v>
      </c>
      <c r="F5052" s="396" t="s">
        <v>9647</v>
      </c>
    </row>
    <row r="5053">
      <c r="A5053" s="311">
        <v>5052</v>
      </c>
      <c r="B5053" s="396" t="s">
        <v>9696</v>
      </c>
      <c r="C5053" s="396" t="s">
        <v>9697</v>
      </c>
      <c r="D5053" s="396" t="s">
        <v>9645</v>
      </c>
      <c r="E5053" s="396" t="s">
        <v>9646</v>
      </c>
      <c r="F5053" s="396" t="s">
        <v>9647</v>
      </c>
    </row>
    <row r="5054">
      <c r="A5054" s="311">
        <v>5053</v>
      </c>
      <c r="B5054" s="396" t="s">
        <v>9698</v>
      </c>
      <c r="C5054" s="396" t="s">
        <v>6289</v>
      </c>
      <c r="D5054" s="396" t="s">
        <v>9645</v>
      </c>
      <c r="E5054" s="396" t="s">
        <v>9646</v>
      </c>
      <c r="F5054" s="396" t="s">
        <v>9647</v>
      </c>
    </row>
    <row r="5055">
      <c r="A5055" s="311">
        <v>5054</v>
      </c>
      <c r="B5055" s="396" t="s">
        <v>9699</v>
      </c>
      <c r="C5055" s="396" t="s">
        <v>8476</v>
      </c>
      <c r="D5055" s="396" t="s">
        <v>9645</v>
      </c>
      <c r="E5055" s="396" t="s">
        <v>9646</v>
      </c>
      <c r="F5055" s="396" t="s">
        <v>9647</v>
      </c>
    </row>
    <row r="5056">
      <c r="A5056" s="311">
        <v>5055</v>
      </c>
      <c r="B5056" s="396" t="s">
        <v>9700</v>
      </c>
      <c r="C5056" s="396" t="s">
        <v>8474</v>
      </c>
      <c r="D5056" s="396" t="s">
        <v>9645</v>
      </c>
      <c r="E5056" s="396" t="s">
        <v>9646</v>
      </c>
      <c r="F5056" s="396" t="s">
        <v>9647</v>
      </c>
    </row>
    <row r="5057">
      <c r="A5057" s="311">
        <v>5056</v>
      </c>
      <c r="B5057" s="396" t="s">
        <v>9701</v>
      </c>
      <c r="C5057" s="396" t="s">
        <v>5839</v>
      </c>
      <c r="D5057" s="396" t="s">
        <v>9645</v>
      </c>
      <c r="E5057" s="396" t="s">
        <v>9646</v>
      </c>
      <c r="F5057" s="396" t="s">
        <v>9647</v>
      </c>
    </row>
    <row r="5058">
      <c r="A5058" s="311">
        <v>5057</v>
      </c>
      <c r="B5058" s="396" t="s">
        <v>9702</v>
      </c>
      <c r="C5058" s="396" t="s">
        <v>5517</v>
      </c>
      <c r="D5058" s="396" t="s">
        <v>9645</v>
      </c>
      <c r="E5058" s="396" t="s">
        <v>9646</v>
      </c>
      <c r="F5058" s="396" t="s">
        <v>9647</v>
      </c>
    </row>
    <row r="5059">
      <c r="A5059" s="311">
        <v>5058</v>
      </c>
      <c r="B5059" s="396" t="s">
        <v>9703</v>
      </c>
      <c r="C5059" s="396" t="s">
        <v>9704</v>
      </c>
      <c r="D5059" s="396" t="s">
        <v>9645</v>
      </c>
      <c r="E5059" s="396" t="s">
        <v>9646</v>
      </c>
      <c r="F5059" s="396" t="s">
        <v>9647</v>
      </c>
    </row>
    <row r="5060">
      <c r="A5060" s="311">
        <v>5059</v>
      </c>
      <c r="B5060" s="396" t="s">
        <v>9705</v>
      </c>
      <c r="C5060" s="396" t="s">
        <v>9706</v>
      </c>
      <c r="D5060" s="396" t="s">
        <v>9645</v>
      </c>
      <c r="E5060" s="396" t="s">
        <v>9646</v>
      </c>
      <c r="F5060" s="396" t="s">
        <v>9647</v>
      </c>
    </row>
    <row r="5061">
      <c r="A5061" s="311">
        <v>5060</v>
      </c>
      <c r="B5061" s="396" t="s">
        <v>9707</v>
      </c>
      <c r="C5061" s="396" t="s">
        <v>7118</v>
      </c>
      <c r="D5061" s="396" t="s">
        <v>9645</v>
      </c>
      <c r="E5061" s="396" t="s">
        <v>9646</v>
      </c>
      <c r="F5061" s="396" t="s">
        <v>9647</v>
      </c>
    </row>
    <row r="5062">
      <c r="A5062" s="311">
        <v>5061</v>
      </c>
      <c r="B5062" s="396" t="s">
        <v>9708</v>
      </c>
      <c r="C5062" s="396" t="s">
        <v>9709</v>
      </c>
      <c r="D5062" s="396" t="s">
        <v>9645</v>
      </c>
      <c r="E5062" s="396" t="s">
        <v>9646</v>
      </c>
      <c r="F5062" s="396" t="s">
        <v>9647</v>
      </c>
    </row>
    <row r="5063">
      <c r="A5063" s="311">
        <v>5062</v>
      </c>
      <c r="B5063" s="396" t="s">
        <v>9710</v>
      </c>
      <c r="C5063" s="396" t="s">
        <v>4843</v>
      </c>
      <c r="D5063" s="396" t="s">
        <v>9711</v>
      </c>
      <c r="E5063" s="396" t="s">
        <v>9712</v>
      </c>
      <c r="F5063" s="396" t="s">
        <v>9647</v>
      </c>
    </row>
    <row r="5064">
      <c r="A5064" s="311">
        <v>5063</v>
      </c>
      <c r="B5064" s="396" t="s">
        <v>9713</v>
      </c>
      <c r="C5064" s="396" t="s">
        <v>9658</v>
      </c>
      <c r="D5064" s="396" t="s">
        <v>9711</v>
      </c>
      <c r="E5064" s="396" t="s">
        <v>9712</v>
      </c>
      <c r="F5064" s="396" t="s">
        <v>9647</v>
      </c>
    </row>
    <row r="5065">
      <c r="A5065" s="311">
        <v>5064</v>
      </c>
      <c r="B5065" s="396" t="s">
        <v>9714</v>
      </c>
      <c r="C5065" s="396" t="s">
        <v>7651</v>
      </c>
      <c r="D5065" s="396" t="s">
        <v>9711</v>
      </c>
      <c r="E5065" s="396" t="s">
        <v>9712</v>
      </c>
      <c r="F5065" s="396" t="s">
        <v>9647</v>
      </c>
    </row>
    <row r="5066">
      <c r="A5066" s="311">
        <v>5065</v>
      </c>
      <c r="B5066" s="396" t="s">
        <v>9715</v>
      </c>
      <c r="C5066" s="396" t="s">
        <v>9660</v>
      </c>
      <c r="D5066" s="396" t="s">
        <v>9711</v>
      </c>
      <c r="E5066" s="396" t="s">
        <v>9712</v>
      </c>
      <c r="F5066" s="396" t="s">
        <v>9647</v>
      </c>
    </row>
    <row r="5067">
      <c r="A5067" s="311">
        <v>5066</v>
      </c>
      <c r="B5067" s="396" t="s">
        <v>9716</v>
      </c>
      <c r="C5067" s="396" t="s">
        <v>9664</v>
      </c>
      <c r="D5067" s="396" t="s">
        <v>9711</v>
      </c>
      <c r="E5067" s="396" t="s">
        <v>9712</v>
      </c>
      <c r="F5067" s="396" t="s">
        <v>9647</v>
      </c>
    </row>
    <row r="5068">
      <c r="A5068" s="311">
        <v>5067</v>
      </c>
      <c r="B5068" s="396" t="s">
        <v>9717</v>
      </c>
      <c r="C5068" s="396" t="s">
        <v>9655</v>
      </c>
      <c r="D5068" s="396" t="s">
        <v>9711</v>
      </c>
      <c r="E5068" s="396" t="s">
        <v>9712</v>
      </c>
      <c r="F5068" s="396" t="s">
        <v>9647</v>
      </c>
    </row>
    <row r="5069">
      <c r="A5069" s="311">
        <v>5068</v>
      </c>
      <c r="B5069" s="396" t="s">
        <v>9718</v>
      </c>
      <c r="C5069" s="396" t="s">
        <v>1086</v>
      </c>
      <c r="D5069" s="396" t="s">
        <v>9711</v>
      </c>
      <c r="E5069" s="396" t="s">
        <v>9712</v>
      </c>
      <c r="F5069" s="396" t="s">
        <v>9647</v>
      </c>
    </row>
    <row r="5070">
      <c r="A5070" s="311">
        <v>5069</v>
      </c>
      <c r="B5070" s="396" t="s">
        <v>9719</v>
      </c>
      <c r="C5070" s="396" t="s">
        <v>9720</v>
      </c>
      <c r="D5070" s="396" t="s">
        <v>9711</v>
      </c>
      <c r="E5070" s="396" t="s">
        <v>9712</v>
      </c>
      <c r="F5070" s="396" t="s">
        <v>9647</v>
      </c>
    </row>
    <row r="5071">
      <c r="A5071" s="311">
        <v>5070</v>
      </c>
      <c r="B5071" s="396" t="s">
        <v>9721</v>
      </c>
      <c r="C5071" s="396" t="s">
        <v>9412</v>
      </c>
      <c r="D5071" s="396" t="s">
        <v>9722</v>
      </c>
      <c r="E5071" s="396" t="s">
        <v>9723</v>
      </c>
      <c r="F5071" s="396" t="s">
        <v>9647</v>
      </c>
    </row>
    <row r="5072">
      <c r="A5072" s="311">
        <v>5071</v>
      </c>
      <c r="B5072" s="396" t="s">
        <v>9724</v>
      </c>
      <c r="C5072" s="396" t="s">
        <v>4843</v>
      </c>
      <c r="D5072" s="396" t="s">
        <v>9722</v>
      </c>
      <c r="E5072" s="396" t="s">
        <v>9723</v>
      </c>
      <c r="F5072" s="396" t="s">
        <v>9647</v>
      </c>
    </row>
    <row r="5073">
      <c r="A5073" s="311">
        <v>5072</v>
      </c>
      <c r="B5073" s="396" t="s">
        <v>9725</v>
      </c>
      <c r="C5073" s="396" t="s">
        <v>9726</v>
      </c>
      <c r="D5073" s="396" t="s">
        <v>9722</v>
      </c>
      <c r="E5073" s="396" t="s">
        <v>9723</v>
      </c>
      <c r="F5073" s="396" t="s">
        <v>9647</v>
      </c>
    </row>
    <row r="5074">
      <c r="A5074" s="311">
        <v>5073</v>
      </c>
      <c r="B5074" s="396" t="s">
        <v>9727</v>
      </c>
      <c r="C5074" s="396" t="s">
        <v>9728</v>
      </c>
      <c r="D5074" s="396" t="s">
        <v>9722</v>
      </c>
      <c r="E5074" s="396" t="s">
        <v>9723</v>
      </c>
      <c r="F5074" s="396" t="s">
        <v>9647</v>
      </c>
    </row>
    <row r="5075">
      <c r="A5075" s="311">
        <v>5074</v>
      </c>
      <c r="B5075" s="396" t="s">
        <v>9729</v>
      </c>
      <c r="C5075" s="396" t="s">
        <v>9730</v>
      </c>
      <c r="D5075" s="396" t="s">
        <v>9722</v>
      </c>
      <c r="E5075" s="396" t="s">
        <v>9723</v>
      </c>
      <c r="F5075" s="396" t="s">
        <v>9647</v>
      </c>
    </row>
    <row r="5076">
      <c r="A5076" s="311">
        <v>5075</v>
      </c>
      <c r="B5076" s="396" t="s">
        <v>9731</v>
      </c>
      <c r="C5076" s="396" t="s">
        <v>5519</v>
      </c>
      <c r="D5076" s="396" t="s">
        <v>9722</v>
      </c>
      <c r="E5076" s="396" t="s">
        <v>9723</v>
      </c>
      <c r="F5076" s="396" t="s">
        <v>9647</v>
      </c>
    </row>
    <row r="5077">
      <c r="A5077" s="311">
        <v>5076</v>
      </c>
      <c r="B5077" s="396" t="s">
        <v>9732</v>
      </c>
      <c r="C5077" s="396" t="s">
        <v>9733</v>
      </c>
      <c r="D5077" s="396" t="s">
        <v>9722</v>
      </c>
      <c r="E5077" s="396" t="s">
        <v>9723</v>
      </c>
      <c r="F5077" s="396" t="s">
        <v>9647</v>
      </c>
    </row>
    <row r="5078">
      <c r="A5078" s="311">
        <v>5077</v>
      </c>
      <c r="B5078" s="396" t="s">
        <v>9734</v>
      </c>
      <c r="C5078" s="396" t="s">
        <v>9735</v>
      </c>
      <c r="D5078" s="396" t="s">
        <v>9722</v>
      </c>
      <c r="E5078" s="396" t="s">
        <v>9723</v>
      </c>
      <c r="F5078" s="396" t="s">
        <v>9647</v>
      </c>
    </row>
    <row r="5079">
      <c r="A5079" s="311">
        <v>5078</v>
      </c>
      <c r="B5079" s="396" t="s">
        <v>9736</v>
      </c>
      <c r="C5079" s="396" t="s">
        <v>9737</v>
      </c>
      <c r="D5079" s="396" t="s">
        <v>9722</v>
      </c>
      <c r="E5079" s="396" t="s">
        <v>9723</v>
      </c>
      <c r="F5079" s="396" t="s">
        <v>9647</v>
      </c>
    </row>
    <row r="5080">
      <c r="A5080" s="311">
        <v>5079</v>
      </c>
      <c r="B5080" s="396" t="s">
        <v>9738</v>
      </c>
      <c r="C5080" s="396" t="s">
        <v>9739</v>
      </c>
      <c r="D5080" s="396" t="s">
        <v>9722</v>
      </c>
      <c r="E5080" s="396" t="s">
        <v>9723</v>
      </c>
      <c r="F5080" s="396" t="s">
        <v>9647</v>
      </c>
    </row>
    <row r="5081">
      <c r="A5081" s="311">
        <v>5080</v>
      </c>
      <c r="B5081" s="396" t="s">
        <v>9740</v>
      </c>
      <c r="C5081" s="396" t="s">
        <v>9741</v>
      </c>
      <c r="D5081" s="396" t="s">
        <v>9722</v>
      </c>
      <c r="E5081" s="396" t="s">
        <v>9723</v>
      </c>
      <c r="F5081" s="396" t="s">
        <v>9647</v>
      </c>
    </row>
    <row r="5082">
      <c r="A5082" s="311">
        <v>5081</v>
      </c>
      <c r="B5082" s="396" t="s">
        <v>9742</v>
      </c>
      <c r="C5082" s="396" t="s">
        <v>9743</v>
      </c>
      <c r="D5082" s="396" t="s">
        <v>9744</v>
      </c>
      <c r="E5082" s="396" t="s">
        <v>9745</v>
      </c>
      <c r="F5082" s="396" t="s">
        <v>9647</v>
      </c>
    </row>
    <row r="5083">
      <c r="A5083" s="311">
        <v>5082</v>
      </c>
      <c r="B5083" s="396" t="s">
        <v>9746</v>
      </c>
      <c r="C5083" s="396" t="s">
        <v>9747</v>
      </c>
      <c r="D5083" s="396" t="s">
        <v>9744</v>
      </c>
      <c r="E5083" s="396" t="s">
        <v>9745</v>
      </c>
      <c r="F5083" s="396" t="s">
        <v>9647</v>
      </c>
    </row>
    <row r="5084">
      <c r="A5084" s="311">
        <v>5083</v>
      </c>
      <c r="B5084" s="396" t="s">
        <v>9748</v>
      </c>
      <c r="C5084" s="396" t="s">
        <v>9749</v>
      </c>
      <c r="D5084" s="396" t="s">
        <v>9744</v>
      </c>
      <c r="E5084" s="396" t="s">
        <v>9745</v>
      </c>
      <c r="F5084" s="396" t="s">
        <v>9647</v>
      </c>
    </row>
    <row r="5085">
      <c r="A5085" s="311">
        <v>5084</v>
      </c>
      <c r="B5085" s="396" t="s">
        <v>9750</v>
      </c>
      <c r="C5085" s="396" t="s">
        <v>9751</v>
      </c>
      <c r="D5085" s="396" t="s">
        <v>9744</v>
      </c>
      <c r="E5085" s="396" t="s">
        <v>9745</v>
      </c>
      <c r="F5085" s="396" t="s">
        <v>9647</v>
      </c>
    </row>
    <row r="5086">
      <c r="A5086" s="311">
        <v>5085</v>
      </c>
      <c r="B5086" s="396" t="s">
        <v>9752</v>
      </c>
      <c r="C5086" s="396" t="s">
        <v>9753</v>
      </c>
      <c r="D5086" s="396" t="s">
        <v>9744</v>
      </c>
      <c r="E5086" s="396" t="s">
        <v>9745</v>
      </c>
      <c r="F5086" s="396" t="s">
        <v>9647</v>
      </c>
    </row>
    <row r="5087">
      <c r="A5087" s="311">
        <v>5086</v>
      </c>
      <c r="B5087" s="396" t="s">
        <v>9754</v>
      </c>
      <c r="C5087" s="396" t="s">
        <v>9755</v>
      </c>
      <c r="D5087" s="396" t="s">
        <v>9744</v>
      </c>
      <c r="E5087" s="396" t="s">
        <v>9745</v>
      </c>
      <c r="F5087" s="396" t="s">
        <v>9647</v>
      </c>
    </row>
    <row r="5088">
      <c r="A5088" s="311">
        <v>5087</v>
      </c>
      <c r="B5088" s="396" t="s">
        <v>9756</v>
      </c>
      <c r="C5088" s="396" t="s">
        <v>9757</v>
      </c>
      <c r="D5088" s="396" t="s">
        <v>9744</v>
      </c>
      <c r="E5088" s="396" t="s">
        <v>9745</v>
      </c>
      <c r="F5088" s="396" t="s">
        <v>9647</v>
      </c>
    </row>
    <row r="5089">
      <c r="A5089" s="311">
        <v>5088</v>
      </c>
      <c r="B5089" s="396" t="s">
        <v>9758</v>
      </c>
      <c r="C5089" s="396" t="s">
        <v>9759</v>
      </c>
      <c r="D5089" s="396" t="s">
        <v>9744</v>
      </c>
      <c r="E5089" s="396" t="s">
        <v>9745</v>
      </c>
      <c r="F5089" s="396" t="s">
        <v>9647</v>
      </c>
    </row>
    <row r="5090">
      <c r="A5090" s="311">
        <v>5089</v>
      </c>
      <c r="B5090" s="396" t="s">
        <v>9760</v>
      </c>
      <c r="C5090" s="396" t="s">
        <v>9761</v>
      </c>
      <c r="D5090" s="396" t="s">
        <v>9744</v>
      </c>
      <c r="E5090" s="396" t="s">
        <v>9745</v>
      </c>
      <c r="F5090" s="396" t="s">
        <v>9647</v>
      </c>
    </row>
    <row r="5091">
      <c r="A5091" s="311">
        <v>5090</v>
      </c>
      <c r="B5091" s="396" t="s">
        <v>9762</v>
      </c>
      <c r="C5091" s="396" t="s">
        <v>9763</v>
      </c>
      <c r="D5091" s="396" t="s">
        <v>9764</v>
      </c>
      <c r="E5091" s="396" t="s">
        <v>9765</v>
      </c>
      <c r="F5091" s="396" t="s">
        <v>9647</v>
      </c>
    </row>
    <row r="5092">
      <c r="A5092" s="311">
        <v>5091</v>
      </c>
      <c r="B5092" s="396" t="s">
        <v>9766</v>
      </c>
      <c r="C5092" s="396" t="s">
        <v>9767</v>
      </c>
      <c r="D5092" s="396" t="s">
        <v>9764</v>
      </c>
      <c r="E5092" s="396" t="s">
        <v>9765</v>
      </c>
      <c r="F5092" s="396" t="s">
        <v>9647</v>
      </c>
    </row>
    <row r="5093">
      <c r="A5093" s="311">
        <v>5092</v>
      </c>
      <c r="B5093" s="396" t="s">
        <v>9768</v>
      </c>
      <c r="C5093" s="396" t="s">
        <v>2455</v>
      </c>
      <c r="D5093" s="396" t="s">
        <v>9764</v>
      </c>
      <c r="E5093" s="396" t="s">
        <v>9765</v>
      </c>
      <c r="F5093" s="396" t="s">
        <v>9647</v>
      </c>
    </row>
    <row r="5094">
      <c r="A5094" s="311">
        <v>5093</v>
      </c>
      <c r="B5094" s="396" t="s">
        <v>9769</v>
      </c>
      <c r="C5094" s="396" t="s">
        <v>9770</v>
      </c>
      <c r="D5094" s="396" t="s">
        <v>9764</v>
      </c>
      <c r="E5094" s="396" t="s">
        <v>9765</v>
      </c>
      <c r="F5094" s="396" t="s">
        <v>9647</v>
      </c>
    </row>
    <row r="5095">
      <c r="A5095" s="311">
        <v>5094</v>
      </c>
      <c r="B5095" s="396" t="s">
        <v>9771</v>
      </c>
      <c r="C5095" s="396" t="s">
        <v>1425</v>
      </c>
      <c r="D5095" s="396" t="s">
        <v>9764</v>
      </c>
      <c r="E5095" s="396" t="s">
        <v>9765</v>
      </c>
      <c r="F5095" s="396" t="s">
        <v>9647</v>
      </c>
    </row>
    <row r="5096">
      <c r="A5096" s="311">
        <v>5095</v>
      </c>
      <c r="B5096" s="396" t="s">
        <v>9772</v>
      </c>
      <c r="C5096" s="396" t="s">
        <v>9773</v>
      </c>
      <c r="D5096" s="396" t="s">
        <v>9764</v>
      </c>
      <c r="E5096" s="396" t="s">
        <v>9765</v>
      </c>
      <c r="F5096" s="396" t="s">
        <v>9647</v>
      </c>
    </row>
    <row r="5097">
      <c r="A5097" s="311">
        <v>5096</v>
      </c>
      <c r="B5097" s="396" t="s">
        <v>9774</v>
      </c>
      <c r="C5097" s="396" t="s">
        <v>643</v>
      </c>
      <c r="D5097" s="396" t="s">
        <v>9764</v>
      </c>
      <c r="E5097" s="396" t="s">
        <v>9765</v>
      </c>
      <c r="F5097" s="396" t="s">
        <v>9647</v>
      </c>
    </row>
    <row r="5098">
      <c r="A5098" s="311">
        <v>5097</v>
      </c>
      <c r="B5098" s="396" t="s">
        <v>9775</v>
      </c>
      <c r="C5098" s="396" t="s">
        <v>6770</v>
      </c>
      <c r="D5098" s="396" t="s">
        <v>9764</v>
      </c>
      <c r="E5098" s="396" t="s">
        <v>9765</v>
      </c>
      <c r="F5098" s="396" t="s">
        <v>9647</v>
      </c>
    </row>
    <row r="5099">
      <c r="A5099" s="311">
        <v>5098</v>
      </c>
      <c r="B5099" s="396" t="s">
        <v>9776</v>
      </c>
      <c r="C5099" s="396" t="s">
        <v>322</v>
      </c>
      <c r="D5099" s="396" t="s">
        <v>9764</v>
      </c>
      <c r="E5099" s="396" t="s">
        <v>9765</v>
      </c>
      <c r="F5099" s="396" t="s">
        <v>9647</v>
      </c>
    </row>
    <row r="5100">
      <c r="A5100" s="311">
        <v>5099</v>
      </c>
      <c r="B5100" s="396" t="s">
        <v>9777</v>
      </c>
      <c r="C5100" s="396" t="s">
        <v>9778</v>
      </c>
      <c r="D5100" s="396" t="s">
        <v>9764</v>
      </c>
      <c r="E5100" s="396" t="s">
        <v>9765</v>
      </c>
      <c r="F5100" s="396" t="s">
        <v>9647</v>
      </c>
    </row>
    <row r="5101">
      <c r="A5101" s="311">
        <v>5100</v>
      </c>
      <c r="B5101" s="396" t="s">
        <v>9779</v>
      </c>
      <c r="C5101" s="396" t="s">
        <v>9780</v>
      </c>
      <c r="D5101" s="396" t="s">
        <v>9764</v>
      </c>
      <c r="E5101" s="396" t="s">
        <v>9765</v>
      </c>
      <c r="F5101" s="396" t="s">
        <v>9647</v>
      </c>
    </row>
    <row r="5102">
      <c r="A5102" s="311">
        <v>5101</v>
      </c>
      <c r="B5102" s="396" t="s">
        <v>9781</v>
      </c>
      <c r="C5102" s="396" t="s">
        <v>4861</v>
      </c>
      <c r="D5102" s="396" t="s">
        <v>9764</v>
      </c>
      <c r="E5102" s="396" t="s">
        <v>9765</v>
      </c>
      <c r="F5102" s="396" t="s">
        <v>9647</v>
      </c>
    </row>
    <row r="5103">
      <c r="A5103" s="311">
        <v>5102</v>
      </c>
      <c r="B5103" s="396" t="s">
        <v>9782</v>
      </c>
      <c r="C5103" s="396" t="s">
        <v>9783</v>
      </c>
      <c r="D5103" s="396" t="s">
        <v>9764</v>
      </c>
      <c r="E5103" s="396" t="s">
        <v>9765</v>
      </c>
      <c r="F5103" s="396" t="s">
        <v>9647</v>
      </c>
    </row>
    <row r="5104">
      <c r="A5104" s="311">
        <v>5103</v>
      </c>
      <c r="B5104" s="396" t="s">
        <v>9784</v>
      </c>
      <c r="C5104" s="396" t="s">
        <v>9785</v>
      </c>
      <c r="D5104" s="396" t="s">
        <v>9764</v>
      </c>
      <c r="E5104" s="396" t="s">
        <v>9765</v>
      </c>
      <c r="F5104" s="396" t="s">
        <v>9647</v>
      </c>
    </row>
    <row r="5105">
      <c r="A5105" s="311">
        <v>5104</v>
      </c>
      <c r="B5105" s="396" t="s">
        <v>9786</v>
      </c>
      <c r="C5105" s="396" t="s">
        <v>9787</v>
      </c>
      <c r="D5105" s="396" t="s">
        <v>9764</v>
      </c>
      <c r="E5105" s="396" t="s">
        <v>9765</v>
      </c>
      <c r="F5105" s="396" t="s">
        <v>9647</v>
      </c>
    </row>
    <row r="5106">
      <c r="A5106" s="311">
        <v>5105</v>
      </c>
      <c r="B5106" s="396" t="s">
        <v>9788</v>
      </c>
      <c r="C5106" s="396" t="s">
        <v>9789</v>
      </c>
      <c r="D5106" s="396" t="s">
        <v>9764</v>
      </c>
      <c r="E5106" s="396" t="s">
        <v>9765</v>
      </c>
      <c r="F5106" s="396" t="s">
        <v>9647</v>
      </c>
    </row>
    <row r="5107">
      <c r="A5107" s="311">
        <v>5106</v>
      </c>
      <c r="B5107" s="396" t="s">
        <v>9790</v>
      </c>
      <c r="C5107" s="396" t="s">
        <v>9791</v>
      </c>
      <c r="D5107" s="396" t="s">
        <v>9764</v>
      </c>
      <c r="E5107" s="396" t="s">
        <v>9765</v>
      </c>
      <c r="F5107" s="396" t="s">
        <v>9647</v>
      </c>
    </row>
    <row r="5108">
      <c r="A5108" s="311">
        <v>5107</v>
      </c>
      <c r="B5108" s="396" t="s">
        <v>9792</v>
      </c>
      <c r="C5108" s="396" t="s">
        <v>690</v>
      </c>
      <c r="D5108" s="396" t="s">
        <v>9764</v>
      </c>
      <c r="E5108" s="396" t="s">
        <v>9765</v>
      </c>
      <c r="F5108" s="396" t="s">
        <v>9647</v>
      </c>
    </row>
    <row r="5109">
      <c r="A5109" s="311">
        <v>5108</v>
      </c>
      <c r="B5109" s="396" t="s">
        <v>9793</v>
      </c>
      <c r="C5109" s="396" t="s">
        <v>9794</v>
      </c>
      <c r="D5109" s="396" t="s">
        <v>9795</v>
      </c>
      <c r="E5109" s="396" t="s">
        <v>9796</v>
      </c>
      <c r="F5109" s="396" t="s">
        <v>9647</v>
      </c>
    </row>
    <row r="5110">
      <c r="A5110" s="311">
        <v>5109</v>
      </c>
      <c r="B5110" s="396" t="s">
        <v>9797</v>
      </c>
      <c r="C5110" s="396" t="s">
        <v>9798</v>
      </c>
      <c r="D5110" s="396" t="s">
        <v>9795</v>
      </c>
      <c r="E5110" s="396" t="s">
        <v>9796</v>
      </c>
      <c r="F5110" s="396" t="s">
        <v>9647</v>
      </c>
    </row>
    <row r="5111">
      <c r="A5111" s="311">
        <v>5110</v>
      </c>
      <c r="B5111" s="396" t="s">
        <v>9799</v>
      </c>
      <c r="C5111" s="396" t="s">
        <v>9800</v>
      </c>
      <c r="D5111" s="396" t="s">
        <v>9795</v>
      </c>
      <c r="E5111" s="396" t="s">
        <v>9796</v>
      </c>
      <c r="F5111" s="396" t="s">
        <v>9647</v>
      </c>
    </row>
    <row r="5112">
      <c r="A5112" s="311">
        <v>5111</v>
      </c>
      <c r="B5112" s="396" t="s">
        <v>9801</v>
      </c>
      <c r="C5112" s="396" t="s">
        <v>9802</v>
      </c>
      <c r="D5112" s="396" t="s">
        <v>9795</v>
      </c>
      <c r="E5112" s="396" t="s">
        <v>9796</v>
      </c>
      <c r="F5112" s="396" t="s">
        <v>9647</v>
      </c>
    </row>
    <row r="5113">
      <c r="A5113" s="311">
        <v>5112</v>
      </c>
      <c r="B5113" s="396" t="s">
        <v>9803</v>
      </c>
      <c r="C5113" s="396" t="s">
        <v>9804</v>
      </c>
      <c r="D5113" s="396" t="s">
        <v>9795</v>
      </c>
      <c r="E5113" s="396" t="s">
        <v>9796</v>
      </c>
      <c r="F5113" s="396" t="s">
        <v>9647</v>
      </c>
    </row>
    <row r="5114">
      <c r="A5114" s="311">
        <v>5113</v>
      </c>
      <c r="B5114" s="396" t="s">
        <v>9805</v>
      </c>
      <c r="C5114" s="396" t="s">
        <v>9767</v>
      </c>
      <c r="D5114" s="396" t="s">
        <v>9795</v>
      </c>
      <c r="E5114" s="396" t="s">
        <v>9796</v>
      </c>
      <c r="F5114" s="396" t="s">
        <v>9647</v>
      </c>
    </row>
    <row r="5115">
      <c r="A5115" s="311">
        <v>5114</v>
      </c>
      <c r="B5115" s="396" t="s">
        <v>9806</v>
      </c>
      <c r="C5115" s="396" t="s">
        <v>9807</v>
      </c>
      <c r="D5115" s="396" t="s">
        <v>9795</v>
      </c>
      <c r="E5115" s="396" t="s">
        <v>9796</v>
      </c>
      <c r="F5115" s="396" t="s">
        <v>9647</v>
      </c>
    </row>
    <row r="5116">
      <c r="A5116" s="311">
        <v>5115</v>
      </c>
      <c r="B5116" s="396" t="s">
        <v>9808</v>
      </c>
      <c r="C5116" s="396" t="s">
        <v>9809</v>
      </c>
      <c r="D5116" s="396" t="s">
        <v>9795</v>
      </c>
      <c r="E5116" s="396" t="s">
        <v>9796</v>
      </c>
      <c r="F5116" s="396" t="s">
        <v>9647</v>
      </c>
    </row>
    <row r="5117">
      <c r="A5117" s="311">
        <v>5116</v>
      </c>
      <c r="B5117" s="396" t="s">
        <v>9810</v>
      </c>
      <c r="C5117" s="396" t="s">
        <v>9811</v>
      </c>
      <c r="D5117" s="396" t="s">
        <v>9795</v>
      </c>
      <c r="E5117" s="396" t="s">
        <v>9796</v>
      </c>
      <c r="F5117" s="396" t="s">
        <v>9647</v>
      </c>
    </row>
    <row r="5118">
      <c r="A5118" s="311">
        <v>5117</v>
      </c>
      <c r="B5118" s="396" t="s">
        <v>9812</v>
      </c>
      <c r="C5118" s="396" t="s">
        <v>9813</v>
      </c>
      <c r="D5118" s="396" t="s">
        <v>9795</v>
      </c>
      <c r="E5118" s="396" t="s">
        <v>9796</v>
      </c>
      <c r="F5118" s="396" t="s">
        <v>9647</v>
      </c>
    </row>
    <row r="5119">
      <c r="A5119" s="311">
        <v>5118</v>
      </c>
      <c r="B5119" s="396" t="s">
        <v>9814</v>
      </c>
      <c r="C5119" s="396" t="s">
        <v>9815</v>
      </c>
      <c r="D5119" s="396" t="s">
        <v>9795</v>
      </c>
      <c r="E5119" s="396" t="s">
        <v>9796</v>
      </c>
      <c r="F5119" s="396" t="s">
        <v>9647</v>
      </c>
    </row>
    <row r="5120">
      <c r="A5120" s="311">
        <v>5119</v>
      </c>
      <c r="B5120" s="396" t="s">
        <v>9816</v>
      </c>
      <c r="C5120" s="396" t="s">
        <v>9817</v>
      </c>
      <c r="D5120" s="396" t="s">
        <v>9795</v>
      </c>
      <c r="E5120" s="396" t="s">
        <v>9796</v>
      </c>
      <c r="F5120" s="396" t="s">
        <v>9647</v>
      </c>
    </row>
    <row r="5121">
      <c r="A5121" s="311">
        <v>5120</v>
      </c>
      <c r="B5121" s="396" t="s">
        <v>9818</v>
      </c>
      <c r="C5121" s="396" t="s">
        <v>9819</v>
      </c>
      <c r="D5121" s="396" t="s">
        <v>9795</v>
      </c>
      <c r="E5121" s="396" t="s">
        <v>9796</v>
      </c>
      <c r="F5121" s="396" t="s">
        <v>9647</v>
      </c>
    </row>
    <row r="5122">
      <c r="A5122" s="311">
        <v>5121</v>
      </c>
      <c r="B5122" s="396" t="s">
        <v>9820</v>
      </c>
      <c r="C5122" s="396" t="s">
        <v>9821</v>
      </c>
      <c r="D5122" s="396" t="s">
        <v>9795</v>
      </c>
      <c r="E5122" s="396" t="s">
        <v>9796</v>
      </c>
      <c r="F5122" s="396" t="s">
        <v>9647</v>
      </c>
    </row>
    <row r="5123">
      <c r="A5123" s="311">
        <v>5122</v>
      </c>
      <c r="B5123" s="396" t="s">
        <v>9822</v>
      </c>
      <c r="C5123" s="396" t="s">
        <v>4720</v>
      </c>
      <c r="D5123" s="396" t="s">
        <v>9795</v>
      </c>
      <c r="E5123" s="396" t="s">
        <v>9796</v>
      </c>
      <c r="F5123" s="396" t="s">
        <v>9647</v>
      </c>
    </row>
    <row r="5124">
      <c r="A5124" s="311">
        <v>5123</v>
      </c>
      <c r="B5124" s="396" t="s">
        <v>9823</v>
      </c>
      <c r="C5124" s="396" t="s">
        <v>9824</v>
      </c>
      <c r="D5124" s="396" t="s">
        <v>9795</v>
      </c>
      <c r="E5124" s="396" t="s">
        <v>9796</v>
      </c>
      <c r="F5124" s="396" t="s">
        <v>9647</v>
      </c>
    </row>
    <row r="5125">
      <c r="A5125" s="311">
        <v>5124</v>
      </c>
      <c r="B5125" s="396" t="s">
        <v>9825</v>
      </c>
      <c r="C5125" s="396" t="s">
        <v>9826</v>
      </c>
      <c r="D5125" s="396" t="s">
        <v>9795</v>
      </c>
      <c r="E5125" s="396" t="s">
        <v>9796</v>
      </c>
      <c r="F5125" s="396" t="s">
        <v>9647</v>
      </c>
    </row>
    <row r="5126">
      <c r="A5126" s="311">
        <v>5125</v>
      </c>
      <c r="B5126" s="396" t="s">
        <v>9827</v>
      </c>
      <c r="C5126" s="396" t="s">
        <v>9828</v>
      </c>
      <c r="D5126" s="396" t="s">
        <v>9795</v>
      </c>
      <c r="E5126" s="396" t="s">
        <v>9796</v>
      </c>
      <c r="F5126" s="396" t="s">
        <v>9647</v>
      </c>
    </row>
    <row r="5127">
      <c r="A5127" s="311">
        <v>5126</v>
      </c>
      <c r="B5127" s="396" t="s">
        <v>9829</v>
      </c>
      <c r="C5127" s="396" t="s">
        <v>9830</v>
      </c>
      <c r="D5127" s="396" t="s">
        <v>9795</v>
      </c>
      <c r="E5127" s="396" t="s">
        <v>9796</v>
      </c>
      <c r="F5127" s="396" t="s">
        <v>9647</v>
      </c>
    </row>
    <row r="5128">
      <c r="A5128" s="311">
        <v>5127</v>
      </c>
      <c r="B5128" s="396" t="s">
        <v>9831</v>
      </c>
      <c r="C5128" s="396" t="s">
        <v>9832</v>
      </c>
      <c r="D5128" s="396" t="s">
        <v>9795</v>
      </c>
      <c r="E5128" s="396" t="s">
        <v>9796</v>
      </c>
      <c r="F5128" s="396" t="s">
        <v>9647</v>
      </c>
    </row>
    <row r="5129">
      <c r="A5129" s="311">
        <v>5128</v>
      </c>
      <c r="B5129" s="396" t="s">
        <v>9833</v>
      </c>
      <c r="C5129" s="396" t="s">
        <v>9834</v>
      </c>
      <c r="D5129" s="396" t="s">
        <v>9795</v>
      </c>
      <c r="E5129" s="396" t="s">
        <v>9796</v>
      </c>
      <c r="F5129" s="396" t="s">
        <v>9647</v>
      </c>
    </row>
    <row r="5130">
      <c r="A5130" s="311">
        <v>5129</v>
      </c>
      <c r="B5130" s="396" t="s">
        <v>9835</v>
      </c>
      <c r="C5130" s="396" t="s">
        <v>9836</v>
      </c>
      <c r="D5130" s="396" t="s">
        <v>9795</v>
      </c>
      <c r="E5130" s="396" t="s">
        <v>9796</v>
      </c>
      <c r="F5130" s="396" t="s">
        <v>9647</v>
      </c>
    </row>
    <row r="5131">
      <c r="A5131" s="311">
        <v>5130</v>
      </c>
      <c r="B5131" s="396" t="s">
        <v>9837</v>
      </c>
      <c r="C5131" s="396" t="s">
        <v>752</v>
      </c>
      <c r="D5131" s="396" t="s">
        <v>9795</v>
      </c>
      <c r="E5131" s="396" t="s">
        <v>9796</v>
      </c>
      <c r="F5131" s="396" t="s">
        <v>9647</v>
      </c>
    </row>
    <row r="5132">
      <c r="A5132" s="311">
        <v>5131</v>
      </c>
      <c r="B5132" s="396" t="s">
        <v>9838</v>
      </c>
      <c r="C5132" s="396" t="s">
        <v>9839</v>
      </c>
      <c r="D5132" s="396" t="s">
        <v>9840</v>
      </c>
      <c r="E5132" s="396" t="s">
        <v>9841</v>
      </c>
      <c r="F5132" s="396" t="s">
        <v>9647</v>
      </c>
    </row>
    <row r="5133">
      <c r="A5133" s="311">
        <v>5132</v>
      </c>
      <c r="B5133" s="396" t="s">
        <v>9842</v>
      </c>
      <c r="C5133" s="396" t="s">
        <v>9843</v>
      </c>
      <c r="D5133" s="396" t="s">
        <v>9840</v>
      </c>
      <c r="E5133" s="396" t="s">
        <v>9841</v>
      </c>
      <c r="F5133" s="396" t="s">
        <v>9647</v>
      </c>
    </row>
    <row r="5134">
      <c r="A5134" s="311">
        <v>5133</v>
      </c>
      <c r="B5134" s="396" t="s">
        <v>9844</v>
      </c>
      <c r="C5134" s="396" t="s">
        <v>9845</v>
      </c>
      <c r="D5134" s="396" t="s">
        <v>9840</v>
      </c>
      <c r="E5134" s="396" t="s">
        <v>9841</v>
      </c>
      <c r="F5134" s="396" t="s">
        <v>9647</v>
      </c>
    </row>
    <row r="5135">
      <c r="A5135" s="311">
        <v>5134</v>
      </c>
      <c r="B5135" s="396" t="s">
        <v>9846</v>
      </c>
      <c r="C5135" s="396" t="s">
        <v>9847</v>
      </c>
      <c r="D5135" s="396" t="s">
        <v>9840</v>
      </c>
      <c r="E5135" s="396" t="s">
        <v>9841</v>
      </c>
      <c r="F5135" s="396" t="s">
        <v>9647</v>
      </c>
    </row>
    <row r="5136">
      <c r="A5136" s="311">
        <v>5135</v>
      </c>
      <c r="B5136" s="396" t="s">
        <v>9848</v>
      </c>
      <c r="C5136" s="396" t="s">
        <v>9849</v>
      </c>
      <c r="D5136" s="396" t="s">
        <v>9840</v>
      </c>
      <c r="E5136" s="396" t="s">
        <v>9841</v>
      </c>
      <c r="F5136" s="396" t="s">
        <v>9647</v>
      </c>
    </row>
    <row r="5137">
      <c r="A5137" s="311">
        <v>5136</v>
      </c>
      <c r="B5137" s="396" t="s">
        <v>9850</v>
      </c>
      <c r="C5137" s="396" t="s">
        <v>1093</v>
      </c>
      <c r="D5137" s="396" t="s">
        <v>9840</v>
      </c>
      <c r="E5137" s="396" t="s">
        <v>9841</v>
      </c>
      <c r="F5137" s="396" t="s">
        <v>9647</v>
      </c>
    </row>
    <row r="5138">
      <c r="A5138" s="311">
        <v>5137</v>
      </c>
      <c r="B5138" s="396" t="s">
        <v>9851</v>
      </c>
      <c r="C5138" s="396" t="s">
        <v>6628</v>
      </c>
      <c r="D5138" s="396" t="s">
        <v>9840</v>
      </c>
      <c r="E5138" s="396" t="s">
        <v>9841</v>
      </c>
      <c r="F5138" s="396" t="s">
        <v>9647</v>
      </c>
    </row>
    <row r="5139">
      <c r="A5139" s="311">
        <v>5138</v>
      </c>
      <c r="B5139" s="396" t="s">
        <v>9852</v>
      </c>
      <c r="C5139" s="396" t="s">
        <v>4306</v>
      </c>
      <c r="D5139" s="396" t="s">
        <v>9840</v>
      </c>
      <c r="E5139" s="396" t="s">
        <v>9841</v>
      </c>
      <c r="F5139" s="396" t="s">
        <v>9647</v>
      </c>
    </row>
    <row r="5140">
      <c r="A5140" s="311">
        <v>5139</v>
      </c>
      <c r="B5140" s="396" t="s">
        <v>9853</v>
      </c>
      <c r="C5140" s="396" t="s">
        <v>9854</v>
      </c>
      <c r="D5140" s="396" t="s">
        <v>9840</v>
      </c>
      <c r="E5140" s="396" t="s">
        <v>9841</v>
      </c>
      <c r="F5140" s="396" t="s">
        <v>9647</v>
      </c>
    </row>
    <row r="5141">
      <c r="A5141" s="311">
        <v>5140</v>
      </c>
      <c r="B5141" s="396" t="s">
        <v>9855</v>
      </c>
      <c r="C5141" s="396" t="s">
        <v>9856</v>
      </c>
      <c r="D5141" s="396" t="s">
        <v>9840</v>
      </c>
      <c r="E5141" s="396" t="s">
        <v>9841</v>
      </c>
      <c r="F5141" s="396" t="s">
        <v>9647</v>
      </c>
    </row>
    <row r="5142">
      <c r="A5142" s="311">
        <v>5141</v>
      </c>
      <c r="B5142" s="396" t="s">
        <v>9857</v>
      </c>
      <c r="C5142" s="396" t="s">
        <v>9858</v>
      </c>
      <c r="D5142" s="396" t="s">
        <v>9840</v>
      </c>
      <c r="E5142" s="396" t="s">
        <v>9841</v>
      </c>
      <c r="F5142" s="396" t="s">
        <v>9647</v>
      </c>
    </row>
    <row r="5143">
      <c r="A5143" s="311">
        <v>5142</v>
      </c>
      <c r="B5143" s="396" t="s">
        <v>9859</v>
      </c>
      <c r="C5143" s="396" t="s">
        <v>9860</v>
      </c>
      <c r="D5143" s="396" t="s">
        <v>9840</v>
      </c>
      <c r="E5143" s="396" t="s">
        <v>9841</v>
      </c>
      <c r="F5143" s="396" t="s">
        <v>9647</v>
      </c>
    </row>
    <row r="5144">
      <c r="A5144" s="311">
        <v>5143</v>
      </c>
      <c r="B5144" s="396" t="s">
        <v>9861</v>
      </c>
      <c r="C5144" s="396" t="s">
        <v>9862</v>
      </c>
      <c r="D5144" s="396" t="s">
        <v>9840</v>
      </c>
      <c r="E5144" s="396" t="s">
        <v>9841</v>
      </c>
      <c r="F5144" s="396" t="s">
        <v>9647</v>
      </c>
    </row>
    <row r="5145">
      <c r="A5145" s="311">
        <v>5144</v>
      </c>
      <c r="B5145" s="396" t="s">
        <v>9863</v>
      </c>
      <c r="C5145" s="396" t="s">
        <v>9864</v>
      </c>
      <c r="D5145" s="396" t="s">
        <v>9865</v>
      </c>
      <c r="E5145" s="396" t="s">
        <v>9866</v>
      </c>
      <c r="F5145" s="396" t="s">
        <v>9647</v>
      </c>
    </row>
    <row r="5146">
      <c r="A5146" s="311">
        <v>5145</v>
      </c>
      <c r="B5146" s="396" t="s">
        <v>9867</v>
      </c>
      <c r="C5146" s="396" t="s">
        <v>9868</v>
      </c>
      <c r="D5146" s="396" t="s">
        <v>9865</v>
      </c>
      <c r="E5146" s="396" t="s">
        <v>9866</v>
      </c>
      <c r="F5146" s="396" t="s">
        <v>9647</v>
      </c>
    </row>
    <row r="5147">
      <c r="A5147" s="311">
        <v>5146</v>
      </c>
      <c r="B5147" s="396" t="s">
        <v>9869</v>
      </c>
      <c r="C5147" s="396" t="s">
        <v>3890</v>
      </c>
      <c r="D5147" s="396" t="s">
        <v>9865</v>
      </c>
      <c r="E5147" s="396" t="s">
        <v>9866</v>
      </c>
      <c r="F5147" s="396" t="s">
        <v>9647</v>
      </c>
    </row>
    <row r="5148">
      <c r="A5148" s="311">
        <v>5147</v>
      </c>
      <c r="B5148" s="396" t="s">
        <v>9870</v>
      </c>
      <c r="C5148" s="396" t="s">
        <v>9871</v>
      </c>
      <c r="D5148" s="396" t="s">
        <v>9865</v>
      </c>
      <c r="E5148" s="396" t="s">
        <v>9866</v>
      </c>
      <c r="F5148" s="396" t="s">
        <v>9647</v>
      </c>
    </row>
    <row r="5149">
      <c r="A5149" s="311">
        <v>5148</v>
      </c>
      <c r="B5149" s="396" t="s">
        <v>9872</v>
      </c>
      <c r="C5149" s="396" t="s">
        <v>9290</v>
      </c>
      <c r="D5149" s="396" t="s">
        <v>9865</v>
      </c>
      <c r="E5149" s="396" t="s">
        <v>9866</v>
      </c>
      <c r="F5149" s="396" t="s">
        <v>9647</v>
      </c>
    </row>
    <row r="5150">
      <c r="A5150" s="311">
        <v>5149</v>
      </c>
      <c r="B5150" s="396" t="s">
        <v>9873</v>
      </c>
      <c r="C5150" s="396" t="s">
        <v>9277</v>
      </c>
      <c r="D5150" s="396" t="s">
        <v>9865</v>
      </c>
      <c r="E5150" s="396" t="s">
        <v>9866</v>
      </c>
      <c r="F5150" s="396" t="s">
        <v>9647</v>
      </c>
    </row>
    <row r="5151">
      <c r="A5151" s="311">
        <v>5150</v>
      </c>
      <c r="B5151" s="396" t="s">
        <v>9874</v>
      </c>
      <c r="C5151" s="396" t="s">
        <v>8126</v>
      </c>
      <c r="D5151" s="396" t="s">
        <v>9865</v>
      </c>
      <c r="E5151" s="396" t="s">
        <v>9866</v>
      </c>
      <c r="F5151" s="396" t="s">
        <v>9647</v>
      </c>
    </row>
    <row r="5152">
      <c r="A5152" s="311">
        <v>5151</v>
      </c>
      <c r="B5152" s="396" t="s">
        <v>9875</v>
      </c>
      <c r="C5152" s="396" t="s">
        <v>9876</v>
      </c>
      <c r="D5152" s="396" t="s">
        <v>9865</v>
      </c>
      <c r="E5152" s="396" t="s">
        <v>9866</v>
      </c>
      <c r="F5152" s="396" t="s">
        <v>9647</v>
      </c>
    </row>
    <row r="5153">
      <c r="A5153" s="311">
        <v>5152</v>
      </c>
      <c r="B5153" s="396" t="s">
        <v>9877</v>
      </c>
      <c r="C5153" s="396" t="s">
        <v>9878</v>
      </c>
      <c r="D5153" s="396" t="s">
        <v>9865</v>
      </c>
      <c r="E5153" s="396" t="s">
        <v>9866</v>
      </c>
      <c r="F5153" s="396" t="s">
        <v>9647</v>
      </c>
    </row>
    <row r="5154">
      <c r="A5154" s="311">
        <v>5153</v>
      </c>
      <c r="B5154" s="396" t="s">
        <v>9879</v>
      </c>
      <c r="C5154" s="396" t="s">
        <v>9880</v>
      </c>
      <c r="D5154" s="396" t="s">
        <v>9865</v>
      </c>
      <c r="E5154" s="396" t="s">
        <v>9866</v>
      </c>
      <c r="F5154" s="396" t="s">
        <v>9647</v>
      </c>
    </row>
    <row r="5155">
      <c r="A5155" s="311">
        <v>5154</v>
      </c>
      <c r="B5155" s="396" t="s">
        <v>9881</v>
      </c>
      <c r="C5155" s="396" t="s">
        <v>6462</v>
      </c>
      <c r="D5155" s="396" t="s">
        <v>9865</v>
      </c>
      <c r="E5155" s="396" t="s">
        <v>9866</v>
      </c>
      <c r="F5155" s="396" t="s">
        <v>9647</v>
      </c>
    </row>
    <row r="5156">
      <c r="A5156" s="311">
        <v>5155</v>
      </c>
      <c r="B5156" s="396" t="s">
        <v>9882</v>
      </c>
      <c r="C5156" s="396" t="s">
        <v>9883</v>
      </c>
      <c r="D5156" s="396" t="s">
        <v>9884</v>
      </c>
      <c r="E5156" s="396" t="s">
        <v>9885</v>
      </c>
      <c r="F5156" s="396" t="s">
        <v>9647</v>
      </c>
    </row>
    <row r="5157">
      <c r="A5157" s="311">
        <v>5156</v>
      </c>
      <c r="B5157" s="396" t="s">
        <v>9886</v>
      </c>
      <c r="C5157" s="396" t="s">
        <v>2258</v>
      </c>
      <c r="D5157" s="396" t="s">
        <v>9884</v>
      </c>
      <c r="E5157" s="396" t="s">
        <v>9885</v>
      </c>
      <c r="F5157" s="396" t="s">
        <v>9647</v>
      </c>
    </row>
    <row r="5158">
      <c r="A5158" s="311">
        <v>5157</v>
      </c>
      <c r="B5158" s="396" t="s">
        <v>9887</v>
      </c>
      <c r="C5158" s="396" t="s">
        <v>9027</v>
      </c>
      <c r="D5158" s="396" t="s">
        <v>9884</v>
      </c>
      <c r="E5158" s="396" t="s">
        <v>9885</v>
      </c>
      <c r="F5158" s="396" t="s">
        <v>9647</v>
      </c>
    </row>
    <row r="5159">
      <c r="A5159" s="311">
        <v>5158</v>
      </c>
      <c r="B5159" s="396" t="s">
        <v>9888</v>
      </c>
      <c r="C5159" s="396" t="s">
        <v>9889</v>
      </c>
      <c r="D5159" s="396" t="s">
        <v>9884</v>
      </c>
      <c r="E5159" s="396" t="s">
        <v>9885</v>
      </c>
      <c r="F5159" s="396" t="s">
        <v>9647</v>
      </c>
    </row>
    <row r="5160">
      <c r="A5160" s="311">
        <v>5159</v>
      </c>
      <c r="B5160" s="396" t="s">
        <v>9890</v>
      </c>
      <c r="C5160" s="396" t="s">
        <v>9891</v>
      </c>
      <c r="D5160" s="396" t="s">
        <v>9884</v>
      </c>
      <c r="E5160" s="396" t="s">
        <v>9885</v>
      </c>
      <c r="F5160" s="396" t="s">
        <v>9647</v>
      </c>
    </row>
    <row r="5161">
      <c r="A5161" s="311">
        <v>5160</v>
      </c>
      <c r="B5161" s="396" t="s">
        <v>9892</v>
      </c>
      <c r="C5161" s="396" t="s">
        <v>9893</v>
      </c>
      <c r="D5161" s="396" t="s">
        <v>9884</v>
      </c>
      <c r="E5161" s="396" t="s">
        <v>9885</v>
      </c>
      <c r="F5161" s="396" t="s">
        <v>9647</v>
      </c>
    </row>
    <row r="5162">
      <c r="A5162" s="311">
        <v>5161</v>
      </c>
      <c r="B5162" s="396" t="s">
        <v>9894</v>
      </c>
      <c r="C5162" s="396" t="s">
        <v>9895</v>
      </c>
      <c r="D5162" s="396" t="s">
        <v>9884</v>
      </c>
      <c r="E5162" s="396" t="s">
        <v>9885</v>
      </c>
      <c r="F5162" s="396" t="s">
        <v>9647</v>
      </c>
    </row>
    <row r="5163">
      <c r="A5163" s="311">
        <v>5162</v>
      </c>
      <c r="B5163" s="396" t="s">
        <v>9896</v>
      </c>
      <c r="C5163" s="396" t="s">
        <v>1796</v>
      </c>
      <c r="D5163" s="396" t="s">
        <v>9884</v>
      </c>
      <c r="E5163" s="396" t="s">
        <v>9885</v>
      </c>
      <c r="F5163" s="396" t="s">
        <v>9647</v>
      </c>
    </row>
    <row r="5164">
      <c r="A5164" s="311">
        <v>5163</v>
      </c>
      <c r="B5164" s="396" t="s">
        <v>9897</v>
      </c>
      <c r="C5164" s="396" t="s">
        <v>1086</v>
      </c>
      <c r="D5164" s="396" t="s">
        <v>9884</v>
      </c>
      <c r="E5164" s="396" t="s">
        <v>9885</v>
      </c>
      <c r="F5164" s="396" t="s">
        <v>9647</v>
      </c>
    </row>
    <row r="5165">
      <c r="A5165" s="311">
        <v>5164</v>
      </c>
      <c r="B5165" s="396" t="s">
        <v>9898</v>
      </c>
      <c r="C5165" s="396" t="s">
        <v>4670</v>
      </c>
      <c r="D5165" s="396" t="s">
        <v>9884</v>
      </c>
      <c r="E5165" s="396" t="s">
        <v>9885</v>
      </c>
      <c r="F5165" s="396" t="s">
        <v>9647</v>
      </c>
    </row>
    <row r="5166">
      <c r="A5166" s="311">
        <v>5165</v>
      </c>
      <c r="B5166" s="396" t="s">
        <v>9899</v>
      </c>
      <c r="C5166" s="396" t="s">
        <v>7368</v>
      </c>
      <c r="D5166" s="396" t="s">
        <v>9884</v>
      </c>
      <c r="E5166" s="396" t="s">
        <v>9885</v>
      </c>
      <c r="F5166" s="396" t="s">
        <v>9647</v>
      </c>
    </row>
    <row r="5167">
      <c r="A5167" s="311">
        <v>5166</v>
      </c>
      <c r="B5167" s="396" t="s">
        <v>9900</v>
      </c>
      <c r="C5167" s="396" t="s">
        <v>4494</v>
      </c>
      <c r="D5167" s="396" t="s">
        <v>9884</v>
      </c>
      <c r="E5167" s="396" t="s">
        <v>9885</v>
      </c>
      <c r="F5167" s="396" t="s">
        <v>9647</v>
      </c>
    </row>
    <row r="5168">
      <c r="A5168" s="311">
        <v>5167</v>
      </c>
      <c r="B5168" s="396" t="s">
        <v>9901</v>
      </c>
      <c r="C5168" s="396" t="s">
        <v>9902</v>
      </c>
      <c r="D5168" s="396" t="s">
        <v>9884</v>
      </c>
      <c r="E5168" s="396" t="s">
        <v>9885</v>
      </c>
      <c r="F5168" s="396" t="s">
        <v>9647</v>
      </c>
    </row>
    <row r="5169">
      <c r="A5169" s="311">
        <v>5168</v>
      </c>
      <c r="B5169" s="396" t="s">
        <v>9903</v>
      </c>
      <c r="C5169" s="396" t="s">
        <v>9904</v>
      </c>
      <c r="D5169" s="396" t="s">
        <v>9884</v>
      </c>
      <c r="E5169" s="396" t="s">
        <v>9885</v>
      </c>
      <c r="F5169" s="396" t="s">
        <v>9647</v>
      </c>
    </row>
    <row r="5170">
      <c r="A5170" s="311">
        <v>5169</v>
      </c>
      <c r="B5170" s="396" t="s">
        <v>9905</v>
      </c>
      <c r="C5170" s="396" t="s">
        <v>9906</v>
      </c>
      <c r="D5170" s="396" t="s">
        <v>9884</v>
      </c>
      <c r="E5170" s="396" t="s">
        <v>9885</v>
      </c>
      <c r="F5170" s="396" t="s">
        <v>9647</v>
      </c>
    </row>
    <row r="5171">
      <c r="A5171" s="311">
        <v>5170</v>
      </c>
      <c r="B5171" s="396" t="s">
        <v>9907</v>
      </c>
      <c r="C5171" s="396" t="s">
        <v>9908</v>
      </c>
      <c r="D5171" s="396" t="s">
        <v>9884</v>
      </c>
      <c r="E5171" s="396" t="s">
        <v>9885</v>
      </c>
      <c r="F5171" s="396" t="s">
        <v>9647</v>
      </c>
    </row>
    <row r="5172">
      <c r="A5172" s="311">
        <v>5171</v>
      </c>
      <c r="B5172" s="396" t="s">
        <v>9909</v>
      </c>
      <c r="C5172" s="396" t="s">
        <v>9910</v>
      </c>
      <c r="D5172" s="396" t="s">
        <v>9884</v>
      </c>
      <c r="E5172" s="396" t="s">
        <v>9885</v>
      </c>
      <c r="F5172" s="396" t="s">
        <v>9647</v>
      </c>
    </row>
    <row r="5173">
      <c r="A5173" s="311">
        <v>5172</v>
      </c>
      <c r="B5173" s="396" t="s">
        <v>9911</v>
      </c>
      <c r="C5173" s="396" t="s">
        <v>2376</v>
      </c>
      <c r="D5173" s="396" t="s">
        <v>9884</v>
      </c>
      <c r="E5173" s="396" t="s">
        <v>9885</v>
      </c>
      <c r="F5173" s="396" t="s">
        <v>9647</v>
      </c>
    </row>
    <row r="5174">
      <c r="A5174" s="311">
        <v>5173</v>
      </c>
      <c r="B5174" s="396" t="s">
        <v>9912</v>
      </c>
      <c r="C5174" s="396" t="s">
        <v>9913</v>
      </c>
      <c r="D5174" s="396" t="s">
        <v>9884</v>
      </c>
      <c r="E5174" s="396" t="s">
        <v>9885</v>
      </c>
      <c r="F5174" s="396" t="s">
        <v>9647</v>
      </c>
    </row>
    <row r="5175">
      <c r="A5175" s="311">
        <v>5174</v>
      </c>
      <c r="B5175" s="396" t="s">
        <v>9914</v>
      </c>
      <c r="C5175" s="396" t="s">
        <v>9915</v>
      </c>
      <c r="D5175" s="396" t="s">
        <v>9884</v>
      </c>
      <c r="E5175" s="396" t="s">
        <v>9885</v>
      </c>
      <c r="F5175" s="396" t="s">
        <v>9647</v>
      </c>
    </row>
    <row r="5176">
      <c r="A5176" s="311">
        <v>5175</v>
      </c>
      <c r="B5176" s="396" t="s">
        <v>9916</v>
      </c>
      <c r="C5176" s="396" t="s">
        <v>3901</v>
      </c>
      <c r="D5176" s="396" t="s">
        <v>9884</v>
      </c>
      <c r="E5176" s="396" t="s">
        <v>9885</v>
      </c>
      <c r="F5176" s="396" t="s">
        <v>9647</v>
      </c>
    </row>
    <row r="5177">
      <c r="A5177" s="311">
        <v>5176</v>
      </c>
      <c r="B5177" s="396" t="s">
        <v>9917</v>
      </c>
      <c r="C5177" s="396" t="s">
        <v>1427</v>
      </c>
      <c r="D5177" s="396" t="s">
        <v>9884</v>
      </c>
      <c r="E5177" s="396" t="s">
        <v>9885</v>
      </c>
      <c r="F5177" s="396" t="s">
        <v>9647</v>
      </c>
    </row>
    <row r="5178">
      <c r="A5178" s="311">
        <v>5177</v>
      </c>
      <c r="B5178" s="396" t="s">
        <v>9918</v>
      </c>
      <c r="C5178" s="396" t="s">
        <v>9919</v>
      </c>
      <c r="D5178" s="396" t="s">
        <v>9920</v>
      </c>
      <c r="E5178" s="396" t="s">
        <v>9921</v>
      </c>
      <c r="F5178" s="396" t="s">
        <v>9647</v>
      </c>
    </row>
    <row r="5179">
      <c r="A5179" s="311">
        <v>5178</v>
      </c>
      <c r="B5179" s="396" t="s">
        <v>9922</v>
      </c>
      <c r="C5179" s="396" t="s">
        <v>9923</v>
      </c>
      <c r="D5179" s="396" t="s">
        <v>9920</v>
      </c>
      <c r="E5179" s="396" t="s">
        <v>9921</v>
      </c>
      <c r="F5179" s="396" t="s">
        <v>9647</v>
      </c>
    </row>
    <row r="5180">
      <c r="A5180" s="311">
        <v>5179</v>
      </c>
      <c r="B5180" s="396" t="s">
        <v>9924</v>
      </c>
      <c r="C5180" s="396" t="s">
        <v>9925</v>
      </c>
      <c r="D5180" s="396" t="s">
        <v>9920</v>
      </c>
      <c r="E5180" s="396" t="s">
        <v>9921</v>
      </c>
      <c r="F5180" s="396" t="s">
        <v>9647</v>
      </c>
    </row>
    <row r="5181">
      <c r="A5181" s="311">
        <v>5180</v>
      </c>
      <c r="B5181" s="396" t="s">
        <v>9926</v>
      </c>
      <c r="C5181" s="396" t="s">
        <v>9927</v>
      </c>
      <c r="D5181" s="396" t="s">
        <v>9920</v>
      </c>
      <c r="E5181" s="396" t="s">
        <v>9921</v>
      </c>
      <c r="F5181" s="396" t="s">
        <v>9647</v>
      </c>
    </row>
    <row r="5182">
      <c r="A5182" s="311">
        <v>5181</v>
      </c>
      <c r="B5182" s="396" t="s">
        <v>9928</v>
      </c>
      <c r="C5182" s="396" t="s">
        <v>9929</v>
      </c>
      <c r="D5182" s="396" t="s">
        <v>9920</v>
      </c>
      <c r="E5182" s="396" t="s">
        <v>9921</v>
      </c>
      <c r="F5182" s="396" t="s">
        <v>9647</v>
      </c>
    </row>
    <row r="5183">
      <c r="A5183" s="311">
        <v>5182</v>
      </c>
      <c r="B5183" s="396" t="s">
        <v>9930</v>
      </c>
      <c r="C5183" s="396" t="s">
        <v>9931</v>
      </c>
      <c r="D5183" s="396" t="s">
        <v>9920</v>
      </c>
      <c r="E5183" s="396" t="s">
        <v>9921</v>
      </c>
      <c r="F5183" s="396" t="s">
        <v>9647</v>
      </c>
    </row>
    <row r="5184">
      <c r="A5184" s="311">
        <v>5183</v>
      </c>
      <c r="B5184" s="396" t="s">
        <v>9932</v>
      </c>
      <c r="C5184" s="396" t="s">
        <v>9933</v>
      </c>
      <c r="D5184" s="396" t="s">
        <v>9920</v>
      </c>
      <c r="E5184" s="396" t="s">
        <v>9921</v>
      </c>
      <c r="F5184" s="396" t="s">
        <v>9647</v>
      </c>
    </row>
    <row r="5185">
      <c r="A5185" s="311">
        <v>5184</v>
      </c>
      <c r="B5185" s="396" t="s">
        <v>9934</v>
      </c>
      <c r="C5185" s="396" t="s">
        <v>9935</v>
      </c>
      <c r="D5185" s="396" t="s">
        <v>9920</v>
      </c>
      <c r="E5185" s="396" t="s">
        <v>9921</v>
      </c>
      <c r="F5185" s="396" t="s">
        <v>9647</v>
      </c>
    </row>
    <row r="5186">
      <c r="A5186" s="311">
        <v>5185</v>
      </c>
      <c r="B5186" s="396" t="s">
        <v>9936</v>
      </c>
      <c r="C5186" s="396" t="s">
        <v>9937</v>
      </c>
      <c r="D5186" s="396" t="s">
        <v>9920</v>
      </c>
      <c r="E5186" s="396" t="s">
        <v>9921</v>
      </c>
      <c r="F5186" s="396" t="s">
        <v>9647</v>
      </c>
    </row>
    <row r="5187">
      <c r="A5187" s="311">
        <v>5186</v>
      </c>
      <c r="B5187" s="396" t="s">
        <v>9938</v>
      </c>
      <c r="C5187" s="396" t="s">
        <v>9939</v>
      </c>
      <c r="D5187" s="396" t="s">
        <v>9920</v>
      </c>
      <c r="E5187" s="396" t="s">
        <v>9921</v>
      </c>
      <c r="F5187" s="396" t="s">
        <v>9647</v>
      </c>
    </row>
    <row r="5188">
      <c r="A5188" s="311">
        <v>5187</v>
      </c>
      <c r="B5188" s="396" t="s">
        <v>9940</v>
      </c>
      <c r="C5188" s="396" t="s">
        <v>7376</v>
      </c>
      <c r="D5188" s="396" t="s">
        <v>9920</v>
      </c>
      <c r="E5188" s="396" t="s">
        <v>9921</v>
      </c>
      <c r="F5188" s="396" t="s">
        <v>9647</v>
      </c>
    </row>
    <row r="5189">
      <c r="A5189" s="311">
        <v>5188</v>
      </c>
      <c r="B5189" s="396" t="s">
        <v>9941</v>
      </c>
      <c r="C5189" s="396" t="s">
        <v>9942</v>
      </c>
      <c r="D5189" s="396" t="s">
        <v>9920</v>
      </c>
      <c r="E5189" s="396" t="s">
        <v>9921</v>
      </c>
      <c r="F5189" s="396" t="s">
        <v>9647</v>
      </c>
    </row>
    <row r="5190">
      <c r="A5190" s="311">
        <v>5189</v>
      </c>
      <c r="B5190" s="396" t="s">
        <v>9943</v>
      </c>
      <c r="C5190" s="396" t="s">
        <v>9944</v>
      </c>
      <c r="D5190" s="396" t="s">
        <v>9920</v>
      </c>
      <c r="E5190" s="396" t="s">
        <v>9921</v>
      </c>
      <c r="F5190" s="396" t="s">
        <v>9647</v>
      </c>
    </row>
    <row r="5191">
      <c r="A5191" s="311">
        <v>5190</v>
      </c>
      <c r="B5191" s="396" t="s">
        <v>9945</v>
      </c>
      <c r="C5191" s="396" t="s">
        <v>9946</v>
      </c>
      <c r="D5191" s="396" t="s">
        <v>9920</v>
      </c>
      <c r="E5191" s="396" t="s">
        <v>9921</v>
      </c>
      <c r="F5191" s="396" t="s">
        <v>9647</v>
      </c>
    </row>
    <row r="5192">
      <c r="A5192" s="311">
        <v>5191</v>
      </c>
      <c r="B5192" s="396" t="s">
        <v>9947</v>
      </c>
      <c r="C5192" s="396" t="s">
        <v>9948</v>
      </c>
      <c r="D5192" s="396" t="s">
        <v>9920</v>
      </c>
      <c r="E5192" s="396" t="s">
        <v>9921</v>
      </c>
      <c r="F5192" s="396" t="s">
        <v>9647</v>
      </c>
    </row>
    <row r="5193">
      <c r="A5193" s="311">
        <v>5192</v>
      </c>
      <c r="B5193" s="396" t="s">
        <v>9949</v>
      </c>
      <c r="C5193" s="396" t="s">
        <v>9950</v>
      </c>
      <c r="D5193" s="396" t="s">
        <v>9920</v>
      </c>
      <c r="E5193" s="396" t="s">
        <v>9921</v>
      </c>
      <c r="F5193" s="396" t="s">
        <v>9647</v>
      </c>
    </row>
    <row r="5194">
      <c r="A5194" s="311">
        <v>5193</v>
      </c>
      <c r="B5194" s="396" t="s">
        <v>9951</v>
      </c>
      <c r="C5194" s="396" t="s">
        <v>856</v>
      </c>
      <c r="D5194" s="396" t="s">
        <v>9920</v>
      </c>
      <c r="E5194" s="396" t="s">
        <v>9921</v>
      </c>
      <c r="F5194" s="396" t="s">
        <v>9647</v>
      </c>
    </row>
    <row r="5195">
      <c r="A5195" s="311">
        <v>5194</v>
      </c>
      <c r="B5195" s="396" t="s">
        <v>9952</v>
      </c>
      <c r="C5195" s="396" t="s">
        <v>9953</v>
      </c>
      <c r="D5195" s="396" t="s">
        <v>9920</v>
      </c>
      <c r="E5195" s="396" t="s">
        <v>9921</v>
      </c>
      <c r="F5195" s="396" t="s">
        <v>9647</v>
      </c>
    </row>
    <row r="5196">
      <c r="A5196" s="311">
        <v>5195</v>
      </c>
      <c r="B5196" s="396" t="s">
        <v>9954</v>
      </c>
      <c r="C5196" s="396" t="s">
        <v>9955</v>
      </c>
      <c r="D5196" s="396" t="s">
        <v>9920</v>
      </c>
      <c r="E5196" s="396" t="s">
        <v>9921</v>
      </c>
      <c r="F5196" s="396" t="s">
        <v>9647</v>
      </c>
    </row>
    <row r="5197">
      <c r="A5197" s="311">
        <v>5196</v>
      </c>
      <c r="B5197" s="396" t="s">
        <v>9956</v>
      </c>
      <c r="C5197" s="396" t="s">
        <v>9957</v>
      </c>
      <c r="D5197" s="396" t="s">
        <v>9920</v>
      </c>
      <c r="E5197" s="396" t="s">
        <v>9921</v>
      </c>
      <c r="F5197" s="396" t="s">
        <v>9647</v>
      </c>
    </row>
    <row r="5198">
      <c r="A5198" s="311">
        <v>5197</v>
      </c>
      <c r="B5198" s="396" t="s">
        <v>9958</v>
      </c>
      <c r="C5198" s="396" t="s">
        <v>9959</v>
      </c>
      <c r="D5198" s="396" t="s">
        <v>9960</v>
      </c>
      <c r="E5198" s="396" t="s">
        <v>9961</v>
      </c>
      <c r="F5198" s="396" t="s">
        <v>9647</v>
      </c>
    </row>
    <row r="5199">
      <c r="A5199" s="311">
        <v>5198</v>
      </c>
      <c r="B5199" s="396" t="s">
        <v>9962</v>
      </c>
      <c r="C5199" s="396" t="s">
        <v>9963</v>
      </c>
      <c r="D5199" s="396" t="s">
        <v>9960</v>
      </c>
      <c r="E5199" s="396" t="s">
        <v>9961</v>
      </c>
      <c r="F5199" s="396" t="s">
        <v>9647</v>
      </c>
    </row>
    <row r="5200">
      <c r="A5200" s="311">
        <v>5199</v>
      </c>
      <c r="B5200" s="396" t="s">
        <v>9964</v>
      </c>
      <c r="C5200" s="396" t="s">
        <v>9965</v>
      </c>
      <c r="D5200" s="396" t="s">
        <v>9960</v>
      </c>
      <c r="E5200" s="396" t="s">
        <v>9961</v>
      </c>
      <c r="F5200" s="396" t="s">
        <v>9647</v>
      </c>
    </row>
    <row r="5201">
      <c r="A5201" s="311">
        <v>5200</v>
      </c>
      <c r="B5201" s="396" t="s">
        <v>9966</v>
      </c>
      <c r="C5201" s="396" t="s">
        <v>1659</v>
      </c>
      <c r="D5201" s="396" t="s">
        <v>9960</v>
      </c>
      <c r="E5201" s="396" t="s">
        <v>9961</v>
      </c>
      <c r="F5201" s="396" t="s">
        <v>9647</v>
      </c>
    </row>
    <row r="5202">
      <c r="A5202" s="311">
        <v>5201</v>
      </c>
      <c r="B5202" s="396" t="s">
        <v>9967</v>
      </c>
      <c r="C5202" s="396" t="s">
        <v>9968</v>
      </c>
      <c r="D5202" s="396" t="s">
        <v>9960</v>
      </c>
      <c r="E5202" s="396" t="s">
        <v>9961</v>
      </c>
      <c r="F5202" s="396" t="s">
        <v>9647</v>
      </c>
    </row>
    <row r="5203">
      <c r="A5203" s="311">
        <v>5202</v>
      </c>
      <c r="B5203" s="396" t="s">
        <v>9969</v>
      </c>
      <c r="C5203" s="396" t="s">
        <v>9970</v>
      </c>
      <c r="D5203" s="396" t="s">
        <v>9960</v>
      </c>
      <c r="E5203" s="396" t="s">
        <v>9961</v>
      </c>
      <c r="F5203" s="396" t="s">
        <v>9647</v>
      </c>
    </row>
    <row r="5204">
      <c r="A5204" s="311">
        <v>5203</v>
      </c>
      <c r="B5204" s="396" t="s">
        <v>9971</v>
      </c>
      <c r="C5204" s="396" t="s">
        <v>9972</v>
      </c>
      <c r="D5204" s="396" t="s">
        <v>9960</v>
      </c>
      <c r="E5204" s="396" t="s">
        <v>9961</v>
      </c>
      <c r="F5204" s="396" t="s">
        <v>9647</v>
      </c>
    </row>
    <row r="5205">
      <c r="A5205" s="311">
        <v>5204</v>
      </c>
      <c r="B5205" s="396" t="s">
        <v>9973</v>
      </c>
      <c r="C5205" s="396" t="s">
        <v>5944</v>
      </c>
      <c r="D5205" s="396" t="s">
        <v>9960</v>
      </c>
      <c r="E5205" s="396" t="s">
        <v>9961</v>
      </c>
      <c r="F5205" s="396" t="s">
        <v>9647</v>
      </c>
    </row>
    <row r="5206">
      <c r="A5206" s="311">
        <v>5205</v>
      </c>
      <c r="B5206" s="396" t="s">
        <v>9974</v>
      </c>
      <c r="C5206" s="396" t="s">
        <v>9433</v>
      </c>
      <c r="D5206" s="396" t="s">
        <v>9960</v>
      </c>
      <c r="E5206" s="396" t="s">
        <v>9961</v>
      </c>
      <c r="F5206" s="396" t="s">
        <v>9647</v>
      </c>
    </row>
    <row r="5207">
      <c r="A5207" s="311">
        <v>5206</v>
      </c>
      <c r="B5207" s="396" t="s">
        <v>9975</v>
      </c>
      <c r="C5207" s="396" t="s">
        <v>9976</v>
      </c>
      <c r="D5207" s="396" t="s">
        <v>9960</v>
      </c>
      <c r="E5207" s="396" t="s">
        <v>9961</v>
      </c>
      <c r="F5207" s="396" t="s">
        <v>9647</v>
      </c>
    </row>
    <row r="5208">
      <c r="A5208" s="311">
        <v>5207</v>
      </c>
      <c r="B5208" s="396" t="s">
        <v>9977</v>
      </c>
      <c r="C5208" s="396" t="s">
        <v>6574</v>
      </c>
      <c r="D5208" s="396" t="s">
        <v>9960</v>
      </c>
      <c r="E5208" s="396" t="s">
        <v>9961</v>
      </c>
      <c r="F5208" s="396" t="s">
        <v>9647</v>
      </c>
    </row>
    <row r="5209">
      <c r="A5209" s="311">
        <v>5208</v>
      </c>
      <c r="B5209" s="396" t="s">
        <v>9978</v>
      </c>
      <c r="C5209" s="396" t="s">
        <v>9979</v>
      </c>
      <c r="D5209" s="396" t="s">
        <v>9960</v>
      </c>
      <c r="E5209" s="396" t="s">
        <v>9961</v>
      </c>
      <c r="F5209" s="396" t="s">
        <v>9647</v>
      </c>
    </row>
    <row r="5210">
      <c r="A5210" s="311">
        <v>5209</v>
      </c>
      <c r="B5210" s="396" t="s">
        <v>9980</v>
      </c>
      <c r="C5210" s="396" t="s">
        <v>9981</v>
      </c>
      <c r="D5210" s="396" t="s">
        <v>9960</v>
      </c>
      <c r="E5210" s="396" t="s">
        <v>9961</v>
      </c>
      <c r="F5210" s="396" t="s">
        <v>9647</v>
      </c>
    </row>
    <row r="5211">
      <c r="A5211" s="311">
        <v>5210</v>
      </c>
      <c r="B5211" s="396" t="s">
        <v>9982</v>
      </c>
      <c r="C5211" s="396" t="s">
        <v>9983</v>
      </c>
      <c r="D5211" s="396" t="s">
        <v>9960</v>
      </c>
      <c r="E5211" s="396" t="s">
        <v>9961</v>
      </c>
      <c r="F5211" s="396" t="s">
        <v>9647</v>
      </c>
    </row>
    <row r="5212">
      <c r="A5212" s="311">
        <v>5211</v>
      </c>
      <c r="B5212" s="396" t="s">
        <v>9984</v>
      </c>
      <c r="C5212" s="396" t="s">
        <v>9985</v>
      </c>
      <c r="D5212" s="396" t="s">
        <v>9960</v>
      </c>
      <c r="E5212" s="396" t="s">
        <v>9961</v>
      </c>
      <c r="F5212" s="396" t="s">
        <v>9647</v>
      </c>
    </row>
    <row r="5213">
      <c r="A5213" s="311">
        <v>5212</v>
      </c>
      <c r="B5213" s="396" t="s">
        <v>9986</v>
      </c>
      <c r="C5213" s="396" t="s">
        <v>9987</v>
      </c>
      <c r="D5213" s="396" t="s">
        <v>9960</v>
      </c>
      <c r="E5213" s="396" t="s">
        <v>9961</v>
      </c>
      <c r="F5213" s="396" t="s">
        <v>9647</v>
      </c>
    </row>
    <row r="5214">
      <c r="A5214" s="311">
        <v>5213</v>
      </c>
      <c r="B5214" s="396" t="s">
        <v>9988</v>
      </c>
      <c r="C5214" s="396" t="s">
        <v>1992</v>
      </c>
      <c r="D5214" s="396" t="s">
        <v>9960</v>
      </c>
      <c r="E5214" s="396" t="s">
        <v>9961</v>
      </c>
      <c r="F5214" s="396" t="s">
        <v>9647</v>
      </c>
    </row>
    <row r="5215">
      <c r="A5215" s="311">
        <v>5214</v>
      </c>
      <c r="B5215" s="396" t="s">
        <v>9989</v>
      </c>
      <c r="C5215" s="396" t="s">
        <v>9990</v>
      </c>
      <c r="D5215" s="396" t="s">
        <v>9960</v>
      </c>
      <c r="E5215" s="396" t="s">
        <v>9961</v>
      </c>
      <c r="F5215" s="396" t="s">
        <v>9647</v>
      </c>
    </row>
    <row r="5216">
      <c r="A5216" s="311">
        <v>5215</v>
      </c>
      <c r="B5216" s="396" t="s">
        <v>9991</v>
      </c>
      <c r="C5216" s="396" t="s">
        <v>9992</v>
      </c>
      <c r="D5216" s="396" t="s">
        <v>9960</v>
      </c>
      <c r="E5216" s="396" t="s">
        <v>9961</v>
      </c>
      <c r="F5216" s="396" t="s">
        <v>9647</v>
      </c>
    </row>
    <row r="5217">
      <c r="A5217" s="311">
        <v>5216</v>
      </c>
      <c r="B5217" s="396" t="s">
        <v>9993</v>
      </c>
      <c r="C5217" s="396" t="s">
        <v>9994</v>
      </c>
      <c r="D5217" s="396" t="s">
        <v>9960</v>
      </c>
      <c r="E5217" s="396" t="s">
        <v>9961</v>
      </c>
      <c r="F5217" s="396" t="s">
        <v>9647</v>
      </c>
    </row>
    <row r="5218">
      <c r="A5218" s="311">
        <v>5217</v>
      </c>
      <c r="B5218" s="396" t="s">
        <v>9995</v>
      </c>
      <c r="C5218" s="396" t="s">
        <v>9996</v>
      </c>
      <c r="D5218" s="396" t="s">
        <v>9960</v>
      </c>
      <c r="E5218" s="396" t="s">
        <v>9961</v>
      </c>
      <c r="F5218" s="396" t="s">
        <v>9647</v>
      </c>
    </row>
    <row r="5219">
      <c r="A5219" s="311">
        <v>5218</v>
      </c>
      <c r="B5219" s="396" t="s">
        <v>9997</v>
      </c>
      <c r="C5219" s="396" t="s">
        <v>9998</v>
      </c>
      <c r="D5219" s="396" t="s">
        <v>9960</v>
      </c>
      <c r="E5219" s="396" t="s">
        <v>9961</v>
      </c>
      <c r="F5219" s="396" t="s">
        <v>9647</v>
      </c>
    </row>
    <row r="5220">
      <c r="A5220" s="311">
        <v>5219</v>
      </c>
      <c r="B5220" s="396" t="s">
        <v>9999</v>
      </c>
      <c r="C5220" s="396" t="s">
        <v>10000</v>
      </c>
      <c r="D5220" s="396" t="s">
        <v>9960</v>
      </c>
      <c r="E5220" s="396" t="s">
        <v>9961</v>
      </c>
      <c r="F5220" s="396" t="s">
        <v>9647</v>
      </c>
    </row>
    <row r="5221">
      <c r="A5221" s="311">
        <v>5220</v>
      </c>
      <c r="B5221" s="396" t="s">
        <v>10001</v>
      </c>
      <c r="C5221" s="396" t="s">
        <v>10002</v>
      </c>
      <c r="D5221" s="396" t="s">
        <v>9960</v>
      </c>
      <c r="E5221" s="396" t="s">
        <v>9961</v>
      </c>
      <c r="F5221" s="396" t="s">
        <v>9647</v>
      </c>
    </row>
    <row r="5222">
      <c r="A5222" s="311">
        <v>5221</v>
      </c>
      <c r="B5222" s="396" t="s">
        <v>10003</v>
      </c>
      <c r="C5222" s="396" t="s">
        <v>2424</v>
      </c>
      <c r="D5222" s="396" t="s">
        <v>9960</v>
      </c>
      <c r="E5222" s="396" t="s">
        <v>9961</v>
      </c>
      <c r="F5222" s="396" t="s">
        <v>9647</v>
      </c>
    </row>
    <row r="5223">
      <c r="A5223" s="311">
        <v>5222</v>
      </c>
      <c r="B5223" s="396" t="s">
        <v>10004</v>
      </c>
      <c r="C5223" s="396" t="s">
        <v>10005</v>
      </c>
      <c r="D5223" s="396" t="s">
        <v>9960</v>
      </c>
      <c r="E5223" s="396" t="s">
        <v>9961</v>
      </c>
      <c r="F5223" s="396" t="s">
        <v>9647</v>
      </c>
    </row>
    <row r="5224">
      <c r="A5224" s="311">
        <v>5223</v>
      </c>
      <c r="B5224" s="396" t="s">
        <v>10006</v>
      </c>
      <c r="C5224" s="396" t="s">
        <v>10007</v>
      </c>
      <c r="D5224" s="396" t="s">
        <v>9960</v>
      </c>
      <c r="E5224" s="396" t="s">
        <v>9961</v>
      </c>
      <c r="F5224" s="396" t="s">
        <v>9647</v>
      </c>
    </row>
    <row r="5225">
      <c r="A5225" s="311">
        <v>5224</v>
      </c>
      <c r="B5225" s="396" t="s">
        <v>10008</v>
      </c>
      <c r="C5225" s="396" t="s">
        <v>10009</v>
      </c>
      <c r="D5225" s="396" t="s">
        <v>9960</v>
      </c>
      <c r="E5225" s="396" t="s">
        <v>9961</v>
      </c>
      <c r="F5225" s="396" t="s">
        <v>9647</v>
      </c>
    </row>
    <row r="5226">
      <c r="A5226" s="311">
        <v>5225</v>
      </c>
      <c r="B5226" s="396" t="s">
        <v>10010</v>
      </c>
      <c r="C5226" s="396" t="s">
        <v>10011</v>
      </c>
      <c r="D5226" s="396" t="s">
        <v>10012</v>
      </c>
      <c r="E5226" s="396" t="s">
        <v>10013</v>
      </c>
      <c r="F5226" s="396" t="s">
        <v>9647</v>
      </c>
    </row>
    <row r="5227">
      <c r="A5227" s="311">
        <v>5226</v>
      </c>
      <c r="B5227" s="396" t="s">
        <v>10014</v>
      </c>
      <c r="C5227" s="396" t="s">
        <v>10015</v>
      </c>
      <c r="D5227" s="396" t="s">
        <v>10012</v>
      </c>
      <c r="E5227" s="396" t="s">
        <v>10013</v>
      </c>
      <c r="F5227" s="396" t="s">
        <v>9647</v>
      </c>
    </row>
    <row r="5228">
      <c r="A5228" s="311">
        <v>5227</v>
      </c>
      <c r="B5228" s="396" t="s">
        <v>10016</v>
      </c>
      <c r="C5228" s="396" t="s">
        <v>10017</v>
      </c>
      <c r="D5228" s="396" t="s">
        <v>10012</v>
      </c>
      <c r="E5228" s="396" t="s">
        <v>10013</v>
      </c>
      <c r="F5228" s="396" t="s">
        <v>9647</v>
      </c>
    </row>
    <row r="5229">
      <c r="A5229" s="311">
        <v>5228</v>
      </c>
      <c r="B5229" s="396" t="s">
        <v>10018</v>
      </c>
      <c r="C5229" s="396" t="s">
        <v>10019</v>
      </c>
      <c r="D5229" s="396" t="s">
        <v>10012</v>
      </c>
      <c r="E5229" s="396" t="s">
        <v>10013</v>
      </c>
      <c r="F5229" s="396" t="s">
        <v>9647</v>
      </c>
    </row>
    <row r="5230">
      <c r="A5230" s="311">
        <v>5229</v>
      </c>
      <c r="B5230" s="396" t="s">
        <v>10020</v>
      </c>
      <c r="C5230" s="396" t="s">
        <v>10021</v>
      </c>
      <c r="D5230" s="396" t="s">
        <v>10012</v>
      </c>
      <c r="E5230" s="396" t="s">
        <v>10013</v>
      </c>
      <c r="F5230" s="396" t="s">
        <v>9647</v>
      </c>
    </row>
    <row r="5231">
      <c r="A5231" s="311">
        <v>5230</v>
      </c>
      <c r="B5231" s="396" t="s">
        <v>10022</v>
      </c>
      <c r="C5231" s="396" t="s">
        <v>10023</v>
      </c>
      <c r="D5231" s="396" t="s">
        <v>10012</v>
      </c>
      <c r="E5231" s="396" t="s">
        <v>10013</v>
      </c>
      <c r="F5231" s="396" t="s">
        <v>9647</v>
      </c>
    </row>
    <row r="5232">
      <c r="A5232" s="311">
        <v>5231</v>
      </c>
      <c r="B5232" s="396" t="s">
        <v>10024</v>
      </c>
      <c r="C5232" s="396" t="s">
        <v>7514</v>
      </c>
      <c r="D5232" s="396" t="s">
        <v>10012</v>
      </c>
      <c r="E5232" s="396" t="s">
        <v>10013</v>
      </c>
      <c r="F5232" s="396" t="s">
        <v>9647</v>
      </c>
    </row>
    <row r="5233">
      <c r="A5233" s="311">
        <v>5232</v>
      </c>
      <c r="B5233" s="396" t="s">
        <v>10025</v>
      </c>
      <c r="C5233" s="396" t="s">
        <v>10026</v>
      </c>
      <c r="D5233" s="396" t="s">
        <v>10012</v>
      </c>
      <c r="E5233" s="396" t="s">
        <v>10013</v>
      </c>
      <c r="F5233" s="396" t="s">
        <v>9647</v>
      </c>
    </row>
    <row r="5234">
      <c r="A5234" s="311">
        <v>5233</v>
      </c>
      <c r="B5234" s="396" t="s">
        <v>10027</v>
      </c>
      <c r="C5234" s="396" t="s">
        <v>10028</v>
      </c>
      <c r="D5234" s="396" t="s">
        <v>10012</v>
      </c>
      <c r="E5234" s="396" t="s">
        <v>10013</v>
      </c>
      <c r="F5234" s="396" t="s">
        <v>9647</v>
      </c>
    </row>
    <row r="5235">
      <c r="A5235" s="311">
        <v>5234</v>
      </c>
      <c r="B5235" s="396" t="s">
        <v>10029</v>
      </c>
      <c r="C5235" s="396" t="s">
        <v>10030</v>
      </c>
      <c r="D5235" s="396" t="s">
        <v>10012</v>
      </c>
      <c r="E5235" s="396" t="s">
        <v>10013</v>
      </c>
      <c r="F5235" s="396" t="s">
        <v>9647</v>
      </c>
    </row>
    <row r="5236">
      <c r="A5236" s="311">
        <v>5235</v>
      </c>
      <c r="B5236" s="396" t="s">
        <v>10031</v>
      </c>
      <c r="C5236" s="396" t="s">
        <v>10032</v>
      </c>
      <c r="D5236" s="396" t="s">
        <v>10012</v>
      </c>
      <c r="E5236" s="396" t="s">
        <v>10013</v>
      </c>
      <c r="F5236" s="396" t="s">
        <v>9647</v>
      </c>
    </row>
    <row r="5237">
      <c r="A5237" s="311">
        <v>5236</v>
      </c>
      <c r="B5237" s="396" t="s">
        <v>10033</v>
      </c>
      <c r="C5237" s="396" t="s">
        <v>10034</v>
      </c>
      <c r="D5237" s="396" t="s">
        <v>10012</v>
      </c>
      <c r="E5237" s="396" t="s">
        <v>10013</v>
      </c>
      <c r="F5237" s="396" t="s">
        <v>9647</v>
      </c>
    </row>
    <row r="5238">
      <c r="A5238" s="311">
        <v>5237</v>
      </c>
      <c r="B5238" s="396" t="s">
        <v>10035</v>
      </c>
      <c r="C5238" s="396" t="s">
        <v>10036</v>
      </c>
      <c r="D5238" s="396" t="s">
        <v>10012</v>
      </c>
      <c r="E5238" s="396" t="s">
        <v>10013</v>
      </c>
      <c r="F5238" s="396" t="s">
        <v>9647</v>
      </c>
    </row>
    <row r="5239">
      <c r="A5239" s="311">
        <v>5238</v>
      </c>
      <c r="B5239" s="396" t="s">
        <v>10037</v>
      </c>
      <c r="C5239" s="396" t="s">
        <v>10038</v>
      </c>
      <c r="D5239" s="396" t="s">
        <v>10012</v>
      </c>
      <c r="E5239" s="396" t="s">
        <v>10013</v>
      </c>
      <c r="F5239" s="396" t="s">
        <v>9647</v>
      </c>
    </row>
    <row r="5240">
      <c r="A5240" s="311">
        <v>5239</v>
      </c>
      <c r="B5240" s="396" t="s">
        <v>10039</v>
      </c>
      <c r="C5240" s="396" t="s">
        <v>10040</v>
      </c>
      <c r="D5240" s="396" t="s">
        <v>10012</v>
      </c>
      <c r="E5240" s="396" t="s">
        <v>10013</v>
      </c>
      <c r="F5240" s="396" t="s">
        <v>9647</v>
      </c>
    </row>
    <row r="5241">
      <c r="A5241" s="311">
        <v>5240</v>
      </c>
      <c r="B5241" s="396" t="s">
        <v>10041</v>
      </c>
      <c r="C5241" s="396" t="s">
        <v>10042</v>
      </c>
      <c r="D5241" s="396" t="s">
        <v>10012</v>
      </c>
      <c r="E5241" s="396" t="s">
        <v>10013</v>
      </c>
      <c r="F5241" s="396" t="s">
        <v>9647</v>
      </c>
    </row>
    <row r="5242">
      <c r="A5242" s="311">
        <v>5241</v>
      </c>
      <c r="B5242" s="396" t="s">
        <v>10043</v>
      </c>
      <c r="C5242" s="396" t="s">
        <v>10044</v>
      </c>
      <c r="D5242" s="396" t="s">
        <v>10012</v>
      </c>
      <c r="E5242" s="396" t="s">
        <v>10013</v>
      </c>
      <c r="F5242" s="396" t="s">
        <v>9647</v>
      </c>
    </row>
    <row r="5243">
      <c r="A5243" s="311">
        <v>5242</v>
      </c>
      <c r="B5243" s="396" t="s">
        <v>10045</v>
      </c>
      <c r="C5243" s="396" t="s">
        <v>10046</v>
      </c>
      <c r="D5243" s="396" t="s">
        <v>10012</v>
      </c>
      <c r="E5243" s="396" t="s">
        <v>10013</v>
      </c>
      <c r="F5243" s="396" t="s">
        <v>9647</v>
      </c>
    </row>
    <row r="5244">
      <c r="A5244" s="311">
        <v>5243</v>
      </c>
      <c r="B5244" s="396" t="s">
        <v>10047</v>
      </c>
      <c r="C5244" s="396" t="s">
        <v>10048</v>
      </c>
      <c r="D5244" s="396" t="s">
        <v>10012</v>
      </c>
      <c r="E5244" s="396" t="s">
        <v>10013</v>
      </c>
      <c r="F5244" s="396" t="s">
        <v>9647</v>
      </c>
    </row>
    <row r="5245">
      <c r="A5245" s="311">
        <v>5244</v>
      </c>
      <c r="B5245" s="396" t="s">
        <v>10049</v>
      </c>
      <c r="C5245" s="396" t="s">
        <v>10050</v>
      </c>
      <c r="D5245" s="396" t="s">
        <v>10012</v>
      </c>
      <c r="E5245" s="396" t="s">
        <v>10013</v>
      </c>
      <c r="F5245" s="396" t="s">
        <v>9647</v>
      </c>
    </row>
    <row r="5246">
      <c r="A5246" s="311">
        <v>5245</v>
      </c>
      <c r="B5246" s="396" t="s">
        <v>10051</v>
      </c>
      <c r="C5246" s="396" t="s">
        <v>10052</v>
      </c>
      <c r="D5246" s="396" t="s">
        <v>10012</v>
      </c>
      <c r="E5246" s="396" t="s">
        <v>10013</v>
      </c>
      <c r="F5246" s="396" t="s">
        <v>9647</v>
      </c>
    </row>
    <row r="5247">
      <c r="A5247" s="311">
        <v>5246</v>
      </c>
      <c r="B5247" s="396" t="s">
        <v>10053</v>
      </c>
      <c r="C5247" s="396" t="s">
        <v>4908</v>
      </c>
      <c r="D5247" s="396" t="s">
        <v>10012</v>
      </c>
      <c r="E5247" s="396" t="s">
        <v>10013</v>
      </c>
      <c r="F5247" s="396" t="s">
        <v>9647</v>
      </c>
    </row>
    <row r="5248">
      <c r="A5248" s="311">
        <v>5247</v>
      </c>
      <c r="B5248" s="396" t="s">
        <v>10054</v>
      </c>
      <c r="C5248" s="396" t="s">
        <v>10055</v>
      </c>
      <c r="D5248" s="396" t="s">
        <v>10012</v>
      </c>
      <c r="E5248" s="396" t="s">
        <v>10013</v>
      </c>
      <c r="F5248" s="396" t="s">
        <v>9647</v>
      </c>
    </row>
    <row r="5249">
      <c r="A5249" s="311">
        <v>5248</v>
      </c>
      <c r="B5249" s="396" t="s">
        <v>10056</v>
      </c>
      <c r="C5249" s="396" t="s">
        <v>10057</v>
      </c>
      <c r="D5249" s="396" t="s">
        <v>10012</v>
      </c>
      <c r="E5249" s="396" t="s">
        <v>10013</v>
      </c>
      <c r="F5249" s="396" t="s">
        <v>9647</v>
      </c>
    </row>
    <row r="5250">
      <c r="A5250" s="311">
        <v>5249</v>
      </c>
      <c r="B5250" s="396" t="s">
        <v>10058</v>
      </c>
      <c r="C5250" s="396" t="s">
        <v>10059</v>
      </c>
      <c r="D5250" s="396" t="s">
        <v>10012</v>
      </c>
      <c r="E5250" s="396" t="s">
        <v>10013</v>
      </c>
      <c r="F5250" s="396" t="s">
        <v>9647</v>
      </c>
    </row>
    <row r="5251">
      <c r="A5251" s="311">
        <v>5250</v>
      </c>
      <c r="B5251" s="396" t="s">
        <v>10060</v>
      </c>
      <c r="C5251" s="396" t="s">
        <v>2349</v>
      </c>
      <c r="D5251" s="396" t="s">
        <v>10061</v>
      </c>
      <c r="E5251" s="396" t="s">
        <v>10062</v>
      </c>
      <c r="F5251" s="396" t="s">
        <v>9647</v>
      </c>
    </row>
    <row r="5252">
      <c r="A5252" s="311">
        <v>5251</v>
      </c>
      <c r="B5252" s="396" t="s">
        <v>10063</v>
      </c>
      <c r="C5252" s="396" t="s">
        <v>10064</v>
      </c>
      <c r="D5252" s="396" t="s">
        <v>10061</v>
      </c>
      <c r="E5252" s="396" t="s">
        <v>10062</v>
      </c>
      <c r="F5252" s="396" t="s">
        <v>9647</v>
      </c>
    </row>
    <row r="5253">
      <c r="A5253" s="311">
        <v>5252</v>
      </c>
      <c r="B5253" s="396" t="s">
        <v>10065</v>
      </c>
      <c r="C5253" s="396" t="s">
        <v>1638</v>
      </c>
      <c r="D5253" s="396" t="s">
        <v>10061</v>
      </c>
      <c r="E5253" s="396" t="s">
        <v>10062</v>
      </c>
      <c r="F5253" s="396" t="s">
        <v>9647</v>
      </c>
    </row>
    <row r="5254">
      <c r="A5254" s="311">
        <v>5253</v>
      </c>
      <c r="B5254" s="396" t="s">
        <v>10066</v>
      </c>
      <c r="C5254" s="396" t="s">
        <v>2783</v>
      </c>
      <c r="D5254" s="396" t="s">
        <v>10061</v>
      </c>
      <c r="E5254" s="396" t="s">
        <v>10062</v>
      </c>
      <c r="F5254" s="396" t="s">
        <v>9647</v>
      </c>
    </row>
    <row r="5255">
      <c r="A5255" s="311">
        <v>5254</v>
      </c>
      <c r="B5255" s="396" t="s">
        <v>10067</v>
      </c>
      <c r="C5255" s="396" t="s">
        <v>4304</v>
      </c>
      <c r="D5255" s="396" t="s">
        <v>10061</v>
      </c>
      <c r="E5255" s="396" t="s">
        <v>10062</v>
      </c>
      <c r="F5255" s="396" t="s">
        <v>9647</v>
      </c>
    </row>
    <row r="5256">
      <c r="A5256" s="311">
        <v>5255</v>
      </c>
      <c r="B5256" s="396" t="s">
        <v>10068</v>
      </c>
      <c r="C5256" s="396" t="s">
        <v>7937</v>
      </c>
      <c r="D5256" s="396" t="s">
        <v>10061</v>
      </c>
      <c r="E5256" s="396" t="s">
        <v>10062</v>
      </c>
      <c r="F5256" s="396" t="s">
        <v>9647</v>
      </c>
    </row>
    <row r="5257">
      <c r="A5257" s="311">
        <v>5256</v>
      </c>
      <c r="B5257" s="396" t="s">
        <v>10069</v>
      </c>
      <c r="C5257" s="396" t="s">
        <v>1583</v>
      </c>
      <c r="D5257" s="396" t="s">
        <v>10061</v>
      </c>
      <c r="E5257" s="396" t="s">
        <v>10062</v>
      </c>
      <c r="F5257" s="396" t="s">
        <v>9647</v>
      </c>
    </row>
    <row r="5258">
      <c r="A5258" s="311">
        <v>5257</v>
      </c>
      <c r="B5258" s="396" t="s">
        <v>10070</v>
      </c>
      <c r="C5258" s="396" t="s">
        <v>10071</v>
      </c>
      <c r="D5258" s="396" t="s">
        <v>10061</v>
      </c>
      <c r="E5258" s="396" t="s">
        <v>10062</v>
      </c>
      <c r="F5258" s="396" t="s">
        <v>9647</v>
      </c>
    </row>
    <row r="5259">
      <c r="A5259" s="311">
        <v>5258</v>
      </c>
      <c r="B5259" s="396" t="s">
        <v>10072</v>
      </c>
      <c r="C5259" s="396" t="s">
        <v>10073</v>
      </c>
      <c r="D5259" s="396" t="s">
        <v>10061</v>
      </c>
      <c r="E5259" s="396" t="s">
        <v>10062</v>
      </c>
      <c r="F5259" s="396" t="s">
        <v>9647</v>
      </c>
    </row>
    <row r="5260">
      <c r="A5260" s="311">
        <v>5259</v>
      </c>
      <c r="B5260" s="396" t="s">
        <v>10074</v>
      </c>
      <c r="C5260" s="396" t="s">
        <v>10075</v>
      </c>
      <c r="D5260" s="396" t="s">
        <v>10061</v>
      </c>
      <c r="E5260" s="396" t="s">
        <v>10062</v>
      </c>
      <c r="F5260" s="396" t="s">
        <v>9647</v>
      </c>
    </row>
    <row r="5261">
      <c r="A5261" s="311">
        <v>5260</v>
      </c>
      <c r="B5261" s="396" t="s">
        <v>10076</v>
      </c>
      <c r="C5261" s="396" t="s">
        <v>7534</v>
      </c>
      <c r="D5261" s="396" t="s">
        <v>10061</v>
      </c>
      <c r="E5261" s="396" t="s">
        <v>10062</v>
      </c>
      <c r="F5261" s="396" t="s">
        <v>9647</v>
      </c>
    </row>
    <row r="5262">
      <c r="A5262" s="311">
        <v>5261</v>
      </c>
      <c r="B5262" s="396" t="s">
        <v>10077</v>
      </c>
      <c r="C5262" s="396" t="s">
        <v>10078</v>
      </c>
      <c r="D5262" s="396" t="s">
        <v>10061</v>
      </c>
      <c r="E5262" s="396" t="s">
        <v>10062</v>
      </c>
      <c r="F5262" s="396" t="s">
        <v>9647</v>
      </c>
    </row>
    <row r="5263">
      <c r="A5263" s="311">
        <v>5262</v>
      </c>
      <c r="B5263" s="396" t="s">
        <v>10079</v>
      </c>
      <c r="C5263" s="396" t="s">
        <v>10080</v>
      </c>
      <c r="D5263" s="396" t="s">
        <v>10061</v>
      </c>
      <c r="E5263" s="396" t="s">
        <v>10062</v>
      </c>
      <c r="F5263" s="396" t="s">
        <v>9647</v>
      </c>
    </row>
    <row r="5264">
      <c r="A5264" s="311">
        <v>5263</v>
      </c>
      <c r="B5264" s="396" t="s">
        <v>10081</v>
      </c>
      <c r="C5264" s="396" t="s">
        <v>6853</v>
      </c>
      <c r="D5264" s="396" t="s">
        <v>10061</v>
      </c>
      <c r="E5264" s="396" t="s">
        <v>10062</v>
      </c>
      <c r="F5264" s="396" t="s">
        <v>9647</v>
      </c>
    </row>
    <row r="5265">
      <c r="A5265" s="311">
        <v>5264</v>
      </c>
      <c r="B5265" s="396" t="s">
        <v>10082</v>
      </c>
      <c r="C5265" s="396" t="s">
        <v>6849</v>
      </c>
      <c r="D5265" s="396" t="s">
        <v>10061</v>
      </c>
      <c r="E5265" s="396" t="s">
        <v>10062</v>
      </c>
      <c r="F5265" s="396" t="s">
        <v>9647</v>
      </c>
    </row>
    <row r="5266">
      <c r="A5266" s="311">
        <v>5265</v>
      </c>
      <c r="B5266" s="396" t="s">
        <v>10083</v>
      </c>
      <c r="C5266" s="396" t="s">
        <v>7935</v>
      </c>
      <c r="D5266" s="396" t="s">
        <v>10061</v>
      </c>
      <c r="E5266" s="396" t="s">
        <v>10062</v>
      </c>
      <c r="F5266" s="396" t="s">
        <v>9647</v>
      </c>
    </row>
    <row r="5267">
      <c r="A5267" s="311">
        <v>5266</v>
      </c>
      <c r="B5267" s="396" t="s">
        <v>10084</v>
      </c>
      <c r="C5267" s="396" t="s">
        <v>10085</v>
      </c>
      <c r="D5267" s="396" t="s">
        <v>10086</v>
      </c>
      <c r="E5267" s="396" t="s">
        <v>10087</v>
      </c>
      <c r="F5267" s="396" t="s">
        <v>9647</v>
      </c>
    </row>
    <row r="5268">
      <c r="A5268" s="311">
        <v>5267</v>
      </c>
      <c r="B5268" s="396" t="s">
        <v>10088</v>
      </c>
      <c r="C5268" s="396" t="s">
        <v>10089</v>
      </c>
      <c r="D5268" s="396" t="s">
        <v>10086</v>
      </c>
      <c r="E5268" s="396" t="s">
        <v>10087</v>
      </c>
      <c r="F5268" s="396" t="s">
        <v>9647</v>
      </c>
    </row>
    <row r="5269">
      <c r="A5269" s="311">
        <v>5268</v>
      </c>
      <c r="B5269" s="396" t="s">
        <v>10090</v>
      </c>
      <c r="C5269" s="396" t="s">
        <v>2416</v>
      </c>
      <c r="D5269" s="396" t="s">
        <v>10086</v>
      </c>
      <c r="E5269" s="396" t="s">
        <v>10087</v>
      </c>
      <c r="F5269" s="396" t="s">
        <v>9647</v>
      </c>
    </row>
    <row r="5270">
      <c r="A5270" s="311">
        <v>5269</v>
      </c>
      <c r="B5270" s="396" t="s">
        <v>10091</v>
      </c>
      <c r="C5270" s="396" t="s">
        <v>2409</v>
      </c>
      <c r="D5270" s="396" t="s">
        <v>10086</v>
      </c>
      <c r="E5270" s="396" t="s">
        <v>10087</v>
      </c>
      <c r="F5270" s="396" t="s">
        <v>9647</v>
      </c>
    </row>
    <row r="5271">
      <c r="A5271" s="311">
        <v>5270</v>
      </c>
      <c r="B5271" s="396" t="s">
        <v>10092</v>
      </c>
      <c r="C5271" s="396" t="s">
        <v>10093</v>
      </c>
      <c r="D5271" s="396" t="s">
        <v>10086</v>
      </c>
      <c r="E5271" s="396" t="s">
        <v>10087</v>
      </c>
      <c r="F5271" s="396" t="s">
        <v>9647</v>
      </c>
    </row>
    <row r="5272">
      <c r="A5272" s="311">
        <v>5271</v>
      </c>
      <c r="B5272" s="396" t="s">
        <v>10094</v>
      </c>
      <c r="C5272" s="396" t="s">
        <v>10095</v>
      </c>
      <c r="D5272" s="396" t="s">
        <v>10086</v>
      </c>
      <c r="E5272" s="396" t="s">
        <v>10087</v>
      </c>
      <c r="F5272" s="396" t="s">
        <v>9647</v>
      </c>
    </row>
    <row r="5273">
      <c r="A5273" s="311">
        <v>5272</v>
      </c>
      <c r="B5273" s="396" t="s">
        <v>10096</v>
      </c>
      <c r="C5273" s="396" t="s">
        <v>10097</v>
      </c>
      <c r="D5273" s="396" t="s">
        <v>10086</v>
      </c>
      <c r="E5273" s="396" t="s">
        <v>10087</v>
      </c>
      <c r="F5273" s="396" t="s">
        <v>9647</v>
      </c>
    </row>
    <row r="5274">
      <c r="A5274" s="311">
        <v>5273</v>
      </c>
      <c r="B5274" s="396" t="s">
        <v>10098</v>
      </c>
      <c r="C5274" s="396" t="s">
        <v>5629</v>
      </c>
      <c r="D5274" s="396" t="s">
        <v>10086</v>
      </c>
      <c r="E5274" s="396" t="s">
        <v>10087</v>
      </c>
      <c r="F5274" s="396" t="s">
        <v>9647</v>
      </c>
    </row>
    <row r="5275">
      <c r="A5275" s="311">
        <v>5274</v>
      </c>
      <c r="B5275" s="396" t="s">
        <v>10099</v>
      </c>
      <c r="C5275" s="396" t="s">
        <v>844</v>
      </c>
      <c r="D5275" s="396" t="s">
        <v>10086</v>
      </c>
      <c r="E5275" s="396" t="s">
        <v>10087</v>
      </c>
      <c r="F5275" s="396" t="s">
        <v>9647</v>
      </c>
    </row>
    <row r="5276">
      <c r="A5276" s="311">
        <v>5275</v>
      </c>
      <c r="B5276" s="396" t="s">
        <v>10100</v>
      </c>
      <c r="C5276" s="396" t="s">
        <v>10101</v>
      </c>
      <c r="D5276" s="396" t="s">
        <v>10086</v>
      </c>
      <c r="E5276" s="396" t="s">
        <v>10087</v>
      </c>
      <c r="F5276" s="396" t="s">
        <v>9647</v>
      </c>
    </row>
    <row r="5277">
      <c r="A5277" s="311">
        <v>5276</v>
      </c>
      <c r="B5277" s="396" t="s">
        <v>10102</v>
      </c>
      <c r="C5277" s="396" t="s">
        <v>10103</v>
      </c>
      <c r="D5277" s="396" t="s">
        <v>10086</v>
      </c>
      <c r="E5277" s="396" t="s">
        <v>10087</v>
      </c>
      <c r="F5277" s="396" t="s">
        <v>9647</v>
      </c>
    </row>
    <row r="5278">
      <c r="A5278" s="311">
        <v>5277</v>
      </c>
      <c r="B5278" s="396" t="s">
        <v>10104</v>
      </c>
      <c r="C5278" s="396" t="s">
        <v>1439</v>
      </c>
      <c r="D5278" s="396" t="s">
        <v>10086</v>
      </c>
      <c r="E5278" s="396" t="s">
        <v>10087</v>
      </c>
      <c r="F5278" s="396" t="s">
        <v>9647</v>
      </c>
    </row>
    <row r="5279">
      <c r="A5279" s="311">
        <v>5278</v>
      </c>
      <c r="B5279" s="396" t="s">
        <v>10105</v>
      </c>
      <c r="C5279" s="396" t="s">
        <v>3941</v>
      </c>
      <c r="D5279" s="396" t="s">
        <v>10086</v>
      </c>
      <c r="E5279" s="396" t="s">
        <v>10087</v>
      </c>
      <c r="F5279" s="396" t="s">
        <v>9647</v>
      </c>
    </row>
    <row r="5280">
      <c r="A5280" s="311">
        <v>5279</v>
      </c>
      <c r="B5280" s="396" t="s">
        <v>10106</v>
      </c>
      <c r="C5280" s="396" t="s">
        <v>10107</v>
      </c>
      <c r="D5280" s="396" t="s">
        <v>10086</v>
      </c>
      <c r="E5280" s="396" t="s">
        <v>10087</v>
      </c>
      <c r="F5280" s="396" t="s">
        <v>9647</v>
      </c>
    </row>
    <row r="5281">
      <c r="A5281" s="311">
        <v>5280</v>
      </c>
      <c r="B5281" s="396" t="s">
        <v>10108</v>
      </c>
      <c r="C5281" s="396" t="s">
        <v>2175</v>
      </c>
      <c r="D5281" s="396" t="s">
        <v>10086</v>
      </c>
      <c r="E5281" s="396" t="s">
        <v>10087</v>
      </c>
      <c r="F5281" s="396" t="s">
        <v>9647</v>
      </c>
    </row>
    <row r="5282">
      <c r="A5282" s="311">
        <v>5281</v>
      </c>
      <c r="B5282" s="396" t="s">
        <v>10109</v>
      </c>
      <c r="C5282" s="396" t="s">
        <v>4698</v>
      </c>
      <c r="D5282" s="396" t="s">
        <v>10086</v>
      </c>
      <c r="E5282" s="396" t="s">
        <v>10087</v>
      </c>
      <c r="F5282" s="396" t="s">
        <v>9647</v>
      </c>
    </row>
    <row r="5283">
      <c r="A5283" s="311">
        <v>5282</v>
      </c>
      <c r="B5283" s="396" t="s">
        <v>10110</v>
      </c>
      <c r="C5283" s="396" t="s">
        <v>1964</v>
      </c>
      <c r="D5283" s="396" t="s">
        <v>10086</v>
      </c>
      <c r="E5283" s="396" t="s">
        <v>10087</v>
      </c>
      <c r="F5283" s="396" t="s">
        <v>9647</v>
      </c>
    </row>
    <row r="5284">
      <c r="A5284" s="311">
        <v>5283</v>
      </c>
      <c r="B5284" s="396" t="s">
        <v>10111</v>
      </c>
      <c r="C5284" s="396" t="s">
        <v>10112</v>
      </c>
      <c r="D5284" s="396" t="s">
        <v>10086</v>
      </c>
      <c r="E5284" s="396" t="s">
        <v>10087</v>
      </c>
      <c r="F5284" s="396" t="s">
        <v>9647</v>
      </c>
    </row>
    <row r="5285">
      <c r="A5285" s="311">
        <v>5284</v>
      </c>
      <c r="B5285" s="396" t="s">
        <v>10113</v>
      </c>
      <c r="C5285" s="396" t="s">
        <v>10114</v>
      </c>
      <c r="D5285" s="396" t="s">
        <v>10086</v>
      </c>
      <c r="E5285" s="396" t="s">
        <v>10087</v>
      </c>
      <c r="F5285" s="396" t="s">
        <v>9647</v>
      </c>
    </row>
    <row r="5286">
      <c r="A5286" s="311">
        <v>5285</v>
      </c>
      <c r="B5286" s="396" t="s">
        <v>10115</v>
      </c>
      <c r="C5286" s="396" t="s">
        <v>10116</v>
      </c>
      <c r="D5286" s="396" t="s">
        <v>10086</v>
      </c>
      <c r="E5286" s="396" t="s">
        <v>10087</v>
      </c>
      <c r="F5286" s="396" t="s">
        <v>9647</v>
      </c>
    </row>
    <row r="5287">
      <c r="A5287" s="311">
        <v>5286</v>
      </c>
      <c r="B5287" s="396" t="s">
        <v>10117</v>
      </c>
      <c r="C5287" s="396" t="s">
        <v>10118</v>
      </c>
      <c r="D5287" s="396" t="s">
        <v>10086</v>
      </c>
      <c r="E5287" s="396" t="s">
        <v>10087</v>
      </c>
      <c r="F5287" s="396" t="s">
        <v>9647</v>
      </c>
    </row>
    <row r="5288">
      <c r="A5288" s="311">
        <v>5287</v>
      </c>
      <c r="B5288" s="396" t="s">
        <v>10119</v>
      </c>
      <c r="C5288" s="396" t="s">
        <v>10120</v>
      </c>
      <c r="D5288" s="396" t="s">
        <v>10086</v>
      </c>
      <c r="E5288" s="396" t="s">
        <v>10087</v>
      </c>
      <c r="F5288" s="396" t="s">
        <v>9647</v>
      </c>
    </row>
    <row r="5289">
      <c r="A5289" s="311">
        <v>5288</v>
      </c>
      <c r="B5289" s="396" t="s">
        <v>10121</v>
      </c>
      <c r="C5289" s="396" t="s">
        <v>10122</v>
      </c>
      <c r="D5289" s="396" t="s">
        <v>10086</v>
      </c>
      <c r="E5289" s="396" t="s">
        <v>10087</v>
      </c>
      <c r="F5289" s="396" t="s">
        <v>9647</v>
      </c>
    </row>
    <row r="5290">
      <c r="A5290" s="311">
        <v>5289</v>
      </c>
      <c r="B5290" s="396" t="s">
        <v>10123</v>
      </c>
      <c r="C5290" s="396" t="s">
        <v>10124</v>
      </c>
      <c r="D5290" s="396" t="s">
        <v>10086</v>
      </c>
      <c r="E5290" s="396" t="s">
        <v>10087</v>
      </c>
      <c r="F5290" s="396" t="s">
        <v>9647</v>
      </c>
    </row>
    <row r="5291">
      <c r="A5291" s="311">
        <v>5290</v>
      </c>
      <c r="B5291" s="396" t="s">
        <v>10125</v>
      </c>
      <c r="C5291" s="396" t="s">
        <v>10126</v>
      </c>
      <c r="D5291" s="396" t="s">
        <v>10086</v>
      </c>
      <c r="E5291" s="396" t="s">
        <v>10087</v>
      </c>
      <c r="F5291" s="396" t="s">
        <v>9647</v>
      </c>
    </row>
    <row r="5292">
      <c r="A5292" s="311">
        <v>5291</v>
      </c>
      <c r="B5292" s="396" t="s">
        <v>10127</v>
      </c>
      <c r="C5292" s="396" t="s">
        <v>10128</v>
      </c>
      <c r="D5292" s="396" t="s">
        <v>10086</v>
      </c>
      <c r="E5292" s="396" t="s">
        <v>10087</v>
      </c>
      <c r="F5292" s="396" t="s">
        <v>9647</v>
      </c>
    </row>
    <row r="5293">
      <c r="A5293" s="311">
        <v>5292</v>
      </c>
      <c r="B5293" s="396" t="s">
        <v>10129</v>
      </c>
      <c r="C5293" s="396" t="s">
        <v>10130</v>
      </c>
      <c r="D5293" s="396" t="s">
        <v>10086</v>
      </c>
      <c r="E5293" s="396" t="s">
        <v>10087</v>
      </c>
      <c r="F5293" s="396" t="s">
        <v>9647</v>
      </c>
    </row>
    <row r="5294">
      <c r="A5294" s="311">
        <v>5293</v>
      </c>
      <c r="B5294" s="396" t="s">
        <v>10131</v>
      </c>
      <c r="C5294" s="396" t="s">
        <v>10132</v>
      </c>
      <c r="D5294" s="396" t="s">
        <v>10086</v>
      </c>
      <c r="E5294" s="396" t="s">
        <v>10087</v>
      </c>
      <c r="F5294" s="396" t="s">
        <v>9647</v>
      </c>
    </row>
    <row r="5295">
      <c r="A5295" s="311">
        <v>5294</v>
      </c>
      <c r="B5295" s="396" t="s">
        <v>10133</v>
      </c>
      <c r="C5295" s="396" t="s">
        <v>10134</v>
      </c>
      <c r="D5295" s="396" t="s">
        <v>10086</v>
      </c>
      <c r="E5295" s="396" t="s">
        <v>10087</v>
      </c>
      <c r="F5295" s="396" t="s">
        <v>9647</v>
      </c>
    </row>
    <row r="5296">
      <c r="A5296" s="311">
        <v>5295</v>
      </c>
      <c r="B5296" s="396" t="s">
        <v>10135</v>
      </c>
      <c r="C5296" s="396" t="s">
        <v>10136</v>
      </c>
      <c r="D5296" s="396" t="s">
        <v>10137</v>
      </c>
      <c r="E5296" s="396" t="s">
        <v>10138</v>
      </c>
      <c r="F5296" s="396" t="s">
        <v>9647</v>
      </c>
    </row>
    <row r="5297">
      <c r="A5297" s="311">
        <v>5296</v>
      </c>
      <c r="B5297" s="396" t="s">
        <v>10139</v>
      </c>
      <c r="C5297" s="396" t="s">
        <v>10140</v>
      </c>
      <c r="D5297" s="396" t="s">
        <v>10137</v>
      </c>
      <c r="E5297" s="396" t="s">
        <v>10138</v>
      </c>
      <c r="F5297" s="396" t="s">
        <v>9647</v>
      </c>
    </row>
    <row r="5298">
      <c r="A5298" s="311">
        <v>5297</v>
      </c>
      <c r="B5298" s="396" t="s">
        <v>10141</v>
      </c>
      <c r="C5298" s="396" t="s">
        <v>10142</v>
      </c>
      <c r="D5298" s="396" t="s">
        <v>10137</v>
      </c>
      <c r="E5298" s="396" t="s">
        <v>10138</v>
      </c>
      <c r="F5298" s="396" t="s">
        <v>9647</v>
      </c>
    </row>
    <row r="5299">
      <c r="A5299" s="311">
        <v>5298</v>
      </c>
      <c r="B5299" s="396" t="s">
        <v>10143</v>
      </c>
      <c r="C5299" s="396" t="s">
        <v>10144</v>
      </c>
      <c r="D5299" s="396" t="s">
        <v>10137</v>
      </c>
      <c r="E5299" s="396" t="s">
        <v>10138</v>
      </c>
      <c r="F5299" s="396" t="s">
        <v>9647</v>
      </c>
    </row>
    <row r="5300">
      <c r="A5300" s="311">
        <v>5299</v>
      </c>
      <c r="B5300" s="396" t="s">
        <v>10145</v>
      </c>
      <c r="C5300" s="396" t="s">
        <v>10146</v>
      </c>
      <c r="D5300" s="396" t="s">
        <v>10137</v>
      </c>
      <c r="E5300" s="396" t="s">
        <v>10138</v>
      </c>
      <c r="F5300" s="396" t="s">
        <v>9647</v>
      </c>
    </row>
    <row r="5301">
      <c r="A5301" s="311">
        <v>5300</v>
      </c>
      <c r="B5301" s="396" t="s">
        <v>10147</v>
      </c>
      <c r="C5301" s="396" t="s">
        <v>9240</v>
      </c>
      <c r="D5301" s="396" t="s">
        <v>10137</v>
      </c>
      <c r="E5301" s="396" t="s">
        <v>10138</v>
      </c>
      <c r="F5301" s="396" t="s">
        <v>9647</v>
      </c>
    </row>
    <row r="5302">
      <c r="A5302" s="311">
        <v>5301</v>
      </c>
      <c r="B5302" s="396" t="s">
        <v>10148</v>
      </c>
      <c r="C5302" s="396" t="s">
        <v>1895</v>
      </c>
      <c r="D5302" s="396" t="s">
        <v>10137</v>
      </c>
      <c r="E5302" s="396" t="s">
        <v>10138</v>
      </c>
      <c r="F5302" s="396" t="s">
        <v>9647</v>
      </c>
    </row>
    <row r="5303">
      <c r="A5303" s="311">
        <v>5302</v>
      </c>
      <c r="B5303" s="396" t="s">
        <v>10149</v>
      </c>
      <c r="C5303" s="396" t="s">
        <v>10150</v>
      </c>
      <c r="D5303" s="396" t="s">
        <v>10137</v>
      </c>
      <c r="E5303" s="396" t="s">
        <v>10138</v>
      </c>
      <c r="F5303" s="396" t="s">
        <v>9647</v>
      </c>
    </row>
    <row r="5304">
      <c r="A5304" s="311">
        <v>5303</v>
      </c>
      <c r="B5304" s="396" t="s">
        <v>10151</v>
      </c>
      <c r="C5304" s="396" t="s">
        <v>10152</v>
      </c>
      <c r="D5304" s="396" t="s">
        <v>10137</v>
      </c>
      <c r="E5304" s="396" t="s">
        <v>10138</v>
      </c>
      <c r="F5304" s="396" t="s">
        <v>9647</v>
      </c>
    </row>
    <row r="5305">
      <c r="A5305" s="311">
        <v>5304</v>
      </c>
      <c r="B5305" s="396" t="s">
        <v>10153</v>
      </c>
      <c r="C5305" s="396" t="s">
        <v>4356</v>
      </c>
      <c r="D5305" s="396" t="s">
        <v>10137</v>
      </c>
      <c r="E5305" s="396" t="s">
        <v>10138</v>
      </c>
      <c r="F5305" s="396" t="s">
        <v>9647</v>
      </c>
    </row>
    <row r="5306">
      <c r="A5306" s="311">
        <v>5305</v>
      </c>
      <c r="B5306" s="396" t="s">
        <v>10154</v>
      </c>
      <c r="C5306" s="396" t="s">
        <v>700</v>
      </c>
      <c r="D5306" s="396" t="s">
        <v>10137</v>
      </c>
      <c r="E5306" s="396" t="s">
        <v>10138</v>
      </c>
      <c r="F5306" s="396" t="s">
        <v>9647</v>
      </c>
    </row>
    <row r="5307">
      <c r="A5307" s="311">
        <v>5306</v>
      </c>
      <c r="B5307" s="396" t="s">
        <v>10155</v>
      </c>
      <c r="C5307" s="396" t="s">
        <v>1687</v>
      </c>
      <c r="D5307" s="396" t="s">
        <v>10137</v>
      </c>
      <c r="E5307" s="396" t="s">
        <v>10138</v>
      </c>
      <c r="F5307" s="396" t="s">
        <v>9647</v>
      </c>
    </row>
    <row r="5308">
      <c r="A5308" s="311">
        <v>5307</v>
      </c>
      <c r="B5308" s="396" t="s">
        <v>10156</v>
      </c>
      <c r="C5308" s="396" t="s">
        <v>2787</v>
      </c>
      <c r="D5308" s="396" t="s">
        <v>10137</v>
      </c>
      <c r="E5308" s="396" t="s">
        <v>10138</v>
      </c>
      <c r="F5308" s="396" t="s">
        <v>9647</v>
      </c>
    </row>
    <row r="5309">
      <c r="A5309" s="311">
        <v>5308</v>
      </c>
      <c r="B5309" s="396" t="s">
        <v>10157</v>
      </c>
      <c r="C5309" s="396" t="s">
        <v>10158</v>
      </c>
      <c r="D5309" s="396" t="s">
        <v>10137</v>
      </c>
      <c r="E5309" s="396" t="s">
        <v>10138</v>
      </c>
      <c r="F5309" s="396" t="s">
        <v>9647</v>
      </c>
    </row>
    <row r="5310">
      <c r="A5310" s="311">
        <v>5309</v>
      </c>
      <c r="B5310" s="396" t="s">
        <v>10159</v>
      </c>
      <c r="C5310" s="396" t="s">
        <v>10160</v>
      </c>
      <c r="D5310" s="396" t="s">
        <v>10137</v>
      </c>
      <c r="E5310" s="396" t="s">
        <v>10138</v>
      </c>
      <c r="F5310" s="396" t="s">
        <v>9647</v>
      </c>
    </row>
    <row r="5311">
      <c r="A5311" s="311">
        <v>5310</v>
      </c>
      <c r="B5311" s="396" t="s">
        <v>10161</v>
      </c>
      <c r="C5311" s="396" t="s">
        <v>316</v>
      </c>
      <c r="D5311" s="396" t="s">
        <v>10137</v>
      </c>
      <c r="E5311" s="396" t="s">
        <v>10138</v>
      </c>
      <c r="F5311" s="396" t="s">
        <v>9647</v>
      </c>
    </row>
    <row r="5312">
      <c r="A5312" s="311">
        <v>5311</v>
      </c>
      <c r="B5312" s="396" t="s">
        <v>10162</v>
      </c>
      <c r="C5312" s="396" t="s">
        <v>2369</v>
      </c>
      <c r="D5312" s="396" t="s">
        <v>10137</v>
      </c>
      <c r="E5312" s="396" t="s">
        <v>10138</v>
      </c>
      <c r="F5312" s="396" t="s">
        <v>9647</v>
      </c>
    </row>
    <row r="5313">
      <c r="A5313" s="311">
        <v>5312</v>
      </c>
      <c r="B5313" s="396" t="s">
        <v>10163</v>
      </c>
      <c r="C5313" s="396" t="s">
        <v>605</v>
      </c>
      <c r="D5313" s="396" t="s">
        <v>10137</v>
      </c>
      <c r="E5313" s="396" t="s">
        <v>10138</v>
      </c>
      <c r="F5313" s="396" t="s">
        <v>9647</v>
      </c>
    </row>
    <row r="5314">
      <c r="A5314" s="311">
        <v>5313</v>
      </c>
      <c r="B5314" s="396" t="s">
        <v>10164</v>
      </c>
      <c r="C5314" s="396" t="s">
        <v>10165</v>
      </c>
      <c r="D5314" s="396" t="s">
        <v>10137</v>
      </c>
      <c r="E5314" s="396" t="s">
        <v>10138</v>
      </c>
      <c r="F5314" s="396" t="s">
        <v>9647</v>
      </c>
    </row>
    <row r="5315">
      <c r="A5315" s="311">
        <v>5314</v>
      </c>
      <c r="B5315" s="396" t="s">
        <v>10166</v>
      </c>
      <c r="C5315" s="396" t="s">
        <v>10167</v>
      </c>
      <c r="D5315" s="396" t="s">
        <v>10137</v>
      </c>
      <c r="E5315" s="396" t="s">
        <v>10138</v>
      </c>
      <c r="F5315" s="396" t="s">
        <v>9647</v>
      </c>
    </row>
    <row r="5316">
      <c r="A5316" s="311">
        <v>5315</v>
      </c>
      <c r="B5316" s="396" t="s">
        <v>10168</v>
      </c>
      <c r="C5316" s="396" t="s">
        <v>10169</v>
      </c>
      <c r="D5316" s="396" t="s">
        <v>10137</v>
      </c>
      <c r="E5316" s="396" t="s">
        <v>10138</v>
      </c>
      <c r="F5316" s="396" t="s">
        <v>9647</v>
      </c>
    </row>
    <row r="5317">
      <c r="A5317" s="311">
        <v>5316</v>
      </c>
      <c r="B5317" s="396" t="s">
        <v>10170</v>
      </c>
      <c r="C5317" s="396" t="s">
        <v>10171</v>
      </c>
      <c r="D5317" s="396" t="s">
        <v>10137</v>
      </c>
      <c r="E5317" s="396" t="s">
        <v>10138</v>
      </c>
      <c r="F5317" s="396" t="s">
        <v>9647</v>
      </c>
    </row>
    <row r="5318">
      <c r="A5318" s="311">
        <v>5317</v>
      </c>
      <c r="B5318" s="396" t="s">
        <v>10172</v>
      </c>
      <c r="C5318" s="396" t="s">
        <v>10173</v>
      </c>
      <c r="D5318" s="396" t="s">
        <v>10137</v>
      </c>
      <c r="E5318" s="396" t="s">
        <v>10138</v>
      </c>
      <c r="F5318" s="396" t="s">
        <v>9647</v>
      </c>
    </row>
    <row r="5319">
      <c r="A5319" s="311">
        <v>5318</v>
      </c>
      <c r="B5319" s="396" t="s">
        <v>10174</v>
      </c>
      <c r="C5319" s="396" t="s">
        <v>690</v>
      </c>
      <c r="D5319" s="396" t="s">
        <v>10137</v>
      </c>
      <c r="E5319" s="396" t="s">
        <v>10138</v>
      </c>
      <c r="F5319" s="396" t="s">
        <v>9647</v>
      </c>
    </row>
    <row r="5320">
      <c r="A5320" s="311">
        <v>5319</v>
      </c>
      <c r="B5320" s="396" t="s">
        <v>10175</v>
      </c>
      <c r="C5320" s="396" t="s">
        <v>10176</v>
      </c>
      <c r="D5320" s="396" t="s">
        <v>10137</v>
      </c>
      <c r="E5320" s="396" t="s">
        <v>10138</v>
      </c>
      <c r="F5320" s="396" t="s">
        <v>9647</v>
      </c>
    </row>
    <row r="5321">
      <c r="A5321" s="311">
        <v>5320</v>
      </c>
      <c r="B5321" s="396" t="s">
        <v>10177</v>
      </c>
      <c r="C5321" s="396" t="s">
        <v>10178</v>
      </c>
      <c r="D5321" s="396" t="s">
        <v>10137</v>
      </c>
      <c r="E5321" s="396" t="s">
        <v>10138</v>
      </c>
      <c r="F5321" s="396" t="s">
        <v>9647</v>
      </c>
    </row>
    <row r="5322">
      <c r="A5322" s="311">
        <v>5321</v>
      </c>
      <c r="B5322" s="396" t="s">
        <v>10179</v>
      </c>
      <c r="C5322" s="396" t="s">
        <v>10180</v>
      </c>
      <c r="D5322" s="396" t="s">
        <v>10137</v>
      </c>
      <c r="E5322" s="396" t="s">
        <v>10138</v>
      </c>
      <c r="F5322" s="396" t="s">
        <v>9647</v>
      </c>
    </row>
    <row r="5323">
      <c r="A5323" s="311">
        <v>5322</v>
      </c>
      <c r="B5323" s="396" t="s">
        <v>10181</v>
      </c>
      <c r="C5323" s="396" t="s">
        <v>10182</v>
      </c>
      <c r="D5323" s="396" t="s">
        <v>10137</v>
      </c>
      <c r="E5323" s="396" t="s">
        <v>10138</v>
      </c>
      <c r="F5323" s="396" t="s">
        <v>9647</v>
      </c>
    </row>
    <row r="5324">
      <c r="A5324" s="311">
        <v>5323</v>
      </c>
      <c r="B5324" s="396" t="s">
        <v>10183</v>
      </c>
      <c r="C5324" s="396" t="s">
        <v>9236</v>
      </c>
      <c r="D5324" s="396" t="s">
        <v>10137</v>
      </c>
      <c r="E5324" s="396" t="s">
        <v>10138</v>
      </c>
      <c r="F5324" s="396" t="s">
        <v>9647</v>
      </c>
    </row>
    <row r="5325">
      <c r="A5325" s="311">
        <v>5324</v>
      </c>
      <c r="B5325" s="396" t="s">
        <v>10184</v>
      </c>
      <c r="C5325" s="396" t="s">
        <v>10185</v>
      </c>
      <c r="D5325" s="396" t="s">
        <v>10137</v>
      </c>
      <c r="E5325" s="396" t="s">
        <v>10138</v>
      </c>
      <c r="F5325" s="396" t="s">
        <v>9647</v>
      </c>
    </row>
    <row r="5326">
      <c r="A5326" s="311">
        <v>5325</v>
      </c>
      <c r="B5326" s="396" t="s">
        <v>10186</v>
      </c>
      <c r="C5326" s="396" t="s">
        <v>7118</v>
      </c>
      <c r="D5326" s="396" t="s">
        <v>10137</v>
      </c>
      <c r="E5326" s="396" t="s">
        <v>10138</v>
      </c>
      <c r="F5326" s="396" t="s">
        <v>9647</v>
      </c>
    </row>
    <row r="5327">
      <c r="A5327" s="311">
        <v>5326</v>
      </c>
      <c r="B5327" s="396" t="s">
        <v>10187</v>
      </c>
      <c r="C5327" s="396" t="s">
        <v>10188</v>
      </c>
      <c r="D5327" s="396" t="s">
        <v>10137</v>
      </c>
      <c r="E5327" s="396" t="s">
        <v>10138</v>
      </c>
      <c r="F5327" s="396" t="s">
        <v>9647</v>
      </c>
    </row>
    <row r="5328">
      <c r="A5328" s="311">
        <v>5327</v>
      </c>
      <c r="B5328" s="396" t="s">
        <v>10189</v>
      </c>
      <c r="C5328" s="396" t="s">
        <v>1107</v>
      </c>
      <c r="D5328" s="396" t="s">
        <v>10137</v>
      </c>
      <c r="E5328" s="396" t="s">
        <v>10138</v>
      </c>
      <c r="F5328" s="396" t="s">
        <v>9647</v>
      </c>
    </row>
    <row r="5329">
      <c r="A5329" s="311">
        <v>5328</v>
      </c>
      <c r="B5329" s="396" t="s">
        <v>10190</v>
      </c>
      <c r="C5329" s="396" t="s">
        <v>10191</v>
      </c>
      <c r="D5329" s="396" t="s">
        <v>10137</v>
      </c>
      <c r="E5329" s="396" t="s">
        <v>10138</v>
      </c>
      <c r="F5329" s="396" t="s">
        <v>9647</v>
      </c>
    </row>
    <row r="5330">
      <c r="A5330" s="311">
        <v>5329</v>
      </c>
      <c r="B5330" s="396" t="s">
        <v>10192</v>
      </c>
      <c r="C5330" s="396" t="s">
        <v>4144</v>
      </c>
      <c r="D5330" s="396" t="s">
        <v>10137</v>
      </c>
      <c r="E5330" s="396" t="s">
        <v>10138</v>
      </c>
      <c r="F5330" s="396" t="s">
        <v>9647</v>
      </c>
    </row>
    <row r="5331">
      <c r="A5331" s="311">
        <v>5330</v>
      </c>
      <c r="B5331" s="396" t="s">
        <v>10193</v>
      </c>
      <c r="C5331" s="396" t="s">
        <v>2312</v>
      </c>
      <c r="D5331" s="396" t="s">
        <v>10137</v>
      </c>
      <c r="E5331" s="396" t="s">
        <v>10138</v>
      </c>
      <c r="F5331" s="396" t="s">
        <v>9647</v>
      </c>
    </row>
    <row r="5332">
      <c r="A5332" s="311">
        <v>5331</v>
      </c>
      <c r="B5332" s="396" t="s">
        <v>10194</v>
      </c>
      <c r="C5332" s="396" t="s">
        <v>10195</v>
      </c>
      <c r="D5332" s="396" t="s">
        <v>10137</v>
      </c>
      <c r="E5332" s="396" t="s">
        <v>10138</v>
      </c>
      <c r="F5332" s="396" t="s">
        <v>9647</v>
      </c>
    </row>
    <row r="5333">
      <c r="A5333" s="311">
        <v>5332</v>
      </c>
      <c r="B5333" s="396" t="s">
        <v>10196</v>
      </c>
      <c r="C5333" s="396" t="s">
        <v>1589</v>
      </c>
      <c r="D5333" s="396" t="s">
        <v>10137</v>
      </c>
      <c r="E5333" s="396" t="s">
        <v>10138</v>
      </c>
      <c r="F5333" s="396" t="s">
        <v>9647</v>
      </c>
    </row>
    <row r="5334">
      <c r="A5334" s="311">
        <v>5333</v>
      </c>
      <c r="B5334" s="396" t="s">
        <v>10197</v>
      </c>
      <c r="C5334" s="396" t="s">
        <v>9245</v>
      </c>
      <c r="D5334" s="396" t="s">
        <v>10137</v>
      </c>
      <c r="E5334" s="396" t="s">
        <v>10138</v>
      </c>
      <c r="F5334" s="396" t="s">
        <v>9647</v>
      </c>
    </row>
    <row r="5335">
      <c r="A5335" s="311">
        <v>5334</v>
      </c>
      <c r="B5335" s="396" t="s">
        <v>10198</v>
      </c>
      <c r="C5335" s="396" t="s">
        <v>9258</v>
      </c>
      <c r="D5335" s="396" t="s">
        <v>10137</v>
      </c>
      <c r="E5335" s="396" t="s">
        <v>10138</v>
      </c>
      <c r="F5335" s="396" t="s">
        <v>9647</v>
      </c>
    </row>
    <row r="5336">
      <c r="A5336" s="311">
        <v>5335</v>
      </c>
      <c r="B5336" s="396" t="s">
        <v>10199</v>
      </c>
      <c r="C5336" s="396" t="s">
        <v>10200</v>
      </c>
      <c r="D5336" s="396" t="s">
        <v>10137</v>
      </c>
      <c r="E5336" s="396" t="s">
        <v>10138</v>
      </c>
      <c r="F5336" s="396" t="s">
        <v>9647</v>
      </c>
    </row>
    <row r="5337">
      <c r="A5337" s="311">
        <v>5336</v>
      </c>
      <c r="B5337" s="396" t="s">
        <v>10201</v>
      </c>
      <c r="C5337" s="396" t="s">
        <v>10202</v>
      </c>
      <c r="D5337" s="396" t="s">
        <v>10203</v>
      </c>
      <c r="E5337" s="396" t="s">
        <v>10204</v>
      </c>
      <c r="F5337" s="396" t="s">
        <v>9647</v>
      </c>
    </row>
    <row r="5338">
      <c r="A5338" s="311">
        <v>5337</v>
      </c>
      <c r="B5338" s="396" t="s">
        <v>10205</v>
      </c>
      <c r="C5338" s="396" t="s">
        <v>10206</v>
      </c>
      <c r="D5338" s="396" t="s">
        <v>10203</v>
      </c>
      <c r="E5338" s="396" t="s">
        <v>10204</v>
      </c>
      <c r="F5338" s="396" t="s">
        <v>9647</v>
      </c>
    </row>
    <row r="5339">
      <c r="A5339" s="311">
        <v>5338</v>
      </c>
      <c r="B5339" s="396" t="s">
        <v>10207</v>
      </c>
      <c r="C5339" s="396" t="s">
        <v>9109</v>
      </c>
      <c r="D5339" s="396" t="s">
        <v>10203</v>
      </c>
      <c r="E5339" s="396" t="s">
        <v>10204</v>
      </c>
      <c r="F5339" s="396" t="s">
        <v>9647</v>
      </c>
    </row>
    <row r="5340">
      <c r="A5340" s="311">
        <v>5339</v>
      </c>
      <c r="B5340" s="396" t="s">
        <v>10208</v>
      </c>
      <c r="C5340" s="396" t="s">
        <v>10209</v>
      </c>
      <c r="D5340" s="396" t="s">
        <v>10203</v>
      </c>
      <c r="E5340" s="396" t="s">
        <v>10204</v>
      </c>
      <c r="F5340" s="396" t="s">
        <v>9647</v>
      </c>
    </row>
    <row r="5341">
      <c r="A5341" s="311">
        <v>5340</v>
      </c>
      <c r="B5341" s="396" t="s">
        <v>10210</v>
      </c>
      <c r="C5341" s="396" t="s">
        <v>10211</v>
      </c>
      <c r="D5341" s="396" t="s">
        <v>10203</v>
      </c>
      <c r="E5341" s="396" t="s">
        <v>10204</v>
      </c>
      <c r="F5341" s="396" t="s">
        <v>9647</v>
      </c>
    </row>
    <row r="5342">
      <c r="A5342" s="311">
        <v>5341</v>
      </c>
      <c r="B5342" s="396" t="s">
        <v>10212</v>
      </c>
      <c r="C5342" s="396" t="s">
        <v>2803</v>
      </c>
      <c r="D5342" s="396" t="s">
        <v>10203</v>
      </c>
      <c r="E5342" s="396" t="s">
        <v>10204</v>
      </c>
      <c r="F5342" s="396" t="s">
        <v>9647</v>
      </c>
    </row>
    <row r="5343">
      <c r="A5343" s="311">
        <v>5342</v>
      </c>
      <c r="B5343" s="396" t="s">
        <v>10213</v>
      </c>
      <c r="C5343" s="396" t="s">
        <v>10214</v>
      </c>
      <c r="D5343" s="396" t="s">
        <v>10203</v>
      </c>
      <c r="E5343" s="396" t="s">
        <v>10204</v>
      </c>
      <c r="F5343" s="396" t="s">
        <v>9647</v>
      </c>
    </row>
    <row r="5344">
      <c r="A5344" s="311">
        <v>5343</v>
      </c>
      <c r="B5344" s="396" t="s">
        <v>10215</v>
      </c>
      <c r="C5344" s="396" t="s">
        <v>10216</v>
      </c>
      <c r="D5344" s="396" t="s">
        <v>10203</v>
      </c>
      <c r="E5344" s="396" t="s">
        <v>10204</v>
      </c>
      <c r="F5344" s="396" t="s">
        <v>9647</v>
      </c>
    </row>
    <row r="5345">
      <c r="A5345" s="311">
        <v>5344</v>
      </c>
      <c r="B5345" s="396" t="s">
        <v>10217</v>
      </c>
      <c r="C5345" s="396" t="s">
        <v>10218</v>
      </c>
      <c r="D5345" s="396" t="s">
        <v>10203</v>
      </c>
      <c r="E5345" s="396" t="s">
        <v>10204</v>
      </c>
      <c r="F5345" s="396" t="s">
        <v>9647</v>
      </c>
    </row>
    <row r="5346">
      <c r="A5346" s="311">
        <v>5345</v>
      </c>
      <c r="B5346" s="396" t="s">
        <v>10219</v>
      </c>
      <c r="C5346" s="396" t="s">
        <v>10176</v>
      </c>
      <c r="D5346" s="396" t="s">
        <v>10203</v>
      </c>
      <c r="E5346" s="396" t="s">
        <v>10204</v>
      </c>
      <c r="F5346" s="396" t="s">
        <v>9647</v>
      </c>
    </row>
    <row r="5347">
      <c r="A5347" s="311">
        <v>5346</v>
      </c>
      <c r="B5347" s="396" t="s">
        <v>10220</v>
      </c>
      <c r="C5347" s="396" t="s">
        <v>6576</v>
      </c>
      <c r="D5347" s="396" t="s">
        <v>10203</v>
      </c>
      <c r="E5347" s="396" t="s">
        <v>10204</v>
      </c>
      <c r="F5347" s="396" t="s">
        <v>9647</v>
      </c>
    </row>
    <row r="5348">
      <c r="A5348" s="311">
        <v>5347</v>
      </c>
      <c r="B5348" s="396" t="s">
        <v>10221</v>
      </c>
      <c r="C5348" s="396" t="s">
        <v>6088</v>
      </c>
      <c r="D5348" s="396" t="s">
        <v>10203</v>
      </c>
      <c r="E5348" s="396" t="s">
        <v>10204</v>
      </c>
      <c r="F5348" s="396" t="s">
        <v>9647</v>
      </c>
    </row>
    <row r="5349">
      <c r="A5349" s="311">
        <v>5348</v>
      </c>
      <c r="B5349" s="396" t="s">
        <v>10222</v>
      </c>
      <c r="C5349" s="396" t="s">
        <v>998</v>
      </c>
      <c r="D5349" s="396" t="s">
        <v>10203</v>
      </c>
      <c r="E5349" s="396" t="s">
        <v>10204</v>
      </c>
      <c r="F5349" s="396" t="s">
        <v>9647</v>
      </c>
    </row>
    <row r="5350">
      <c r="A5350" s="311">
        <v>5349</v>
      </c>
      <c r="B5350" s="396" t="s">
        <v>10223</v>
      </c>
      <c r="C5350" s="396" t="s">
        <v>10224</v>
      </c>
      <c r="D5350" s="396" t="s">
        <v>10203</v>
      </c>
      <c r="E5350" s="396" t="s">
        <v>10204</v>
      </c>
      <c r="F5350" s="396" t="s">
        <v>9647</v>
      </c>
    </row>
    <row r="5351">
      <c r="A5351" s="311">
        <v>5350</v>
      </c>
      <c r="B5351" s="396" t="s">
        <v>10225</v>
      </c>
      <c r="C5351" s="396" t="s">
        <v>10226</v>
      </c>
      <c r="D5351" s="396" t="s">
        <v>10203</v>
      </c>
      <c r="E5351" s="396" t="s">
        <v>10204</v>
      </c>
      <c r="F5351" s="396" t="s">
        <v>9647</v>
      </c>
    </row>
    <row r="5352">
      <c r="A5352" s="311">
        <v>5351</v>
      </c>
      <c r="B5352" s="396" t="s">
        <v>10227</v>
      </c>
      <c r="C5352" s="396" t="s">
        <v>10228</v>
      </c>
      <c r="D5352" s="396" t="s">
        <v>10203</v>
      </c>
      <c r="E5352" s="396" t="s">
        <v>10204</v>
      </c>
      <c r="F5352" s="396" t="s">
        <v>9647</v>
      </c>
    </row>
    <row r="5353">
      <c r="A5353" s="311">
        <v>5352</v>
      </c>
      <c r="B5353" s="396" t="s">
        <v>10229</v>
      </c>
      <c r="C5353" s="396" t="s">
        <v>1552</v>
      </c>
      <c r="D5353" s="396" t="s">
        <v>10203</v>
      </c>
      <c r="E5353" s="396" t="s">
        <v>10204</v>
      </c>
      <c r="F5353" s="396" t="s">
        <v>9647</v>
      </c>
    </row>
    <row r="5354">
      <c r="A5354" s="311">
        <v>5353</v>
      </c>
      <c r="B5354" s="396" t="s">
        <v>10230</v>
      </c>
      <c r="C5354" s="396" t="s">
        <v>10231</v>
      </c>
      <c r="D5354" s="396" t="s">
        <v>10232</v>
      </c>
      <c r="E5354" s="396" t="s">
        <v>10233</v>
      </c>
      <c r="F5354" s="396" t="s">
        <v>9647</v>
      </c>
    </row>
    <row r="5355">
      <c r="A5355" s="311">
        <v>5354</v>
      </c>
      <c r="B5355" s="396" t="s">
        <v>10234</v>
      </c>
      <c r="C5355" s="396" t="s">
        <v>10235</v>
      </c>
      <c r="D5355" s="396" t="s">
        <v>10232</v>
      </c>
      <c r="E5355" s="396" t="s">
        <v>10233</v>
      </c>
      <c r="F5355" s="396" t="s">
        <v>9647</v>
      </c>
    </row>
    <row r="5356">
      <c r="A5356" s="311">
        <v>5355</v>
      </c>
      <c r="B5356" s="396" t="s">
        <v>10236</v>
      </c>
      <c r="C5356" s="396" t="s">
        <v>10237</v>
      </c>
      <c r="D5356" s="396" t="s">
        <v>10232</v>
      </c>
      <c r="E5356" s="396" t="s">
        <v>10233</v>
      </c>
      <c r="F5356" s="396" t="s">
        <v>9647</v>
      </c>
    </row>
    <row r="5357">
      <c r="A5357" s="311">
        <v>5356</v>
      </c>
      <c r="B5357" s="396" t="s">
        <v>10238</v>
      </c>
      <c r="C5357" s="396" t="s">
        <v>10239</v>
      </c>
      <c r="D5357" s="396" t="s">
        <v>10232</v>
      </c>
      <c r="E5357" s="396" t="s">
        <v>10233</v>
      </c>
      <c r="F5357" s="396" t="s">
        <v>9647</v>
      </c>
    </row>
    <row r="5358">
      <c r="A5358" s="311">
        <v>5357</v>
      </c>
      <c r="B5358" s="396" t="s">
        <v>10240</v>
      </c>
      <c r="C5358" s="396" t="s">
        <v>6676</v>
      </c>
      <c r="D5358" s="396" t="s">
        <v>10232</v>
      </c>
      <c r="E5358" s="396" t="s">
        <v>10233</v>
      </c>
      <c r="F5358" s="396" t="s">
        <v>9647</v>
      </c>
    </row>
    <row r="5359">
      <c r="A5359" s="311">
        <v>5358</v>
      </c>
      <c r="B5359" s="396" t="s">
        <v>10241</v>
      </c>
      <c r="C5359" s="396" t="s">
        <v>1216</v>
      </c>
      <c r="D5359" s="396" t="s">
        <v>10232</v>
      </c>
      <c r="E5359" s="396" t="s">
        <v>10233</v>
      </c>
      <c r="F5359" s="396" t="s">
        <v>9647</v>
      </c>
    </row>
    <row r="5360">
      <c r="A5360" s="311">
        <v>5359</v>
      </c>
      <c r="B5360" s="396" t="s">
        <v>10242</v>
      </c>
      <c r="C5360" s="396" t="s">
        <v>2513</v>
      </c>
      <c r="D5360" s="396" t="s">
        <v>10232</v>
      </c>
      <c r="E5360" s="396" t="s">
        <v>10233</v>
      </c>
      <c r="F5360" s="396" t="s">
        <v>9647</v>
      </c>
    </row>
    <row r="5361">
      <c r="A5361" s="311">
        <v>5360</v>
      </c>
      <c r="B5361" s="396" t="s">
        <v>10243</v>
      </c>
      <c r="C5361" s="396" t="s">
        <v>10244</v>
      </c>
      <c r="D5361" s="396" t="s">
        <v>10232</v>
      </c>
      <c r="E5361" s="396" t="s">
        <v>10233</v>
      </c>
      <c r="F5361" s="396" t="s">
        <v>9647</v>
      </c>
    </row>
    <row r="5362">
      <c r="A5362" s="311">
        <v>5361</v>
      </c>
      <c r="B5362" s="396" t="s">
        <v>10245</v>
      </c>
      <c r="C5362" s="396" t="s">
        <v>10246</v>
      </c>
      <c r="D5362" s="396" t="s">
        <v>10232</v>
      </c>
      <c r="E5362" s="396" t="s">
        <v>10233</v>
      </c>
      <c r="F5362" s="396" t="s">
        <v>9647</v>
      </c>
    </row>
    <row r="5363">
      <c r="A5363" s="311">
        <v>5362</v>
      </c>
      <c r="B5363" s="396" t="s">
        <v>10247</v>
      </c>
      <c r="C5363" s="396" t="s">
        <v>1427</v>
      </c>
      <c r="D5363" s="396" t="s">
        <v>10232</v>
      </c>
      <c r="E5363" s="396" t="s">
        <v>10233</v>
      </c>
      <c r="F5363" s="396" t="s">
        <v>9647</v>
      </c>
    </row>
    <row r="5364">
      <c r="A5364" s="311">
        <v>5363</v>
      </c>
      <c r="B5364" s="396" t="s">
        <v>10248</v>
      </c>
      <c r="C5364" s="396" t="s">
        <v>2411</v>
      </c>
      <c r="D5364" s="396" t="s">
        <v>10232</v>
      </c>
      <c r="E5364" s="396" t="s">
        <v>10233</v>
      </c>
      <c r="F5364" s="396" t="s">
        <v>9647</v>
      </c>
    </row>
    <row r="5365">
      <c r="A5365" s="311">
        <v>5364</v>
      </c>
      <c r="B5365" s="396" t="s">
        <v>10249</v>
      </c>
      <c r="C5365" s="396" t="s">
        <v>645</v>
      </c>
      <c r="D5365" s="396" t="s">
        <v>10232</v>
      </c>
      <c r="E5365" s="396" t="s">
        <v>10233</v>
      </c>
      <c r="F5365" s="396" t="s">
        <v>9647</v>
      </c>
    </row>
    <row r="5366">
      <c r="A5366" s="311">
        <v>5365</v>
      </c>
      <c r="B5366" s="396" t="s">
        <v>10250</v>
      </c>
      <c r="C5366" s="396" t="s">
        <v>10251</v>
      </c>
      <c r="D5366" s="396" t="s">
        <v>10232</v>
      </c>
      <c r="E5366" s="396" t="s">
        <v>10233</v>
      </c>
      <c r="F5366" s="396" t="s">
        <v>9647</v>
      </c>
    </row>
    <row r="5367">
      <c r="A5367" s="311">
        <v>5366</v>
      </c>
      <c r="B5367" s="396" t="s">
        <v>10252</v>
      </c>
      <c r="C5367" s="396" t="s">
        <v>10253</v>
      </c>
      <c r="D5367" s="396" t="s">
        <v>10232</v>
      </c>
      <c r="E5367" s="396" t="s">
        <v>10233</v>
      </c>
      <c r="F5367" s="396" t="s">
        <v>9647</v>
      </c>
    </row>
    <row r="5368">
      <c r="A5368" s="311">
        <v>5367</v>
      </c>
      <c r="B5368" s="396" t="s">
        <v>10254</v>
      </c>
      <c r="C5368" s="396" t="s">
        <v>10255</v>
      </c>
      <c r="D5368" s="396" t="s">
        <v>10232</v>
      </c>
      <c r="E5368" s="396" t="s">
        <v>10233</v>
      </c>
      <c r="F5368" s="396" t="s">
        <v>9647</v>
      </c>
    </row>
    <row r="5369">
      <c r="A5369" s="311">
        <v>5368</v>
      </c>
      <c r="B5369" s="396" t="s">
        <v>10256</v>
      </c>
      <c r="C5369" s="396" t="s">
        <v>10257</v>
      </c>
      <c r="D5369" s="396" t="s">
        <v>10232</v>
      </c>
      <c r="E5369" s="396" t="s">
        <v>10233</v>
      </c>
      <c r="F5369" s="396" t="s">
        <v>9647</v>
      </c>
    </row>
    <row r="5370">
      <c r="A5370" s="311">
        <v>5369</v>
      </c>
      <c r="B5370" s="396" t="s">
        <v>10258</v>
      </c>
      <c r="C5370" s="396" t="s">
        <v>2848</v>
      </c>
      <c r="D5370" s="396" t="s">
        <v>10232</v>
      </c>
      <c r="E5370" s="396" t="s">
        <v>10233</v>
      </c>
      <c r="F5370" s="396" t="s">
        <v>9647</v>
      </c>
    </row>
    <row r="5371">
      <c r="A5371" s="311">
        <v>5370</v>
      </c>
      <c r="B5371" s="396" t="s">
        <v>10259</v>
      </c>
      <c r="C5371" s="396" t="s">
        <v>639</v>
      </c>
      <c r="D5371" s="396" t="s">
        <v>10232</v>
      </c>
      <c r="E5371" s="396" t="s">
        <v>10233</v>
      </c>
      <c r="F5371" s="396" t="s">
        <v>9647</v>
      </c>
    </row>
    <row r="5372">
      <c r="A5372" s="311">
        <v>5371</v>
      </c>
      <c r="B5372" s="396" t="s">
        <v>10260</v>
      </c>
      <c r="C5372" s="396" t="s">
        <v>10261</v>
      </c>
      <c r="D5372" s="396" t="s">
        <v>10232</v>
      </c>
      <c r="E5372" s="396" t="s">
        <v>10233</v>
      </c>
      <c r="F5372" s="396" t="s">
        <v>9647</v>
      </c>
    </row>
    <row r="5373">
      <c r="A5373" s="311">
        <v>5372</v>
      </c>
      <c r="B5373" s="396" t="s">
        <v>10262</v>
      </c>
      <c r="C5373" s="396" t="s">
        <v>10263</v>
      </c>
      <c r="D5373" s="396" t="s">
        <v>10232</v>
      </c>
      <c r="E5373" s="396" t="s">
        <v>10233</v>
      </c>
      <c r="F5373" s="396" t="s">
        <v>9647</v>
      </c>
    </row>
    <row r="5374">
      <c r="A5374" s="311">
        <v>5373</v>
      </c>
      <c r="B5374" s="396" t="s">
        <v>10264</v>
      </c>
      <c r="C5374" s="396" t="s">
        <v>1137</v>
      </c>
      <c r="D5374" s="396" t="s">
        <v>10232</v>
      </c>
      <c r="E5374" s="396" t="s">
        <v>10233</v>
      </c>
      <c r="F5374" s="396" t="s">
        <v>9647</v>
      </c>
    </row>
    <row r="5375">
      <c r="A5375" s="311">
        <v>5374</v>
      </c>
      <c r="B5375" s="396" t="s">
        <v>10265</v>
      </c>
      <c r="C5375" s="396" t="s">
        <v>5313</v>
      </c>
      <c r="D5375" s="396" t="s">
        <v>10232</v>
      </c>
      <c r="E5375" s="396" t="s">
        <v>10233</v>
      </c>
      <c r="F5375" s="396" t="s">
        <v>9647</v>
      </c>
    </row>
    <row r="5376">
      <c r="A5376" s="311">
        <v>5375</v>
      </c>
      <c r="B5376" s="396" t="s">
        <v>10266</v>
      </c>
      <c r="C5376" s="396" t="s">
        <v>10267</v>
      </c>
      <c r="D5376" s="396" t="s">
        <v>10232</v>
      </c>
      <c r="E5376" s="396" t="s">
        <v>10233</v>
      </c>
      <c r="F5376" s="396" t="s">
        <v>9647</v>
      </c>
    </row>
    <row r="5377">
      <c r="A5377" s="311">
        <v>5376</v>
      </c>
      <c r="B5377" s="396" t="s">
        <v>10268</v>
      </c>
      <c r="C5377" s="396" t="s">
        <v>10269</v>
      </c>
      <c r="D5377" s="396" t="s">
        <v>10232</v>
      </c>
      <c r="E5377" s="396" t="s">
        <v>10233</v>
      </c>
      <c r="F5377" s="396" t="s">
        <v>9647</v>
      </c>
    </row>
    <row r="5378">
      <c r="A5378" s="311">
        <v>5377</v>
      </c>
      <c r="B5378" s="396" t="s">
        <v>10270</v>
      </c>
      <c r="C5378" s="396" t="s">
        <v>10271</v>
      </c>
      <c r="D5378" s="396" t="s">
        <v>10232</v>
      </c>
      <c r="E5378" s="396" t="s">
        <v>10233</v>
      </c>
      <c r="F5378" s="396" t="s">
        <v>9647</v>
      </c>
    </row>
    <row r="5379">
      <c r="A5379" s="311">
        <v>5378</v>
      </c>
      <c r="B5379" s="396" t="s">
        <v>10272</v>
      </c>
      <c r="C5379" s="396" t="s">
        <v>6576</v>
      </c>
      <c r="D5379" s="396" t="s">
        <v>10232</v>
      </c>
      <c r="E5379" s="396" t="s">
        <v>10233</v>
      </c>
      <c r="F5379" s="396" t="s">
        <v>9647</v>
      </c>
    </row>
    <row r="5380">
      <c r="A5380" s="311">
        <v>5379</v>
      </c>
      <c r="B5380" s="396" t="s">
        <v>10273</v>
      </c>
      <c r="C5380" s="396" t="s">
        <v>10274</v>
      </c>
      <c r="D5380" s="396" t="s">
        <v>10232</v>
      </c>
      <c r="E5380" s="396" t="s">
        <v>10233</v>
      </c>
      <c r="F5380" s="396" t="s">
        <v>9647</v>
      </c>
    </row>
    <row r="5381">
      <c r="A5381" s="311">
        <v>5380</v>
      </c>
      <c r="B5381" s="396" t="s">
        <v>10275</v>
      </c>
      <c r="C5381" s="396" t="s">
        <v>10276</v>
      </c>
      <c r="D5381" s="396" t="s">
        <v>10232</v>
      </c>
      <c r="E5381" s="396" t="s">
        <v>10233</v>
      </c>
      <c r="F5381" s="396" t="s">
        <v>9647</v>
      </c>
    </row>
    <row r="5382">
      <c r="A5382" s="311">
        <v>5381</v>
      </c>
      <c r="B5382" s="396" t="s">
        <v>10277</v>
      </c>
      <c r="C5382" s="396" t="s">
        <v>10278</v>
      </c>
      <c r="D5382" s="396" t="s">
        <v>10232</v>
      </c>
      <c r="E5382" s="396" t="s">
        <v>10233</v>
      </c>
      <c r="F5382" s="396" t="s">
        <v>9647</v>
      </c>
    </row>
    <row r="5383">
      <c r="A5383" s="311">
        <v>5382</v>
      </c>
      <c r="B5383" s="396" t="s">
        <v>10279</v>
      </c>
      <c r="C5383" s="396" t="s">
        <v>10280</v>
      </c>
      <c r="D5383" s="396" t="s">
        <v>10232</v>
      </c>
      <c r="E5383" s="396" t="s">
        <v>10233</v>
      </c>
      <c r="F5383" s="396" t="s">
        <v>9647</v>
      </c>
    </row>
    <row r="5384">
      <c r="A5384" s="311">
        <v>5383</v>
      </c>
      <c r="B5384" s="396" t="s">
        <v>10281</v>
      </c>
      <c r="C5384" s="396" t="s">
        <v>10282</v>
      </c>
      <c r="D5384" s="396" t="s">
        <v>10232</v>
      </c>
      <c r="E5384" s="396" t="s">
        <v>10233</v>
      </c>
      <c r="F5384" s="396" t="s">
        <v>9647</v>
      </c>
    </row>
    <row r="5385">
      <c r="A5385" s="311">
        <v>5384</v>
      </c>
      <c r="B5385" s="396" t="s">
        <v>10283</v>
      </c>
      <c r="C5385" s="396" t="s">
        <v>10284</v>
      </c>
      <c r="D5385" s="396" t="s">
        <v>10232</v>
      </c>
      <c r="E5385" s="396" t="s">
        <v>10233</v>
      </c>
      <c r="F5385" s="396" t="s">
        <v>9647</v>
      </c>
    </row>
    <row r="5386">
      <c r="A5386" s="311">
        <v>5385</v>
      </c>
      <c r="B5386" s="396" t="s">
        <v>10285</v>
      </c>
      <c r="C5386" s="396" t="s">
        <v>10286</v>
      </c>
      <c r="D5386" s="396" t="s">
        <v>10232</v>
      </c>
      <c r="E5386" s="396" t="s">
        <v>10233</v>
      </c>
      <c r="F5386" s="396" t="s">
        <v>9647</v>
      </c>
    </row>
    <row r="5387">
      <c r="A5387" s="311">
        <v>5386</v>
      </c>
      <c r="B5387" s="396" t="s">
        <v>10287</v>
      </c>
      <c r="C5387" s="396" t="s">
        <v>10288</v>
      </c>
      <c r="D5387" s="396" t="s">
        <v>10232</v>
      </c>
      <c r="E5387" s="396" t="s">
        <v>10233</v>
      </c>
      <c r="F5387" s="396" t="s">
        <v>9647</v>
      </c>
    </row>
    <row r="5388">
      <c r="A5388" s="311">
        <v>5387</v>
      </c>
      <c r="B5388" s="396" t="s">
        <v>10289</v>
      </c>
      <c r="C5388" s="396" t="s">
        <v>10290</v>
      </c>
      <c r="D5388" s="396" t="s">
        <v>10232</v>
      </c>
      <c r="E5388" s="396" t="s">
        <v>10233</v>
      </c>
      <c r="F5388" s="396" t="s">
        <v>9647</v>
      </c>
    </row>
    <row r="5389">
      <c r="A5389" s="311">
        <v>5388</v>
      </c>
      <c r="B5389" s="396" t="s">
        <v>10291</v>
      </c>
      <c r="C5389" s="396" t="s">
        <v>4297</v>
      </c>
      <c r="D5389" s="396" t="s">
        <v>10232</v>
      </c>
      <c r="E5389" s="396" t="s">
        <v>10233</v>
      </c>
      <c r="F5389" s="396" t="s">
        <v>9647</v>
      </c>
    </row>
    <row r="5390">
      <c r="A5390" s="311">
        <v>5389</v>
      </c>
      <c r="B5390" s="396" t="s">
        <v>10292</v>
      </c>
      <c r="C5390" s="396" t="s">
        <v>10293</v>
      </c>
      <c r="D5390" s="396" t="s">
        <v>10294</v>
      </c>
      <c r="E5390" s="396" t="s">
        <v>10295</v>
      </c>
      <c r="F5390" s="396" t="s">
        <v>9647</v>
      </c>
    </row>
    <row r="5391">
      <c r="A5391" s="311">
        <v>5390</v>
      </c>
      <c r="B5391" s="396" t="s">
        <v>10296</v>
      </c>
      <c r="C5391" s="396" t="s">
        <v>10297</v>
      </c>
      <c r="D5391" s="396" t="s">
        <v>10294</v>
      </c>
      <c r="E5391" s="396" t="s">
        <v>10295</v>
      </c>
      <c r="F5391" s="396" t="s">
        <v>9647</v>
      </c>
    </row>
    <row r="5392">
      <c r="A5392" s="311">
        <v>5391</v>
      </c>
      <c r="B5392" s="396" t="s">
        <v>10298</v>
      </c>
      <c r="C5392" s="396" t="s">
        <v>10299</v>
      </c>
      <c r="D5392" s="396" t="s">
        <v>10294</v>
      </c>
      <c r="E5392" s="396" t="s">
        <v>10295</v>
      </c>
      <c r="F5392" s="396" t="s">
        <v>9647</v>
      </c>
    </row>
    <row r="5393">
      <c r="A5393" s="311">
        <v>5392</v>
      </c>
      <c r="B5393" s="396" t="s">
        <v>10300</v>
      </c>
      <c r="C5393" s="396" t="s">
        <v>10301</v>
      </c>
      <c r="D5393" s="396" t="s">
        <v>10294</v>
      </c>
      <c r="E5393" s="396" t="s">
        <v>10295</v>
      </c>
      <c r="F5393" s="396" t="s">
        <v>9647</v>
      </c>
    </row>
    <row r="5394">
      <c r="A5394" s="311">
        <v>5393</v>
      </c>
      <c r="B5394" s="396" t="s">
        <v>10302</v>
      </c>
      <c r="C5394" s="396" t="s">
        <v>10303</v>
      </c>
      <c r="D5394" s="396" t="s">
        <v>10294</v>
      </c>
      <c r="E5394" s="396" t="s">
        <v>10295</v>
      </c>
      <c r="F5394" s="396" t="s">
        <v>9647</v>
      </c>
    </row>
    <row r="5395">
      <c r="A5395" s="311">
        <v>5394</v>
      </c>
      <c r="B5395" s="396" t="s">
        <v>10304</v>
      </c>
      <c r="C5395" s="396" t="s">
        <v>10305</v>
      </c>
      <c r="D5395" s="396" t="s">
        <v>10294</v>
      </c>
      <c r="E5395" s="396" t="s">
        <v>10295</v>
      </c>
      <c r="F5395" s="396" t="s">
        <v>9647</v>
      </c>
    </row>
    <row r="5396">
      <c r="A5396" s="311">
        <v>5395</v>
      </c>
      <c r="B5396" s="396" t="s">
        <v>10306</v>
      </c>
      <c r="C5396" s="396" t="s">
        <v>10307</v>
      </c>
      <c r="D5396" s="396" t="s">
        <v>10294</v>
      </c>
      <c r="E5396" s="396" t="s">
        <v>10295</v>
      </c>
      <c r="F5396" s="396" t="s">
        <v>9647</v>
      </c>
    </row>
    <row r="5397">
      <c r="A5397" s="311">
        <v>5396</v>
      </c>
      <c r="B5397" s="396" t="s">
        <v>10308</v>
      </c>
      <c r="C5397" s="396" t="s">
        <v>10309</v>
      </c>
      <c r="D5397" s="396" t="s">
        <v>10294</v>
      </c>
      <c r="E5397" s="396" t="s">
        <v>10295</v>
      </c>
      <c r="F5397" s="396" t="s">
        <v>9647</v>
      </c>
    </row>
    <row r="5398">
      <c r="A5398" s="311">
        <v>5397</v>
      </c>
      <c r="B5398" s="396" t="s">
        <v>10310</v>
      </c>
      <c r="C5398" s="396" t="s">
        <v>10311</v>
      </c>
      <c r="D5398" s="396" t="s">
        <v>10294</v>
      </c>
      <c r="E5398" s="396" t="s">
        <v>10295</v>
      </c>
      <c r="F5398" s="396" t="s">
        <v>9647</v>
      </c>
    </row>
    <row r="5399">
      <c r="A5399" s="311">
        <v>5398</v>
      </c>
      <c r="B5399" s="396" t="s">
        <v>10312</v>
      </c>
      <c r="C5399" s="396" t="s">
        <v>10313</v>
      </c>
      <c r="D5399" s="396" t="s">
        <v>10294</v>
      </c>
      <c r="E5399" s="396" t="s">
        <v>10295</v>
      </c>
      <c r="F5399" s="396" t="s">
        <v>9647</v>
      </c>
    </row>
    <row r="5400">
      <c r="A5400" s="311">
        <v>5399</v>
      </c>
      <c r="B5400" s="396" t="s">
        <v>10314</v>
      </c>
      <c r="C5400" s="396" t="s">
        <v>10315</v>
      </c>
      <c r="D5400" s="396" t="s">
        <v>10294</v>
      </c>
      <c r="E5400" s="396" t="s">
        <v>10295</v>
      </c>
      <c r="F5400" s="396" t="s">
        <v>9647</v>
      </c>
    </row>
    <row r="5401">
      <c r="A5401" s="311">
        <v>5400</v>
      </c>
      <c r="B5401" s="396" t="s">
        <v>10316</v>
      </c>
      <c r="C5401" s="396" t="s">
        <v>10317</v>
      </c>
      <c r="D5401" s="396" t="s">
        <v>10294</v>
      </c>
      <c r="E5401" s="396" t="s">
        <v>10295</v>
      </c>
      <c r="F5401" s="396" t="s">
        <v>9647</v>
      </c>
    </row>
    <row r="5402">
      <c r="A5402" s="311">
        <v>5401</v>
      </c>
      <c r="B5402" s="396" t="s">
        <v>10318</v>
      </c>
      <c r="C5402" s="396" t="s">
        <v>10319</v>
      </c>
      <c r="D5402" s="396" t="s">
        <v>10294</v>
      </c>
      <c r="E5402" s="396" t="s">
        <v>10295</v>
      </c>
      <c r="F5402" s="396" t="s">
        <v>9647</v>
      </c>
    </row>
    <row r="5403">
      <c r="A5403" s="311">
        <v>5402</v>
      </c>
      <c r="B5403" s="396" t="s">
        <v>10320</v>
      </c>
      <c r="C5403" s="396" t="s">
        <v>10321</v>
      </c>
      <c r="D5403" s="396" t="s">
        <v>10294</v>
      </c>
      <c r="E5403" s="396" t="s">
        <v>10295</v>
      </c>
      <c r="F5403" s="396" t="s">
        <v>9647</v>
      </c>
    </row>
    <row r="5404">
      <c r="A5404" s="311">
        <v>5403</v>
      </c>
      <c r="B5404" s="396" t="s">
        <v>10322</v>
      </c>
      <c r="C5404" s="396" t="s">
        <v>10323</v>
      </c>
      <c r="D5404" s="396" t="s">
        <v>10294</v>
      </c>
      <c r="E5404" s="396" t="s">
        <v>10295</v>
      </c>
      <c r="F5404" s="396" t="s">
        <v>9647</v>
      </c>
    </row>
    <row r="5405">
      <c r="A5405" s="311">
        <v>5404</v>
      </c>
      <c r="B5405" s="396" t="s">
        <v>10324</v>
      </c>
      <c r="C5405" s="396" t="s">
        <v>10325</v>
      </c>
      <c r="D5405" s="396" t="s">
        <v>10294</v>
      </c>
      <c r="E5405" s="396" t="s">
        <v>10295</v>
      </c>
      <c r="F5405" s="396" t="s">
        <v>9647</v>
      </c>
    </row>
    <row r="5406">
      <c r="A5406" s="311">
        <v>5405</v>
      </c>
      <c r="B5406" s="396" t="s">
        <v>10326</v>
      </c>
      <c r="C5406" s="396" t="s">
        <v>10327</v>
      </c>
      <c r="D5406" s="396" t="s">
        <v>10294</v>
      </c>
      <c r="E5406" s="396" t="s">
        <v>10295</v>
      </c>
      <c r="F5406" s="396" t="s">
        <v>9647</v>
      </c>
    </row>
    <row r="5407">
      <c r="A5407" s="311">
        <v>5406</v>
      </c>
      <c r="B5407" s="396" t="s">
        <v>10328</v>
      </c>
      <c r="C5407" s="396" t="s">
        <v>10329</v>
      </c>
      <c r="D5407" s="396" t="s">
        <v>10294</v>
      </c>
      <c r="E5407" s="396" t="s">
        <v>10295</v>
      </c>
      <c r="F5407" s="396" t="s">
        <v>9647</v>
      </c>
    </row>
    <row r="5408">
      <c r="A5408" s="311">
        <v>5407</v>
      </c>
      <c r="B5408" s="396" t="s">
        <v>10330</v>
      </c>
      <c r="C5408" s="396" t="s">
        <v>10331</v>
      </c>
      <c r="D5408" s="396" t="s">
        <v>10294</v>
      </c>
      <c r="E5408" s="396" t="s">
        <v>10295</v>
      </c>
      <c r="F5408" s="396" t="s">
        <v>9647</v>
      </c>
    </row>
    <row r="5409">
      <c r="A5409" s="311">
        <v>5408</v>
      </c>
      <c r="B5409" s="396" t="s">
        <v>10332</v>
      </c>
      <c r="C5409" s="396" t="s">
        <v>10333</v>
      </c>
      <c r="D5409" s="396" t="s">
        <v>10294</v>
      </c>
      <c r="E5409" s="396" t="s">
        <v>10295</v>
      </c>
      <c r="F5409" s="396" t="s">
        <v>9647</v>
      </c>
    </row>
    <row r="5410">
      <c r="A5410" s="311">
        <v>5409</v>
      </c>
      <c r="B5410" s="396" t="s">
        <v>10334</v>
      </c>
      <c r="C5410" s="396" t="s">
        <v>10335</v>
      </c>
      <c r="D5410" s="396" t="s">
        <v>10294</v>
      </c>
      <c r="E5410" s="396" t="s">
        <v>10295</v>
      </c>
      <c r="F5410" s="396" t="s">
        <v>9647</v>
      </c>
    </row>
    <row r="5411">
      <c r="A5411" s="311">
        <v>5410</v>
      </c>
      <c r="B5411" s="396" t="s">
        <v>10336</v>
      </c>
      <c r="C5411" s="396" t="s">
        <v>10337</v>
      </c>
      <c r="D5411" s="396" t="s">
        <v>10294</v>
      </c>
      <c r="E5411" s="396" t="s">
        <v>10295</v>
      </c>
      <c r="F5411" s="396" t="s">
        <v>9647</v>
      </c>
    </row>
    <row r="5412">
      <c r="A5412" s="311">
        <v>5411</v>
      </c>
      <c r="B5412" s="396" t="s">
        <v>10338</v>
      </c>
      <c r="C5412" s="396" t="s">
        <v>10339</v>
      </c>
      <c r="D5412" s="396" t="s">
        <v>10294</v>
      </c>
      <c r="E5412" s="396" t="s">
        <v>10295</v>
      </c>
      <c r="F5412" s="396" t="s">
        <v>9647</v>
      </c>
    </row>
    <row r="5413">
      <c r="A5413" s="311">
        <v>5412</v>
      </c>
      <c r="B5413" s="396" t="s">
        <v>10340</v>
      </c>
      <c r="C5413" s="396" t="s">
        <v>10341</v>
      </c>
      <c r="D5413" s="396" t="s">
        <v>10294</v>
      </c>
      <c r="E5413" s="396" t="s">
        <v>10295</v>
      </c>
      <c r="F5413" s="396" t="s">
        <v>9647</v>
      </c>
    </row>
    <row r="5414">
      <c r="A5414" s="311">
        <v>5413</v>
      </c>
      <c r="B5414" s="396" t="s">
        <v>10342</v>
      </c>
      <c r="C5414" s="396" t="s">
        <v>10343</v>
      </c>
      <c r="D5414" s="396" t="s">
        <v>10294</v>
      </c>
      <c r="E5414" s="396" t="s">
        <v>10295</v>
      </c>
      <c r="F5414" s="396" t="s">
        <v>9647</v>
      </c>
    </row>
    <row r="5415">
      <c r="A5415" s="311">
        <v>5414</v>
      </c>
      <c r="B5415" s="396" t="s">
        <v>10344</v>
      </c>
      <c r="C5415" s="396" t="s">
        <v>10345</v>
      </c>
      <c r="D5415" s="396" t="s">
        <v>10294</v>
      </c>
      <c r="E5415" s="396" t="s">
        <v>10295</v>
      </c>
      <c r="F5415" s="396" t="s">
        <v>9647</v>
      </c>
    </row>
    <row r="5416">
      <c r="A5416" s="311">
        <v>5415</v>
      </c>
      <c r="B5416" s="396" t="s">
        <v>10346</v>
      </c>
      <c r="C5416" s="396" t="s">
        <v>10347</v>
      </c>
      <c r="D5416" s="396" t="s">
        <v>10294</v>
      </c>
      <c r="E5416" s="396" t="s">
        <v>10295</v>
      </c>
      <c r="F5416" s="396" t="s">
        <v>9647</v>
      </c>
    </row>
    <row r="5417">
      <c r="A5417" s="311">
        <v>5416</v>
      </c>
      <c r="B5417" s="396" t="s">
        <v>10348</v>
      </c>
      <c r="C5417" s="396" t="s">
        <v>10349</v>
      </c>
      <c r="D5417" s="396" t="s">
        <v>10294</v>
      </c>
      <c r="E5417" s="396" t="s">
        <v>10295</v>
      </c>
      <c r="F5417" s="396" t="s">
        <v>9647</v>
      </c>
    </row>
    <row r="5418">
      <c r="A5418" s="311">
        <v>5417</v>
      </c>
      <c r="B5418" s="396" t="s">
        <v>10350</v>
      </c>
      <c r="C5418" s="396" t="s">
        <v>10351</v>
      </c>
      <c r="D5418" s="396" t="s">
        <v>10352</v>
      </c>
      <c r="E5418" s="396" t="s">
        <v>10353</v>
      </c>
      <c r="F5418" s="396" t="s">
        <v>9647</v>
      </c>
    </row>
    <row r="5419">
      <c r="A5419" s="311">
        <v>5418</v>
      </c>
      <c r="B5419" s="396" t="s">
        <v>10354</v>
      </c>
      <c r="C5419" s="396" t="s">
        <v>10355</v>
      </c>
      <c r="D5419" s="396" t="s">
        <v>10352</v>
      </c>
      <c r="E5419" s="396" t="s">
        <v>10353</v>
      </c>
      <c r="F5419" s="396" t="s">
        <v>9647</v>
      </c>
    </row>
    <row r="5420">
      <c r="A5420" s="311">
        <v>5419</v>
      </c>
      <c r="B5420" s="396" t="s">
        <v>10356</v>
      </c>
      <c r="C5420" s="396" t="s">
        <v>10357</v>
      </c>
      <c r="D5420" s="396" t="s">
        <v>10352</v>
      </c>
      <c r="E5420" s="396" t="s">
        <v>10353</v>
      </c>
      <c r="F5420" s="396" t="s">
        <v>9647</v>
      </c>
    </row>
    <row r="5421">
      <c r="A5421" s="311">
        <v>5420</v>
      </c>
      <c r="B5421" s="396" t="s">
        <v>10358</v>
      </c>
      <c r="C5421" s="396" t="s">
        <v>10359</v>
      </c>
      <c r="D5421" s="396" t="s">
        <v>10352</v>
      </c>
      <c r="E5421" s="396" t="s">
        <v>10353</v>
      </c>
      <c r="F5421" s="396" t="s">
        <v>9647</v>
      </c>
    </row>
    <row r="5422">
      <c r="A5422" s="311">
        <v>5421</v>
      </c>
      <c r="B5422" s="396" t="s">
        <v>10360</v>
      </c>
      <c r="C5422" s="396" t="s">
        <v>10361</v>
      </c>
      <c r="D5422" s="396" t="s">
        <v>10352</v>
      </c>
      <c r="E5422" s="396" t="s">
        <v>10353</v>
      </c>
      <c r="F5422" s="396" t="s">
        <v>9647</v>
      </c>
    </row>
    <row r="5423">
      <c r="A5423" s="311">
        <v>5422</v>
      </c>
      <c r="B5423" s="396" t="s">
        <v>10362</v>
      </c>
      <c r="C5423" s="396" t="s">
        <v>10363</v>
      </c>
      <c r="D5423" s="396" t="s">
        <v>10352</v>
      </c>
      <c r="E5423" s="396" t="s">
        <v>10353</v>
      </c>
      <c r="F5423" s="396" t="s">
        <v>9647</v>
      </c>
    </row>
    <row r="5424">
      <c r="A5424" s="311">
        <v>5423</v>
      </c>
      <c r="B5424" s="396" t="s">
        <v>10364</v>
      </c>
      <c r="C5424" s="396" t="s">
        <v>10365</v>
      </c>
      <c r="D5424" s="396" t="s">
        <v>10352</v>
      </c>
      <c r="E5424" s="396" t="s">
        <v>10353</v>
      </c>
      <c r="F5424" s="396" t="s">
        <v>9647</v>
      </c>
    </row>
    <row r="5425">
      <c r="A5425" s="311">
        <v>5424</v>
      </c>
      <c r="B5425" s="396" t="s">
        <v>10366</v>
      </c>
      <c r="C5425" s="396" t="s">
        <v>10367</v>
      </c>
      <c r="D5425" s="396" t="s">
        <v>10352</v>
      </c>
      <c r="E5425" s="396" t="s">
        <v>10353</v>
      </c>
      <c r="F5425" s="396" t="s">
        <v>9647</v>
      </c>
    </row>
    <row r="5426">
      <c r="A5426" s="311">
        <v>5425</v>
      </c>
      <c r="B5426" s="396" t="s">
        <v>10368</v>
      </c>
      <c r="C5426" s="396" t="s">
        <v>10369</v>
      </c>
      <c r="D5426" s="396" t="s">
        <v>10352</v>
      </c>
      <c r="E5426" s="396" t="s">
        <v>10353</v>
      </c>
      <c r="F5426" s="396" t="s">
        <v>9647</v>
      </c>
    </row>
    <row r="5427">
      <c r="A5427" s="311">
        <v>5426</v>
      </c>
      <c r="B5427" s="396" t="s">
        <v>10370</v>
      </c>
      <c r="C5427" s="396" t="s">
        <v>10371</v>
      </c>
      <c r="D5427" s="396" t="s">
        <v>10352</v>
      </c>
      <c r="E5427" s="396" t="s">
        <v>10353</v>
      </c>
      <c r="F5427" s="396" t="s">
        <v>9647</v>
      </c>
    </row>
    <row r="5428">
      <c r="A5428" s="311">
        <v>5427</v>
      </c>
      <c r="B5428" s="396" t="s">
        <v>10372</v>
      </c>
      <c r="C5428" s="396" t="s">
        <v>10373</v>
      </c>
      <c r="D5428" s="396" t="s">
        <v>10352</v>
      </c>
      <c r="E5428" s="396" t="s">
        <v>10353</v>
      </c>
      <c r="F5428" s="396" t="s">
        <v>9647</v>
      </c>
    </row>
    <row r="5429">
      <c r="A5429" s="311">
        <v>5428</v>
      </c>
      <c r="B5429" s="396" t="s">
        <v>10374</v>
      </c>
      <c r="C5429" s="396" t="s">
        <v>10375</v>
      </c>
      <c r="D5429" s="396" t="s">
        <v>10352</v>
      </c>
      <c r="E5429" s="396" t="s">
        <v>10353</v>
      </c>
      <c r="F5429" s="396" t="s">
        <v>9647</v>
      </c>
    </row>
    <row r="5430">
      <c r="A5430" s="311">
        <v>5429</v>
      </c>
      <c r="B5430" s="396" t="s">
        <v>10376</v>
      </c>
      <c r="C5430" s="396" t="s">
        <v>10377</v>
      </c>
      <c r="D5430" s="396" t="s">
        <v>10352</v>
      </c>
      <c r="E5430" s="396" t="s">
        <v>10353</v>
      </c>
      <c r="F5430" s="396" t="s">
        <v>9647</v>
      </c>
    </row>
    <row r="5431">
      <c r="A5431" s="311">
        <v>5430</v>
      </c>
      <c r="B5431" s="396" t="s">
        <v>10378</v>
      </c>
      <c r="C5431" s="396" t="s">
        <v>10379</v>
      </c>
      <c r="D5431" s="396" t="s">
        <v>10352</v>
      </c>
      <c r="E5431" s="396" t="s">
        <v>10353</v>
      </c>
      <c r="F5431" s="396" t="s">
        <v>9647</v>
      </c>
    </row>
    <row r="5432">
      <c r="A5432" s="311">
        <v>5431</v>
      </c>
      <c r="B5432" s="396" t="s">
        <v>10380</v>
      </c>
      <c r="C5432" s="396" t="s">
        <v>10381</v>
      </c>
      <c r="D5432" s="396" t="s">
        <v>10352</v>
      </c>
      <c r="E5432" s="396" t="s">
        <v>10353</v>
      </c>
      <c r="F5432" s="396" t="s">
        <v>9647</v>
      </c>
    </row>
    <row r="5433">
      <c r="A5433" s="311">
        <v>5432</v>
      </c>
      <c r="B5433" s="396" t="s">
        <v>10382</v>
      </c>
      <c r="C5433" s="396" t="s">
        <v>10383</v>
      </c>
      <c r="D5433" s="396" t="s">
        <v>10352</v>
      </c>
      <c r="E5433" s="396" t="s">
        <v>10353</v>
      </c>
      <c r="F5433" s="396" t="s">
        <v>9647</v>
      </c>
    </row>
    <row r="5434">
      <c r="A5434" s="311">
        <v>5433</v>
      </c>
      <c r="B5434" s="396" t="s">
        <v>10384</v>
      </c>
      <c r="C5434" s="396" t="s">
        <v>10385</v>
      </c>
      <c r="D5434" s="396" t="s">
        <v>10352</v>
      </c>
      <c r="E5434" s="396" t="s">
        <v>10353</v>
      </c>
      <c r="F5434" s="396" t="s">
        <v>9647</v>
      </c>
    </row>
    <row r="5435">
      <c r="A5435" s="311">
        <v>5434</v>
      </c>
      <c r="B5435" s="396" t="s">
        <v>10386</v>
      </c>
      <c r="C5435" s="396" t="s">
        <v>10387</v>
      </c>
      <c r="D5435" s="396" t="s">
        <v>10352</v>
      </c>
      <c r="E5435" s="396" t="s">
        <v>10353</v>
      </c>
      <c r="F5435" s="396" t="s">
        <v>9647</v>
      </c>
    </row>
    <row r="5436">
      <c r="A5436" s="311">
        <v>5435</v>
      </c>
      <c r="B5436" s="396" t="s">
        <v>10388</v>
      </c>
      <c r="C5436" s="396" t="s">
        <v>10389</v>
      </c>
      <c r="D5436" s="396" t="s">
        <v>10352</v>
      </c>
      <c r="E5436" s="396" t="s">
        <v>10353</v>
      </c>
      <c r="F5436" s="396" t="s">
        <v>9647</v>
      </c>
    </row>
    <row r="5437">
      <c r="A5437" s="311">
        <v>5436</v>
      </c>
      <c r="B5437" s="396" t="s">
        <v>10390</v>
      </c>
      <c r="C5437" s="396" t="s">
        <v>10391</v>
      </c>
      <c r="D5437" s="396" t="s">
        <v>10352</v>
      </c>
      <c r="E5437" s="396" t="s">
        <v>10353</v>
      </c>
      <c r="F5437" s="396" t="s">
        <v>9647</v>
      </c>
    </row>
    <row r="5438">
      <c r="A5438" s="311">
        <v>5437</v>
      </c>
      <c r="B5438" s="396" t="s">
        <v>10392</v>
      </c>
      <c r="C5438" s="396" t="s">
        <v>10393</v>
      </c>
      <c r="D5438" s="396" t="s">
        <v>10352</v>
      </c>
      <c r="E5438" s="396" t="s">
        <v>10353</v>
      </c>
      <c r="F5438" s="396" t="s">
        <v>9647</v>
      </c>
    </row>
    <row r="5439">
      <c r="A5439" s="311">
        <v>5438</v>
      </c>
      <c r="B5439" s="396" t="s">
        <v>10394</v>
      </c>
      <c r="C5439" s="396" t="s">
        <v>10395</v>
      </c>
      <c r="D5439" s="396" t="s">
        <v>10352</v>
      </c>
      <c r="E5439" s="396" t="s">
        <v>10353</v>
      </c>
      <c r="F5439" s="396" t="s">
        <v>9647</v>
      </c>
    </row>
    <row r="5440">
      <c r="A5440" s="311">
        <v>5439</v>
      </c>
      <c r="B5440" s="396" t="s">
        <v>10396</v>
      </c>
      <c r="C5440" s="396" t="s">
        <v>10397</v>
      </c>
      <c r="D5440" s="396" t="s">
        <v>10352</v>
      </c>
      <c r="E5440" s="396" t="s">
        <v>10353</v>
      </c>
      <c r="F5440" s="396" t="s">
        <v>9647</v>
      </c>
    </row>
    <row r="5441">
      <c r="A5441" s="311">
        <v>5440</v>
      </c>
      <c r="B5441" s="396" t="s">
        <v>10398</v>
      </c>
      <c r="C5441" s="396" t="s">
        <v>10399</v>
      </c>
      <c r="D5441" s="396" t="s">
        <v>10352</v>
      </c>
      <c r="E5441" s="396" t="s">
        <v>10353</v>
      </c>
      <c r="F5441" s="396" t="s">
        <v>9647</v>
      </c>
    </row>
    <row r="5442">
      <c r="A5442" s="311">
        <v>5441</v>
      </c>
      <c r="B5442" s="396" t="s">
        <v>10400</v>
      </c>
      <c r="C5442" s="396" t="s">
        <v>10401</v>
      </c>
      <c r="D5442" s="396" t="s">
        <v>10352</v>
      </c>
      <c r="E5442" s="396" t="s">
        <v>10353</v>
      </c>
      <c r="F5442" s="396" t="s">
        <v>9647</v>
      </c>
    </row>
    <row r="5443">
      <c r="A5443" s="311">
        <v>5442</v>
      </c>
      <c r="B5443" s="396" t="s">
        <v>10402</v>
      </c>
      <c r="C5443" s="396" t="s">
        <v>10403</v>
      </c>
      <c r="D5443" s="396" t="s">
        <v>10352</v>
      </c>
      <c r="E5443" s="396" t="s">
        <v>10353</v>
      </c>
      <c r="F5443" s="396" t="s">
        <v>9647</v>
      </c>
    </row>
    <row r="5444">
      <c r="A5444" s="311">
        <v>5443</v>
      </c>
      <c r="B5444" s="396" t="s">
        <v>10404</v>
      </c>
      <c r="C5444" s="396" t="s">
        <v>10405</v>
      </c>
      <c r="D5444" s="396" t="s">
        <v>10352</v>
      </c>
      <c r="E5444" s="396" t="s">
        <v>10353</v>
      </c>
      <c r="F5444" s="396" t="s">
        <v>9647</v>
      </c>
    </row>
    <row r="5445">
      <c r="A5445" s="311">
        <v>5444</v>
      </c>
      <c r="B5445" s="396" t="s">
        <v>10406</v>
      </c>
      <c r="C5445" s="396" t="s">
        <v>10407</v>
      </c>
      <c r="D5445" s="396" t="s">
        <v>10352</v>
      </c>
      <c r="E5445" s="396" t="s">
        <v>10353</v>
      </c>
      <c r="F5445" s="396" t="s">
        <v>9647</v>
      </c>
    </row>
    <row r="5446">
      <c r="A5446" s="311">
        <v>5445</v>
      </c>
      <c r="B5446" s="396" t="s">
        <v>10408</v>
      </c>
      <c r="C5446" s="396" t="s">
        <v>10409</v>
      </c>
      <c r="D5446" s="396" t="s">
        <v>10352</v>
      </c>
      <c r="E5446" s="396" t="s">
        <v>10353</v>
      </c>
      <c r="F5446" s="396" t="s">
        <v>9647</v>
      </c>
    </row>
    <row r="5447">
      <c r="A5447" s="311">
        <v>5446</v>
      </c>
      <c r="B5447" s="396" t="s">
        <v>10410</v>
      </c>
      <c r="C5447" s="396" t="s">
        <v>10411</v>
      </c>
      <c r="D5447" s="396" t="s">
        <v>10352</v>
      </c>
      <c r="E5447" s="396" t="s">
        <v>10353</v>
      </c>
      <c r="F5447" s="396" t="s">
        <v>9647</v>
      </c>
    </row>
    <row r="5448">
      <c r="A5448" s="311">
        <v>5447</v>
      </c>
      <c r="B5448" s="396" t="s">
        <v>10412</v>
      </c>
      <c r="C5448" s="396" t="s">
        <v>10413</v>
      </c>
      <c r="D5448" s="396" t="s">
        <v>10352</v>
      </c>
      <c r="E5448" s="396" t="s">
        <v>10353</v>
      </c>
      <c r="F5448" s="396" t="s">
        <v>9647</v>
      </c>
    </row>
    <row r="5449">
      <c r="A5449" s="311">
        <v>5448</v>
      </c>
      <c r="B5449" s="396" t="s">
        <v>10414</v>
      </c>
      <c r="C5449" s="396" t="s">
        <v>10415</v>
      </c>
      <c r="D5449" s="396" t="s">
        <v>10352</v>
      </c>
      <c r="E5449" s="396" t="s">
        <v>10353</v>
      </c>
      <c r="F5449" s="396" t="s">
        <v>9647</v>
      </c>
    </row>
    <row r="5450">
      <c r="A5450" s="311">
        <v>5449</v>
      </c>
      <c r="B5450" s="396" t="s">
        <v>10416</v>
      </c>
      <c r="C5450" s="396" t="s">
        <v>10417</v>
      </c>
      <c r="D5450" s="396" t="s">
        <v>10352</v>
      </c>
      <c r="E5450" s="396" t="s">
        <v>10353</v>
      </c>
      <c r="F5450" s="396" t="s">
        <v>9647</v>
      </c>
    </row>
    <row r="5451">
      <c r="A5451" s="311">
        <v>5450</v>
      </c>
      <c r="B5451" s="396" t="s">
        <v>10418</v>
      </c>
      <c r="C5451" s="396" t="s">
        <v>10419</v>
      </c>
      <c r="D5451" s="396" t="s">
        <v>10352</v>
      </c>
      <c r="E5451" s="396" t="s">
        <v>10353</v>
      </c>
      <c r="F5451" s="396" t="s">
        <v>9647</v>
      </c>
    </row>
    <row r="5452">
      <c r="A5452" s="311">
        <v>5451</v>
      </c>
      <c r="B5452" s="396" t="s">
        <v>10420</v>
      </c>
      <c r="C5452" s="396" t="s">
        <v>10421</v>
      </c>
      <c r="D5452" s="396" t="s">
        <v>10352</v>
      </c>
      <c r="E5452" s="396" t="s">
        <v>10353</v>
      </c>
      <c r="F5452" s="396" t="s">
        <v>9647</v>
      </c>
    </row>
    <row r="5453">
      <c r="A5453" s="311">
        <v>5452</v>
      </c>
      <c r="B5453" s="396" t="s">
        <v>10422</v>
      </c>
      <c r="C5453" s="396" t="s">
        <v>10423</v>
      </c>
      <c r="D5453" s="396" t="s">
        <v>10352</v>
      </c>
      <c r="E5453" s="396" t="s">
        <v>10353</v>
      </c>
      <c r="F5453" s="396" t="s">
        <v>9647</v>
      </c>
    </row>
    <row r="5454">
      <c r="A5454" s="311">
        <v>5453</v>
      </c>
      <c r="B5454" s="396" t="s">
        <v>10424</v>
      </c>
      <c r="C5454" s="396" t="s">
        <v>10425</v>
      </c>
      <c r="D5454" s="396" t="s">
        <v>10352</v>
      </c>
      <c r="E5454" s="396" t="s">
        <v>10353</v>
      </c>
      <c r="F5454" s="396" t="s">
        <v>9647</v>
      </c>
    </row>
    <row r="5455">
      <c r="A5455" s="311">
        <v>5454</v>
      </c>
      <c r="B5455" s="396" t="s">
        <v>10426</v>
      </c>
      <c r="C5455" s="396" t="s">
        <v>10427</v>
      </c>
      <c r="D5455" s="396" t="s">
        <v>10352</v>
      </c>
      <c r="E5455" s="396" t="s">
        <v>10353</v>
      </c>
      <c r="F5455" s="396" t="s">
        <v>9647</v>
      </c>
    </row>
    <row r="5456">
      <c r="A5456" s="311">
        <v>5455</v>
      </c>
      <c r="B5456" s="396" t="s">
        <v>10428</v>
      </c>
      <c r="C5456" s="396" t="s">
        <v>10429</v>
      </c>
      <c r="D5456" s="396" t="s">
        <v>10352</v>
      </c>
      <c r="E5456" s="396" t="s">
        <v>10353</v>
      </c>
      <c r="F5456" s="396" t="s">
        <v>9647</v>
      </c>
    </row>
    <row r="5457">
      <c r="A5457" s="311">
        <v>5456</v>
      </c>
      <c r="B5457" s="396" t="s">
        <v>10430</v>
      </c>
      <c r="C5457" s="396" t="s">
        <v>10431</v>
      </c>
      <c r="D5457" s="396" t="s">
        <v>10352</v>
      </c>
      <c r="E5457" s="396" t="s">
        <v>10353</v>
      </c>
      <c r="F5457" s="396" t="s">
        <v>9647</v>
      </c>
    </row>
    <row r="5458">
      <c r="A5458" s="311">
        <v>5457</v>
      </c>
      <c r="B5458" s="396" t="s">
        <v>10432</v>
      </c>
      <c r="C5458" s="396" t="s">
        <v>10433</v>
      </c>
      <c r="D5458" s="396" t="s">
        <v>10352</v>
      </c>
      <c r="E5458" s="396" t="s">
        <v>10353</v>
      </c>
      <c r="F5458" s="396" t="s">
        <v>9647</v>
      </c>
    </row>
    <row r="5459">
      <c r="A5459" s="311">
        <v>5458</v>
      </c>
      <c r="B5459" s="396" t="s">
        <v>10434</v>
      </c>
      <c r="C5459" s="396" t="s">
        <v>10435</v>
      </c>
      <c r="D5459" s="396" t="s">
        <v>10352</v>
      </c>
      <c r="E5459" s="396" t="s">
        <v>10353</v>
      </c>
      <c r="F5459" s="396" t="s">
        <v>9647</v>
      </c>
    </row>
    <row r="5460">
      <c r="A5460" s="311">
        <v>5459</v>
      </c>
      <c r="B5460" s="396" t="s">
        <v>10436</v>
      </c>
      <c r="C5460" s="396" t="s">
        <v>10437</v>
      </c>
      <c r="D5460" s="396" t="s">
        <v>10352</v>
      </c>
      <c r="E5460" s="396" t="s">
        <v>10353</v>
      </c>
      <c r="F5460" s="396" t="s">
        <v>9647</v>
      </c>
    </row>
    <row r="5461">
      <c r="A5461" s="311">
        <v>5460</v>
      </c>
      <c r="B5461" s="396" t="s">
        <v>10438</v>
      </c>
      <c r="C5461" s="396" t="s">
        <v>10439</v>
      </c>
      <c r="D5461" s="396" t="s">
        <v>10440</v>
      </c>
      <c r="E5461" s="396" t="s">
        <v>10441</v>
      </c>
      <c r="F5461" s="396" t="s">
        <v>9647</v>
      </c>
    </row>
    <row r="5462">
      <c r="A5462" s="311">
        <v>5461</v>
      </c>
      <c r="B5462" s="396" t="s">
        <v>10442</v>
      </c>
      <c r="C5462" s="396" t="s">
        <v>10443</v>
      </c>
      <c r="D5462" s="396" t="s">
        <v>10440</v>
      </c>
      <c r="E5462" s="396" t="s">
        <v>10441</v>
      </c>
      <c r="F5462" s="396" t="s">
        <v>9647</v>
      </c>
    </row>
    <row r="5463">
      <c r="A5463" s="311">
        <v>5462</v>
      </c>
      <c r="B5463" s="396" t="s">
        <v>10444</v>
      </c>
      <c r="C5463" s="396" t="s">
        <v>10445</v>
      </c>
      <c r="D5463" s="396" t="s">
        <v>10440</v>
      </c>
      <c r="E5463" s="396" t="s">
        <v>10441</v>
      </c>
      <c r="F5463" s="396" t="s">
        <v>9647</v>
      </c>
    </row>
    <row r="5464">
      <c r="A5464" s="311">
        <v>5463</v>
      </c>
      <c r="B5464" s="396" t="s">
        <v>10446</v>
      </c>
      <c r="C5464" s="396" t="s">
        <v>10447</v>
      </c>
      <c r="D5464" s="396" t="s">
        <v>10440</v>
      </c>
      <c r="E5464" s="396" t="s">
        <v>10441</v>
      </c>
      <c r="F5464" s="396" t="s">
        <v>9647</v>
      </c>
    </row>
    <row r="5465">
      <c r="A5465" s="311">
        <v>5464</v>
      </c>
      <c r="B5465" s="396" t="s">
        <v>10448</v>
      </c>
      <c r="C5465" s="396" t="s">
        <v>10449</v>
      </c>
      <c r="D5465" s="396" t="s">
        <v>10440</v>
      </c>
      <c r="E5465" s="396" t="s">
        <v>10441</v>
      </c>
      <c r="F5465" s="396" t="s">
        <v>9647</v>
      </c>
    </row>
    <row r="5466">
      <c r="A5466" s="311">
        <v>5465</v>
      </c>
      <c r="B5466" s="396" t="s">
        <v>10450</v>
      </c>
      <c r="C5466" s="396" t="s">
        <v>10451</v>
      </c>
      <c r="D5466" s="396" t="s">
        <v>10440</v>
      </c>
      <c r="E5466" s="396" t="s">
        <v>10441</v>
      </c>
      <c r="F5466" s="396" t="s">
        <v>9647</v>
      </c>
    </row>
    <row r="5467">
      <c r="A5467" s="311">
        <v>5466</v>
      </c>
      <c r="B5467" s="396" t="s">
        <v>10452</v>
      </c>
      <c r="C5467" s="396" t="s">
        <v>10453</v>
      </c>
      <c r="D5467" s="396" t="s">
        <v>10440</v>
      </c>
      <c r="E5467" s="396" t="s">
        <v>10441</v>
      </c>
      <c r="F5467" s="396" t="s">
        <v>9647</v>
      </c>
    </row>
    <row r="5468">
      <c r="A5468" s="311">
        <v>5467</v>
      </c>
      <c r="B5468" s="396" t="s">
        <v>10454</v>
      </c>
      <c r="C5468" s="396" t="s">
        <v>10455</v>
      </c>
      <c r="D5468" s="396" t="s">
        <v>10440</v>
      </c>
      <c r="E5468" s="396" t="s">
        <v>10441</v>
      </c>
      <c r="F5468" s="396" t="s">
        <v>9647</v>
      </c>
    </row>
    <row r="5469">
      <c r="A5469" s="311">
        <v>5468</v>
      </c>
      <c r="B5469" s="396" t="s">
        <v>10456</v>
      </c>
      <c r="C5469" s="396" t="s">
        <v>10457</v>
      </c>
      <c r="D5469" s="396" t="s">
        <v>10440</v>
      </c>
      <c r="E5469" s="396" t="s">
        <v>10441</v>
      </c>
      <c r="F5469" s="396" t="s">
        <v>9647</v>
      </c>
    </row>
    <row r="5470">
      <c r="A5470" s="311">
        <v>5469</v>
      </c>
      <c r="B5470" s="396" t="s">
        <v>10458</v>
      </c>
      <c r="C5470" s="396" t="s">
        <v>3836</v>
      </c>
      <c r="D5470" s="396" t="s">
        <v>10440</v>
      </c>
      <c r="E5470" s="396" t="s">
        <v>10441</v>
      </c>
      <c r="F5470" s="396" t="s">
        <v>9647</v>
      </c>
    </row>
    <row r="5471">
      <c r="A5471" s="311">
        <v>5470</v>
      </c>
      <c r="B5471" s="396" t="s">
        <v>10459</v>
      </c>
      <c r="C5471" s="396" t="s">
        <v>10460</v>
      </c>
      <c r="D5471" s="396" t="s">
        <v>10440</v>
      </c>
      <c r="E5471" s="396" t="s">
        <v>10441</v>
      </c>
      <c r="F5471" s="396" t="s">
        <v>9647</v>
      </c>
    </row>
    <row r="5472">
      <c r="A5472" s="311">
        <v>5471</v>
      </c>
      <c r="B5472" s="396" t="s">
        <v>10461</v>
      </c>
      <c r="C5472" s="396" t="s">
        <v>8578</v>
      </c>
      <c r="D5472" s="396" t="s">
        <v>10440</v>
      </c>
      <c r="E5472" s="396" t="s">
        <v>10441</v>
      </c>
      <c r="F5472" s="396" t="s">
        <v>9647</v>
      </c>
    </row>
    <row r="5473">
      <c r="A5473" s="311">
        <v>5472</v>
      </c>
      <c r="B5473" s="396" t="s">
        <v>10462</v>
      </c>
      <c r="C5473" s="396" t="s">
        <v>10463</v>
      </c>
      <c r="D5473" s="396" t="s">
        <v>10440</v>
      </c>
      <c r="E5473" s="396" t="s">
        <v>10441</v>
      </c>
      <c r="F5473" s="396" t="s">
        <v>9647</v>
      </c>
    </row>
    <row r="5474">
      <c r="A5474" s="311">
        <v>5473</v>
      </c>
      <c r="B5474" s="396" t="s">
        <v>10464</v>
      </c>
      <c r="C5474" s="396" t="s">
        <v>10465</v>
      </c>
      <c r="D5474" s="396" t="s">
        <v>10440</v>
      </c>
      <c r="E5474" s="396" t="s">
        <v>10441</v>
      </c>
      <c r="F5474" s="396" t="s">
        <v>9647</v>
      </c>
    </row>
    <row r="5475">
      <c r="A5475" s="311">
        <v>5474</v>
      </c>
      <c r="B5475" s="396" t="s">
        <v>10466</v>
      </c>
      <c r="C5475" s="396" t="s">
        <v>10467</v>
      </c>
      <c r="D5475" s="396" t="s">
        <v>10440</v>
      </c>
      <c r="E5475" s="396" t="s">
        <v>10441</v>
      </c>
      <c r="F5475" s="396" t="s">
        <v>9647</v>
      </c>
    </row>
    <row r="5476">
      <c r="A5476" s="311">
        <v>5475</v>
      </c>
      <c r="B5476" s="396" t="s">
        <v>10468</v>
      </c>
      <c r="C5476" s="396" t="s">
        <v>6576</v>
      </c>
      <c r="D5476" s="396" t="s">
        <v>10440</v>
      </c>
      <c r="E5476" s="396" t="s">
        <v>10441</v>
      </c>
      <c r="F5476" s="396" t="s">
        <v>9647</v>
      </c>
    </row>
    <row r="5477">
      <c r="A5477" s="311">
        <v>5476</v>
      </c>
      <c r="B5477" s="396" t="s">
        <v>10469</v>
      </c>
      <c r="C5477" s="396" t="s">
        <v>10470</v>
      </c>
      <c r="D5477" s="396" t="s">
        <v>10440</v>
      </c>
      <c r="E5477" s="396" t="s">
        <v>10441</v>
      </c>
      <c r="F5477" s="396" t="s">
        <v>9647</v>
      </c>
    </row>
    <row r="5478">
      <c r="A5478" s="311">
        <v>5477</v>
      </c>
      <c r="B5478" s="396" t="s">
        <v>10471</v>
      </c>
      <c r="C5478" s="396" t="s">
        <v>10472</v>
      </c>
      <c r="D5478" s="396" t="s">
        <v>10440</v>
      </c>
      <c r="E5478" s="396" t="s">
        <v>10441</v>
      </c>
      <c r="F5478" s="396" t="s">
        <v>9647</v>
      </c>
    </row>
    <row r="5479">
      <c r="A5479" s="311">
        <v>5478</v>
      </c>
      <c r="B5479" s="396" t="s">
        <v>10473</v>
      </c>
      <c r="C5479" s="396" t="s">
        <v>10474</v>
      </c>
      <c r="D5479" s="396" t="s">
        <v>10440</v>
      </c>
      <c r="E5479" s="396" t="s">
        <v>10441</v>
      </c>
      <c r="F5479" s="396" t="s">
        <v>9647</v>
      </c>
    </row>
    <row r="5480">
      <c r="A5480" s="311">
        <v>5479</v>
      </c>
      <c r="B5480" s="396" t="s">
        <v>10475</v>
      </c>
      <c r="C5480" s="396" t="s">
        <v>10476</v>
      </c>
      <c r="D5480" s="396" t="s">
        <v>10440</v>
      </c>
      <c r="E5480" s="396" t="s">
        <v>10441</v>
      </c>
      <c r="F5480" s="396" t="s">
        <v>9647</v>
      </c>
    </row>
    <row r="5481">
      <c r="A5481" s="311">
        <v>5480</v>
      </c>
      <c r="B5481" s="396" t="s">
        <v>10477</v>
      </c>
      <c r="C5481" s="396" t="s">
        <v>6355</v>
      </c>
      <c r="D5481" s="396" t="s">
        <v>10440</v>
      </c>
      <c r="E5481" s="396" t="s">
        <v>10441</v>
      </c>
      <c r="F5481" s="396" t="s">
        <v>9647</v>
      </c>
    </row>
    <row r="5482">
      <c r="A5482" s="311">
        <v>5481</v>
      </c>
      <c r="B5482" s="396" t="s">
        <v>10478</v>
      </c>
      <c r="C5482" s="396" t="s">
        <v>10479</v>
      </c>
      <c r="D5482" s="396" t="s">
        <v>10440</v>
      </c>
      <c r="E5482" s="396" t="s">
        <v>10441</v>
      </c>
      <c r="F5482" s="396" t="s">
        <v>9647</v>
      </c>
    </row>
    <row r="5483">
      <c r="A5483" s="311">
        <v>5482</v>
      </c>
      <c r="B5483" s="396" t="s">
        <v>10480</v>
      </c>
      <c r="C5483" s="396" t="s">
        <v>10481</v>
      </c>
      <c r="D5483" s="396" t="s">
        <v>10440</v>
      </c>
      <c r="E5483" s="396" t="s">
        <v>10441</v>
      </c>
      <c r="F5483" s="396" t="s">
        <v>9647</v>
      </c>
    </row>
    <row r="5484">
      <c r="A5484" s="311">
        <v>5483</v>
      </c>
      <c r="B5484" s="396" t="s">
        <v>10482</v>
      </c>
      <c r="C5484" s="396" t="s">
        <v>10483</v>
      </c>
      <c r="D5484" s="396" t="s">
        <v>10440</v>
      </c>
      <c r="E5484" s="396" t="s">
        <v>10441</v>
      </c>
      <c r="F5484" s="396" t="s">
        <v>9647</v>
      </c>
    </row>
    <row r="5485">
      <c r="A5485" s="311">
        <v>5484</v>
      </c>
      <c r="B5485" s="396" t="s">
        <v>10484</v>
      </c>
      <c r="C5485" s="396" t="s">
        <v>9346</v>
      </c>
      <c r="D5485" s="396" t="s">
        <v>10440</v>
      </c>
      <c r="E5485" s="396" t="s">
        <v>10441</v>
      </c>
      <c r="F5485" s="396" t="s">
        <v>9647</v>
      </c>
    </row>
    <row r="5486">
      <c r="A5486" s="311">
        <v>5485</v>
      </c>
      <c r="B5486" s="396" t="s">
        <v>10485</v>
      </c>
      <c r="C5486" s="396" t="s">
        <v>8142</v>
      </c>
      <c r="D5486" s="396" t="s">
        <v>10440</v>
      </c>
      <c r="E5486" s="396" t="s">
        <v>10441</v>
      </c>
      <c r="F5486" s="396" t="s">
        <v>9647</v>
      </c>
    </row>
    <row r="5487">
      <c r="A5487" s="311">
        <v>5486</v>
      </c>
      <c r="B5487" s="396" t="s">
        <v>10486</v>
      </c>
      <c r="C5487" s="396" t="s">
        <v>10487</v>
      </c>
      <c r="D5487" s="396" t="s">
        <v>10440</v>
      </c>
      <c r="E5487" s="396" t="s">
        <v>10441</v>
      </c>
      <c r="F5487" s="396" t="s">
        <v>9647</v>
      </c>
    </row>
    <row r="5488">
      <c r="A5488" s="311">
        <v>5487</v>
      </c>
      <c r="B5488" s="396" t="s">
        <v>10488</v>
      </c>
      <c r="C5488" s="396" t="s">
        <v>10489</v>
      </c>
      <c r="D5488" s="396" t="s">
        <v>10490</v>
      </c>
      <c r="E5488" s="396" t="s">
        <v>10491</v>
      </c>
      <c r="F5488" s="396" t="s">
        <v>9647</v>
      </c>
    </row>
    <row r="5489">
      <c r="A5489" s="311">
        <v>5488</v>
      </c>
      <c r="B5489" s="396" t="s">
        <v>10492</v>
      </c>
      <c r="C5489" s="396" t="s">
        <v>10493</v>
      </c>
      <c r="D5489" s="396" t="s">
        <v>10490</v>
      </c>
      <c r="E5489" s="396" t="s">
        <v>10491</v>
      </c>
      <c r="F5489" s="396" t="s">
        <v>9647</v>
      </c>
    </row>
    <row r="5490">
      <c r="A5490" s="311">
        <v>5489</v>
      </c>
      <c r="B5490" s="396" t="s">
        <v>10494</v>
      </c>
      <c r="C5490" s="396" t="s">
        <v>10495</v>
      </c>
      <c r="D5490" s="396" t="s">
        <v>10490</v>
      </c>
      <c r="E5490" s="396" t="s">
        <v>10491</v>
      </c>
      <c r="F5490" s="396" t="s">
        <v>9647</v>
      </c>
    </row>
    <row r="5491">
      <c r="A5491" s="311">
        <v>5490</v>
      </c>
      <c r="B5491" s="396" t="s">
        <v>10496</v>
      </c>
      <c r="C5491" s="396" t="s">
        <v>10497</v>
      </c>
      <c r="D5491" s="396" t="s">
        <v>10490</v>
      </c>
      <c r="E5491" s="396" t="s">
        <v>10491</v>
      </c>
      <c r="F5491" s="396" t="s">
        <v>9647</v>
      </c>
    </row>
    <row r="5492">
      <c r="A5492" s="311">
        <v>5491</v>
      </c>
      <c r="B5492" s="396" t="s">
        <v>10498</v>
      </c>
      <c r="C5492" s="396" t="s">
        <v>10499</v>
      </c>
      <c r="D5492" s="396" t="s">
        <v>10490</v>
      </c>
      <c r="E5492" s="396" t="s">
        <v>10491</v>
      </c>
      <c r="F5492" s="396" t="s">
        <v>9647</v>
      </c>
    </row>
    <row r="5493">
      <c r="A5493" s="311">
        <v>5492</v>
      </c>
      <c r="B5493" s="396" t="s">
        <v>10500</v>
      </c>
      <c r="C5493" s="396" t="s">
        <v>10501</v>
      </c>
      <c r="D5493" s="396" t="s">
        <v>10490</v>
      </c>
      <c r="E5493" s="396" t="s">
        <v>10491</v>
      </c>
      <c r="F5493" s="396" t="s">
        <v>9647</v>
      </c>
    </row>
    <row r="5494">
      <c r="A5494" s="311">
        <v>5493</v>
      </c>
      <c r="B5494" s="396" t="s">
        <v>10502</v>
      </c>
      <c r="C5494" s="396" t="s">
        <v>10503</v>
      </c>
      <c r="D5494" s="396" t="s">
        <v>10490</v>
      </c>
      <c r="E5494" s="396" t="s">
        <v>10491</v>
      </c>
      <c r="F5494" s="396" t="s">
        <v>9647</v>
      </c>
    </row>
    <row r="5495">
      <c r="A5495" s="311">
        <v>5494</v>
      </c>
      <c r="B5495" s="396" t="s">
        <v>10504</v>
      </c>
      <c r="C5495" s="396" t="s">
        <v>10505</v>
      </c>
      <c r="D5495" s="396" t="s">
        <v>10490</v>
      </c>
      <c r="E5495" s="396" t="s">
        <v>10491</v>
      </c>
      <c r="F5495" s="396" t="s">
        <v>9647</v>
      </c>
    </row>
    <row r="5496">
      <c r="A5496" s="311">
        <v>5495</v>
      </c>
      <c r="B5496" s="396" t="s">
        <v>10506</v>
      </c>
      <c r="C5496" s="396" t="s">
        <v>10507</v>
      </c>
      <c r="D5496" s="396" t="s">
        <v>10490</v>
      </c>
      <c r="E5496" s="396" t="s">
        <v>10491</v>
      </c>
      <c r="F5496" s="396" t="s">
        <v>9647</v>
      </c>
    </row>
    <row r="5497">
      <c r="A5497" s="311">
        <v>5496</v>
      </c>
      <c r="B5497" s="396" t="s">
        <v>10508</v>
      </c>
      <c r="C5497" s="396" t="s">
        <v>10509</v>
      </c>
      <c r="D5497" s="396" t="s">
        <v>10490</v>
      </c>
      <c r="E5497" s="396" t="s">
        <v>10491</v>
      </c>
      <c r="F5497" s="396" t="s">
        <v>9647</v>
      </c>
    </row>
    <row r="5498">
      <c r="A5498" s="311">
        <v>5497</v>
      </c>
      <c r="B5498" s="396" t="s">
        <v>10510</v>
      </c>
      <c r="C5498" s="396" t="s">
        <v>10511</v>
      </c>
      <c r="D5498" s="396" t="s">
        <v>10490</v>
      </c>
      <c r="E5498" s="396" t="s">
        <v>10491</v>
      </c>
      <c r="F5498" s="396" t="s">
        <v>9647</v>
      </c>
    </row>
    <row r="5499">
      <c r="A5499" s="311">
        <v>5498</v>
      </c>
      <c r="B5499" s="396" t="s">
        <v>10512</v>
      </c>
      <c r="C5499" s="396" t="s">
        <v>10513</v>
      </c>
      <c r="D5499" s="396" t="s">
        <v>10490</v>
      </c>
      <c r="E5499" s="396" t="s">
        <v>10491</v>
      </c>
      <c r="F5499" s="396" t="s">
        <v>9647</v>
      </c>
    </row>
    <row r="5500">
      <c r="A5500" s="311">
        <v>5499</v>
      </c>
      <c r="B5500" s="396" t="s">
        <v>10514</v>
      </c>
      <c r="C5500" s="396" t="s">
        <v>10515</v>
      </c>
      <c r="D5500" s="396" t="s">
        <v>10490</v>
      </c>
      <c r="E5500" s="396" t="s">
        <v>10491</v>
      </c>
      <c r="F5500" s="396" t="s">
        <v>9647</v>
      </c>
    </row>
    <row r="5501">
      <c r="A5501" s="311">
        <v>5500</v>
      </c>
      <c r="B5501" s="396" t="s">
        <v>10516</v>
      </c>
      <c r="C5501" s="396" t="s">
        <v>10517</v>
      </c>
      <c r="D5501" s="396" t="s">
        <v>10490</v>
      </c>
      <c r="E5501" s="396" t="s">
        <v>10491</v>
      </c>
      <c r="F5501" s="396" t="s">
        <v>9647</v>
      </c>
    </row>
    <row r="5502">
      <c r="A5502" s="311">
        <v>5501</v>
      </c>
      <c r="B5502" s="396" t="s">
        <v>10518</v>
      </c>
      <c r="C5502" s="396" t="s">
        <v>10519</v>
      </c>
      <c r="D5502" s="396" t="s">
        <v>10490</v>
      </c>
      <c r="E5502" s="396" t="s">
        <v>10491</v>
      </c>
      <c r="F5502" s="396" t="s">
        <v>9647</v>
      </c>
    </row>
    <row r="5503">
      <c r="A5503" s="311">
        <v>5502</v>
      </c>
      <c r="B5503" s="396" t="s">
        <v>10520</v>
      </c>
      <c r="C5503" s="396" t="s">
        <v>10521</v>
      </c>
      <c r="D5503" s="396" t="s">
        <v>10490</v>
      </c>
      <c r="E5503" s="396" t="s">
        <v>10491</v>
      </c>
      <c r="F5503" s="396" t="s">
        <v>9647</v>
      </c>
    </row>
    <row r="5504">
      <c r="A5504" s="311">
        <v>5503</v>
      </c>
      <c r="B5504" s="396" t="s">
        <v>10522</v>
      </c>
      <c r="C5504" s="396" t="s">
        <v>10523</v>
      </c>
      <c r="D5504" s="396" t="s">
        <v>10490</v>
      </c>
      <c r="E5504" s="396" t="s">
        <v>10491</v>
      </c>
      <c r="F5504" s="396" t="s">
        <v>9647</v>
      </c>
    </row>
    <row r="5505">
      <c r="A5505" s="311">
        <v>5504</v>
      </c>
      <c r="B5505" s="396" t="s">
        <v>10524</v>
      </c>
      <c r="C5505" s="396" t="s">
        <v>10525</v>
      </c>
      <c r="D5505" s="396" t="s">
        <v>10490</v>
      </c>
      <c r="E5505" s="396" t="s">
        <v>10491</v>
      </c>
      <c r="F5505" s="396" t="s">
        <v>9647</v>
      </c>
    </row>
    <row r="5506">
      <c r="A5506" s="311">
        <v>5505</v>
      </c>
      <c r="B5506" s="396" t="s">
        <v>10526</v>
      </c>
      <c r="C5506" s="396" t="s">
        <v>10527</v>
      </c>
      <c r="D5506" s="396" t="s">
        <v>10490</v>
      </c>
      <c r="E5506" s="396" t="s">
        <v>10491</v>
      </c>
      <c r="F5506" s="396" t="s">
        <v>9647</v>
      </c>
    </row>
    <row r="5507">
      <c r="A5507" s="311">
        <v>5506</v>
      </c>
      <c r="B5507" s="396" t="s">
        <v>10528</v>
      </c>
      <c r="C5507" s="396" t="s">
        <v>10529</v>
      </c>
      <c r="D5507" s="396" t="s">
        <v>10490</v>
      </c>
      <c r="E5507" s="396" t="s">
        <v>10491</v>
      </c>
      <c r="F5507" s="396" t="s">
        <v>9647</v>
      </c>
    </row>
    <row r="5508">
      <c r="A5508" s="311">
        <v>5507</v>
      </c>
      <c r="B5508" s="396" t="s">
        <v>10530</v>
      </c>
      <c r="C5508" s="396" t="s">
        <v>10531</v>
      </c>
      <c r="D5508" s="396" t="s">
        <v>10490</v>
      </c>
      <c r="E5508" s="396" t="s">
        <v>10491</v>
      </c>
      <c r="F5508" s="396" t="s">
        <v>9647</v>
      </c>
    </row>
    <row r="5509">
      <c r="A5509" s="311">
        <v>5508</v>
      </c>
      <c r="B5509" s="396" t="s">
        <v>10532</v>
      </c>
      <c r="C5509" s="396" t="s">
        <v>10533</v>
      </c>
      <c r="D5509" s="396" t="s">
        <v>10490</v>
      </c>
      <c r="E5509" s="396" t="s">
        <v>10491</v>
      </c>
      <c r="F5509" s="396" t="s">
        <v>9647</v>
      </c>
    </row>
    <row r="5510">
      <c r="A5510" s="311">
        <v>5509</v>
      </c>
      <c r="B5510" s="396" t="s">
        <v>10534</v>
      </c>
      <c r="C5510" s="396" t="s">
        <v>10535</v>
      </c>
      <c r="D5510" s="396" t="s">
        <v>10490</v>
      </c>
      <c r="E5510" s="396" t="s">
        <v>10491</v>
      </c>
      <c r="F5510" s="396" t="s">
        <v>9647</v>
      </c>
    </row>
    <row r="5511">
      <c r="A5511" s="311">
        <v>5510</v>
      </c>
      <c r="B5511" s="396" t="s">
        <v>10536</v>
      </c>
      <c r="C5511" s="396" t="s">
        <v>10537</v>
      </c>
      <c r="D5511" s="396" t="s">
        <v>10490</v>
      </c>
      <c r="E5511" s="396" t="s">
        <v>10491</v>
      </c>
      <c r="F5511" s="396" t="s">
        <v>9647</v>
      </c>
    </row>
    <row r="5512">
      <c r="A5512" s="311">
        <v>5511</v>
      </c>
      <c r="B5512" s="396" t="s">
        <v>10538</v>
      </c>
      <c r="C5512" s="396" t="s">
        <v>10539</v>
      </c>
      <c r="D5512" s="396" t="s">
        <v>10490</v>
      </c>
      <c r="E5512" s="396" t="s">
        <v>10491</v>
      </c>
      <c r="F5512" s="396" t="s">
        <v>9647</v>
      </c>
    </row>
    <row r="5513">
      <c r="A5513" s="311">
        <v>5512</v>
      </c>
      <c r="B5513" s="396" t="s">
        <v>10540</v>
      </c>
      <c r="C5513" s="396" t="s">
        <v>10541</v>
      </c>
      <c r="D5513" s="396" t="s">
        <v>10490</v>
      </c>
      <c r="E5513" s="396" t="s">
        <v>10491</v>
      </c>
      <c r="F5513" s="396" t="s">
        <v>9647</v>
      </c>
    </row>
    <row r="5514">
      <c r="A5514" s="311">
        <v>5513</v>
      </c>
      <c r="B5514" s="396" t="s">
        <v>10542</v>
      </c>
      <c r="C5514" s="396" t="s">
        <v>10543</v>
      </c>
      <c r="D5514" s="396" t="s">
        <v>10490</v>
      </c>
      <c r="E5514" s="396" t="s">
        <v>10491</v>
      </c>
      <c r="F5514" s="396" t="s">
        <v>9647</v>
      </c>
    </row>
    <row r="5515">
      <c r="A5515" s="311">
        <v>5514</v>
      </c>
      <c r="B5515" s="396" t="s">
        <v>10544</v>
      </c>
      <c r="C5515" s="396" t="s">
        <v>10545</v>
      </c>
      <c r="D5515" s="396" t="s">
        <v>10546</v>
      </c>
      <c r="E5515" s="396" t="s">
        <v>10547</v>
      </c>
      <c r="F5515" s="396" t="s">
        <v>9647</v>
      </c>
    </row>
    <row r="5516">
      <c r="A5516" s="311">
        <v>5515</v>
      </c>
      <c r="B5516" s="396" t="s">
        <v>10548</v>
      </c>
      <c r="C5516" s="396" t="s">
        <v>10549</v>
      </c>
      <c r="D5516" s="396" t="s">
        <v>10546</v>
      </c>
      <c r="E5516" s="396" t="s">
        <v>10547</v>
      </c>
      <c r="F5516" s="396" t="s">
        <v>9647</v>
      </c>
    </row>
    <row r="5517">
      <c r="A5517" s="311">
        <v>5516</v>
      </c>
      <c r="B5517" s="396" t="s">
        <v>10550</v>
      </c>
      <c r="C5517" s="396" t="s">
        <v>2787</v>
      </c>
      <c r="D5517" s="396" t="s">
        <v>10546</v>
      </c>
      <c r="E5517" s="396" t="s">
        <v>10547</v>
      </c>
      <c r="F5517" s="396" t="s">
        <v>9647</v>
      </c>
    </row>
    <row r="5518">
      <c r="A5518" s="311">
        <v>5517</v>
      </c>
      <c r="B5518" s="396" t="s">
        <v>10551</v>
      </c>
      <c r="C5518" s="396" t="s">
        <v>10552</v>
      </c>
      <c r="D5518" s="396" t="s">
        <v>10546</v>
      </c>
      <c r="E5518" s="396" t="s">
        <v>10547</v>
      </c>
      <c r="F5518" s="396" t="s">
        <v>9647</v>
      </c>
    </row>
    <row r="5519">
      <c r="A5519" s="311">
        <v>5518</v>
      </c>
      <c r="B5519" s="396" t="s">
        <v>10553</v>
      </c>
      <c r="C5519" s="396" t="s">
        <v>10554</v>
      </c>
      <c r="D5519" s="396" t="s">
        <v>10546</v>
      </c>
      <c r="E5519" s="396" t="s">
        <v>10547</v>
      </c>
      <c r="F5519" s="396" t="s">
        <v>9647</v>
      </c>
    </row>
    <row r="5520">
      <c r="A5520" s="311">
        <v>5519</v>
      </c>
      <c r="B5520" s="396" t="s">
        <v>10555</v>
      </c>
      <c r="C5520" s="396" t="s">
        <v>10556</v>
      </c>
      <c r="D5520" s="396" t="s">
        <v>10546</v>
      </c>
      <c r="E5520" s="396" t="s">
        <v>10547</v>
      </c>
      <c r="F5520" s="396" t="s">
        <v>9647</v>
      </c>
    </row>
    <row r="5521">
      <c r="A5521" s="311">
        <v>5520</v>
      </c>
      <c r="B5521" s="396" t="s">
        <v>10557</v>
      </c>
      <c r="C5521" s="396" t="s">
        <v>10558</v>
      </c>
      <c r="D5521" s="396" t="s">
        <v>10546</v>
      </c>
      <c r="E5521" s="396" t="s">
        <v>10547</v>
      </c>
      <c r="F5521" s="396" t="s">
        <v>9647</v>
      </c>
    </row>
    <row r="5522">
      <c r="A5522" s="311">
        <v>5521</v>
      </c>
      <c r="B5522" s="396" t="s">
        <v>10559</v>
      </c>
      <c r="C5522" s="396" t="s">
        <v>10560</v>
      </c>
      <c r="D5522" s="396" t="s">
        <v>10546</v>
      </c>
      <c r="E5522" s="396" t="s">
        <v>10547</v>
      </c>
      <c r="F5522" s="396" t="s">
        <v>9647</v>
      </c>
    </row>
    <row r="5523">
      <c r="A5523" s="311">
        <v>5522</v>
      </c>
      <c r="B5523" s="396" t="s">
        <v>10561</v>
      </c>
      <c r="C5523" s="396" t="s">
        <v>10562</v>
      </c>
      <c r="D5523" s="396" t="s">
        <v>10546</v>
      </c>
      <c r="E5523" s="396" t="s">
        <v>10547</v>
      </c>
      <c r="F5523" s="396" t="s">
        <v>9647</v>
      </c>
    </row>
    <row r="5524">
      <c r="A5524" s="311">
        <v>5523</v>
      </c>
      <c r="B5524" s="396" t="s">
        <v>10563</v>
      </c>
      <c r="C5524" s="396" t="s">
        <v>5492</v>
      </c>
      <c r="D5524" s="396" t="s">
        <v>10546</v>
      </c>
      <c r="E5524" s="396" t="s">
        <v>10547</v>
      </c>
      <c r="F5524" s="396" t="s">
        <v>9647</v>
      </c>
    </row>
    <row r="5525">
      <c r="A5525" s="311">
        <v>5524</v>
      </c>
      <c r="B5525" s="396" t="s">
        <v>10564</v>
      </c>
      <c r="C5525" s="396" t="s">
        <v>10565</v>
      </c>
      <c r="D5525" s="396" t="s">
        <v>10546</v>
      </c>
      <c r="E5525" s="396" t="s">
        <v>10547</v>
      </c>
      <c r="F5525" s="396" t="s">
        <v>9647</v>
      </c>
    </row>
    <row r="5526">
      <c r="A5526" s="311">
        <v>5525</v>
      </c>
      <c r="B5526" s="396" t="s">
        <v>10566</v>
      </c>
      <c r="C5526" s="396" t="s">
        <v>10567</v>
      </c>
      <c r="D5526" s="396" t="s">
        <v>10546</v>
      </c>
      <c r="E5526" s="396" t="s">
        <v>10547</v>
      </c>
      <c r="F5526" s="396" t="s">
        <v>9647</v>
      </c>
    </row>
    <row r="5527">
      <c r="A5527" s="311">
        <v>5526</v>
      </c>
      <c r="B5527" s="396" t="s">
        <v>10568</v>
      </c>
      <c r="C5527" s="396" t="s">
        <v>322</v>
      </c>
      <c r="D5527" s="396" t="s">
        <v>10546</v>
      </c>
      <c r="E5527" s="396" t="s">
        <v>10547</v>
      </c>
      <c r="F5527" s="396" t="s">
        <v>9647</v>
      </c>
    </row>
    <row r="5528">
      <c r="A5528" s="311">
        <v>5527</v>
      </c>
      <c r="B5528" s="396" t="s">
        <v>10569</v>
      </c>
      <c r="C5528" s="396" t="s">
        <v>10570</v>
      </c>
      <c r="D5528" s="396" t="s">
        <v>10546</v>
      </c>
      <c r="E5528" s="396" t="s">
        <v>10547</v>
      </c>
      <c r="F5528" s="396" t="s">
        <v>9647</v>
      </c>
    </row>
    <row r="5529">
      <c r="A5529" s="311">
        <v>5528</v>
      </c>
      <c r="B5529" s="396" t="s">
        <v>10571</v>
      </c>
      <c r="C5529" s="396" t="s">
        <v>8875</v>
      </c>
      <c r="D5529" s="396" t="s">
        <v>10546</v>
      </c>
      <c r="E5529" s="396" t="s">
        <v>10547</v>
      </c>
      <c r="F5529" s="396" t="s">
        <v>9647</v>
      </c>
    </row>
    <row r="5530">
      <c r="A5530" s="311">
        <v>5529</v>
      </c>
      <c r="B5530" s="396" t="s">
        <v>10572</v>
      </c>
      <c r="C5530" s="396" t="s">
        <v>531</v>
      </c>
      <c r="D5530" s="396" t="s">
        <v>10546</v>
      </c>
      <c r="E5530" s="396" t="s">
        <v>10547</v>
      </c>
      <c r="F5530" s="396" t="s">
        <v>9647</v>
      </c>
    </row>
    <row r="5531">
      <c r="A5531" s="311">
        <v>5530</v>
      </c>
      <c r="B5531" s="396" t="s">
        <v>10573</v>
      </c>
      <c r="C5531" s="396" t="s">
        <v>5178</v>
      </c>
      <c r="D5531" s="396" t="s">
        <v>10546</v>
      </c>
      <c r="E5531" s="396" t="s">
        <v>10547</v>
      </c>
      <c r="F5531" s="396" t="s">
        <v>9647</v>
      </c>
    </row>
    <row r="5532">
      <c r="A5532" s="311">
        <v>5531</v>
      </c>
      <c r="B5532" s="396" t="s">
        <v>10574</v>
      </c>
      <c r="C5532" s="396" t="s">
        <v>10575</v>
      </c>
      <c r="D5532" s="396" t="s">
        <v>10546</v>
      </c>
      <c r="E5532" s="396" t="s">
        <v>10547</v>
      </c>
      <c r="F5532" s="396" t="s">
        <v>9647</v>
      </c>
    </row>
    <row r="5533">
      <c r="A5533" s="311">
        <v>5532</v>
      </c>
      <c r="B5533" s="396" t="s">
        <v>10576</v>
      </c>
      <c r="C5533" s="396" t="s">
        <v>10577</v>
      </c>
      <c r="D5533" s="396" t="s">
        <v>10578</v>
      </c>
      <c r="E5533" s="396" t="s">
        <v>10579</v>
      </c>
      <c r="F5533" s="396" t="s">
        <v>9647</v>
      </c>
    </row>
    <row r="5534">
      <c r="A5534" s="311">
        <v>5533</v>
      </c>
      <c r="B5534" s="396" t="s">
        <v>10580</v>
      </c>
      <c r="C5534" s="396" t="s">
        <v>10581</v>
      </c>
      <c r="D5534" s="396" t="s">
        <v>10578</v>
      </c>
      <c r="E5534" s="396" t="s">
        <v>10579</v>
      </c>
      <c r="F5534" s="396" t="s">
        <v>9647</v>
      </c>
    </row>
    <row r="5535">
      <c r="A5535" s="311">
        <v>5534</v>
      </c>
      <c r="B5535" s="396" t="s">
        <v>10582</v>
      </c>
      <c r="C5535" s="396" t="s">
        <v>10583</v>
      </c>
      <c r="D5535" s="396" t="s">
        <v>10578</v>
      </c>
      <c r="E5535" s="396" t="s">
        <v>10579</v>
      </c>
      <c r="F5535" s="396" t="s">
        <v>9647</v>
      </c>
    </row>
    <row r="5536">
      <c r="A5536" s="311">
        <v>5535</v>
      </c>
      <c r="B5536" s="396" t="s">
        <v>10584</v>
      </c>
      <c r="C5536" s="396" t="s">
        <v>10276</v>
      </c>
      <c r="D5536" s="396" t="s">
        <v>10578</v>
      </c>
      <c r="E5536" s="396" t="s">
        <v>10579</v>
      </c>
      <c r="F5536" s="396" t="s">
        <v>9647</v>
      </c>
    </row>
    <row r="5537">
      <c r="A5537" s="311">
        <v>5536</v>
      </c>
      <c r="B5537" s="396" t="s">
        <v>10585</v>
      </c>
      <c r="C5537" s="396" t="s">
        <v>10586</v>
      </c>
      <c r="D5537" s="396" t="s">
        <v>10578</v>
      </c>
      <c r="E5537" s="396" t="s">
        <v>10579</v>
      </c>
      <c r="F5537" s="396" t="s">
        <v>9647</v>
      </c>
    </row>
    <row r="5538">
      <c r="A5538" s="311">
        <v>5537</v>
      </c>
      <c r="B5538" s="396" t="s">
        <v>10587</v>
      </c>
      <c r="C5538" s="396" t="s">
        <v>10588</v>
      </c>
      <c r="D5538" s="396" t="s">
        <v>10578</v>
      </c>
      <c r="E5538" s="396" t="s">
        <v>10579</v>
      </c>
      <c r="F5538" s="396" t="s">
        <v>9647</v>
      </c>
    </row>
    <row r="5539">
      <c r="A5539" s="311">
        <v>5538</v>
      </c>
      <c r="B5539" s="396" t="s">
        <v>10589</v>
      </c>
      <c r="C5539" s="396" t="s">
        <v>10590</v>
      </c>
      <c r="D5539" s="396" t="s">
        <v>10578</v>
      </c>
      <c r="E5539" s="396" t="s">
        <v>10579</v>
      </c>
      <c r="F5539" s="396" t="s">
        <v>9647</v>
      </c>
    </row>
    <row r="5540">
      <c r="A5540" s="311">
        <v>5539</v>
      </c>
      <c r="B5540" s="396" t="s">
        <v>10591</v>
      </c>
      <c r="C5540" s="396" t="s">
        <v>2774</v>
      </c>
      <c r="D5540" s="396" t="s">
        <v>10578</v>
      </c>
      <c r="E5540" s="396" t="s">
        <v>10579</v>
      </c>
      <c r="F5540" s="396" t="s">
        <v>9647</v>
      </c>
    </row>
    <row r="5541">
      <c r="A5541" s="311">
        <v>5540</v>
      </c>
      <c r="B5541" s="396" t="s">
        <v>10592</v>
      </c>
      <c r="C5541" s="396" t="s">
        <v>9340</v>
      </c>
      <c r="D5541" s="396" t="s">
        <v>10578</v>
      </c>
      <c r="E5541" s="396" t="s">
        <v>10579</v>
      </c>
      <c r="F5541" s="396" t="s">
        <v>9647</v>
      </c>
    </row>
    <row r="5542">
      <c r="A5542" s="311">
        <v>5541</v>
      </c>
      <c r="B5542" s="396" t="s">
        <v>10593</v>
      </c>
      <c r="C5542" s="396" t="s">
        <v>9324</v>
      </c>
      <c r="D5542" s="396" t="s">
        <v>10578</v>
      </c>
      <c r="E5542" s="396" t="s">
        <v>10579</v>
      </c>
      <c r="F5542" s="396" t="s">
        <v>9647</v>
      </c>
    </row>
    <row r="5543">
      <c r="A5543" s="311">
        <v>5542</v>
      </c>
      <c r="B5543" s="396" t="s">
        <v>10594</v>
      </c>
      <c r="C5543" s="396" t="s">
        <v>10595</v>
      </c>
      <c r="D5543" s="396" t="s">
        <v>10578</v>
      </c>
      <c r="E5543" s="396" t="s">
        <v>10579</v>
      </c>
      <c r="F5543" s="396" t="s">
        <v>9647</v>
      </c>
    </row>
    <row r="5544">
      <c r="A5544" s="311">
        <v>5543</v>
      </c>
      <c r="B5544" s="396" t="s">
        <v>10596</v>
      </c>
      <c r="C5544" s="396" t="s">
        <v>10597</v>
      </c>
      <c r="D5544" s="396" t="s">
        <v>10578</v>
      </c>
      <c r="E5544" s="396" t="s">
        <v>10579</v>
      </c>
      <c r="F5544" s="396" t="s">
        <v>9647</v>
      </c>
    </row>
    <row r="5545">
      <c r="A5545" s="311">
        <v>5544</v>
      </c>
      <c r="B5545" s="396" t="s">
        <v>10598</v>
      </c>
      <c r="C5545" s="396" t="s">
        <v>5629</v>
      </c>
      <c r="D5545" s="396" t="s">
        <v>10578</v>
      </c>
      <c r="E5545" s="396" t="s">
        <v>10579</v>
      </c>
      <c r="F5545" s="396" t="s">
        <v>9647</v>
      </c>
    </row>
    <row r="5546">
      <c r="A5546" s="311">
        <v>5545</v>
      </c>
      <c r="B5546" s="396" t="s">
        <v>10599</v>
      </c>
      <c r="C5546" s="396" t="s">
        <v>1964</v>
      </c>
      <c r="D5546" s="396" t="s">
        <v>10578</v>
      </c>
      <c r="E5546" s="396" t="s">
        <v>10579</v>
      </c>
      <c r="F5546" s="396" t="s">
        <v>9647</v>
      </c>
    </row>
    <row r="5547">
      <c r="A5547" s="311">
        <v>5546</v>
      </c>
      <c r="B5547" s="396" t="s">
        <v>10600</v>
      </c>
      <c r="C5547" s="396" t="s">
        <v>10601</v>
      </c>
      <c r="D5547" s="396" t="s">
        <v>10578</v>
      </c>
      <c r="E5547" s="396" t="s">
        <v>10579</v>
      </c>
      <c r="F5547" s="396" t="s">
        <v>9647</v>
      </c>
    </row>
    <row r="5548">
      <c r="A5548" s="311">
        <v>5547</v>
      </c>
      <c r="B5548" s="396" t="s">
        <v>10602</v>
      </c>
      <c r="C5548" s="396" t="s">
        <v>8665</v>
      </c>
      <c r="D5548" s="396" t="s">
        <v>10578</v>
      </c>
      <c r="E5548" s="396" t="s">
        <v>10579</v>
      </c>
      <c r="F5548" s="396" t="s">
        <v>9647</v>
      </c>
    </row>
    <row r="5549">
      <c r="A5549" s="311">
        <v>5548</v>
      </c>
      <c r="B5549" s="396" t="s">
        <v>10603</v>
      </c>
      <c r="C5549" s="396" t="s">
        <v>10604</v>
      </c>
      <c r="D5549" s="396" t="s">
        <v>10578</v>
      </c>
      <c r="E5549" s="396" t="s">
        <v>10579</v>
      </c>
      <c r="F5549" s="396" t="s">
        <v>9647</v>
      </c>
    </row>
    <row r="5550">
      <c r="A5550" s="311">
        <v>5549</v>
      </c>
      <c r="B5550" s="396" t="s">
        <v>10605</v>
      </c>
      <c r="C5550" s="396" t="s">
        <v>10606</v>
      </c>
      <c r="D5550" s="396" t="s">
        <v>10607</v>
      </c>
      <c r="E5550" s="396" t="s">
        <v>10608</v>
      </c>
      <c r="F5550" s="396" t="s">
        <v>9647</v>
      </c>
    </row>
    <row r="5551">
      <c r="A5551" s="311">
        <v>5550</v>
      </c>
      <c r="B5551" s="396" t="s">
        <v>10609</v>
      </c>
      <c r="C5551" s="396" t="s">
        <v>8126</v>
      </c>
      <c r="D5551" s="396" t="s">
        <v>10607</v>
      </c>
      <c r="E5551" s="396" t="s">
        <v>10608</v>
      </c>
      <c r="F5551" s="396" t="s">
        <v>9647</v>
      </c>
    </row>
    <row r="5552">
      <c r="A5552" s="311">
        <v>5551</v>
      </c>
      <c r="B5552" s="396" t="s">
        <v>10610</v>
      </c>
      <c r="C5552" s="396" t="s">
        <v>10611</v>
      </c>
      <c r="D5552" s="396" t="s">
        <v>10607</v>
      </c>
      <c r="E5552" s="396" t="s">
        <v>10608</v>
      </c>
      <c r="F5552" s="396" t="s">
        <v>9647</v>
      </c>
    </row>
    <row r="5553">
      <c r="A5553" s="311">
        <v>5552</v>
      </c>
      <c r="B5553" s="396" t="s">
        <v>10612</v>
      </c>
      <c r="C5553" s="396" t="s">
        <v>10613</v>
      </c>
      <c r="D5553" s="396" t="s">
        <v>10607</v>
      </c>
      <c r="E5553" s="396" t="s">
        <v>10608</v>
      </c>
      <c r="F5553" s="396" t="s">
        <v>9647</v>
      </c>
    </row>
    <row r="5554">
      <c r="A5554" s="311">
        <v>5553</v>
      </c>
      <c r="B5554" s="396" t="s">
        <v>10614</v>
      </c>
      <c r="C5554" s="396" t="s">
        <v>10615</v>
      </c>
      <c r="D5554" s="396" t="s">
        <v>10607</v>
      </c>
      <c r="E5554" s="396" t="s">
        <v>10608</v>
      </c>
      <c r="F5554" s="396" t="s">
        <v>9647</v>
      </c>
    </row>
    <row r="5555">
      <c r="A5555" s="311">
        <v>5554</v>
      </c>
      <c r="B5555" s="396" t="s">
        <v>10616</v>
      </c>
      <c r="C5555" s="396" t="s">
        <v>10617</v>
      </c>
      <c r="D5555" s="396" t="s">
        <v>10607</v>
      </c>
      <c r="E5555" s="396" t="s">
        <v>10608</v>
      </c>
      <c r="F5555" s="396" t="s">
        <v>9647</v>
      </c>
    </row>
    <row r="5556">
      <c r="A5556" s="311">
        <v>5555</v>
      </c>
      <c r="B5556" s="396" t="s">
        <v>10618</v>
      </c>
      <c r="C5556" s="396" t="s">
        <v>7124</v>
      </c>
      <c r="D5556" s="396" t="s">
        <v>10607</v>
      </c>
      <c r="E5556" s="396" t="s">
        <v>10608</v>
      </c>
      <c r="F5556" s="396" t="s">
        <v>9647</v>
      </c>
    </row>
    <row r="5557">
      <c r="A5557" s="311">
        <v>5556</v>
      </c>
      <c r="B5557" s="396" t="s">
        <v>10619</v>
      </c>
      <c r="C5557" s="396" t="s">
        <v>10620</v>
      </c>
      <c r="D5557" s="396" t="s">
        <v>10607</v>
      </c>
      <c r="E5557" s="396" t="s">
        <v>10608</v>
      </c>
      <c r="F5557" s="396" t="s">
        <v>9647</v>
      </c>
    </row>
    <row r="5558">
      <c r="A5558" s="311">
        <v>5557</v>
      </c>
      <c r="B5558" s="396" t="s">
        <v>10621</v>
      </c>
      <c r="C5558" s="396" t="s">
        <v>1425</v>
      </c>
      <c r="D5558" s="396" t="s">
        <v>10607</v>
      </c>
      <c r="E5558" s="396" t="s">
        <v>10608</v>
      </c>
      <c r="F5558" s="396" t="s">
        <v>9647</v>
      </c>
    </row>
    <row r="5559">
      <c r="A5559" s="311">
        <v>5558</v>
      </c>
      <c r="B5559" s="396" t="s">
        <v>10622</v>
      </c>
      <c r="C5559" s="396" t="s">
        <v>10623</v>
      </c>
      <c r="D5559" s="396" t="s">
        <v>10607</v>
      </c>
      <c r="E5559" s="396" t="s">
        <v>10608</v>
      </c>
      <c r="F5559" s="396" t="s">
        <v>9647</v>
      </c>
    </row>
    <row r="5560">
      <c r="A5560" s="311">
        <v>5559</v>
      </c>
      <c r="B5560" s="396" t="s">
        <v>10624</v>
      </c>
      <c r="C5560" s="396" t="s">
        <v>10625</v>
      </c>
      <c r="D5560" s="396" t="s">
        <v>10607</v>
      </c>
      <c r="E5560" s="396" t="s">
        <v>10608</v>
      </c>
      <c r="F5560" s="396" t="s">
        <v>9647</v>
      </c>
    </row>
    <row r="5561">
      <c r="A5561" s="311">
        <v>5560</v>
      </c>
      <c r="B5561" s="396" t="s">
        <v>10626</v>
      </c>
      <c r="C5561" s="396" t="s">
        <v>10627</v>
      </c>
      <c r="D5561" s="396" t="s">
        <v>10607</v>
      </c>
      <c r="E5561" s="396" t="s">
        <v>10608</v>
      </c>
      <c r="F5561" s="396" t="s">
        <v>9647</v>
      </c>
    </row>
    <row r="5562">
      <c r="A5562" s="311">
        <v>5561</v>
      </c>
      <c r="B5562" s="396" t="s">
        <v>10628</v>
      </c>
      <c r="C5562" s="396" t="s">
        <v>10629</v>
      </c>
      <c r="D5562" s="396" t="s">
        <v>10607</v>
      </c>
      <c r="E5562" s="396" t="s">
        <v>10608</v>
      </c>
      <c r="F5562" s="396" t="s">
        <v>9647</v>
      </c>
    </row>
    <row r="5563">
      <c r="A5563" s="311">
        <v>5562</v>
      </c>
      <c r="B5563" s="396" t="s">
        <v>10630</v>
      </c>
      <c r="C5563" s="396" t="s">
        <v>10631</v>
      </c>
      <c r="D5563" s="396" t="s">
        <v>10607</v>
      </c>
      <c r="E5563" s="396" t="s">
        <v>10608</v>
      </c>
      <c r="F5563" s="396" t="s">
        <v>9647</v>
      </c>
    </row>
    <row r="5564">
      <c r="A5564" s="311">
        <v>5563</v>
      </c>
      <c r="B5564" s="396" t="s">
        <v>10632</v>
      </c>
      <c r="C5564" s="396" t="s">
        <v>10633</v>
      </c>
      <c r="D5564" s="396" t="s">
        <v>10607</v>
      </c>
      <c r="E5564" s="396" t="s">
        <v>10608</v>
      </c>
      <c r="F5564" s="396" t="s">
        <v>9647</v>
      </c>
    </row>
    <row r="5565">
      <c r="A5565" s="311">
        <v>5564</v>
      </c>
      <c r="B5565" s="396" t="s">
        <v>10634</v>
      </c>
      <c r="C5565" s="396" t="s">
        <v>2583</v>
      </c>
      <c r="D5565" s="396" t="s">
        <v>10607</v>
      </c>
      <c r="E5565" s="396" t="s">
        <v>10608</v>
      </c>
      <c r="F5565" s="396" t="s">
        <v>9647</v>
      </c>
    </row>
    <row r="5566">
      <c r="A5566" s="311">
        <v>5565</v>
      </c>
      <c r="B5566" s="396" t="s">
        <v>10635</v>
      </c>
      <c r="C5566" s="396" t="s">
        <v>10636</v>
      </c>
      <c r="D5566" s="396" t="s">
        <v>10607</v>
      </c>
      <c r="E5566" s="396" t="s">
        <v>10608</v>
      </c>
      <c r="F5566" s="396" t="s">
        <v>9647</v>
      </c>
    </row>
    <row r="5567">
      <c r="A5567" s="311">
        <v>5566</v>
      </c>
      <c r="B5567" s="396" t="s">
        <v>10637</v>
      </c>
      <c r="C5567" s="396" t="s">
        <v>627</v>
      </c>
      <c r="D5567" s="396" t="s">
        <v>10607</v>
      </c>
      <c r="E5567" s="396" t="s">
        <v>10608</v>
      </c>
      <c r="F5567" s="396" t="s">
        <v>9647</v>
      </c>
    </row>
    <row r="5568">
      <c r="A5568" s="311">
        <v>5567</v>
      </c>
      <c r="B5568" s="396" t="s">
        <v>10638</v>
      </c>
      <c r="C5568" s="396" t="s">
        <v>5852</v>
      </c>
      <c r="D5568" s="396" t="s">
        <v>10607</v>
      </c>
      <c r="E5568" s="396" t="s">
        <v>10608</v>
      </c>
      <c r="F5568" s="396" t="s">
        <v>9647</v>
      </c>
    </row>
    <row r="5569">
      <c r="A5569" s="311">
        <v>5568</v>
      </c>
      <c r="B5569" s="396" t="s">
        <v>10639</v>
      </c>
      <c r="C5569" s="396" t="s">
        <v>10640</v>
      </c>
      <c r="D5569" s="396" t="s">
        <v>10607</v>
      </c>
      <c r="E5569" s="396" t="s">
        <v>10608</v>
      </c>
      <c r="F5569" s="396" t="s">
        <v>9647</v>
      </c>
    </row>
    <row r="5570">
      <c r="A5570" s="311">
        <v>5569</v>
      </c>
      <c r="B5570" s="396" t="s">
        <v>10641</v>
      </c>
      <c r="C5570" s="396" t="s">
        <v>7262</v>
      </c>
      <c r="D5570" s="396" t="s">
        <v>10607</v>
      </c>
      <c r="E5570" s="396" t="s">
        <v>10608</v>
      </c>
      <c r="F5570" s="396" t="s">
        <v>9647</v>
      </c>
    </row>
    <row r="5571">
      <c r="A5571" s="311">
        <v>5570</v>
      </c>
      <c r="B5571" s="396" t="s">
        <v>10642</v>
      </c>
      <c r="C5571" s="396" t="s">
        <v>10643</v>
      </c>
      <c r="D5571" s="396" t="s">
        <v>10607</v>
      </c>
      <c r="E5571" s="396" t="s">
        <v>10608</v>
      </c>
      <c r="F5571" s="396" t="s">
        <v>9647</v>
      </c>
    </row>
    <row r="5572">
      <c r="A5572" s="311">
        <v>5571</v>
      </c>
      <c r="B5572" s="396" t="s">
        <v>10644</v>
      </c>
      <c r="C5572" s="396" t="s">
        <v>4262</v>
      </c>
      <c r="D5572" s="396" t="s">
        <v>10607</v>
      </c>
      <c r="E5572" s="396" t="s">
        <v>10608</v>
      </c>
      <c r="F5572" s="396" t="s">
        <v>9647</v>
      </c>
    </row>
    <row r="5573">
      <c r="A5573" s="311">
        <v>5572</v>
      </c>
      <c r="B5573" s="396" t="s">
        <v>10645</v>
      </c>
      <c r="C5573" s="396" t="s">
        <v>10646</v>
      </c>
      <c r="D5573" s="396" t="s">
        <v>10607</v>
      </c>
      <c r="E5573" s="396" t="s">
        <v>10608</v>
      </c>
      <c r="F5573" s="396" t="s">
        <v>9647</v>
      </c>
    </row>
    <row r="5574">
      <c r="A5574" s="311">
        <v>5573</v>
      </c>
      <c r="B5574" s="396" t="s">
        <v>10647</v>
      </c>
      <c r="C5574" s="396" t="s">
        <v>10648</v>
      </c>
      <c r="D5574" s="396" t="s">
        <v>10607</v>
      </c>
      <c r="E5574" s="396" t="s">
        <v>10608</v>
      </c>
      <c r="F5574" s="396" t="s">
        <v>9647</v>
      </c>
    </row>
    <row r="5575">
      <c r="A5575" s="311">
        <v>5574</v>
      </c>
      <c r="B5575" s="396" t="s">
        <v>10649</v>
      </c>
      <c r="C5575" s="396" t="s">
        <v>10650</v>
      </c>
      <c r="D5575" s="396" t="s">
        <v>10607</v>
      </c>
      <c r="E5575" s="396" t="s">
        <v>10608</v>
      </c>
      <c r="F5575" s="396" t="s">
        <v>9647</v>
      </c>
    </row>
    <row r="5576">
      <c r="A5576" s="311">
        <v>5575</v>
      </c>
      <c r="B5576" s="396" t="s">
        <v>10651</v>
      </c>
      <c r="C5576" s="396" t="s">
        <v>10652</v>
      </c>
      <c r="D5576" s="396" t="s">
        <v>10607</v>
      </c>
      <c r="E5576" s="396" t="s">
        <v>10608</v>
      </c>
      <c r="F5576" s="396" t="s">
        <v>9647</v>
      </c>
    </row>
    <row r="5577">
      <c r="A5577" s="311">
        <v>5576</v>
      </c>
      <c r="B5577" s="396" t="s">
        <v>10653</v>
      </c>
      <c r="C5577" s="396" t="s">
        <v>8840</v>
      </c>
      <c r="D5577" s="396" t="s">
        <v>10607</v>
      </c>
      <c r="E5577" s="396" t="s">
        <v>10608</v>
      </c>
      <c r="F5577" s="396" t="s">
        <v>9647</v>
      </c>
    </row>
    <row r="5578">
      <c r="A5578" s="311">
        <v>5577</v>
      </c>
      <c r="B5578" s="396" t="s">
        <v>10654</v>
      </c>
      <c r="C5578" s="396" t="s">
        <v>10655</v>
      </c>
      <c r="D5578" s="396" t="s">
        <v>10607</v>
      </c>
      <c r="E5578" s="396" t="s">
        <v>10608</v>
      </c>
      <c r="F5578" s="396" t="s">
        <v>9647</v>
      </c>
    </row>
    <row r="5579">
      <c r="A5579" s="311">
        <v>5578</v>
      </c>
      <c r="B5579" s="396" t="s">
        <v>10656</v>
      </c>
      <c r="C5579" s="396" t="s">
        <v>10657</v>
      </c>
      <c r="D5579" s="396" t="s">
        <v>10607</v>
      </c>
      <c r="E5579" s="396" t="s">
        <v>10608</v>
      </c>
      <c r="F5579" s="396" t="s">
        <v>9647</v>
      </c>
    </row>
    <row r="5580">
      <c r="A5580" s="311">
        <v>5579</v>
      </c>
      <c r="B5580" s="396" t="s">
        <v>10658</v>
      </c>
      <c r="C5580" s="396" t="s">
        <v>10659</v>
      </c>
      <c r="D5580" s="396" t="s">
        <v>10607</v>
      </c>
      <c r="E5580" s="396" t="s">
        <v>10608</v>
      </c>
      <c r="F5580" s="396" t="s">
        <v>9647</v>
      </c>
    </row>
    <row r="5581">
      <c r="A5581" s="311">
        <v>5580</v>
      </c>
      <c r="B5581" s="396" t="s">
        <v>10660</v>
      </c>
      <c r="C5581" s="396" t="s">
        <v>470</v>
      </c>
      <c r="D5581" s="396" t="s">
        <v>10607</v>
      </c>
      <c r="E5581" s="396" t="s">
        <v>10608</v>
      </c>
      <c r="F5581" s="396" t="s">
        <v>9647</v>
      </c>
    </row>
    <row r="5582">
      <c r="A5582" s="311">
        <v>5581</v>
      </c>
      <c r="B5582" s="396" t="s">
        <v>10661</v>
      </c>
      <c r="C5582" s="396" t="s">
        <v>10662</v>
      </c>
      <c r="D5582" s="396" t="s">
        <v>10663</v>
      </c>
      <c r="E5582" s="396" t="s">
        <v>10664</v>
      </c>
      <c r="F5582" s="396" t="s">
        <v>9647</v>
      </c>
    </row>
    <row r="5583">
      <c r="A5583" s="311">
        <v>5582</v>
      </c>
      <c r="B5583" s="396" t="s">
        <v>10665</v>
      </c>
      <c r="C5583" s="396" t="s">
        <v>8493</v>
      </c>
      <c r="D5583" s="396" t="s">
        <v>10663</v>
      </c>
      <c r="E5583" s="396" t="s">
        <v>10664</v>
      </c>
      <c r="F5583" s="396" t="s">
        <v>9647</v>
      </c>
    </row>
    <row r="5584">
      <c r="A5584" s="311">
        <v>5583</v>
      </c>
      <c r="B5584" s="396" t="s">
        <v>10666</v>
      </c>
      <c r="C5584" s="396" t="s">
        <v>8183</v>
      </c>
      <c r="D5584" s="396" t="s">
        <v>10663</v>
      </c>
      <c r="E5584" s="396" t="s">
        <v>10664</v>
      </c>
      <c r="F5584" s="396" t="s">
        <v>9647</v>
      </c>
    </row>
    <row r="5585">
      <c r="A5585" s="311">
        <v>5584</v>
      </c>
      <c r="B5585" s="396" t="s">
        <v>10667</v>
      </c>
      <c r="C5585" s="396" t="s">
        <v>6169</v>
      </c>
      <c r="D5585" s="396" t="s">
        <v>10663</v>
      </c>
      <c r="E5585" s="396" t="s">
        <v>10664</v>
      </c>
      <c r="F5585" s="396" t="s">
        <v>9647</v>
      </c>
    </row>
    <row r="5586">
      <c r="A5586" s="311">
        <v>5585</v>
      </c>
      <c r="B5586" s="396" t="s">
        <v>10668</v>
      </c>
      <c r="C5586" s="396" t="s">
        <v>8296</v>
      </c>
      <c r="D5586" s="396" t="s">
        <v>10663</v>
      </c>
      <c r="E5586" s="396" t="s">
        <v>10664</v>
      </c>
      <c r="F5586" s="396" t="s">
        <v>9647</v>
      </c>
    </row>
    <row r="5587">
      <c r="A5587" s="311">
        <v>5586</v>
      </c>
      <c r="B5587" s="396" t="s">
        <v>10669</v>
      </c>
      <c r="C5587" s="396" t="s">
        <v>842</v>
      </c>
      <c r="D5587" s="396" t="s">
        <v>10663</v>
      </c>
      <c r="E5587" s="396" t="s">
        <v>10664</v>
      </c>
      <c r="F5587" s="396" t="s">
        <v>9647</v>
      </c>
    </row>
    <row r="5588">
      <c r="A5588" s="311">
        <v>5587</v>
      </c>
      <c r="B5588" s="396" t="s">
        <v>10670</v>
      </c>
      <c r="C5588" s="396" t="s">
        <v>1334</v>
      </c>
      <c r="D5588" s="396" t="s">
        <v>10663</v>
      </c>
      <c r="E5588" s="396" t="s">
        <v>10664</v>
      </c>
      <c r="F5588" s="396" t="s">
        <v>9647</v>
      </c>
    </row>
    <row r="5589">
      <c r="A5589" s="311">
        <v>5588</v>
      </c>
      <c r="B5589" s="396" t="s">
        <v>10671</v>
      </c>
      <c r="C5589" s="396" t="s">
        <v>10672</v>
      </c>
      <c r="D5589" s="396" t="s">
        <v>10663</v>
      </c>
      <c r="E5589" s="396" t="s">
        <v>10664</v>
      </c>
      <c r="F5589" s="396" t="s">
        <v>9647</v>
      </c>
    </row>
    <row r="5590">
      <c r="A5590" s="311">
        <v>5589</v>
      </c>
      <c r="B5590" s="396" t="s">
        <v>10673</v>
      </c>
      <c r="C5590" s="396" t="s">
        <v>6942</v>
      </c>
      <c r="D5590" s="396" t="s">
        <v>10663</v>
      </c>
      <c r="E5590" s="396" t="s">
        <v>10664</v>
      </c>
      <c r="F5590" s="396" t="s">
        <v>9647</v>
      </c>
    </row>
    <row r="5591">
      <c r="A5591" s="311">
        <v>5590</v>
      </c>
      <c r="B5591" s="396" t="s">
        <v>10674</v>
      </c>
      <c r="C5591" s="396" t="s">
        <v>10675</v>
      </c>
      <c r="D5591" s="396" t="s">
        <v>10663</v>
      </c>
      <c r="E5591" s="396" t="s">
        <v>10664</v>
      </c>
      <c r="F5591" s="396" t="s">
        <v>9647</v>
      </c>
    </row>
    <row r="5592">
      <c r="A5592" s="311">
        <v>5591</v>
      </c>
      <c r="B5592" s="396" t="s">
        <v>10676</v>
      </c>
      <c r="C5592" s="396" t="s">
        <v>10677</v>
      </c>
      <c r="D5592" s="396" t="s">
        <v>10663</v>
      </c>
      <c r="E5592" s="396" t="s">
        <v>10664</v>
      </c>
      <c r="F5592" s="396" t="s">
        <v>9647</v>
      </c>
    </row>
    <row r="5593">
      <c r="A5593" s="311">
        <v>5592</v>
      </c>
      <c r="B5593" s="396" t="s">
        <v>10678</v>
      </c>
      <c r="C5593" s="396" t="s">
        <v>10679</v>
      </c>
      <c r="D5593" s="396" t="s">
        <v>10663</v>
      </c>
      <c r="E5593" s="396" t="s">
        <v>10664</v>
      </c>
      <c r="F5593" s="396" t="s">
        <v>9647</v>
      </c>
    </row>
    <row r="5594">
      <c r="A5594" s="311">
        <v>5593</v>
      </c>
      <c r="B5594" s="396" t="s">
        <v>10680</v>
      </c>
      <c r="C5594" s="396" t="s">
        <v>5841</v>
      </c>
      <c r="D5594" s="396" t="s">
        <v>10663</v>
      </c>
      <c r="E5594" s="396" t="s">
        <v>10664</v>
      </c>
      <c r="F5594" s="396" t="s">
        <v>9647</v>
      </c>
    </row>
    <row r="5595">
      <c r="A5595" s="311">
        <v>5594</v>
      </c>
      <c r="B5595" s="396" t="s">
        <v>10681</v>
      </c>
      <c r="C5595" s="396" t="s">
        <v>10682</v>
      </c>
      <c r="D5595" s="396" t="s">
        <v>10663</v>
      </c>
      <c r="E5595" s="396" t="s">
        <v>10664</v>
      </c>
      <c r="F5595" s="396" t="s">
        <v>9647</v>
      </c>
    </row>
    <row r="5596">
      <c r="A5596" s="311">
        <v>5595</v>
      </c>
      <c r="B5596" s="396" t="s">
        <v>10683</v>
      </c>
      <c r="C5596" s="396" t="s">
        <v>657</v>
      </c>
      <c r="D5596" s="396" t="s">
        <v>10663</v>
      </c>
      <c r="E5596" s="396" t="s">
        <v>10664</v>
      </c>
      <c r="F5596" s="396" t="s">
        <v>9647</v>
      </c>
    </row>
    <row r="5597">
      <c r="A5597" s="311">
        <v>5596</v>
      </c>
      <c r="B5597" s="396" t="s">
        <v>10684</v>
      </c>
      <c r="C5597" s="396" t="s">
        <v>10685</v>
      </c>
      <c r="D5597" s="396" t="s">
        <v>10686</v>
      </c>
      <c r="E5597" s="396" t="s">
        <v>10687</v>
      </c>
      <c r="F5597" s="396" t="s">
        <v>9647</v>
      </c>
    </row>
    <row r="5598">
      <c r="A5598" s="311">
        <v>5597</v>
      </c>
      <c r="B5598" s="396" t="s">
        <v>10688</v>
      </c>
      <c r="C5598" s="396" t="s">
        <v>5498</v>
      </c>
      <c r="D5598" s="396" t="s">
        <v>10686</v>
      </c>
      <c r="E5598" s="396" t="s">
        <v>10687</v>
      </c>
      <c r="F5598" s="396" t="s">
        <v>9647</v>
      </c>
    </row>
    <row r="5599">
      <c r="A5599" s="311">
        <v>5598</v>
      </c>
      <c r="B5599" s="396" t="s">
        <v>10689</v>
      </c>
      <c r="C5599" s="396" t="s">
        <v>10690</v>
      </c>
      <c r="D5599" s="396" t="s">
        <v>10686</v>
      </c>
      <c r="E5599" s="396" t="s">
        <v>10687</v>
      </c>
      <c r="F5599" s="396" t="s">
        <v>9647</v>
      </c>
    </row>
    <row r="5600">
      <c r="A5600" s="311">
        <v>5599</v>
      </c>
      <c r="B5600" s="396" t="s">
        <v>10691</v>
      </c>
      <c r="C5600" s="396" t="s">
        <v>5527</v>
      </c>
      <c r="D5600" s="396" t="s">
        <v>10686</v>
      </c>
      <c r="E5600" s="396" t="s">
        <v>10687</v>
      </c>
      <c r="F5600" s="396" t="s">
        <v>9647</v>
      </c>
    </row>
    <row r="5601">
      <c r="A5601" s="311">
        <v>5600</v>
      </c>
      <c r="B5601" s="396" t="s">
        <v>10692</v>
      </c>
      <c r="C5601" s="396" t="s">
        <v>5509</v>
      </c>
      <c r="D5601" s="396" t="s">
        <v>10686</v>
      </c>
      <c r="E5601" s="396" t="s">
        <v>10687</v>
      </c>
      <c r="F5601" s="396" t="s">
        <v>9647</v>
      </c>
    </row>
    <row r="5602">
      <c r="A5602" s="311">
        <v>5601</v>
      </c>
      <c r="B5602" s="396" t="s">
        <v>10693</v>
      </c>
      <c r="C5602" s="396" t="s">
        <v>10694</v>
      </c>
      <c r="D5602" s="396" t="s">
        <v>10686</v>
      </c>
      <c r="E5602" s="396" t="s">
        <v>10687</v>
      </c>
      <c r="F5602" s="396" t="s">
        <v>9647</v>
      </c>
    </row>
    <row r="5603">
      <c r="A5603" s="311">
        <v>5602</v>
      </c>
      <c r="B5603" s="396" t="s">
        <v>10695</v>
      </c>
      <c r="C5603" s="396" t="s">
        <v>10696</v>
      </c>
      <c r="D5603" s="396" t="s">
        <v>10686</v>
      </c>
      <c r="E5603" s="396" t="s">
        <v>10687</v>
      </c>
      <c r="F5603" s="396" t="s">
        <v>9647</v>
      </c>
    </row>
    <row r="5604">
      <c r="A5604" s="311">
        <v>5603</v>
      </c>
      <c r="B5604" s="396" t="s">
        <v>10697</v>
      </c>
      <c r="C5604" s="396" t="s">
        <v>10698</v>
      </c>
      <c r="D5604" s="396" t="s">
        <v>10686</v>
      </c>
      <c r="E5604" s="396" t="s">
        <v>10687</v>
      </c>
      <c r="F5604" s="396" t="s">
        <v>9647</v>
      </c>
    </row>
    <row r="5605">
      <c r="A5605" s="311">
        <v>5604</v>
      </c>
      <c r="B5605" s="396" t="s">
        <v>10699</v>
      </c>
      <c r="C5605" s="396" t="s">
        <v>10700</v>
      </c>
      <c r="D5605" s="396" t="s">
        <v>10686</v>
      </c>
      <c r="E5605" s="396" t="s">
        <v>10687</v>
      </c>
      <c r="F5605" s="396" t="s">
        <v>9647</v>
      </c>
    </row>
    <row r="5606">
      <c r="A5606" s="311">
        <v>5605</v>
      </c>
      <c r="B5606" s="396" t="s">
        <v>10701</v>
      </c>
      <c r="C5606" s="396" t="s">
        <v>10702</v>
      </c>
      <c r="D5606" s="396" t="s">
        <v>10686</v>
      </c>
      <c r="E5606" s="396" t="s">
        <v>10687</v>
      </c>
      <c r="F5606" s="396" t="s">
        <v>9647</v>
      </c>
    </row>
    <row r="5607">
      <c r="A5607" s="311">
        <v>5606</v>
      </c>
      <c r="B5607" s="396" t="s">
        <v>10703</v>
      </c>
      <c r="C5607" s="396" t="s">
        <v>10704</v>
      </c>
      <c r="D5607" s="396" t="s">
        <v>10686</v>
      </c>
      <c r="E5607" s="396" t="s">
        <v>10687</v>
      </c>
      <c r="F5607" s="396" t="s">
        <v>9647</v>
      </c>
    </row>
    <row r="5608">
      <c r="A5608" s="311">
        <v>5607</v>
      </c>
      <c r="B5608" s="396" t="s">
        <v>10705</v>
      </c>
      <c r="C5608" s="396" t="s">
        <v>5523</v>
      </c>
      <c r="D5608" s="396" t="s">
        <v>10686</v>
      </c>
      <c r="E5608" s="396" t="s">
        <v>10687</v>
      </c>
      <c r="F5608" s="396" t="s">
        <v>9647</v>
      </c>
    </row>
    <row r="5609">
      <c r="A5609" s="311">
        <v>5608</v>
      </c>
      <c r="B5609" s="396" t="s">
        <v>10706</v>
      </c>
      <c r="C5609" s="396" t="s">
        <v>10707</v>
      </c>
      <c r="D5609" s="396" t="s">
        <v>10686</v>
      </c>
      <c r="E5609" s="396" t="s">
        <v>10687</v>
      </c>
      <c r="F5609" s="396" t="s">
        <v>9647</v>
      </c>
    </row>
    <row r="5610">
      <c r="A5610" s="311">
        <v>5609</v>
      </c>
      <c r="B5610" s="396" t="s">
        <v>10708</v>
      </c>
      <c r="C5610" s="396" t="s">
        <v>10709</v>
      </c>
      <c r="D5610" s="396" t="s">
        <v>10686</v>
      </c>
      <c r="E5610" s="396" t="s">
        <v>10687</v>
      </c>
      <c r="F5610" s="396" t="s">
        <v>9647</v>
      </c>
    </row>
    <row r="5611">
      <c r="A5611" s="311">
        <v>5610</v>
      </c>
      <c r="B5611" s="396" t="s">
        <v>10710</v>
      </c>
      <c r="C5611" s="396" t="s">
        <v>10711</v>
      </c>
      <c r="D5611" s="396" t="s">
        <v>10686</v>
      </c>
      <c r="E5611" s="396" t="s">
        <v>10687</v>
      </c>
      <c r="F5611" s="396" t="s">
        <v>9647</v>
      </c>
    </row>
    <row r="5612">
      <c r="A5612" s="311">
        <v>5611</v>
      </c>
      <c r="B5612" s="396" t="s">
        <v>10712</v>
      </c>
      <c r="C5612" s="396" t="s">
        <v>2093</v>
      </c>
      <c r="D5612" s="396" t="s">
        <v>10686</v>
      </c>
      <c r="E5612" s="396" t="s">
        <v>10687</v>
      </c>
      <c r="F5612" s="396" t="s">
        <v>9647</v>
      </c>
    </row>
    <row r="5613">
      <c r="A5613" s="311">
        <v>5612</v>
      </c>
      <c r="B5613" s="396" t="s">
        <v>10713</v>
      </c>
      <c r="C5613" s="396" t="s">
        <v>5529</v>
      </c>
      <c r="D5613" s="396" t="s">
        <v>10686</v>
      </c>
      <c r="E5613" s="396" t="s">
        <v>10687</v>
      </c>
      <c r="F5613" s="396" t="s">
        <v>9647</v>
      </c>
    </row>
    <row r="5614">
      <c r="A5614" s="311">
        <v>5613</v>
      </c>
      <c r="B5614" s="396" t="s">
        <v>10714</v>
      </c>
      <c r="C5614" s="396" t="s">
        <v>5521</v>
      </c>
      <c r="D5614" s="396" t="s">
        <v>10686</v>
      </c>
      <c r="E5614" s="396" t="s">
        <v>10687</v>
      </c>
      <c r="F5614" s="396" t="s">
        <v>9647</v>
      </c>
    </row>
    <row r="5615">
      <c r="A5615" s="311">
        <v>5614</v>
      </c>
      <c r="B5615" s="396" t="s">
        <v>10715</v>
      </c>
      <c r="C5615" s="396" t="s">
        <v>10716</v>
      </c>
      <c r="D5615" s="396" t="s">
        <v>10686</v>
      </c>
      <c r="E5615" s="396" t="s">
        <v>10687</v>
      </c>
      <c r="F5615" s="396" t="s">
        <v>9647</v>
      </c>
    </row>
    <row r="5616">
      <c r="A5616" s="311">
        <v>5615</v>
      </c>
      <c r="B5616" s="396" t="s">
        <v>10717</v>
      </c>
      <c r="C5616" s="396" t="s">
        <v>10718</v>
      </c>
      <c r="D5616" s="396" t="s">
        <v>10686</v>
      </c>
      <c r="E5616" s="396" t="s">
        <v>10687</v>
      </c>
      <c r="F5616" s="396" t="s">
        <v>9647</v>
      </c>
    </row>
    <row r="5617">
      <c r="A5617" s="311">
        <v>5616</v>
      </c>
      <c r="B5617" s="396" t="s">
        <v>10719</v>
      </c>
      <c r="C5617" s="396" t="s">
        <v>10720</v>
      </c>
      <c r="D5617" s="396" t="s">
        <v>10686</v>
      </c>
      <c r="E5617" s="396" t="s">
        <v>10687</v>
      </c>
      <c r="F5617" s="396" t="s">
        <v>9647</v>
      </c>
    </row>
    <row r="5618">
      <c r="A5618" s="311">
        <v>5617</v>
      </c>
      <c r="B5618" s="396" t="s">
        <v>10721</v>
      </c>
      <c r="C5618" s="396" t="s">
        <v>10722</v>
      </c>
      <c r="D5618" s="396" t="s">
        <v>10686</v>
      </c>
      <c r="E5618" s="396" t="s">
        <v>10687</v>
      </c>
      <c r="F5618" s="396" t="s">
        <v>9647</v>
      </c>
    </row>
    <row r="5619">
      <c r="A5619" s="311">
        <v>5618</v>
      </c>
      <c r="B5619" s="396" t="s">
        <v>10723</v>
      </c>
      <c r="C5619" s="396" t="s">
        <v>10724</v>
      </c>
      <c r="D5619" s="396" t="s">
        <v>10686</v>
      </c>
      <c r="E5619" s="396" t="s">
        <v>10687</v>
      </c>
      <c r="F5619" s="396" t="s">
        <v>9647</v>
      </c>
    </row>
    <row r="5620">
      <c r="A5620" s="311">
        <v>5619</v>
      </c>
      <c r="B5620" s="396" t="s">
        <v>10725</v>
      </c>
      <c r="C5620" s="396" t="s">
        <v>10726</v>
      </c>
      <c r="D5620" s="396" t="s">
        <v>10686</v>
      </c>
      <c r="E5620" s="396" t="s">
        <v>10687</v>
      </c>
      <c r="F5620" s="396" t="s">
        <v>9647</v>
      </c>
    </row>
    <row r="5621">
      <c r="A5621" s="311">
        <v>5620</v>
      </c>
      <c r="B5621" s="396" t="s">
        <v>10727</v>
      </c>
      <c r="C5621" s="396" t="s">
        <v>10728</v>
      </c>
      <c r="D5621" s="396" t="s">
        <v>10686</v>
      </c>
      <c r="E5621" s="396" t="s">
        <v>10687</v>
      </c>
      <c r="F5621" s="396" t="s">
        <v>9647</v>
      </c>
    </row>
    <row r="5622">
      <c r="A5622" s="311">
        <v>5621</v>
      </c>
      <c r="B5622" s="396" t="s">
        <v>10729</v>
      </c>
      <c r="C5622" s="396" t="s">
        <v>10730</v>
      </c>
      <c r="D5622" s="396" t="s">
        <v>10686</v>
      </c>
      <c r="E5622" s="396" t="s">
        <v>10687</v>
      </c>
      <c r="F5622" s="396" t="s">
        <v>9647</v>
      </c>
    </row>
    <row r="5623">
      <c r="A5623" s="311">
        <v>5622</v>
      </c>
      <c r="B5623" s="396" t="s">
        <v>10731</v>
      </c>
      <c r="C5623" s="396" t="s">
        <v>5494</v>
      </c>
      <c r="D5623" s="396" t="s">
        <v>10686</v>
      </c>
      <c r="E5623" s="396" t="s">
        <v>10687</v>
      </c>
      <c r="F5623" s="396" t="s">
        <v>9647</v>
      </c>
    </row>
    <row r="5624">
      <c r="A5624" s="311">
        <v>5623</v>
      </c>
      <c r="B5624" s="396" t="s">
        <v>10732</v>
      </c>
      <c r="C5624" s="396" t="s">
        <v>10733</v>
      </c>
      <c r="D5624" s="396" t="s">
        <v>10686</v>
      </c>
      <c r="E5624" s="396" t="s">
        <v>10687</v>
      </c>
      <c r="F5624" s="396" t="s">
        <v>9647</v>
      </c>
    </row>
    <row r="5625">
      <c r="A5625" s="311">
        <v>5624</v>
      </c>
      <c r="B5625" s="396" t="s">
        <v>10734</v>
      </c>
      <c r="C5625" s="396" t="s">
        <v>10735</v>
      </c>
      <c r="D5625" s="396" t="s">
        <v>10686</v>
      </c>
      <c r="E5625" s="396" t="s">
        <v>10687</v>
      </c>
      <c r="F5625" s="396" t="s">
        <v>9647</v>
      </c>
    </row>
    <row r="5626">
      <c r="A5626" s="311">
        <v>5625</v>
      </c>
      <c r="B5626" s="396" t="s">
        <v>10736</v>
      </c>
      <c r="C5626" s="396" t="s">
        <v>10737</v>
      </c>
      <c r="D5626" s="396" t="s">
        <v>10686</v>
      </c>
      <c r="E5626" s="396" t="s">
        <v>10687</v>
      </c>
      <c r="F5626" s="396" t="s">
        <v>9647</v>
      </c>
    </row>
    <row r="5627">
      <c r="A5627" s="311">
        <v>5626</v>
      </c>
      <c r="B5627" s="396" t="s">
        <v>10738</v>
      </c>
      <c r="C5627" s="396" t="s">
        <v>10739</v>
      </c>
      <c r="D5627" s="396" t="s">
        <v>10740</v>
      </c>
      <c r="E5627" s="396" t="s">
        <v>10741</v>
      </c>
      <c r="F5627" s="396" t="s">
        <v>9647</v>
      </c>
    </row>
    <row r="5628">
      <c r="A5628" s="311">
        <v>5627</v>
      </c>
      <c r="B5628" s="396" t="s">
        <v>10742</v>
      </c>
      <c r="C5628" s="396" t="s">
        <v>9375</v>
      </c>
      <c r="D5628" s="396" t="s">
        <v>10740</v>
      </c>
      <c r="E5628" s="396" t="s">
        <v>10741</v>
      </c>
      <c r="F5628" s="396" t="s">
        <v>9647</v>
      </c>
    </row>
    <row r="5629">
      <c r="A5629" s="311">
        <v>5628</v>
      </c>
      <c r="B5629" s="396" t="s">
        <v>10743</v>
      </c>
      <c r="C5629" s="396" t="s">
        <v>1395</v>
      </c>
      <c r="D5629" s="396" t="s">
        <v>10740</v>
      </c>
      <c r="E5629" s="396" t="s">
        <v>10741</v>
      </c>
      <c r="F5629" s="396" t="s">
        <v>9647</v>
      </c>
    </row>
    <row r="5630">
      <c r="A5630" s="311">
        <v>5629</v>
      </c>
      <c r="B5630" s="396" t="s">
        <v>10744</v>
      </c>
      <c r="C5630" s="396" t="s">
        <v>5178</v>
      </c>
      <c r="D5630" s="396" t="s">
        <v>10740</v>
      </c>
      <c r="E5630" s="396" t="s">
        <v>10741</v>
      </c>
      <c r="F5630" s="396" t="s">
        <v>9647</v>
      </c>
    </row>
    <row r="5631">
      <c r="A5631" s="311">
        <v>5630</v>
      </c>
      <c r="B5631" s="396" t="s">
        <v>10745</v>
      </c>
      <c r="C5631" s="396" t="s">
        <v>10746</v>
      </c>
      <c r="D5631" s="396" t="s">
        <v>10740</v>
      </c>
      <c r="E5631" s="396" t="s">
        <v>10741</v>
      </c>
      <c r="F5631" s="396" t="s">
        <v>9647</v>
      </c>
    </row>
    <row r="5632">
      <c r="A5632" s="311">
        <v>5631</v>
      </c>
      <c r="B5632" s="396" t="s">
        <v>10747</v>
      </c>
      <c r="C5632" s="396" t="s">
        <v>9370</v>
      </c>
      <c r="D5632" s="396" t="s">
        <v>10740</v>
      </c>
      <c r="E5632" s="396" t="s">
        <v>10741</v>
      </c>
      <c r="F5632" s="396" t="s">
        <v>9647</v>
      </c>
    </row>
    <row r="5633">
      <c r="A5633" s="311">
        <v>5632</v>
      </c>
      <c r="B5633" s="396" t="s">
        <v>10748</v>
      </c>
      <c r="C5633" s="396" t="s">
        <v>10749</v>
      </c>
      <c r="D5633" s="396" t="s">
        <v>10740</v>
      </c>
      <c r="E5633" s="396" t="s">
        <v>10741</v>
      </c>
      <c r="F5633" s="396" t="s">
        <v>9647</v>
      </c>
    </row>
    <row r="5634">
      <c r="A5634" s="311">
        <v>5633</v>
      </c>
      <c r="B5634" s="396" t="s">
        <v>10750</v>
      </c>
      <c r="C5634" s="396" t="s">
        <v>10751</v>
      </c>
      <c r="D5634" s="396" t="s">
        <v>10740</v>
      </c>
      <c r="E5634" s="396" t="s">
        <v>10741</v>
      </c>
      <c r="F5634" s="396" t="s">
        <v>9647</v>
      </c>
    </row>
    <row r="5635">
      <c r="A5635" s="311">
        <v>5634</v>
      </c>
      <c r="B5635" s="396" t="s">
        <v>10752</v>
      </c>
      <c r="C5635" s="396" t="s">
        <v>9358</v>
      </c>
      <c r="D5635" s="396" t="s">
        <v>10740</v>
      </c>
      <c r="E5635" s="396" t="s">
        <v>10741</v>
      </c>
      <c r="F5635" s="396" t="s">
        <v>9647</v>
      </c>
    </row>
    <row r="5636">
      <c r="A5636" s="311">
        <v>5635</v>
      </c>
      <c r="B5636" s="396" t="s">
        <v>10753</v>
      </c>
      <c r="C5636" s="396" t="s">
        <v>4961</v>
      </c>
      <c r="D5636" s="396" t="s">
        <v>10740</v>
      </c>
      <c r="E5636" s="396" t="s">
        <v>10741</v>
      </c>
      <c r="F5636" s="396" t="s">
        <v>9647</v>
      </c>
    </row>
    <row r="5637">
      <c r="A5637" s="311">
        <v>5636</v>
      </c>
      <c r="B5637" s="396" t="s">
        <v>10754</v>
      </c>
      <c r="C5637" s="396" t="s">
        <v>10755</v>
      </c>
      <c r="D5637" s="396" t="s">
        <v>10740</v>
      </c>
      <c r="E5637" s="396" t="s">
        <v>10741</v>
      </c>
      <c r="F5637" s="396" t="s">
        <v>9647</v>
      </c>
    </row>
    <row r="5638">
      <c r="A5638" s="311">
        <v>5637</v>
      </c>
      <c r="B5638" s="396" t="s">
        <v>10756</v>
      </c>
      <c r="C5638" s="396" t="s">
        <v>310</v>
      </c>
      <c r="D5638" s="396" t="s">
        <v>10740</v>
      </c>
      <c r="E5638" s="396" t="s">
        <v>10741</v>
      </c>
      <c r="F5638" s="396" t="s">
        <v>9647</v>
      </c>
    </row>
    <row r="5639">
      <c r="A5639" s="311">
        <v>5638</v>
      </c>
      <c r="B5639" s="396" t="s">
        <v>10757</v>
      </c>
      <c r="C5639" s="396" t="s">
        <v>10758</v>
      </c>
      <c r="D5639" s="396" t="s">
        <v>10740</v>
      </c>
      <c r="E5639" s="396" t="s">
        <v>10741</v>
      </c>
      <c r="F5639" s="396" t="s">
        <v>9647</v>
      </c>
    </row>
    <row r="5640">
      <c r="A5640" s="311">
        <v>5639</v>
      </c>
      <c r="B5640" s="396" t="s">
        <v>10759</v>
      </c>
      <c r="C5640" s="396" t="s">
        <v>10132</v>
      </c>
      <c r="D5640" s="396" t="s">
        <v>10740</v>
      </c>
      <c r="E5640" s="396" t="s">
        <v>10741</v>
      </c>
      <c r="F5640" s="396" t="s">
        <v>9647</v>
      </c>
    </row>
    <row r="5641">
      <c r="A5641" s="311">
        <v>5640</v>
      </c>
      <c r="B5641" s="396" t="s">
        <v>10760</v>
      </c>
      <c r="C5641" s="396" t="s">
        <v>643</v>
      </c>
      <c r="D5641" s="396" t="s">
        <v>10740</v>
      </c>
      <c r="E5641" s="396" t="s">
        <v>10741</v>
      </c>
      <c r="F5641" s="396" t="s">
        <v>9647</v>
      </c>
    </row>
    <row r="5642">
      <c r="A5642" s="311">
        <v>5641</v>
      </c>
      <c r="B5642" s="396" t="s">
        <v>10761</v>
      </c>
      <c r="C5642" s="396" t="s">
        <v>7543</v>
      </c>
      <c r="D5642" s="396" t="s">
        <v>10740</v>
      </c>
      <c r="E5642" s="396" t="s">
        <v>10741</v>
      </c>
      <c r="F5642" s="396" t="s">
        <v>9647</v>
      </c>
    </row>
    <row r="5643">
      <c r="A5643" s="311">
        <v>5642</v>
      </c>
      <c r="B5643" s="396" t="s">
        <v>10762</v>
      </c>
      <c r="C5643" s="396" t="s">
        <v>10763</v>
      </c>
      <c r="D5643" s="396" t="s">
        <v>10740</v>
      </c>
      <c r="E5643" s="396" t="s">
        <v>10741</v>
      </c>
      <c r="F5643" s="396" t="s">
        <v>9647</v>
      </c>
    </row>
    <row r="5644">
      <c r="A5644" s="311">
        <v>5643</v>
      </c>
      <c r="B5644" s="396" t="s">
        <v>10764</v>
      </c>
      <c r="C5644" s="396" t="s">
        <v>10765</v>
      </c>
      <c r="D5644" s="396" t="s">
        <v>10740</v>
      </c>
      <c r="E5644" s="396" t="s">
        <v>10741</v>
      </c>
      <c r="F5644" s="396" t="s">
        <v>9647</v>
      </c>
    </row>
    <row r="5645">
      <c r="A5645" s="311">
        <v>5644</v>
      </c>
      <c r="B5645" s="396" t="s">
        <v>10766</v>
      </c>
      <c r="C5645" s="396" t="s">
        <v>9378</v>
      </c>
      <c r="D5645" s="396" t="s">
        <v>10740</v>
      </c>
      <c r="E5645" s="396" t="s">
        <v>10741</v>
      </c>
      <c r="F5645" s="396" t="s">
        <v>9647</v>
      </c>
    </row>
    <row r="5646">
      <c r="A5646" s="311">
        <v>5645</v>
      </c>
      <c r="B5646" s="396" t="s">
        <v>10767</v>
      </c>
      <c r="C5646" s="396" t="s">
        <v>970</v>
      </c>
      <c r="D5646" s="396" t="s">
        <v>10740</v>
      </c>
      <c r="E5646" s="396" t="s">
        <v>10741</v>
      </c>
      <c r="F5646" s="396" t="s">
        <v>9647</v>
      </c>
    </row>
    <row r="5647">
      <c r="A5647" s="311">
        <v>5646</v>
      </c>
      <c r="B5647" s="396" t="s">
        <v>10768</v>
      </c>
      <c r="C5647" s="396" t="s">
        <v>9336</v>
      </c>
      <c r="D5647" s="396" t="s">
        <v>10740</v>
      </c>
      <c r="E5647" s="396" t="s">
        <v>10741</v>
      </c>
      <c r="F5647" s="396" t="s">
        <v>9647</v>
      </c>
    </row>
    <row r="5648">
      <c r="A5648" s="311">
        <v>5647</v>
      </c>
      <c r="B5648" s="396" t="s">
        <v>10769</v>
      </c>
      <c r="C5648" s="396" t="s">
        <v>2485</v>
      </c>
      <c r="D5648" s="396" t="s">
        <v>10740</v>
      </c>
      <c r="E5648" s="396" t="s">
        <v>10741</v>
      </c>
      <c r="F5648" s="396" t="s">
        <v>9647</v>
      </c>
    </row>
    <row r="5649">
      <c r="A5649" s="311">
        <v>5648</v>
      </c>
      <c r="B5649" s="396" t="s">
        <v>10770</v>
      </c>
      <c r="C5649" s="396" t="s">
        <v>7067</v>
      </c>
      <c r="D5649" s="396" t="s">
        <v>10740</v>
      </c>
      <c r="E5649" s="396" t="s">
        <v>10741</v>
      </c>
      <c r="F5649" s="396" t="s">
        <v>9647</v>
      </c>
    </row>
    <row r="5650">
      <c r="A5650" s="311">
        <v>5649</v>
      </c>
      <c r="B5650" s="396" t="s">
        <v>10771</v>
      </c>
      <c r="C5650" s="396" t="s">
        <v>10772</v>
      </c>
      <c r="D5650" s="396" t="s">
        <v>10740</v>
      </c>
      <c r="E5650" s="396" t="s">
        <v>10741</v>
      </c>
      <c r="F5650" s="396" t="s">
        <v>9647</v>
      </c>
    </row>
    <row r="5651">
      <c r="A5651" s="311">
        <v>5650</v>
      </c>
      <c r="B5651" s="396" t="s">
        <v>10773</v>
      </c>
      <c r="C5651" s="396" t="s">
        <v>10774</v>
      </c>
      <c r="D5651" s="396" t="s">
        <v>10740</v>
      </c>
      <c r="E5651" s="396" t="s">
        <v>10741</v>
      </c>
      <c r="F5651" s="396" t="s">
        <v>9647</v>
      </c>
    </row>
    <row r="5652">
      <c r="A5652" s="311">
        <v>5651</v>
      </c>
      <c r="B5652" s="396" t="s">
        <v>10775</v>
      </c>
      <c r="C5652" s="396" t="s">
        <v>7386</v>
      </c>
      <c r="D5652" s="396" t="s">
        <v>10740</v>
      </c>
      <c r="E5652" s="396" t="s">
        <v>10741</v>
      </c>
      <c r="F5652" s="396" t="s">
        <v>9647</v>
      </c>
    </row>
    <row r="5653">
      <c r="A5653" s="311">
        <v>5652</v>
      </c>
      <c r="B5653" s="396" t="s">
        <v>10776</v>
      </c>
      <c r="C5653" s="396" t="s">
        <v>10777</v>
      </c>
      <c r="D5653" s="396" t="s">
        <v>10740</v>
      </c>
      <c r="E5653" s="396" t="s">
        <v>10741</v>
      </c>
      <c r="F5653" s="396" t="s">
        <v>9647</v>
      </c>
    </row>
    <row r="5654">
      <c r="A5654" s="311">
        <v>5653</v>
      </c>
      <c r="B5654" s="396" t="s">
        <v>10778</v>
      </c>
      <c r="C5654" s="396" t="s">
        <v>10779</v>
      </c>
      <c r="D5654" s="396" t="s">
        <v>10740</v>
      </c>
      <c r="E5654" s="396" t="s">
        <v>10741</v>
      </c>
      <c r="F5654" s="396" t="s">
        <v>9647</v>
      </c>
    </row>
    <row r="5655">
      <c r="A5655" s="311">
        <v>5654</v>
      </c>
      <c r="B5655" s="396" t="s">
        <v>10780</v>
      </c>
      <c r="C5655" s="396" t="s">
        <v>382</v>
      </c>
      <c r="D5655" s="396" t="s">
        <v>10740</v>
      </c>
      <c r="E5655" s="396" t="s">
        <v>10741</v>
      </c>
      <c r="F5655" s="396" t="s">
        <v>9647</v>
      </c>
    </row>
    <row r="5656">
      <c r="A5656" s="311">
        <v>5655</v>
      </c>
      <c r="B5656" s="396" t="s">
        <v>10781</v>
      </c>
      <c r="C5656" s="396" t="s">
        <v>10782</v>
      </c>
      <c r="D5656" s="396" t="s">
        <v>10740</v>
      </c>
      <c r="E5656" s="396" t="s">
        <v>10741</v>
      </c>
      <c r="F5656" s="396" t="s">
        <v>9647</v>
      </c>
    </row>
    <row r="5657">
      <c r="A5657" s="311">
        <v>5656</v>
      </c>
      <c r="B5657" s="396" t="s">
        <v>10783</v>
      </c>
      <c r="C5657" s="396" t="s">
        <v>5054</v>
      </c>
      <c r="D5657" s="396" t="s">
        <v>10740</v>
      </c>
      <c r="E5657" s="396" t="s">
        <v>10741</v>
      </c>
      <c r="F5657" s="396" t="s">
        <v>9647</v>
      </c>
    </row>
    <row r="5658">
      <c r="A5658" s="311">
        <v>5657</v>
      </c>
      <c r="B5658" s="396" t="s">
        <v>10784</v>
      </c>
      <c r="C5658" s="396" t="s">
        <v>10785</v>
      </c>
      <c r="D5658" s="396" t="s">
        <v>10740</v>
      </c>
      <c r="E5658" s="396" t="s">
        <v>10741</v>
      </c>
      <c r="F5658" s="396" t="s">
        <v>9647</v>
      </c>
    </row>
    <row r="5659">
      <c r="A5659" s="311">
        <v>5658</v>
      </c>
      <c r="B5659" s="396" t="s">
        <v>10786</v>
      </c>
      <c r="C5659" s="396" t="s">
        <v>10787</v>
      </c>
      <c r="D5659" s="396" t="s">
        <v>10740</v>
      </c>
      <c r="E5659" s="396" t="s">
        <v>10741</v>
      </c>
      <c r="F5659" s="396" t="s">
        <v>9647</v>
      </c>
    </row>
    <row r="5660">
      <c r="A5660" s="311">
        <v>5659</v>
      </c>
      <c r="B5660" s="396" t="s">
        <v>10788</v>
      </c>
      <c r="C5660" s="396" t="s">
        <v>9338</v>
      </c>
      <c r="D5660" s="396" t="s">
        <v>10740</v>
      </c>
      <c r="E5660" s="396" t="s">
        <v>10741</v>
      </c>
      <c r="F5660" s="396" t="s">
        <v>9647</v>
      </c>
    </row>
    <row r="5661">
      <c r="A5661" s="311">
        <v>5660</v>
      </c>
      <c r="B5661" s="396" t="s">
        <v>10789</v>
      </c>
      <c r="C5661" s="396" t="s">
        <v>10790</v>
      </c>
      <c r="D5661" s="396" t="s">
        <v>10791</v>
      </c>
      <c r="E5661" s="396" t="s">
        <v>10792</v>
      </c>
      <c r="F5661" s="396" t="s">
        <v>10793</v>
      </c>
    </row>
    <row r="5662">
      <c r="A5662" s="311">
        <v>5661</v>
      </c>
      <c r="B5662" s="396" t="s">
        <v>10794</v>
      </c>
      <c r="C5662" s="396" t="s">
        <v>10795</v>
      </c>
      <c r="D5662" s="396" t="s">
        <v>10791</v>
      </c>
      <c r="E5662" s="396" t="s">
        <v>10792</v>
      </c>
      <c r="F5662" s="396" t="s">
        <v>10793</v>
      </c>
    </row>
    <row r="5663">
      <c r="A5663" s="311">
        <v>5662</v>
      </c>
      <c r="B5663" s="396" t="s">
        <v>10796</v>
      </c>
      <c r="C5663" s="396" t="s">
        <v>588</v>
      </c>
      <c r="D5663" s="396" t="s">
        <v>10791</v>
      </c>
      <c r="E5663" s="396" t="s">
        <v>10792</v>
      </c>
      <c r="F5663" s="396" t="s">
        <v>10793</v>
      </c>
    </row>
    <row r="5664">
      <c r="A5664" s="311">
        <v>5663</v>
      </c>
      <c r="B5664" s="396" t="s">
        <v>10797</v>
      </c>
      <c r="C5664" s="396" t="s">
        <v>10798</v>
      </c>
      <c r="D5664" s="396" t="s">
        <v>10791</v>
      </c>
      <c r="E5664" s="396" t="s">
        <v>10792</v>
      </c>
      <c r="F5664" s="396" t="s">
        <v>10793</v>
      </c>
    </row>
    <row r="5665">
      <c r="A5665" s="311">
        <v>5664</v>
      </c>
      <c r="B5665" s="396" t="s">
        <v>10799</v>
      </c>
      <c r="C5665" s="396" t="s">
        <v>10800</v>
      </c>
      <c r="D5665" s="396" t="s">
        <v>10791</v>
      </c>
      <c r="E5665" s="396" t="s">
        <v>10792</v>
      </c>
      <c r="F5665" s="396" t="s">
        <v>10793</v>
      </c>
    </row>
    <row r="5666">
      <c r="A5666" s="311">
        <v>5665</v>
      </c>
      <c r="B5666" s="396" t="s">
        <v>10801</v>
      </c>
      <c r="C5666" s="396" t="s">
        <v>10802</v>
      </c>
      <c r="D5666" s="396" t="s">
        <v>10791</v>
      </c>
      <c r="E5666" s="396" t="s">
        <v>10792</v>
      </c>
      <c r="F5666" s="396" t="s">
        <v>10793</v>
      </c>
    </row>
    <row r="5667">
      <c r="A5667" s="311">
        <v>5666</v>
      </c>
      <c r="B5667" s="396" t="s">
        <v>10803</v>
      </c>
      <c r="C5667" s="396" t="s">
        <v>10804</v>
      </c>
      <c r="D5667" s="396" t="s">
        <v>10791</v>
      </c>
      <c r="E5667" s="396" t="s">
        <v>10792</v>
      </c>
      <c r="F5667" s="396" t="s">
        <v>10793</v>
      </c>
    </row>
    <row r="5668">
      <c r="A5668" s="311">
        <v>5667</v>
      </c>
      <c r="B5668" s="396" t="s">
        <v>10805</v>
      </c>
      <c r="C5668" s="396" t="s">
        <v>64</v>
      </c>
      <c r="D5668" s="396" t="s">
        <v>10791</v>
      </c>
      <c r="E5668" s="396" t="s">
        <v>10792</v>
      </c>
      <c r="F5668" s="396" t="s">
        <v>10793</v>
      </c>
    </row>
    <row r="5669">
      <c r="A5669" s="311">
        <v>5668</v>
      </c>
      <c r="B5669" s="396" t="s">
        <v>10806</v>
      </c>
      <c r="C5669" s="396" t="s">
        <v>168</v>
      </c>
      <c r="D5669" s="396" t="s">
        <v>10791</v>
      </c>
      <c r="E5669" s="396" t="s">
        <v>10792</v>
      </c>
      <c r="F5669" s="396" t="s">
        <v>10793</v>
      </c>
    </row>
    <row r="5670">
      <c r="A5670" s="311">
        <v>5669</v>
      </c>
      <c r="B5670" s="396" t="s">
        <v>10807</v>
      </c>
      <c r="C5670" s="396" t="s">
        <v>10808</v>
      </c>
      <c r="D5670" s="396" t="s">
        <v>10791</v>
      </c>
      <c r="E5670" s="396" t="s">
        <v>10792</v>
      </c>
      <c r="F5670" s="396" t="s">
        <v>10793</v>
      </c>
    </row>
    <row r="5671">
      <c r="A5671" s="311">
        <v>5670</v>
      </c>
      <c r="B5671" s="396" t="s">
        <v>10809</v>
      </c>
      <c r="C5671" s="396" t="s">
        <v>10810</v>
      </c>
      <c r="D5671" s="396" t="s">
        <v>10791</v>
      </c>
      <c r="E5671" s="396" t="s">
        <v>10792</v>
      </c>
      <c r="F5671" s="396" t="s">
        <v>10793</v>
      </c>
    </row>
    <row r="5672">
      <c r="A5672" s="311">
        <v>5671</v>
      </c>
      <c r="B5672" s="396" t="s">
        <v>10811</v>
      </c>
      <c r="C5672" s="396" t="s">
        <v>8989</v>
      </c>
      <c r="D5672" s="396" t="s">
        <v>10791</v>
      </c>
      <c r="E5672" s="396" t="s">
        <v>10792</v>
      </c>
      <c r="F5672" s="396" t="s">
        <v>10793</v>
      </c>
    </row>
    <row r="5673">
      <c r="A5673" s="311">
        <v>5672</v>
      </c>
      <c r="B5673" s="396" t="s">
        <v>10812</v>
      </c>
      <c r="C5673" s="396" t="s">
        <v>10813</v>
      </c>
      <c r="D5673" s="396" t="s">
        <v>10791</v>
      </c>
      <c r="E5673" s="396" t="s">
        <v>10792</v>
      </c>
      <c r="F5673" s="396" t="s">
        <v>10793</v>
      </c>
    </row>
    <row r="5674">
      <c r="A5674" s="311">
        <v>5673</v>
      </c>
      <c r="B5674" s="396" t="s">
        <v>10814</v>
      </c>
      <c r="C5674" s="396" t="s">
        <v>10815</v>
      </c>
      <c r="D5674" s="396" t="s">
        <v>10791</v>
      </c>
      <c r="E5674" s="396" t="s">
        <v>10792</v>
      </c>
      <c r="F5674" s="396" t="s">
        <v>10793</v>
      </c>
    </row>
    <row r="5675">
      <c r="A5675" s="311">
        <v>5674</v>
      </c>
      <c r="B5675" s="396" t="s">
        <v>10816</v>
      </c>
      <c r="C5675" s="396" t="s">
        <v>10817</v>
      </c>
      <c r="D5675" s="396" t="s">
        <v>10791</v>
      </c>
      <c r="E5675" s="396" t="s">
        <v>10792</v>
      </c>
      <c r="F5675" s="396" t="s">
        <v>10793</v>
      </c>
    </row>
    <row r="5676">
      <c r="A5676" s="311">
        <v>5675</v>
      </c>
      <c r="B5676" s="396" t="s">
        <v>10818</v>
      </c>
      <c r="C5676" s="396" t="s">
        <v>10819</v>
      </c>
      <c r="D5676" s="396" t="s">
        <v>10791</v>
      </c>
      <c r="E5676" s="396" t="s">
        <v>10792</v>
      </c>
      <c r="F5676" s="396" t="s">
        <v>10793</v>
      </c>
    </row>
    <row r="5677">
      <c r="A5677" s="311">
        <v>5676</v>
      </c>
      <c r="B5677" s="396" t="s">
        <v>10820</v>
      </c>
      <c r="C5677" s="396" t="s">
        <v>10821</v>
      </c>
      <c r="D5677" s="396" t="s">
        <v>10791</v>
      </c>
      <c r="E5677" s="396" t="s">
        <v>10792</v>
      </c>
      <c r="F5677" s="396" t="s">
        <v>10793</v>
      </c>
    </row>
    <row r="5678">
      <c r="A5678" s="311">
        <v>5677</v>
      </c>
      <c r="B5678" s="396" t="s">
        <v>10822</v>
      </c>
      <c r="C5678" s="396" t="s">
        <v>10483</v>
      </c>
      <c r="D5678" s="396" t="s">
        <v>10791</v>
      </c>
      <c r="E5678" s="396" t="s">
        <v>10792</v>
      </c>
      <c r="F5678" s="396" t="s">
        <v>10793</v>
      </c>
    </row>
    <row r="5679">
      <c r="A5679" s="311">
        <v>5678</v>
      </c>
      <c r="B5679" s="396" t="s">
        <v>10823</v>
      </c>
      <c r="C5679" s="396" t="s">
        <v>10824</v>
      </c>
      <c r="D5679" s="396" t="s">
        <v>10791</v>
      </c>
      <c r="E5679" s="396" t="s">
        <v>10792</v>
      </c>
      <c r="F5679" s="396" t="s">
        <v>10793</v>
      </c>
    </row>
    <row r="5680">
      <c r="A5680" s="311">
        <v>5679</v>
      </c>
      <c r="B5680" s="396" t="s">
        <v>10825</v>
      </c>
      <c r="C5680" s="396" t="s">
        <v>10826</v>
      </c>
      <c r="D5680" s="396" t="s">
        <v>10791</v>
      </c>
      <c r="E5680" s="396" t="s">
        <v>10792</v>
      </c>
      <c r="F5680" s="396" t="s">
        <v>10793</v>
      </c>
    </row>
    <row r="5681">
      <c r="A5681" s="311">
        <v>5680</v>
      </c>
      <c r="B5681" s="396" t="s">
        <v>10827</v>
      </c>
      <c r="C5681" s="396" t="s">
        <v>10828</v>
      </c>
      <c r="D5681" s="396" t="s">
        <v>10791</v>
      </c>
      <c r="E5681" s="396" t="s">
        <v>10792</v>
      </c>
      <c r="F5681" s="396" t="s">
        <v>10793</v>
      </c>
    </row>
    <row r="5682">
      <c r="A5682" s="311">
        <v>5681</v>
      </c>
      <c r="B5682" s="396" t="s">
        <v>10829</v>
      </c>
      <c r="C5682" s="396" t="s">
        <v>10830</v>
      </c>
      <c r="D5682" s="396" t="s">
        <v>10791</v>
      </c>
      <c r="E5682" s="396" t="s">
        <v>10792</v>
      </c>
      <c r="F5682" s="396" t="s">
        <v>10793</v>
      </c>
    </row>
    <row r="5683">
      <c r="A5683" s="311">
        <v>5682</v>
      </c>
      <c r="B5683" s="396" t="s">
        <v>10831</v>
      </c>
      <c r="C5683" s="396" t="s">
        <v>10832</v>
      </c>
      <c r="D5683" s="396" t="s">
        <v>10791</v>
      </c>
      <c r="E5683" s="396" t="s">
        <v>10792</v>
      </c>
      <c r="F5683" s="396" t="s">
        <v>10793</v>
      </c>
    </row>
    <row r="5684">
      <c r="A5684" s="311">
        <v>5683</v>
      </c>
      <c r="B5684" s="396" t="s">
        <v>10833</v>
      </c>
      <c r="C5684" s="396" t="s">
        <v>10834</v>
      </c>
      <c r="D5684" s="396" t="s">
        <v>10791</v>
      </c>
      <c r="E5684" s="396" t="s">
        <v>10792</v>
      </c>
      <c r="F5684" s="396" t="s">
        <v>10793</v>
      </c>
    </row>
    <row r="5685">
      <c r="A5685" s="311">
        <v>5684</v>
      </c>
      <c r="B5685" s="396" t="s">
        <v>10835</v>
      </c>
      <c r="C5685" s="396" t="s">
        <v>10836</v>
      </c>
      <c r="D5685" s="396" t="s">
        <v>10791</v>
      </c>
      <c r="E5685" s="396" t="s">
        <v>10792</v>
      </c>
      <c r="F5685" s="396" t="s">
        <v>10793</v>
      </c>
    </row>
    <row r="5686">
      <c r="A5686" s="311">
        <v>5685</v>
      </c>
      <c r="B5686" s="396" t="s">
        <v>10837</v>
      </c>
      <c r="C5686" s="396" t="s">
        <v>10838</v>
      </c>
      <c r="D5686" s="396" t="s">
        <v>10839</v>
      </c>
      <c r="E5686" s="396" t="s">
        <v>10840</v>
      </c>
      <c r="F5686" s="396" t="s">
        <v>10793</v>
      </c>
    </row>
    <row r="5687">
      <c r="A5687" s="311">
        <v>5686</v>
      </c>
      <c r="B5687" s="396" t="s">
        <v>10841</v>
      </c>
      <c r="C5687" s="396" t="s">
        <v>10842</v>
      </c>
      <c r="D5687" s="396" t="s">
        <v>10839</v>
      </c>
      <c r="E5687" s="396" t="s">
        <v>10840</v>
      </c>
      <c r="F5687" s="396" t="s">
        <v>10793</v>
      </c>
    </row>
    <row r="5688">
      <c r="A5688" s="311">
        <v>5687</v>
      </c>
      <c r="B5688" s="396" t="s">
        <v>10843</v>
      </c>
      <c r="C5688" s="396" t="s">
        <v>10844</v>
      </c>
      <c r="D5688" s="396" t="s">
        <v>10839</v>
      </c>
      <c r="E5688" s="396" t="s">
        <v>10840</v>
      </c>
      <c r="F5688" s="396" t="s">
        <v>10793</v>
      </c>
    </row>
    <row r="5689">
      <c r="A5689" s="311">
        <v>5688</v>
      </c>
      <c r="B5689" s="396" t="s">
        <v>10845</v>
      </c>
      <c r="C5689" s="396" t="s">
        <v>10846</v>
      </c>
      <c r="D5689" s="396" t="s">
        <v>10839</v>
      </c>
      <c r="E5689" s="396" t="s">
        <v>10840</v>
      </c>
      <c r="F5689" s="396" t="s">
        <v>10793</v>
      </c>
    </row>
    <row r="5690">
      <c r="A5690" s="311">
        <v>5689</v>
      </c>
      <c r="B5690" s="396" t="s">
        <v>10847</v>
      </c>
      <c r="C5690" s="396" t="s">
        <v>10848</v>
      </c>
      <c r="D5690" s="396" t="s">
        <v>10839</v>
      </c>
      <c r="E5690" s="396" t="s">
        <v>10840</v>
      </c>
      <c r="F5690" s="396" t="s">
        <v>10793</v>
      </c>
    </row>
    <row r="5691">
      <c r="A5691" s="311">
        <v>5690</v>
      </c>
      <c r="B5691" s="396" t="s">
        <v>10849</v>
      </c>
      <c r="C5691" s="396" t="s">
        <v>10850</v>
      </c>
      <c r="D5691" s="396" t="s">
        <v>10839</v>
      </c>
      <c r="E5691" s="396" t="s">
        <v>10840</v>
      </c>
      <c r="F5691" s="396" t="s">
        <v>10793</v>
      </c>
    </row>
    <row r="5692">
      <c r="A5692" s="311">
        <v>5691</v>
      </c>
      <c r="B5692" s="396" t="s">
        <v>10851</v>
      </c>
      <c r="C5692" s="396" t="s">
        <v>10852</v>
      </c>
      <c r="D5692" s="396" t="s">
        <v>10839</v>
      </c>
      <c r="E5692" s="396" t="s">
        <v>10840</v>
      </c>
      <c r="F5692" s="396" t="s">
        <v>10793</v>
      </c>
    </row>
    <row r="5693">
      <c r="A5693" s="311">
        <v>5692</v>
      </c>
      <c r="B5693" s="396" t="s">
        <v>10853</v>
      </c>
      <c r="C5693" s="396" t="s">
        <v>10854</v>
      </c>
      <c r="D5693" s="396" t="s">
        <v>10855</v>
      </c>
      <c r="E5693" s="396" t="s">
        <v>10856</v>
      </c>
      <c r="F5693" s="396" t="s">
        <v>10793</v>
      </c>
    </row>
    <row r="5694">
      <c r="A5694" s="311">
        <v>5693</v>
      </c>
      <c r="B5694" s="396" t="s">
        <v>10857</v>
      </c>
      <c r="C5694" s="396" t="s">
        <v>10858</v>
      </c>
      <c r="D5694" s="396" t="s">
        <v>10855</v>
      </c>
      <c r="E5694" s="396" t="s">
        <v>10856</v>
      </c>
      <c r="F5694" s="396" t="s">
        <v>10793</v>
      </c>
    </row>
    <row r="5695">
      <c r="A5695" s="311">
        <v>5694</v>
      </c>
      <c r="B5695" s="396" t="s">
        <v>10859</v>
      </c>
      <c r="C5695" s="396" t="s">
        <v>10860</v>
      </c>
      <c r="D5695" s="396" t="s">
        <v>10855</v>
      </c>
      <c r="E5695" s="396" t="s">
        <v>10856</v>
      </c>
      <c r="F5695" s="396" t="s">
        <v>10793</v>
      </c>
    </row>
    <row r="5696">
      <c r="A5696" s="311">
        <v>5695</v>
      </c>
      <c r="B5696" s="396" t="s">
        <v>10861</v>
      </c>
      <c r="C5696" s="396" t="s">
        <v>5796</v>
      </c>
      <c r="D5696" s="396" t="s">
        <v>10855</v>
      </c>
      <c r="E5696" s="396" t="s">
        <v>10856</v>
      </c>
      <c r="F5696" s="396" t="s">
        <v>10793</v>
      </c>
    </row>
    <row r="5697">
      <c r="A5697" s="311">
        <v>5696</v>
      </c>
      <c r="B5697" s="396" t="s">
        <v>10862</v>
      </c>
      <c r="C5697" s="396" t="s">
        <v>10863</v>
      </c>
      <c r="D5697" s="396" t="s">
        <v>10855</v>
      </c>
      <c r="E5697" s="396" t="s">
        <v>10856</v>
      </c>
      <c r="F5697" s="396" t="s">
        <v>10793</v>
      </c>
    </row>
    <row r="5698">
      <c r="A5698" s="311">
        <v>5697</v>
      </c>
      <c r="B5698" s="396" t="s">
        <v>10864</v>
      </c>
      <c r="C5698" s="396" t="s">
        <v>10865</v>
      </c>
      <c r="D5698" s="396" t="s">
        <v>10855</v>
      </c>
      <c r="E5698" s="396" t="s">
        <v>10856</v>
      </c>
      <c r="F5698" s="396" t="s">
        <v>10793</v>
      </c>
    </row>
    <row r="5699">
      <c r="A5699" s="311">
        <v>5698</v>
      </c>
      <c r="B5699" s="396" t="s">
        <v>10866</v>
      </c>
      <c r="C5699" s="396" t="s">
        <v>10867</v>
      </c>
      <c r="D5699" s="396" t="s">
        <v>10855</v>
      </c>
      <c r="E5699" s="396" t="s">
        <v>10856</v>
      </c>
      <c r="F5699" s="396" t="s">
        <v>10793</v>
      </c>
    </row>
    <row r="5700">
      <c r="A5700" s="311">
        <v>5699</v>
      </c>
      <c r="B5700" s="396" t="s">
        <v>10868</v>
      </c>
      <c r="C5700" s="396" t="s">
        <v>10869</v>
      </c>
      <c r="D5700" s="396" t="s">
        <v>10855</v>
      </c>
      <c r="E5700" s="396" t="s">
        <v>10856</v>
      </c>
      <c r="F5700" s="396" t="s">
        <v>10793</v>
      </c>
    </row>
    <row r="5701">
      <c r="A5701" s="311">
        <v>5700</v>
      </c>
      <c r="B5701" s="396" t="s">
        <v>10870</v>
      </c>
      <c r="C5701" s="396" t="s">
        <v>1356</v>
      </c>
      <c r="D5701" s="396" t="s">
        <v>10855</v>
      </c>
      <c r="E5701" s="396" t="s">
        <v>10856</v>
      </c>
      <c r="F5701" s="396" t="s">
        <v>10793</v>
      </c>
    </row>
    <row r="5702">
      <c r="A5702" s="311">
        <v>5701</v>
      </c>
      <c r="B5702" s="396" t="s">
        <v>10871</v>
      </c>
      <c r="C5702" s="396" t="s">
        <v>10872</v>
      </c>
      <c r="D5702" s="396" t="s">
        <v>10855</v>
      </c>
      <c r="E5702" s="396" t="s">
        <v>10856</v>
      </c>
      <c r="F5702" s="396" t="s">
        <v>10793</v>
      </c>
    </row>
    <row r="5703">
      <c r="A5703" s="311">
        <v>5702</v>
      </c>
      <c r="B5703" s="396" t="s">
        <v>10873</v>
      </c>
      <c r="C5703" s="396" t="s">
        <v>10874</v>
      </c>
      <c r="D5703" s="396" t="s">
        <v>10875</v>
      </c>
      <c r="E5703" s="396" t="s">
        <v>10876</v>
      </c>
      <c r="F5703" s="396" t="s">
        <v>10793</v>
      </c>
    </row>
    <row r="5704">
      <c r="A5704" s="311">
        <v>5703</v>
      </c>
      <c r="B5704" s="396" t="s">
        <v>10877</v>
      </c>
      <c r="C5704" s="396" t="s">
        <v>10878</v>
      </c>
      <c r="D5704" s="396" t="s">
        <v>10875</v>
      </c>
      <c r="E5704" s="396" t="s">
        <v>10876</v>
      </c>
      <c r="F5704" s="396" t="s">
        <v>10793</v>
      </c>
    </row>
    <row r="5705">
      <c r="A5705" s="311">
        <v>5704</v>
      </c>
      <c r="B5705" s="396" t="s">
        <v>10879</v>
      </c>
      <c r="C5705" s="396" t="s">
        <v>5450</v>
      </c>
      <c r="D5705" s="396" t="s">
        <v>10875</v>
      </c>
      <c r="E5705" s="396" t="s">
        <v>10876</v>
      </c>
      <c r="F5705" s="396" t="s">
        <v>10793</v>
      </c>
    </row>
    <row r="5706">
      <c r="A5706" s="311">
        <v>5705</v>
      </c>
      <c r="B5706" s="396" t="s">
        <v>10880</v>
      </c>
      <c r="C5706" s="396" t="s">
        <v>10881</v>
      </c>
      <c r="D5706" s="396" t="s">
        <v>10875</v>
      </c>
      <c r="E5706" s="396" t="s">
        <v>10876</v>
      </c>
      <c r="F5706" s="396" t="s">
        <v>10793</v>
      </c>
    </row>
    <row r="5707">
      <c r="A5707" s="311">
        <v>5706</v>
      </c>
      <c r="B5707" s="396" t="s">
        <v>10882</v>
      </c>
      <c r="C5707" s="396" t="s">
        <v>549</v>
      </c>
      <c r="D5707" s="396" t="s">
        <v>10875</v>
      </c>
      <c r="E5707" s="396" t="s">
        <v>10876</v>
      </c>
      <c r="F5707" s="396" t="s">
        <v>10793</v>
      </c>
    </row>
    <row r="5708">
      <c r="A5708" s="311">
        <v>5707</v>
      </c>
      <c r="B5708" s="396" t="s">
        <v>10883</v>
      </c>
      <c r="C5708" s="396" t="s">
        <v>10884</v>
      </c>
      <c r="D5708" s="396" t="s">
        <v>10875</v>
      </c>
      <c r="E5708" s="396" t="s">
        <v>10876</v>
      </c>
      <c r="F5708" s="396" t="s">
        <v>10793</v>
      </c>
    </row>
    <row r="5709">
      <c r="A5709" s="311">
        <v>5708</v>
      </c>
      <c r="B5709" s="396" t="s">
        <v>10885</v>
      </c>
      <c r="C5709" s="396" t="s">
        <v>5113</v>
      </c>
      <c r="D5709" s="396" t="s">
        <v>10875</v>
      </c>
      <c r="E5709" s="396" t="s">
        <v>10876</v>
      </c>
      <c r="F5709" s="396" t="s">
        <v>10793</v>
      </c>
    </row>
    <row r="5710">
      <c r="A5710" s="311">
        <v>5709</v>
      </c>
      <c r="B5710" s="396" t="s">
        <v>10886</v>
      </c>
      <c r="C5710" s="396" t="s">
        <v>10887</v>
      </c>
      <c r="D5710" s="396" t="s">
        <v>10875</v>
      </c>
      <c r="E5710" s="396" t="s">
        <v>10876</v>
      </c>
      <c r="F5710" s="396" t="s">
        <v>10793</v>
      </c>
    </row>
    <row r="5711">
      <c r="A5711" s="311">
        <v>5710</v>
      </c>
      <c r="B5711" s="396" t="s">
        <v>10888</v>
      </c>
      <c r="C5711" s="396" t="s">
        <v>10889</v>
      </c>
      <c r="D5711" s="396" t="s">
        <v>10875</v>
      </c>
      <c r="E5711" s="396" t="s">
        <v>10876</v>
      </c>
      <c r="F5711" s="396" t="s">
        <v>10793</v>
      </c>
    </row>
    <row r="5712">
      <c r="A5712" s="311">
        <v>5711</v>
      </c>
      <c r="B5712" s="396" t="s">
        <v>10890</v>
      </c>
      <c r="C5712" s="396" t="s">
        <v>5948</v>
      </c>
      <c r="D5712" s="396" t="s">
        <v>10875</v>
      </c>
      <c r="E5712" s="396" t="s">
        <v>10876</v>
      </c>
      <c r="F5712" s="396" t="s">
        <v>10793</v>
      </c>
    </row>
    <row r="5713">
      <c r="A5713" s="311">
        <v>5712</v>
      </c>
      <c r="B5713" s="396" t="s">
        <v>10891</v>
      </c>
      <c r="C5713" s="396" t="s">
        <v>10892</v>
      </c>
      <c r="D5713" s="396" t="s">
        <v>10875</v>
      </c>
      <c r="E5713" s="396" t="s">
        <v>10876</v>
      </c>
      <c r="F5713" s="396" t="s">
        <v>10793</v>
      </c>
    </row>
    <row r="5714">
      <c r="A5714" s="311">
        <v>5713</v>
      </c>
      <c r="B5714" s="396" t="s">
        <v>10893</v>
      </c>
      <c r="C5714" s="396" t="s">
        <v>10894</v>
      </c>
      <c r="D5714" s="396" t="s">
        <v>10875</v>
      </c>
      <c r="E5714" s="396" t="s">
        <v>10876</v>
      </c>
      <c r="F5714" s="396" t="s">
        <v>10793</v>
      </c>
    </row>
    <row r="5715">
      <c r="A5715" s="311">
        <v>5714</v>
      </c>
      <c r="B5715" s="396" t="s">
        <v>10895</v>
      </c>
      <c r="C5715" s="396" t="s">
        <v>2270</v>
      </c>
      <c r="D5715" s="396" t="s">
        <v>10875</v>
      </c>
      <c r="E5715" s="396" t="s">
        <v>10876</v>
      </c>
      <c r="F5715" s="396" t="s">
        <v>10793</v>
      </c>
    </row>
    <row r="5716">
      <c r="A5716" s="311">
        <v>5715</v>
      </c>
      <c r="B5716" s="396" t="s">
        <v>10896</v>
      </c>
      <c r="C5716" s="396" t="s">
        <v>10897</v>
      </c>
      <c r="D5716" s="396" t="s">
        <v>10875</v>
      </c>
      <c r="E5716" s="396" t="s">
        <v>10876</v>
      </c>
      <c r="F5716" s="396" t="s">
        <v>10793</v>
      </c>
    </row>
    <row r="5717">
      <c r="A5717" s="311">
        <v>5716</v>
      </c>
      <c r="B5717" s="396" t="s">
        <v>10898</v>
      </c>
      <c r="C5717" s="396" t="s">
        <v>10899</v>
      </c>
      <c r="D5717" s="396" t="s">
        <v>10900</v>
      </c>
      <c r="E5717" s="396" t="s">
        <v>10901</v>
      </c>
      <c r="F5717" s="396" t="s">
        <v>10793</v>
      </c>
    </row>
    <row r="5718">
      <c r="A5718" s="311">
        <v>5717</v>
      </c>
      <c r="B5718" s="396" t="s">
        <v>10902</v>
      </c>
      <c r="C5718" s="396" t="s">
        <v>10903</v>
      </c>
      <c r="D5718" s="396" t="s">
        <v>10900</v>
      </c>
      <c r="E5718" s="396" t="s">
        <v>10901</v>
      </c>
      <c r="F5718" s="396" t="s">
        <v>10793</v>
      </c>
    </row>
    <row r="5719">
      <c r="A5719" s="311">
        <v>5718</v>
      </c>
      <c r="B5719" s="396" t="s">
        <v>10904</v>
      </c>
      <c r="C5719" s="396" t="s">
        <v>10905</v>
      </c>
      <c r="D5719" s="396" t="s">
        <v>10900</v>
      </c>
      <c r="E5719" s="396" t="s">
        <v>10901</v>
      </c>
      <c r="F5719" s="396" t="s">
        <v>10793</v>
      </c>
    </row>
    <row r="5720">
      <c r="A5720" s="311">
        <v>5719</v>
      </c>
      <c r="B5720" s="396" t="s">
        <v>10906</v>
      </c>
      <c r="C5720" s="396" t="s">
        <v>10907</v>
      </c>
      <c r="D5720" s="396" t="s">
        <v>10900</v>
      </c>
      <c r="E5720" s="396" t="s">
        <v>10901</v>
      </c>
      <c r="F5720" s="396" t="s">
        <v>10793</v>
      </c>
    </row>
    <row r="5721">
      <c r="A5721" s="311">
        <v>5720</v>
      </c>
      <c r="B5721" s="396" t="s">
        <v>10908</v>
      </c>
      <c r="C5721" s="396" t="s">
        <v>10909</v>
      </c>
      <c r="D5721" s="396" t="s">
        <v>10900</v>
      </c>
      <c r="E5721" s="396" t="s">
        <v>10901</v>
      </c>
      <c r="F5721" s="396" t="s">
        <v>10793</v>
      </c>
    </row>
    <row r="5722">
      <c r="A5722" s="311">
        <v>5721</v>
      </c>
      <c r="B5722" s="396" t="s">
        <v>10910</v>
      </c>
      <c r="C5722" s="396" t="s">
        <v>10911</v>
      </c>
      <c r="D5722" s="396" t="s">
        <v>10900</v>
      </c>
      <c r="E5722" s="396" t="s">
        <v>10901</v>
      </c>
      <c r="F5722" s="396" t="s">
        <v>10793</v>
      </c>
    </row>
    <row r="5723">
      <c r="A5723" s="311">
        <v>5722</v>
      </c>
      <c r="B5723" s="396" t="s">
        <v>10912</v>
      </c>
      <c r="C5723" s="396" t="s">
        <v>10913</v>
      </c>
      <c r="D5723" s="396" t="s">
        <v>10900</v>
      </c>
      <c r="E5723" s="396" t="s">
        <v>10901</v>
      </c>
      <c r="F5723" s="396" t="s">
        <v>10793</v>
      </c>
    </row>
    <row r="5724">
      <c r="A5724" s="311">
        <v>5723</v>
      </c>
      <c r="B5724" s="396" t="s">
        <v>10914</v>
      </c>
      <c r="C5724" s="396" t="s">
        <v>10915</v>
      </c>
      <c r="D5724" s="396" t="s">
        <v>10900</v>
      </c>
      <c r="E5724" s="396" t="s">
        <v>10901</v>
      </c>
      <c r="F5724" s="396" t="s">
        <v>10793</v>
      </c>
    </row>
    <row r="5725">
      <c r="A5725" s="311">
        <v>5724</v>
      </c>
      <c r="B5725" s="396" t="s">
        <v>10916</v>
      </c>
      <c r="C5725" s="396" t="s">
        <v>6977</v>
      </c>
      <c r="D5725" s="396" t="s">
        <v>10900</v>
      </c>
      <c r="E5725" s="396" t="s">
        <v>10901</v>
      </c>
      <c r="F5725" s="396" t="s">
        <v>10793</v>
      </c>
    </row>
    <row r="5726">
      <c r="A5726" s="311">
        <v>5725</v>
      </c>
      <c r="B5726" s="396" t="s">
        <v>10917</v>
      </c>
      <c r="C5726" s="396" t="s">
        <v>10918</v>
      </c>
      <c r="D5726" s="396" t="s">
        <v>10900</v>
      </c>
      <c r="E5726" s="396" t="s">
        <v>10901</v>
      </c>
      <c r="F5726" s="396" t="s">
        <v>10793</v>
      </c>
    </row>
    <row r="5727">
      <c r="A5727" s="311">
        <v>5726</v>
      </c>
      <c r="B5727" s="396" t="s">
        <v>10919</v>
      </c>
      <c r="C5727" s="396" t="s">
        <v>10920</v>
      </c>
      <c r="D5727" s="396" t="s">
        <v>10900</v>
      </c>
      <c r="E5727" s="396" t="s">
        <v>10901</v>
      </c>
      <c r="F5727" s="396" t="s">
        <v>10793</v>
      </c>
    </row>
    <row r="5728">
      <c r="A5728" s="311">
        <v>5727</v>
      </c>
      <c r="B5728" s="396" t="s">
        <v>10921</v>
      </c>
      <c r="C5728" s="396" t="s">
        <v>10922</v>
      </c>
      <c r="D5728" s="396" t="s">
        <v>10900</v>
      </c>
      <c r="E5728" s="396" t="s">
        <v>10901</v>
      </c>
      <c r="F5728" s="396" t="s">
        <v>10793</v>
      </c>
    </row>
    <row r="5729">
      <c r="A5729" s="311">
        <v>5728</v>
      </c>
      <c r="B5729" s="396" t="s">
        <v>10923</v>
      </c>
      <c r="C5729" s="396" t="s">
        <v>10924</v>
      </c>
      <c r="D5729" s="396" t="s">
        <v>10925</v>
      </c>
      <c r="E5729" s="396" t="s">
        <v>4239</v>
      </c>
      <c r="F5729" s="396" t="s">
        <v>10793</v>
      </c>
    </row>
    <row r="5730">
      <c r="A5730" s="311">
        <v>5729</v>
      </c>
      <c r="B5730" s="396" t="s">
        <v>10926</v>
      </c>
      <c r="C5730" s="396" t="s">
        <v>10927</v>
      </c>
      <c r="D5730" s="396" t="s">
        <v>10925</v>
      </c>
      <c r="E5730" s="396" t="s">
        <v>4239</v>
      </c>
      <c r="F5730" s="396" t="s">
        <v>10793</v>
      </c>
    </row>
    <row r="5731">
      <c r="A5731" s="311">
        <v>5730</v>
      </c>
      <c r="B5731" s="396" t="s">
        <v>10928</v>
      </c>
      <c r="C5731" s="396" t="s">
        <v>6086</v>
      </c>
      <c r="D5731" s="396" t="s">
        <v>10925</v>
      </c>
      <c r="E5731" s="396" t="s">
        <v>4239</v>
      </c>
      <c r="F5731" s="396" t="s">
        <v>10793</v>
      </c>
    </row>
    <row r="5732">
      <c r="A5732" s="311">
        <v>5731</v>
      </c>
      <c r="B5732" s="396" t="s">
        <v>10929</v>
      </c>
      <c r="C5732" s="396" t="s">
        <v>10930</v>
      </c>
      <c r="D5732" s="396" t="s">
        <v>10925</v>
      </c>
      <c r="E5732" s="396" t="s">
        <v>4239</v>
      </c>
      <c r="F5732" s="396" t="s">
        <v>10793</v>
      </c>
    </row>
    <row r="5733">
      <c r="A5733" s="311">
        <v>5732</v>
      </c>
      <c r="B5733" s="396" t="s">
        <v>10931</v>
      </c>
      <c r="C5733" s="396" t="s">
        <v>10932</v>
      </c>
      <c r="D5733" s="396" t="s">
        <v>10925</v>
      </c>
      <c r="E5733" s="396" t="s">
        <v>4239</v>
      </c>
      <c r="F5733" s="396" t="s">
        <v>10793</v>
      </c>
    </row>
    <row r="5734">
      <c r="A5734" s="311">
        <v>5733</v>
      </c>
      <c r="B5734" s="396" t="s">
        <v>10933</v>
      </c>
      <c r="C5734" s="396" t="s">
        <v>10934</v>
      </c>
      <c r="D5734" s="396" t="s">
        <v>10925</v>
      </c>
      <c r="E5734" s="396" t="s">
        <v>4239</v>
      </c>
      <c r="F5734" s="396" t="s">
        <v>10793</v>
      </c>
    </row>
    <row r="5735">
      <c r="A5735" s="311">
        <v>5734</v>
      </c>
      <c r="B5735" s="396" t="s">
        <v>10935</v>
      </c>
      <c r="C5735" s="396" t="s">
        <v>10936</v>
      </c>
      <c r="D5735" s="396" t="s">
        <v>10925</v>
      </c>
      <c r="E5735" s="396" t="s">
        <v>4239</v>
      </c>
      <c r="F5735" s="396" t="s">
        <v>10793</v>
      </c>
    </row>
    <row r="5736">
      <c r="A5736" s="311">
        <v>5735</v>
      </c>
      <c r="B5736" s="396" t="s">
        <v>10937</v>
      </c>
      <c r="C5736" s="396" t="s">
        <v>10938</v>
      </c>
      <c r="D5736" s="396" t="s">
        <v>10925</v>
      </c>
      <c r="E5736" s="396" t="s">
        <v>4239</v>
      </c>
      <c r="F5736" s="396" t="s">
        <v>10793</v>
      </c>
    </row>
    <row r="5737">
      <c r="A5737" s="311">
        <v>5736</v>
      </c>
      <c r="B5737" s="396" t="s">
        <v>10939</v>
      </c>
      <c r="C5737" s="396" t="s">
        <v>10940</v>
      </c>
      <c r="D5737" s="396" t="s">
        <v>10925</v>
      </c>
      <c r="E5737" s="396" t="s">
        <v>4239</v>
      </c>
      <c r="F5737" s="396" t="s">
        <v>10793</v>
      </c>
    </row>
    <row r="5738">
      <c r="A5738" s="311">
        <v>5737</v>
      </c>
      <c r="B5738" s="396" t="s">
        <v>10941</v>
      </c>
      <c r="C5738" s="396" t="s">
        <v>10942</v>
      </c>
      <c r="D5738" s="396" t="s">
        <v>10925</v>
      </c>
      <c r="E5738" s="396" t="s">
        <v>4239</v>
      </c>
      <c r="F5738" s="396" t="s">
        <v>10793</v>
      </c>
    </row>
    <row r="5739">
      <c r="A5739" s="311">
        <v>5738</v>
      </c>
      <c r="B5739" s="396" t="s">
        <v>10943</v>
      </c>
      <c r="C5739" s="396" t="s">
        <v>10944</v>
      </c>
      <c r="D5739" s="396" t="s">
        <v>10925</v>
      </c>
      <c r="E5739" s="396" t="s">
        <v>4239</v>
      </c>
      <c r="F5739" s="396" t="s">
        <v>10793</v>
      </c>
    </row>
    <row r="5740">
      <c r="A5740" s="311">
        <v>5739</v>
      </c>
      <c r="B5740" s="396" t="s">
        <v>10945</v>
      </c>
      <c r="C5740" s="396" t="s">
        <v>10946</v>
      </c>
      <c r="D5740" s="396" t="s">
        <v>10925</v>
      </c>
      <c r="E5740" s="396" t="s">
        <v>4239</v>
      </c>
      <c r="F5740" s="396" t="s">
        <v>10793</v>
      </c>
    </row>
    <row r="5741">
      <c r="A5741" s="311">
        <v>5740</v>
      </c>
      <c r="B5741" s="396" t="s">
        <v>10947</v>
      </c>
      <c r="C5741" s="396" t="s">
        <v>10948</v>
      </c>
      <c r="D5741" s="396" t="s">
        <v>10925</v>
      </c>
      <c r="E5741" s="396" t="s">
        <v>4239</v>
      </c>
      <c r="F5741" s="396" t="s">
        <v>10793</v>
      </c>
    </row>
    <row r="5742">
      <c r="A5742" s="311">
        <v>5741</v>
      </c>
      <c r="B5742" s="396" t="s">
        <v>10949</v>
      </c>
      <c r="C5742" s="396" t="s">
        <v>10950</v>
      </c>
      <c r="D5742" s="396" t="s">
        <v>10925</v>
      </c>
      <c r="E5742" s="396" t="s">
        <v>4239</v>
      </c>
      <c r="F5742" s="396" t="s">
        <v>10793</v>
      </c>
    </row>
    <row r="5743">
      <c r="A5743" s="311">
        <v>5742</v>
      </c>
      <c r="B5743" s="396" t="s">
        <v>10951</v>
      </c>
      <c r="C5743" s="396" t="s">
        <v>10952</v>
      </c>
      <c r="D5743" s="396" t="s">
        <v>10925</v>
      </c>
      <c r="E5743" s="396" t="s">
        <v>4239</v>
      </c>
      <c r="F5743" s="396" t="s">
        <v>10793</v>
      </c>
    </row>
    <row r="5744">
      <c r="A5744" s="311">
        <v>5743</v>
      </c>
      <c r="B5744" s="396" t="s">
        <v>10953</v>
      </c>
      <c r="C5744" s="396" t="s">
        <v>10954</v>
      </c>
      <c r="D5744" s="396" t="s">
        <v>10925</v>
      </c>
      <c r="E5744" s="396" t="s">
        <v>4239</v>
      </c>
      <c r="F5744" s="396" t="s">
        <v>10793</v>
      </c>
    </row>
    <row r="5745">
      <c r="A5745" s="311">
        <v>5744</v>
      </c>
      <c r="B5745" s="396" t="s">
        <v>10955</v>
      </c>
      <c r="C5745" s="396" t="s">
        <v>10956</v>
      </c>
      <c r="D5745" s="396" t="s">
        <v>10925</v>
      </c>
      <c r="E5745" s="396" t="s">
        <v>4239</v>
      </c>
      <c r="F5745" s="396" t="s">
        <v>10793</v>
      </c>
    </row>
    <row r="5746">
      <c r="A5746" s="311">
        <v>5745</v>
      </c>
      <c r="B5746" s="396" t="s">
        <v>10957</v>
      </c>
      <c r="C5746" s="396" t="s">
        <v>8614</v>
      </c>
      <c r="D5746" s="396" t="s">
        <v>10925</v>
      </c>
      <c r="E5746" s="396" t="s">
        <v>4239</v>
      </c>
      <c r="F5746" s="396" t="s">
        <v>10793</v>
      </c>
    </row>
    <row r="5747">
      <c r="A5747" s="311">
        <v>5746</v>
      </c>
      <c r="B5747" s="396" t="s">
        <v>10958</v>
      </c>
      <c r="C5747" s="396" t="s">
        <v>10959</v>
      </c>
      <c r="D5747" s="396" t="s">
        <v>10925</v>
      </c>
      <c r="E5747" s="396" t="s">
        <v>4239</v>
      </c>
      <c r="F5747" s="396" t="s">
        <v>10793</v>
      </c>
    </row>
    <row r="5748">
      <c r="A5748" s="311">
        <v>5747</v>
      </c>
      <c r="B5748" s="396" t="s">
        <v>10960</v>
      </c>
      <c r="C5748" s="396" t="s">
        <v>10961</v>
      </c>
      <c r="D5748" s="396" t="s">
        <v>10925</v>
      </c>
      <c r="E5748" s="396" t="s">
        <v>4239</v>
      </c>
      <c r="F5748" s="396" t="s">
        <v>10793</v>
      </c>
    </row>
    <row r="5749">
      <c r="A5749" s="311">
        <v>5748</v>
      </c>
      <c r="B5749" s="396" t="s">
        <v>10962</v>
      </c>
      <c r="C5749" s="396" t="s">
        <v>10963</v>
      </c>
      <c r="D5749" s="396" t="s">
        <v>10925</v>
      </c>
      <c r="E5749" s="396" t="s">
        <v>4239</v>
      </c>
      <c r="F5749" s="396" t="s">
        <v>10793</v>
      </c>
    </row>
    <row r="5750">
      <c r="A5750" s="311">
        <v>5749</v>
      </c>
      <c r="B5750" s="396" t="s">
        <v>10964</v>
      </c>
      <c r="C5750" s="396" t="s">
        <v>10965</v>
      </c>
      <c r="D5750" s="396" t="s">
        <v>10966</v>
      </c>
      <c r="E5750" s="396" t="s">
        <v>10967</v>
      </c>
      <c r="F5750" s="396" t="s">
        <v>10793</v>
      </c>
    </row>
    <row r="5751">
      <c r="A5751" s="311">
        <v>5750</v>
      </c>
      <c r="B5751" s="396" t="s">
        <v>10968</v>
      </c>
      <c r="C5751" s="396" t="s">
        <v>3877</v>
      </c>
      <c r="D5751" s="396" t="s">
        <v>10966</v>
      </c>
      <c r="E5751" s="396" t="s">
        <v>10967</v>
      </c>
      <c r="F5751" s="396" t="s">
        <v>10793</v>
      </c>
    </row>
    <row r="5752">
      <c r="A5752" s="311">
        <v>5751</v>
      </c>
      <c r="B5752" s="396" t="s">
        <v>10969</v>
      </c>
      <c r="C5752" s="396" t="s">
        <v>10970</v>
      </c>
      <c r="D5752" s="396" t="s">
        <v>10966</v>
      </c>
      <c r="E5752" s="396" t="s">
        <v>10967</v>
      </c>
      <c r="F5752" s="396" t="s">
        <v>10793</v>
      </c>
    </row>
    <row r="5753">
      <c r="A5753" s="311">
        <v>5752</v>
      </c>
      <c r="B5753" s="396" t="s">
        <v>10971</v>
      </c>
      <c r="C5753" s="396" t="s">
        <v>10972</v>
      </c>
      <c r="D5753" s="396" t="s">
        <v>10966</v>
      </c>
      <c r="E5753" s="396" t="s">
        <v>10967</v>
      </c>
      <c r="F5753" s="396" t="s">
        <v>10793</v>
      </c>
    </row>
    <row r="5754">
      <c r="A5754" s="311">
        <v>5753</v>
      </c>
      <c r="B5754" s="396" t="s">
        <v>10973</v>
      </c>
      <c r="C5754" s="396" t="s">
        <v>10974</v>
      </c>
      <c r="D5754" s="396" t="s">
        <v>10966</v>
      </c>
      <c r="E5754" s="396" t="s">
        <v>10967</v>
      </c>
      <c r="F5754" s="396" t="s">
        <v>10793</v>
      </c>
    </row>
    <row r="5755">
      <c r="A5755" s="311">
        <v>5754</v>
      </c>
      <c r="B5755" s="396" t="s">
        <v>10975</v>
      </c>
      <c r="C5755" s="396" t="s">
        <v>4900</v>
      </c>
      <c r="D5755" s="396" t="s">
        <v>10966</v>
      </c>
      <c r="E5755" s="396" t="s">
        <v>10967</v>
      </c>
      <c r="F5755" s="396" t="s">
        <v>10793</v>
      </c>
    </row>
    <row r="5756">
      <c r="A5756" s="311">
        <v>5755</v>
      </c>
      <c r="B5756" s="396" t="s">
        <v>10976</v>
      </c>
      <c r="C5756" s="396" t="s">
        <v>10977</v>
      </c>
      <c r="D5756" s="396" t="s">
        <v>10966</v>
      </c>
      <c r="E5756" s="396" t="s">
        <v>10967</v>
      </c>
      <c r="F5756" s="396" t="s">
        <v>10793</v>
      </c>
    </row>
    <row r="5757">
      <c r="A5757" s="311">
        <v>5756</v>
      </c>
      <c r="B5757" s="396" t="s">
        <v>10978</v>
      </c>
      <c r="C5757" s="396" t="s">
        <v>10979</v>
      </c>
      <c r="D5757" s="396" t="s">
        <v>10966</v>
      </c>
      <c r="E5757" s="396" t="s">
        <v>10967</v>
      </c>
      <c r="F5757" s="396" t="s">
        <v>10793</v>
      </c>
    </row>
    <row r="5758">
      <c r="A5758" s="311">
        <v>5757</v>
      </c>
      <c r="B5758" s="396" t="s">
        <v>10980</v>
      </c>
      <c r="C5758" s="396" t="s">
        <v>4227</v>
      </c>
      <c r="D5758" s="396" t="s">
        <v>10966</v>
      </c>
      <c r="E5758" s="396" t="s">
        <v>10967</v>
      </c>
      <c r="F5758" s="396" t="s">
        <v>10793</v>
      </c>
    </row>
    <row r="5759">
      <c r="A5759" s="311">
        <v>5758</v>
      </c>
      <c r="B5759" s="396" t="s">
        <v>10981</v>
      </c>
      <c r="C5759" s="396" t="s">
        <v>10982</v>
      </c>
      <c r="D5759" s="396" t="s">
        <v>10966</v>
      </c>
      <c r="E5759" s="396" t="s">
        <v>10967</v>
      </c>
      <c r="F5759" s="396" t="s">
        <v>10793</v>
      </c>
    </row>
    <row r="5760">
      <c r="A5760" s="311">
        <v>5759</v>
      </c>
      <c r="B5760" s="396" t="s">
        <v>10983</v>
      </c>
      <c r="C5760" s="396" t="s">
        <v>10984</v>
      </c>
      <c r="D5760" s="396" t="s">
        <v>10966</v>
      </c>
      <c r="E5760" s="396" t="s">
        <v>10967</v>
      </c>
      <c r="F5760" s="396" t="s">
        <v>10793</v>
      </c>
    </row>
    <row r="5761">
      <c r="A5761" s="311">
        <v>5760</v>
      </c>
      <c r="B5761" s="396" t="s">
        <v>10985</v>
      </c>
      <c r="C5761" s="396" t="s">
        <v>10986</v>
      </c>
      <c r="D5761" s="396" t="s">
        <v>10966</v>
      </c>
      <c r="E5761" s="396" t="s">
        <v>10967</v>
      </c>
      <c r="F5761" s="396" t="s">
        <v>10793</v>
      </c>
    </row>
    <row r="5762">
      <c r="A5762" s="311">
        <v>5761</v>
      </c>
      <c r="B5762" s="396" t="s">
        <v>10987</v>
      </c>
      <c r="C5762" s="396" t="s">
        <v>10988</v>
      </c>
      <c r="D5762" s="396" t="s">
        <v>10966</v>
      </c>
      <c r="E5762" s="396" t="s">
        <v>10967</v>
      </c>
      <c r="F5762" s="396" t="s">
        <v>10793</v>
      </c>
    </row>
    <row r="5763">
      <c r="A5763" s="311">
        <v>5762</v>
      </c>
      <c r="B5763" s="396" t="s">
        <v>10989</v>
      </c>
      <c r="C5763" s="396" t="s">
        <v>10990</v>
      </c>
      <c r="D5763" s="396" t="s">
        <v>10966</v>
      </c>
      <c r="E5763" s="396" t="s">
        <v>10967</v>
      </c>
      <c r="F5763" s="396" t="s">
        <v>10793</v>
      </c>
    </row>
    <row r="5764">
      <c r="A5764" s="311">
        <v>5763</v>
      </c>
      <c r="B5764" s="396" t="s">
        <v>10991</v>
      </c>
      <c r="C5764" s="396" t="s">
        <v>10992</v>
      </c>
      <c r="D5764" s="396" t="s">
        <v>10966</v>
      </c>
      <c r="E5764" s="396" t="s">
        <v>10967</v>
      </c>
      <c r="F5764" s="396" t="s">
        <v>10793</v>
      </c>
    </row>
    <row r="5765">
      <c r="A5765" s="311">
        <v>5764</v>
      </c>
      <c r="B5765" s="396" t="s">
        <v>10993</v>
      </c>
      <c r="C5765" s="396" t="s">
        <v>3890</v>
      </c>
      <c r="D5765" s="396" t="s">
        <v>10966</v>
      </c>
      <c r="E5765" s="396" t="s">
        <v>10967</v>
      </c>
      <c r="F5765" s="396" t="s">
        <v>10793</v>
      </c>
    </row>
    <row r="5766">
      <c r="A5766" s="311">
        <v>5765</v>
      </c>
      <c r="B5766" s="396" t="s">
        <v>10994</v>
      </c>
      <c r="C5766" s="396" t="s">
        <v>8728</v>
      </c>
      <c r="D5766" s="396" t="s">
        <v>10966</v>
      </c>
      <c r="E5766" s="396" t="s">
        <v>10967</v>
      </c>
      <c r="F5766" s="396" t="s">
        <v>10793</v>
      </c>
    </row>
    <row r="5767">
      <c r="A5767" s="311">
        <v>5766</v>
      </c>
      <c r="B5767" s="396" t="s">
        <v>10995</v>
      </c>
      <c r="C5767" s="396" t="s">
        <v>6760</v>
      </c>
      <c r="D5767" s="396" t="s">
        <v>10966</v>
      </c>
      <c r="E5767" s="396" t="s">
        <v>10967</v>
      </c>
      <c r="F5767" s="396" t="s">
        <v>10793</v>
      </c>
    </row>
    <row r="5768">
      <c r="A5768" s="311">
        <v>5767</v>
      </c>
      <c r="B5768" s="396" t="s">
        <v>10996</v>
      </c>
      <c r="C5768" s="396" t="s">
        <v>10997</v>
      </c>
      <c r="D5768" s="396" t="s">
        <v>10998</v>
      </c>
      <c r="E5768" s="396" t="s">
        <v>10999</v>
      </c>
      <c r="F5768" s="396" t="s">
        <v>10793</v>
      </c>
    </row>
    <row r="5769">
      <c r="A5769" s="311">
        <v>5768</v>
      </c>
      <c r="B5769" s="396" t="s">
        <v>11000</v>
      </c>
      <c r="C5769" s="396" t="s">
        <v>11001</v>
      </c>
      <c r="D5769" s="396" t="s">
        <v>10998</v>
      </c>
      <c r="E5769" s="396" t="s">
        <v>10999</v>
      </c>
      <c r="F5769" s="396" t="s">
        <v>10793</v>
      </c>
    </row>
    <row r="5770">
      <c r="A5770" s="311">
        <v>5769</v>
      </c>
      <c r="B5770" s="396" t="s">
        <v>11002</v>
      </c>
      <c r="C5770" s="396" t="s">
        <v>11003</v>
      </c>
      <c r="D5770" s="396" t="s">
        <v>10998</v>
      </c>
      <c r="E5770" s="396" t="s">
        <v>10999</v>
      </c>
      <c r="F5770" s="396" t="s">
        <v>10793</v>
      </c>
    </row>
    <row r="5771">
      <c r="A5771" s="311">
        <v>5770</v>
      </c>
      <c r="B5771" s="396" t="s">
        <v>11004</v>
      </c>
      <c r="C5771" s="396" t="s">
        <v>9132</v>
      </c>
      <c r="D5771" s="396" t="s">
        <v>10998</v>
      </c>
      <c r="E5771" s="396" t="s">
        <v>10999</v>
      </c>
      <c r="F5771" s="396" t="s">
        <v>10793</v>
      </c>
    </row>
    <row r="5772">
      <c r="A5772" s="311">
        <v>5771</v>
      </c>
      <c r="B5772" s="396" t="s">
        <v>11005</v>
      </c>
      <c r="C5772" s="396" t="s">
        <v>9148</v>
      </c>
      <c r="D5772" s="396" t="s">
        <v>10998</v>
      </c>
      <c r="E5772" s="396" t="s">
        <v>10999</v>
      </c>
      <c r="F5772" s="396" t="s">
        <v>10793</v>
      </c>
    </row>
    <row r="5773">
      <c r="A5773" s="311">
        <v>5772</v>
      </c>
      <c r="B5773" s="396" t="s">
        <v>11006</v>
      </c>
      <c r="C5773" s="396" t="s">
        <v>4092</v>
      </c>
      <c r="D5773" s="396" t="s">
        <v>10998</v>
      </c>
      <c r="E5773" s="396" t="s">
        <v>10999</v>
      </c>
      <c r="F5773" s="396" t="s">
        <v>10793</v>
      </c>
    </row>
    <row r="5774">
      <c r="A5774" s="311">
        <v>5773</v>
      </c>
      <c r="B5774" s="396" t="s">
        <v>11007</v>
      </c>
      <c r="C5774" s="396" t="s">
        <v>3859</v>
      </c>
      <c r="D5774" s="396" t="s">
        <v>10998</v>
      </c>
      <c r="E5774" s="396" t="s">
        <v>10999</v>
      </c>
      <c r="F5774" s="396" t="s">
        <v>10793</v>
      </c>
    </row>
    <row r="5775">
      <c r="A5775" s="311">
        <v>5774</v>
      </c>
      <c r="B5775" s="396" t="s">
        <v>11008</v>
      </c>
      <c r="C5775" s="396" t="s">
        <v>9140</v>
      </c>
      <c r="D5775" s="396" t="s">
        <v>10998</v>
      </c>
      <c r="E5775" s="396" t="s">
        <v>10999</v>
      </c>
      <c r="F5775" s="396" t="s">
        <v>10793</v>
      </c>
    </row>
    <row r="5776">
      <c r="A5776" s="311">
        <v>5775</v>
      </c>
      <c r="B5776" s="396" t="s">
        <v>11009</v>
      </c>
      <c r="C5776" s="396" t="s">
        <v>11010</v>
      </c>
      <c r="D5776" s="396" t="s">
        <v>10998</v>
      </c>
      <c r="E5776" s="396" t="s">
        <v>10999</v>
      </c>
      <c r="F5776" s="396" t="s">
        <v>10793</v>
      </c>
    </row>
    <row r="5777">
      <c r="A5777" s="311">
        <v>5776</v>
      </c>
      <c r="B5777" s="396" t="s">
        <v>11011</v>
      </c>
      <c r="C5777" s="396" t="s">
        <v>9122</v>
      </c>
      <c r="D5777" s="396" t="s">
        <v>10998</v>
      </c>
      <c r="E5777" s="396" t="s">
        <v>10999</v>
      </c>
      <c r="F5777" s="396" t="s">
        <v>10793</v>
      </c>
    </row>
    <row r="5778">
      <c r="A5778" s="311">
        <v>5777</v>
      </c>
      <c r="B5778" s="396" t="s">
        <v>11012</v>
      </c>
      <c r="C5778" s="396" t="s">
        <v>9138</v>
      </c>
      <c r="D5778" s="396" t="s">
        <v>10998</v>
      </c>
      <c r="E5778" s="396" t="s">
        <v>10999</v>
      </c>
      <c r="F5778" s="396" t="s">
        <v>10793</v>
      </c>
    </row>
    <row r="5779">
      <c r="A5779" s="311">
        <v>5778</v>
      </c>
      <c r="B5779" s="396" t="s">
        <v>11013</v>
      </c>
      <c r="C5779" s="396" t="s">
        <v>5798</v>
      </c>
      <c r="D5779" s="396" t="s">
        <v>10998</v>
      </c>
      <c r="E5779" s="396" t="s">
        <v>10999</v>
      </c>
      <c r="F5779" s="396" t="s">
        <v>10793</v>
      </c>
    </row>
    <row r="5780">
      <c r="A5780" s="311">
        <v>5779</v>
      </c>
      <c r="B5780" s="396" t="s">
        <v>11014</v>
      </c>
      <c r="C5780" s="396" t="s">
        <v>9134</v>
      </c>
      <c r="D5780" s="396" t="s">
        <v>10998</v>
      </c>
      <c r="E5780" s="396" t="s">
        <v>10999</v>
      </c>
      <c r="F5780" s="396" t="s">
        <v>10793</v>
      </c>
    </row>
    <row r="5781">
      <c r="A5781" s="311">
        <v>5780</v>
      </c>
      <c r="B5781" s="396" t="s">
        <v>11015</v>
      </c>
      <c r="C5781" s="396" t="s">
        <v>9120</v>
      </c>
      <c r="D5781" s="396" t="s">
        <v>10998</v>
      </c>
      <c r="E5781" s="396" t="s">
        <v>10999</v>
      </c>
      <c r="F5781" s="396" t="s">
        <v>10793</v>
      </c>
    </row>
    <row r="5782">
      <c r="A5782" s="311">
        <v>5781</v>
      </c>
      <c r="B5782" s="396" t="s">
        <v>11016</v>
      </c>
      <c r="C5782" s="396" t="s">
        <v>6028</v>
      </c>
      <c r="D5782" s="396" t="s">
        <v>10998</v>
      </c>
      <c r="E5782" s="396" t="s">
        <v>10999</v>
      </c>
      <c r="F5782" s="396" t="s">
        <v>10793</v>
      </c>
    </row>
    <row r="5783">
      <c r="A5783" s="311">
        <v>5782</v>
      </c>
      <c r="B5783" s="396" t="s">
        <v>11017</v>
      </c>
      <c r="C5783" s="396" t="s">
        <v>11018</v>
      </c>
      <c r="D5783" s="396" t="s">
        <v>10998</v>
      </c>
      <c r="E5783" s="396" t="s">
        <v>10999</v>
      </c>
      <c r="F5783" s="396" t="s">
        <v>10793</v>
      </c>
    </row>
    <row r="5784">
      <c r="A5784" s="311">
        <v>5783</v>
      </c>
      <c r="B5784" s="396" t="s">
        <v>11019</v>
      </c>
      <c r="C5784" s="396" t="s">
        <v>9144</v>
      </c>
      <c r="D5784" s="396" t="s">
        <v>10998</v>
      </c>
      <c r="E5784" s="396" t="s">
        <v>10999</v>
      </c>
      <c r="F5784" s="396" t="s">
        <v>10793</v>
      </c>
    </row>
    <row r="5785">
      <c r="A5785" s="311">
        <v>5784</v>
      </c>
      <c r="B5785" s="396" t="s">
        <v>11020</v>
      </c>
      <c r="C5785" s="396" t="s">
        <v>9152</v>
      </c>
      <c r="D5785" s="396" t="s">
        <v>10998</v>
      </c>
      <c r="E5785" s="396" t="s">
        <v>10999</v>
      </c>
      <c r="F5785" s="396" t="s">
        <v>10793</v>
      </c>
    </row>
    <row r="5786">
      <c r="A5786" s="311">
        <v>5785</v>
      </c>
      <c r="B5786" s="396" t="s">
        <v>11021</v>
      </c>
      <c r="C5786" s="396" t="s">
        <v>11022</v>
      </c>
      <c r="D5786" s="396" t="s">
        <v>10998</v>
      </c>
      <c r="E5786" s="396" t="s">
        <v>10999</v>
      </c>
      <c r="F5786" s="396" t="s">
        <v>10793</v>
      </c>
    </row>
    <row r="5787">
      <c r="A5787" s="311">
        <v>5786</v>
      </c>
      <c r="B5787" s="396" t="s">
        <v>11023</v>
      </c>
      <c r="C5787" s="396" t="s">
        <v>11024</v>
      </c>
      <c r="D5787" s="396" t="s">
        <v>10998</v>
      </c>
      <c r="E5787" s="396" t="s">
        <v>10999</v>
      </c>
      <c r="F5787" s="396" t="s">
        <v>10793</v>
      </c>
    </row>
    <row r="5788">
      <c r="A5788" s="311">
        <v>5787</v>
      </c>
      <c r="B5788" s="396" t="s">
        <v>11025</v>
      </c>
      <c r="C5788" s="396" t="s">
        <v>11026</v>
      </c>
      <c r="D5788" s="396" t="s">
        <v>10998</v>
      </c>
      <c r="E5788" s="396" t="s">
        <v>10999</v>
      </c>
      <c r="F5788" s="396" t="s">
        <v>10793</v>
      </c>
    </row>
    <row r="5789">
      <c r="A5789" s="311">
        <v>5788</v>
      </c>
      <c r="B5789" s="396" t="s">
        <v>11027</v>
      </c>
      <c r="C5789" s="396" t="s">
        <v>3863</v>
      </c>
      <c r="D5789" s="396" t="s">
        <v>10998</v>
      </c>
      <c r="E5789" s="396" t="s">
        <v>10999</v>
      </c>
      <c r="F5789" s="396" t="s">
        <v>10793</v>
      </c>
    </row>
    <row r="5790">
      <c r="A5790" s="311">
        <v>5789</v>
      </c>
      <c r="B5790" s="396" t="s">
        <v>11028</v>
      </c>
      <c r="C5790" s="396" t="s">
        <v>11029</v>
      </c>
      <c r="D5790" s="396" t="s">
        <v>10998</v>
      </c>
      <c r="E5790" s="396" t="s">
        <v>10999</v>
      </c>
      <c r="F5790" s="396" t="s">
        <v>10793</v>
      </c>
    </row>
    <row r="5791">
      <c r="A5791" s="311">
        <v>5790</v>
      </c>
      <c r="B5791" s="396" t="s">
        <v>11030</v>
      </c>
      <c r="C5791" s="396" t="s">
        <v>11031</v>
      </c>
      <c r="D5791" s="396" t="s">
        <v>10998</v>
      </c>
      <c r="E5791" s="396" t="s">
        <v>10999</v>
      </c>
      <c r="F5791" s="396" t="s">
        <v>10793</v>
      </c>
    </row>
    <row r="5792">
      <c r="A5792" s="311">
        <v>5791</v>
      </c>
      <c r="B5792" s="396" t="s">
        <v>11032</v>
      </c>
      <c r="C5792" s="396" t="s">
        <v>11033</v>
      </c>
      <c r="D5792" s="396" t="s">
        <v>10998</v>
      </c>
      <c r="E5792" s="396" t="s">
        <v>10999</v>
      </c>
      <c r="F5792" s="396" t="s">
        <v>10793</v>
      </c>
    </row>
    <row r="5793">
      <c r="A5793" s="311">
        <v>5792</v>
      </c>
      <c r="B5793" s="396" t="s">
        <v>11034</v>
      </c>
      <c r="C5793" s="396" t="s">
        <v>11035</v>
      </c>
      <c r="D5793" s="396" t="s">
        <v>11036</v>
      </c>
      <c r="E5793" s="396" t="s">
        <v>11037</v>
      </c>
      <c r="F5793" s="396" t="s">
        <v>10793</v>
      </c>
    </row>
    <row r="5794">
      <c r="A5794" s="311">
        <v>5793</v>
      </c>
      <c r="B5794" s="396" t="s">
        <v>11038</v>
      </c>
      <c r="C5794" s="396" t="s">
        <v>3945</v>
      </c>
      <c r="D5794" s="396" t="s">
        <v>11036</v>
      </c>
      <c r="E5794" s="396" t="s">
        <v>11037</v>
      </c>
      <c r="F5794" s="396" t="s">
        <v>10793</v>
      </c>
    </row>
    <row r="5795">
      <c r="A5795" s="311">
        <v>5794</v>
      </c>
      <c r="B5795" s="396" t="s">
        <v>11039</v>
      </c>
      <c r="C5795" s="396" t="s">
        <v>10911</v>
      </c>
      <c r="D5795" s="396" t="s">
        <v>11036</v>
      </c>
      <c r="E5795" s="396" t="s">
        <v>11037</v>
      </c>
      <c r="F5795" s="396" t="s">
        <v>10793</v>
      </c>
    </row>
    <row r="5796">
      <c r="A5796" s="311">
        <v>5795</v>
      </c>
      <c r="B5796" s="396" t="s">
        <v>11040</v>
      </c>
      <c r="C5796" s="396" t="s">
        <v>11041</v>
      </c>
      <c r="D5796" s="396" t="s">
        <v>11036</v>
      </c>
      <c r="E5796" s="396" t="s">
        <v>11037</v>
      </c>
      <c r="F5796" s="396" t="s">
        <v>10793</v>
      </c>
    </row>
    <row r="5797">
      <c r="A5797" s="311">
        <v>5796</v>
      </c>
      <c r="B5797" s="396" t="s">
        <v>11042</v>
      </c>
      <c r="C5797" s="396" t="s">
        <v>11043</v>
      </c>
      <c r="D5797" s="396" t="s">
        <v>11036</v>
      </c>
      <c r="E5797" s="396" t="s">
        <v>11037</v>
      </c>
      <c r="F5797" s="396" t="s">
        <v>10793</v>
      </c>
    </row>
    <row r="5798">
      <c r="A5798" s="311">
        <v>5797</v>
      </c>
      <c r="B5798" s="396" t="s">
        <v>11044</v>
      </c>
      <c r="C5798" s="396" t="s">
        <v>11045</v>
      </c>
      <c r="D5798" s="396" t="s">
        <v>11036</v>
      </c>
      <c r="E5798" s="396" t="s">
        <v>11037</v>
      </c>
      <c r="F5798" s="396" t="s">
        <v>10793</v>
      </c>
    </row>
    <row r="5799">
      <c r="A5799" s="311">
        <v>5798</v>
      </c>
      <c r="B5799" s="396" t="s">
        <v>11046</v>
      </c>
      <c r="C5799" s="396" t="s">
        <v>11047</v>
      </c>
      <c r="D5799" s="396" t="s">
        <v>11036</v>
      </c>
      <c r="E5799" s="396" t="s">
        <v>11037</v>
      </c>
      <c r="F5799" s="396" t="s">
        <v>10793</v>
      </c>
    </row>
    <row r="5800">
      <c r="A5800" s="311">
        <v>5799</v>
      </c>
      <c r="B5800" s="396" t="s">
        <v>11048</v>
      </c>
      <c r="C5800" s="396" t="s">
        <v>10449</v>
      </c>
      <c r="D5800" s="396" t="s">
        <v>11036</v>
      </c>
      <c r="E5800" s="396" t="s">
        <v>11037</v>
      </c>
      <c r="F5800" s="396" t="s">
        <v>10793</v>
      </c>
    </row>
    <row r="5801">
      <c r="A5801" s="311">
        <v>5800</v>
      </c>
      <c r="B5801" s="396" t="s">
        <v>11049</v>
      </c>
      <c r="C5801" s="396" t="s">
        <v>6760</v>
      </c>
      <c r="D5801" s="396" t="s">
        <v>11036</v>
      </c>
      <c r="E5801" s="396" t="s">
        <v>11037</v>
      </c>
      <c r="F5801" s="396" t="s">
        <v>10793</v>
      </c>
    </row>
    <row r="5802">
      <c r="A5802" s="311">
        <v>5801</v>
      </c>
      <c r="B5802" s="396" t="s">
        <v>11050</v>
      </c>
      <c r="C5802" s="396" t="s">
        <v>11051</v>
      </c>
      <c r="D5802" s="396" t="s">
        <v>11036</v>
      </c>
      <c r="E5802" s="396" t="s">
        <v>11037</v>
      </c>
      <c r="F5802" s="396" t="s">
        <v>10793</v>
      </c>
    </row>
    <row r="5803">
      <c r="A5803" s="311">
        <v>5802</v>
      </c>
      <c r="B5803" s="396" t="s">
        <v>11052</v>
      </c>
      <c r="C5803" s="396" t="s">
        <v>11053</v>
      </c>
      <c r="D5803" s="396" t="s">
        <v>11036</v>
      </c>
      <c r="E5803" s="396" t="s">
        <v>11037</v>
      </c>
      <c r="F5803" s="396" t="s">
        <v>10793</v>
      </c>
    </row>
    <row r="5804">
      <c r="A5804" s="311">
        <v>5803</v>
      </c>
      <c r="B5804" s="396" t="s">
        <v>11054</v>
      </c>
      <c r="C5804" s="396" t="s">
        <v>11055</v>
      </c>
      <c r="D5804" s="396" t="s">
        <v>11036</v>
      </c>
      <c r="E5804" s="396" t="s">
        <v>11037</v>
      </c>
      <c r="F5804" s="396" t="s">
        <v>10793</v>
      </c>
    </row>
    <row r="5805">
      <c r="A5805" s="311">
        <v>5804</v>
      </c>
      <c r="B5805" s="396" t="s">
        <v>11056</v>
      </c>
      <c r="C5805" s="396" t="s">
        <v>11057</v>
      </c>
      <c r="D5805" s="396" t="s">
        <v>11036</v>
      </c>
      <c r="E5805" s="396" t="s">
        <v>11037</v>
      </c>
      <c r="F5805" s="396" t="s">
        <v>10793</v>
      </c>
    </row>
    <row r="5806">
      <c r="A5806" s="311">
        <v>5805</v>
      </c>
      <c r="B5806" s="396" t="s">
        <v>11058</v>
      </c>
      <c r="C5806" s="396" t="s">
        <v>11059</v>
      </c>
      <c r="D5806" s="396" t="s">
        <v>11036</v>
      </c>
      <c r="E5806" s="396" t="s">
        <v>11037</v>
      </c>
      <c r="F5806" s="396" t="s">
        <v>10793</v>
      </c>
    </row>
    <row r="5807">
      <c r="A5807" s="311">
        <v>5806</v>
      </c>
      <c r="B5807" s="396" t="s">
        <v>11060</v>
      </c>
      <c r="C5807" s="396" t="s">
        <v>11061</v>
      </c>
      <c r="D5807" s="396" t="s">
        <v>11036</v>
      </c>
      <c r="E5807" s="396" t="s">
        <v>11037</v>
      </c>
      <c r="F5807" s="396" t="s">
        <v>10793</v>
      </c>
    </row>
    <row r="5808">
      <c r="A5808" s="311">
        <v>5807</v>
      </c>
      <c r="B5808" s="396" t="s">
        <v>11062</v>
      </c>
      <c r="C5808" s="396" t="s">
        <v>11063</v>
      </c>
      <c r="D5808" s="396" t="s">
        <v>11036</v>
      </c>
      <c r="E5808" s="396" t="s">
        <v>11037</v>
      </c>
      <c r="F5808" s="396" t="s">
        <v>10793</v>
      </c>
    </row>
    <row r="5809">
      <c r="A5809" s="311">
        <v>5808</v>
      </c>
      <c r="B5809" s="396" t="s">
        <v>11064</v>
      </c>
      <c r="C5809" s="396" t="s">
        <v>11065</v>
      </c>
      <c r="D5809" s="396" t="s">
        <v>11036</v>
      </c>
      <c r="E5809" s="396" t="s">
        <v>11037</v>
      </c>
      <c r="F5809" s="396" t="s">
        <v>10793</v>
      </c>
    </row>
    <row r="5810">
      <c r="A5810" s="311">
        <v>5809</v>
      </c>
      <c r="B5810" s="396" t="s">
        <v>11066</v>
      </c>
      <c r="C5810" s="396" t="s">
        <v>292</v>
      </c>
      <c r="D5810" s="396" t="s">
        <v>11036</v>
      </c>
      <c r="E5810" s="396" t="s">
        <v>11037</v>
      </c>
      <c r="F5810" s="396" t="s">
        <v>10793</v>
      </c>
    </row>
    <row r="5811">
      <c r="A5811" s="311">
        <v>5810</v>
      </c>
      <c r="B5811" s="396" t="s">
        <v>11067</v>
      </c>
      <c r="C5811" s="396" t="s">
        <v>11068</v>
      </c>
      <c r="D5811" s="396" t="s">
        <v>11036</v>
      </c>
      <c r="E5811" s="396" t="s">
        <v>11037</v>
      </c>
      <c r="F5811" s="396" t="s">
        <v>10793</v>
      </c>
    </row>
    <row r="5812">
      <c r="A5812" s="311">
        <v>5811</v>
      </c>
      <c r="B5812" s="396" t="s">
        <v>11069</v>
      </c>
      <c r="C5812" s="396" t="s">
        <v>11070</v>
      </c>
      <c r="D5812" s="396" t="s">
        <v>11036</v>
      </c>
      <c r="E5812" s="396" t="s">
        <v>11037</v>
      </c>
      <c r="F5812" s="396" t="s">
        <v>10793</v>
      </c>
    </row>
    <row r="5813">
      <c r="A5813" s="311">
        <v>5812</v>
      </c>
      <c r="B5813" s="396" t="s">
        <v>11071</v>
      </c>
      <c r="C5813" s="396" t="s">
        <v>286</v>
      </c>
      <c r="D5813" s="396" t="s">
        <v>11036</v>
      </c>
      <c r="E5813" s="396" t="s">
        <v>11037</v>
      </c>
      <c r="F5813" s="396" t="s">
        <v>10793</v>
      </c>
    </row>
    <row r="5814">
      <c r="A5814" s="311">
        <v>5813</v>
      </c>
      <c r="B5814" s="396" t="s">
        <v>11072</v>
      </c>
      <c r="C5814" s="396" t="s">
        <v>11073</v>
      </c>
      <c r="D5814" s="396" t="s">
        <v>11074</v>
      </c>
      <c r="E5814" s="396" t="s">
        <v>11075</v>
      </c>
      <c r="F5814" s="396" t="s">
        <v>10793</v>
      </c>
    </row>
    <row r="5815">
      <c r="A5815" s="311">
        <v>5814</v>
      </c>
      <c r="B5815" s="396" t="s">
        <v>11076</v>
      </c>
      <c r="C5815" s="396" t="s">
        <v>11077</v>
      </c>
      <c r="D5815" s="396" t="s">
        <v>11074</v>
      </c>
      <c r="E5815" s="396" t="s">
        <v>11075</v>
      </c>
      <c r="F5815" s="396" t="s">
        <v>10793</v>
      </c>
    </row>
    <row r="5816">
      <c r="A5816" s="311">
        <v>5815</v>
      </c>
      <c r="B5816" s="396" t="s">
        <v>11078</v>
      </c>
      <c r="C5816" s="396" t="s">
        <v>11079</v>
      </c>
      <c r="D5816" s="396" t="s">
        <v>11074</v>
      </c>
      <c r="E5816" s="396" t="s">
        <v>11075</v>
      </c>
      <c r="F5816" s="396" t="s">
        <v>10793</v>
      </c>
    </row>
    <row r="5817">
      <c r="A5817" s="311">
        <v>5816</v>
      </c>
      <c r="B5817" s="396" t="s">
        <v>11080</v>
      </c>
      <c r="C5817" s="396" t="s">
        <v>8358</v>
      </c>
      <c r="D5817" s="396" t="s">
        <v>11074</v>
      </c>
      <c r="E5817" s="396" t="s">
        <v>11075</v>
      </c>
      <c r="F5817" s="396" t="s">
        <v>10793</v>
      </c>
    </row>
    <row r="5818">
      <c r="A5818" s="311">
        <v>5817</v>
      </c>
      <c r="B5818" s="396" t="s">
        <v>11081</v>
      </c>
      <c r="C5818" s="396" t="s">
        <v>2206</v>
      </c>
      <c r="D5818" s="396" t="s">
        <v>11074</v>
      </c>
      <c r="E5818" s="396" t="s">
        <v>11075</v>
      </c>
      <c r="F5818" s="396" t="s">
        <v>10793</v>
      </c>
    </row>
    <row r="5819">
      <c r="A5819" s="311">
        <v>5818</v>
      </c>
      <c r="B5819" s="396" t="s">
        <v>11082</v>
      </c>
      <c r="C5819" s="396" t="s">
        <v>11083</v>
      </c>
      <c r="D5819" s="396" t="s">
        <v>11074</v>
      </c>
      <c r="E5819" s="396" t="s">
        <v>11075</v>
      </c>
      <c r="F5819" s="396" t="s">
        <v>10793</v>
      </c>
    </row>
    <row r="5820">
      <c r="A5820" s="311">
        <v>5819</v>
      </c>
      <c r="B5820" s="396" t="s">
        <v>11084</v>
      </c>
      <c r="C5820" s="396" t="s">
        <v>4494</v>
      </c>
      <c r="D5820" s="396" t="s">
        <v>11074</v>
      </c>
      <c r="E5820" s="396" t="s">
        <v>11075</v>
      </c>
      <c r="F5820" s="396" t="s">
        <v>10793</v>
      </c>
    </row>
    <row r="5821">
      <c r="A5821" s="311">
        <v>5820</v>
      </c>
      <c r="B5821" s="396" t="s">
        <v>11085</v>
      </c>
      <c r="C5821" s="396" t="s">
        <v>11086</v>
      </c>
      <c r="D5821" s="396" t="s">
        <v>11074</v>
      </c>
      <c r="E5821" s="396" t="s">
        <v>11075</v>
      </c>
      <c r="F5821" s="396" t="s">
        <v>10793</v>
      </c>
    </row>
    <row r="5822">
      <c r="A5822" s="311">
        <v>5821</v>
      </c>
      <c r="B5822" s="396" t="s">
        <v>11087</v>
      </c>
      <c r="C5822" s="396" t="s">
        <v>8319</v>
      </c>
      <c r="D5822" s="396" t="s">
        <v>11074</v>
      </c>
      <c r="E5822" s="396" t="s">
        <v>11075</v>
      </c>
      <c r="F5822" s="396" t="s">
        <v>10793</v>
      </c>
    </row>
    <row r="5823">
      <c r="A5823" s="311">
        <v>5822</v>
      </c>
      <c r="B5823" s="396" t="s">
        <v>11088</v>
      </c>
      <c r="C5823" s="396" t="s">
        <v>11089</v>
      </c>
      <c r="D5823" s="396" t="s">
        <v>11074</v>
      </c>
      <c r="E5823" s="396" t="s">
        <v>11075</v>
      </c>
      <c r="F5823" s="396" t="s">
        <v>10793</v>
      </c>
    </row>
    <row r="5824">
      <c r="A5824" s="311">
        <v>5823</v>
      </c>
      <c r="B5824" s="396" t="s">
        <v>11090</v>
      </c>
      <c r="C5824" s="396" t="s">
        <v>11091</v>
      </c>
      <c r="D5824" s="396" t="s">
        <v>11074</v>
      </c>
      <c r="E5824" s="396" t="s">
        <v>11075</v>
      </c>
      <c r="F5824" s="396" t="s">
        <v>10793</v>
      </c>
    </row>
    <row r="5825">
      <c r="A5825" s="311">
        <v>5824</v>
      </c>
      <c r="B5825" s="396" t="s">
        <v>11092</v>
      </c>
      <c r="C5825" s="396" t="s">
        <v>8353</v>
      </c>
      <c r="D5825" s="396" t="s">
        <v>11074</v>
      </c>
      <c r="E5825" s="396" t="s">
        <v>11075</v>
      </c>
      <c r="F5825" s="396" t="s">
        <v>10793</v>
      </c>
    </row>
    <row r="5826">
      <c r="A5826" s="311">
        <v>5825</v>
      </c>
      <c r="B5826" s="396" t="s">
        <v>11093</v>
      </c>
      <c r="C5826" s="396" t="s">
        <v>11094</v>
      </c>
      <c r="D5826" s="396" t="s">
        <v>11074</v>
      </c>
      <c r="E5826" s="396" t="s">
        <v>11075</v>
      </c>
      <c r="F5826" s="396" t="s">
        <v>10793</v>
      </c>
    </row>
    <row r="5827">
      <c r="A5827" s="311">
        <v>5826</v>
      </c>
      <c r="B5827" s="396" t="s">
        <v>11095</v>
      </c>
      <c r="C5827" s="396" t="s">
        <v>11096</v>
      </c>
      <c r="D5827" s="396" t="s">
        <v>11074</v>
      </c>
      <c r="E5827" s="396" t="s">
        <v>11075</v>
      </c>
      <c r="F5827" s="396" t="s">
        <v>10793</v>
      </c>
    </row>
    <row r="5828">
      <c r="A5828" s="311">
        <v>5827</v>
      </c>
      <c r="B5828" s="396" t="s">
        <v>11097</v>
      </c>
      <c r="C5828" s="396" t="s">
        <v>8321</v>
      </c>
      <c r="D5828" s="396" t="s">
        <v>11074</v>
      </c>
      <c r="E5828" s="396" t="s">
        <v>11075</v>
      </c>
      <c r="F5828" s="396" t="s">
        <v>10793</v>
      </c>
    </row>
    <row r="5829">
      <c r="A5829" s="311">
        <v>5828</v>
      </c>
      <c r="B5829" s="396" t="s">
        <v>11098</v>
      </c>
      <c r="C5829" s="396" t="s">
        <v>11099</v>
      </c>
      <c r="D5829" s="396" t="s">
        <v>11074</v>
      </c>
      <c r="E5829" s="396" t="s">
        <v>11075</v>
      </c>
      <c r="F5829" s="396" t="s">
        <v>10793</v>
      </c>
    </row>
    <row r="5830">
      <c r="A5830" s="311">
        <v>5829</v>
      </c>
      <c r="B5830" s="396" t="s">
        <v>11100</v>
      </c>
      <c r="C5830" s="396" t="s">
        <v>11101</v>
      </c>
      <c r="D5830" s="396" t="s">
        <v>11074</v>
      </c>
      <c r="E5830" s="396" t="s">
        <v>11075</v>
      </c>
      <c r="F5830" s="396" t="s">
        <v>10793</v>
      </c>
    </row>
    <row r="5831">
      <c r="A5831" s="311">
        <v>5830</v>
      </c>
      <c r="B5831" s="396" t="s">
        <v>11102</v>
      </c>
      <c r="C5831" s="396" t="s">
        <v>8334</v>
      </c>
      <c r="D5831" s="396" t="s">
        <v>11074</v>
      </c>
      <c r="E5831" s="396" t="s">
        <v>11075</v>
      </c>
      <c r="F5831" s="396" t="s">
        <v>10793</v>
      </c>
    </row>
    <row r="5832">
      <c r="A5832" s="311">
        <v>5831</v>
      </c>
      <c r="B5832" s="396" t="s">
        <v>11103</v>
      </c>
      <c r="C5832" s="396" t="s">
        <v>11104</v>
      </c>
      <c r="D5832" s="396" t="s">
        <v>11074</v>
      </c>
      <c r="E5832" s="396" t="s">
        <v>11075</v>
      </c>
      <c r="F5832" s="396" t="s">
        <v>10793</v>
      </c>
    </row>
    <row r="5833">
      <c r="A5833" s="311">
        <v>5832</v>
      </c>
      <c r="B5833" s="396" t="s">
        <v>11105</v>
      </c>
      <c r="C5833" s="396" t="s">
        <v>11106</v>
      </c>
      <c r="D5833" s="396" t="s">
        <v>11074</v>
      </c>
      <c r="E5833" s="396" t="s">
        <v>11075</v>
      </c>
      <c r="F5833" s="396" t="s">
        <v>10793</v>
      </c>
    </row>
    <row r="5834">
      <c r="A5834" s="311">
        <v>5833</v>
      </c>
      <c r="B5834" s="396" t="s">
        <v>11107</v>
      </c>
      <c r="C5834" s="396" t="s">
        <v>8338</v>
      </c>
      <c r="D5834" s="396" t="s">
        <v>11074</v>
      </c>
      <c r="E5834" s="396" t="s">
        <v>11075</v>
      </c>
      <c r="F5834" s="396" t="s">
        <v>10793</v>
      </c>
    </row>
    <row r="5835">
      <c r="A5835" s="311">
        <v>5834</v>
      </c>
      <c r="B5835" s="396" t="s">
        <v>11108</v>
      </c>
      <c r="C5835" s="396" t="s">
        <v>11109</v>
      </c>
      <c r="D5835" s="396" t="s">
        <v>11074</v>
      </c>
      <c r="E5835" s="396" t="s">
        <v>11075</v>
      </c>
      <c r="F5835" s="396" t="s">
        <v>10793</v>
      </c>
    </row>
    <row r="5836">
      <c r="A5836" s="311">
        <v>5835</v>
      </c>
      <c r="B5836" s="396" t="s">
        <v>11110</v>
      </c>
      <c r="C5836" s="396" t="s">
        <v>8364</v>
      </c>
      <c r="D5836" s="396" t="s">
        <v>11074</v>
      </c>
      <c r="E5836" s="396" t="s">
        <v>11075</v>
      </c>
      <c r="F5836" s="396" t="s">
        <v>10793</v>
      </c>
    </row>
    <row r="5837">
      <c r="A5837" s="311">
        <v>5836</v>
      </c>
      <c r="B5837" s="396" t="s">
        <v>11111</v>
      </c>
      <c r="C5837" s="396" t="s">
        <v>11112</v>
      </c>
      <c r="D5837" s="396" t="s">
        <v>11074</v>
      </c>
      <c r="E5837" s="396" t="s">
        <v>11075</v>
      </c>
      <c r="F5837" s="396" t="s">
        <v>10793</v>
      </c>
    </row>
    <row r="5838">
      <c r="A5838" s="311">
        <v>5837</v>
      </c>
      <c r="B5838" s="396" t="s">
        <v>11113</v>
      </c>
      <c r="C5838" s="396" t="s">
        <v>8342</v>
      </c>
      <c r="D5838" s="396" t="s">
        <v>11074</v>
      </c>
      <c r="E5838" s="396" t="s">
        <v>11075</v>
      </c>
      <c r="F5838" s="396" t="s">
        <v>10793</v>
      </c>
    </row>
    <row r="5839">
      <c r="A5839" s="311">
        <v>5838</v>
      </c>
      <c r="B5839" s="396" t="s">
        <v>11114</v>
      </c>
      <c r="C5839" s="396" t="s">
        <v>11115</v>
      </c>
      <c r="D5839" s="396" t="s">
        <v>11074</v>
      </c>
      <c r="E5839" s="396" t="s">
        <v>11075</v>
      </c>
      <c r="F5839" s="396" t="s">
        <v>10793</v>
      </c>
    </row>
    <row r="5840">
      <c r="A5840" s="311">
        <v>5839</v>
      </c>
      <c r="B5840" s="396" t="s">
        <v>11116</v>
      </c>
      <c r="C5840" s="396" t="s">
        <v>6720</v>
      </c>
      <c r="D5840" s="396" t="s">
        <v>11074</v>
      </c>
      <c r="E5840" s="396" t="s">
        <v>11075</v>
      </c>
      <c r="F5840" s="396" t="s">
        <v>10793</v>
      </c>
    </row>
    <row r="5841">
      <c r="A5841" s="311">
        <v>5840</v>
      </c>
      <c r="B5841" s="396" t="s">
        <v>11117</v>
      </c>
      <c r="C5841" s="396" t="s">
        <v>11118</v>
      </c>
      <c r="D5841" s="396" t="s">
        <v>11074</v>
      </c>
      <c r="E5841" s="396" t="s">
        <v>11075</v>
      </c>
      <c r="F5841" s="396" t="s">
        <v>10793</v>
      </c>
    </row>
    <row r="5842">
      <c r="A5842" s="311">
        <v>5841</v>
      </c>
      <c r="B5842" s="396" t="s">
        <v>11119</v>
      </c>
      <c r="C5842" s="396" t="s">
        <v>2765</v>
      </c>
      <c r="D5842" s="396" t="s">
        <v>11074</v>
      </c>
      <c r="E5842" s="396" t="s">
        <v>11075</v>
      </c>
      <c r="F5842" s="396" t="s">
        <v>10793</v>
      </c>
    </row>
    <row r="5843">
      <c r="A5843" s="311">
        <v>5842</v>
      </c>
      <c r="B5843" s="396" t="s">
        <v>11120</v>
      </c>
      <c r="C5843" s="396" t="s">
        <v>8323</v>
      </c>
      <c r="D5843" s="396" t="s">
        <v>11074</v>
      </c>
      <c r="E5843" s="396" t="s">
        <v>11075</v>
      </c>
      <c r="F5843" s="396" t="s">
        <v>10793</v>
      </c>
    </row>
    <row r="5844">
      <c r="A5844" s="311">
        <v>5843</v>
      </c>
      <c r="B5844" s="396" t="s">
        <v>11121</v>
      </c>
      <c r="C5844" s="396" t="s">
        <v>11122</v>
      </c>
      <c r="D5844" s="396" t="s">
        <v>11074</v>
      </c>
      <c r="E5844" s="396" t="s">
        <v>11075</v>
      </c>
      <c r="F5844" s="396" t="s">
        <v>10793</v>
      </c>
    </row>
    <row r="5845">
      <c r="A5845" s="311">
        <v>5844</v>
      </c>
      <c r="B5845" s="396" t="s">
        <v>11123</v>
      </c>
      <c r="C5845" s="396" t="s">
        <v>11124</v>
      </c>
      <c r="D5845" s="396" t="s">
        <v>11074</v>
      </c>
      <c r="E5845" s="396" t="s">
        <v>11075</v>
      </c>
      <c r="F5845" s="396" t="s">
        <v>10793</v>
      </c>
    </row>
    <row r="5846">
      <c r="A5846" s="311">
        <v>5845</v>
      </c>
      <c r="B5846" s="396" t="s">
        <v>11125</v>
      </c>
      <c r="C5846" s="396" t="s">
        <v>11126</v>
      </c>
      <c r="D5846" s="396" t="s">
        <v>11074</v>
      </c>
      <c r="E5846" s="396" t="s">
        <v>11075</v>
      </c>
      <c r="F5846" s="396" t="s">
        <v>10793</v>
      </c>
    </row>
    <row r="5847">
      <c r="A5847" s="311">
        <v>5846</v>
      </c>
      <c r="B5847" s="396" t="s">
        <v>11127</v>
      </c>
      <c r="C5847" s="396" t="s">
        <v>11128</v>
      </c>
      <c r="D5847" s="396" t="s">
        <v>11129</v>
      </c>
      <c r="E5847" s="396" t="s">
        <v>11130</v>
      </c>
      <c r="F5847" s="396" t="s">
        <v>10793</v>
      </c>
    </row>
    <row r="5848">
      <c r="A5848" s="311">
        <v>5847</v>
      </c>
      <c r="B5848" s="396" t="s">
        <v>11131</v>
      </c>
      <c r="C5848" s="396" t="s">
        <v>11132</v>
      </c>
      <c r="D5848" s="396" t="s">
        <v>11129</v>
      </c>
      <c r="E5848" s="396" t="s">
        <v>11130</v>
      </c>
      <c r="F5848" s="396" t="s">
        <v>10793</v>
      </c>
    </row>
    <row r="5849">
      <c r="A5849" s="311">
        <v>5848</v>
      </c>
      <c r="B5849" s="396" t="s">
        <v>11133</v>
      </c>
      <c r="C5849" s="396" t="s">
        <v>11134</v>
      </c>
      <c r="D5849" s="396" t="s">
        <v>11129</v>
      </c>
      <c r="E5849" s="396" t="s">
        <v>11130</v>
      </c>
      <c r="F5849" s="396" t="s">
        <v>10793</v>
      </c>
    </row>
    <row r="5850">
      <c r="A5850" s="311">
        <v>5849</v>
      </c>
      <c r="B5850" s="396" t="s">
        <v>11135</v>
      </c>
      <c r="C5850" s="396" t="s">
        <v>11136</v>
      </c>
      <c r="D5850" s="396" t="s">
        <v>11129</v>
      </c>
      <c r="E5850" s="396" t="s">
        <v>11130</v>
      </c>
      <c r="F5850" s="396" t="s">
        <v>10793</v>
      </c>
    </row>
    <row r="5851">
      <c r="A5851" s="311">
        <v>5850</v>
      </c>
      <c r="B5851" s="396" t="s">
        <v>11137</v>
      </c>
      <c r="C5851" s="396" t="s">
        <v>11138</v>
      </c>
      <c r="D5851" s="396" t="s">
        <v>11129</v>
      </c>
      <c r="E5851" s="396" t="s">
        <v>11130</v>
      </c>
      <c r="F5851" s="396" t="s">
        <v>10793</v>
      </c>
    </row>
    <row r="5852">
      <c r="A5852" s="311">
        <v>5851</v>
      </c>
      <c r="B5852" s="396" t="s">
        <v>11139</v>
      </c>
      <c r="C5852" s="396" t="s">
        <v>11140</v>
      </c>
      <c r="D5852" s="396" t="s">
        <v>11129</v>
      </c>
      <c r="E5852" s="396" t="s">
        <v>11130</v>
      </c>
      <c r="F5852" s="396" t="s">
        <v>10793</v>
      </c>
    </row>
    <row r="5853">
      <c r="A5853" s="311">
        <v>5852</v>
      </c>
      <c r="B5853" s="396" t="s">
        <v>11141</v>
      </c>
      <c r="C5853" s="396" t="s">
        <v>11142</v>
      </c>
      <c r="D5853" s="396" t="s">
        <v>11129</v>
      </c>
      <c r="E5853" s="396" t="s">
        <v>11130</v>
      </c>
      <c r="F5853" s="396" t="s">
        <v>10793</v>
      </c>
    </row>
    <row r="5854">
      <c r="A5854" s="311">
        <v>5853</v>
      </c>
      <c r="B5854" s="396" t="s">
        <v>11143</v>
      </c>
      <c r="C5854" s="396" t="s">
        <v>11144</v>
      </c>
      <c r="D5854" s="396" t="s">
        <v>11129</v>
      </c>
      <c r="E5854" s="396" t="s">
        <v>11130</v>
      </c>
      <c r="F5854" s="396" t="s">
        <v>10793</v>
      </c>
    </row>
    <row r="5855">
      <c r="A5855" s="311">
        <v>5854</v>
      </c>
      <c r="B5855" s="396" t="s">
        <v>11145</v>
      </c>
      <c r="C5855" s="396" t="s">
        <v>11146</v>
      </c>
      <c r="D5855" s="396" t="s">
        <v>11129</v>
      </c>
      <c r="E5855" s="396" t="s">
        <v>11130</v>
      </c>
      <c r="F5855" s="396" t="s">
        <v>10793</v>
      </c>
    </row>
    <row r="5856">
      <c r="A5856" s="311">
        <v>5855</v>
      </c>
      <c r="B5856" s="396" t="s">
        <v>11147</v>
      </c>
      <c r="C5856" s="396" t="s">
        <v>11148</v>
      </c>
      <c r="D5856" s="396" t="s">
        <v>11129</v>
      </c>
      <c r="E5856" s="396" t="s">
        <v>11130</v>
      </c>
      <c r="F5856" s="396" t="s">
        <v>10793</v>
      </c>
    </row>
    <row r="5857">
      <c r="A5857" s="311">
        <v>5856</v>
      </c>
      <c r="B5857" s="396" t="s">
        <v>11149</v>
      </c>
      <c r="C5857" s="396" t="s">
        <v>11150</v>
      </c>
      <c r="D5857" s="396" t="s">
        <v>11129</v>
      </c>
      <c r="E5857" s="396" t="s">
        <v>11130</v>
      </c>
      <c r="F5857" s="396" t="s">
        <v>10793</v>
      </c>
    </row>
    <row r="5858">
      <c r="A5858" s="311">
        <v>5857</v>
      </c>
      <c r="B5858" s="396" t="s">
        <v>11151</v>
      </c>
      <c r="C5858" s="396" t="s">
        <v>11152</v>
      </c>
      <c r="D5858" s="396" t="s">
        <v>11129</v>
      </c>
      <c r="E5858" s="396" t="s">
        <v>11130</v>
      </c>
      <c r="F5858" s="396" t="s">
        <v>10793</v>
      </c>
    </row>
    <row r="5859">
      <c r="A5859" s="311">
        <v>5858</v>
      </c>
      <c r="B5859" s="396" t="s">
        <v>11153</v>
      </c>
      <c r="C5859" s="396" t="s">
        <v>11154</v>
      </c>
      <c r="D5859" s="396" t="s">
        <v>11129</v>
      </c>
      <c r="E5859" s="396" t="s">
        <v>11130</v>
      </c>
      <c r="F5859" s="396" t="s">
        <v>10793</v>
      </c>
    </row>
    <row r="5860">
      <c r="A5860" s="311">
        <v>5859</v>
      </c>
      <c r="B5860" s="396" t="s">
        <v>11155</v>
      </c>
      <c r="C5860" s="396" t="s">
        <v>11156</v>
      </c>
      <c r="D5860" s="396" t="s">
        <v>11157</v>
      </c>
      <c r="E5860" s="396" t="s">
        <v>11158</v>
      </c>
      <c r="F5860" s="396" t="s">
        <v>10793</v>
      </c>
    </row>
    <row r="5861">
      <c r="A5861" s="311">
        <v>5860</v>
      </c>
      <c r="B5861" s="396" t="s">
        <v>11159</v>
      </c>
      <c r="C5861" s="396" t="s">
        <v>3635</v>
      </c>
      <c r="D5861" s="396" t="s">
        <v>11157</v>
      </c>
      <c r="E5861" s="396" t="s">
        <v>11158</v>
      </c>
      <c r="F5861" s="396" t="s">
        <v>10793</v>
      </c>
    </row>
    <row r="5862">
      <c r="A5862" s="311">
        <v>5861</v>
      </c>
      <c r="B5862" s="396" t="s">
        <v>11160</v>
      </c>
      <c r="C5862" s="396" t="s">
        <v>830</v>
      </c>
      <c r="D5862" s="396" t="s">
        <v>11157</v>
      </c>
      <c r="E5862" s="396" t="s">
        <v>11158</v>
      </c>
      <c r="F5862" s="396" t="s">
        <v>10793</v>
      </c>
    </row>
    <row r="5863">
      <c r="A5863" s="311">
        <v>5862</v>
      </c>
      <c r="B5863" s="396" t="s">
        <v>11161</v>
      </c>
      <c r="C5863" s="396" t="s">
        <v>3815</v>
      </c>
      <c r="D5863" s="396" t="s">
        <v>11157</v>
      </c>
      <c r="E5863" s="396" t="s">
        <v>11158</v>
      </c>
      <c r="F5863" s="396" t="s">
        <v>10793</v>
      </c>
    </row>
    <row r="5864">
      <c r="A5864" s="311">
        <v>5863</v>
      </c>
      <c r="B5864" s="396" t="s">
        <v>11162</v>
      </c>
      <c r="C5864" s="396" t="s">
        <v>11163</v>
      </c>
      <c r="D5864" s="396" t="s">
        <v>11157</v>
      </c>
      <c r="E5864" s="396" t="s">
        <v>11158</v>
      </c>
      <c r="F5864" s="396" t="s">
        <v>10793</v>
      </c>
    </row>
    <row r="5865">
      <c r="A5865" s="311">
        <v>5864</v>
      </c>
      <c r="B5865" s="396" t="s">
        <v>11164</v>
      </c>
      <c r="C5865" s="396" t="s">
        <v>9140</v>
      </c>
      <c r="D5865" s="396" t="s">
        <v>11157</v>
      </c>
      <c r="E5865" s="396" t="s">
        <v>11158</v>
      </c>
      <c r="F5865" s="396" t="s">
        <v>10793</v>
      </c>
    </row>
    <row r="5866">
      <c r="A5866" s="311">
        <v>5865</v>
      </c>
      <c r="B5866" s="396" t="s">
        <v>11165</v>
      </c>
      <c r="C5866" s="396" t="s">
        <v>9118</v>
      </c>
      <c r="D5866" s="396" t="s">
        <v>11157</v>
      </c>
      <c r="E5866" s="396" t="s">
        <v>11158</v>
      </c>
      <c r="F5866" s="396" t="s">
        <v>10793</v>
      </c>
    </row>
    <row r="5867">
      <c r="A5867" s="311">
        <v>5866</v>
      </c>
      <c r="B5867" s="396" t="s">
        <v>11166</v>
      </c>
      <c r="C5867" s="396" t="s">
        <v>5450</v>
      </c>
      <c r="D5867" s="396" t="s">
        <v>11157</v>
      </c>
      <c r="E5867" s="396" t="s">
        <v>11158</v>
      </c>
      <c r="F5867" s="396" t="s">
        <v>10793</v>
      </c>
    </row>
    <row r="5868">
      <c r="A5868" s="311">
        <v>5867</v>
      </c>
      <c r="B5868" s="396" t="s">
        <v>11167</v>
      </c>
      <c r="C5868" s="396" t="s">
        <v>9124</v>
      </c>
      <c r="D5868" s="396" t="s">
        <v>11157</v>
      </c>
      <c r="E5868" s="396" t="s">
        <v>11158</v>
      </c>
      <c r="F5868" s="396" t="s">
        <v>10793</v>
      </c>
    </row>
    <row r="5869">
      <c r="A5869" s="311">
        <v>5868</v>
      </c>
      <c r="B5869" s="396" t="s">
        <v>11168</v>
      </c>
      <c r="C5869" s="396" t="s">
        <v>11169</v>
      </c>
      <c r="D5869" s="396" t="s">
        <v>11157</v>
      </c>
      <c r="E5869" s="396" t="s">
        <v>11158</v>
      </c>
      <c r="F5869" s="396" t="s">
        <v>10793</v>
      </c>
    </row>
    <row r="5870">
      <c r="A5870" s="311">
        <v>5869</v>
      </c>
      <c r="B5870" s="396" t="s">
        <v>11170</v>
      </c>
      <c r="C5870" s="396" t="s">
        <v>11171</v>
      </c>
      <c r="D5870" s="396" t="s">
        <v>11157</v>
      </c>
      <c r="E5870" s="396" t="s">
        <v>11158</v>
      </c>
      <c r="F5870" s="396" t="s">
        <v>10793</v>
      </c>
    </row>
    <row r="5871">
      <c r="A5871" s="311">
        <v>5870</v>
      </c>
      <c r="B5871" s="396" t="s">
        <v>11172</v>
      </c>
      <c r="C5871" s="396" t="s">
        <v>3861</v>
      </c>
      <c r="D5871" s="396" t="s">
        <v>11157</v>
      </c>
      <c r="E5871" s="396" t="s">
        <v>11158</v>
      </c>
      <c r="F5871" s="396" t="s">
        <v>10793</v>
      </c>
    </row>
    <row r="5872">
      <c r="A5872" s="311">
        <v>5871</v>
      </c>
      <c r="B5872" s="396" t="s">
        <v>11173</v>
      </c>
      <c r="C5872" s="396" t="s">
        <v>11174</v>
      </c>
      <c r="D5872" s="396" t="s">
        <v>11157</v>
      </c>
      <c r="E5872" s="396" t="s">
        <v>11158</v>
      </c>
      <c r="F5872" s="396" t="s">
        <v>10793</v>
      </c>
    </row>
    <row r="5873">
      <c r="A5873" s="311">
        <v>5872</v>
      </c>
      <c r="B5873" s="396" t="s">
        <v>11175</v>
      </c>
      <c r="C5873" s="396" t="s">
        <v>2366</v>
      </c>
      <c r="D5873" s="396" t="s">
        <v>11157</v>
      </c>
      <c r="E5873" s="396" t="s">
        <v>11158</v>
      </c>
      <c r="F5873" s="396" t="s">
        <v>10793</v>
      </c>
    </row>
    <row r="5874">
      <c r="A5874" s="311">
        <v>5873</v>
      </c>
      <c r="B5874" s="396" t="s">
        <v>11176</v>
      </c>
      <c r="C5874" s="396" t="s">
        <v>11177</v>
      </c>
      <c r="D5874" s="396" t="s">
        <v>11157</v>
      </c>
      <c r="E5874" s="396" t="s">
        <v>11158</v>
      </c>
      <c r="F5874" s="396" t="s">
        <v>10793</v>
      </c>
    </row>
    <row r="5875">
      <c r="A5875" s="311">
        <v>5874</v>
      </c>
      <c r="B5875" s="396" t="s">
        <v>11178</v>
      </c>
      <c r="C5875" s="396" t="s">
        <v>2462</v>
      </c>
      <c r="D5875" s="396" t="s">
        <v>11157</v>
      </c>
      <c r="E5875" s="396" t="s">
        <v>11158</v>
      </c>
      <c r="F5875" s="396" t="s">
        <v>10793</v>
      </c>
    </row>
    <row r="5876">
      <c r="A5876" s="311">
        <v>5875</v>
      </c>
      <c r="B5876" s="396" t="s">
        <v>11179</v>
      </c>
      <c r="C5876" s="396" t="s">
        <v>7472</v>
      </c>
      <c r="D5876" s="396" t="s">
        <v>11157</v>
      </c>
      <c r="E5876" s="396" t="s">
        <v>11158</v>
      </c>
      <c r="F5876" s="396" t="s">
        <v>10793</v>
      </c>
    </row>
    <row r="5877">
      <c r="A5877" s="311">
        <v>5876</v>
      </c>
      <c r="B5877" s="396" t="s">
        <v>11180</v>
      </c>
      <c r="C5877" s="396" t="s">
        <v>1210</v>
      </c>
      <c r="D5877" s="396" t="s">
        <v>11157</v>
      </c>
      <c r="E5877" s="396" t="s">
        <v>11158</v>
      </c>
      <c r="F5877" s="396" t="s">
        <v>10793</v>
      </c>
    </row>
    <row r="5878">
      <c r="A5878" s="311">
        <v>5877</v>
      </c>
      <c r="B5878" s="396" t="s">
        <v>11181</v>
      </c>
      <c r="C5878" s="396" t="s">
        <v>9828</v>
      </c>
      <c r="D5878" s="396" t="s">
        <v>11157</v>
      </c>
      <c r="E5878" s="396" t="s">
        <v>11158</v>
      </c>
      <c r="F5878" s="396" t="s">
        <v>10793</v>
      </c>
    </row>
    <row r="5879">
      <c r="A5879" s="311">
        <v>5878</v>
      </c>
      <c r="B5879" s="396" t="s">
        <v>11182</v>
      </c>
      <c r="C5879" s="396" t="s">
        <v>643</v>
      </c>
      <c r="D5879" s="396" t="s">
        <v>11157</v>
      </c>
      <c r="E5879" s="396" t="s">
        <v>11158</v>
      </c>
      <c r="F5879" s="396" t="s">
        <v>10793</v>
      </c>
    </row>
    <row r="5880">
      <c r="A5880" s="311">
        <v>5879</v>
      </c>
      <c r="B5880" s="396" t="s">
        <v>11183</v>
      </c>
      <c r="C5880" s="396" t="s">
        <v>4151</v>
      </c>
      <c r="D5880" s="396" t="s">
        <v>11157</v>
      </c>
      <c r="E5880" s="396" t="s">
        <v>11158</v>
      </c>
      <c r="F5880" s="396" t="s">
        <v>10793</v>
      </c>
    </row>
    <row r="5881">
      <c r="A5881" s="311">
        <v>5880</v>
      </c>
      <c r="B5881" s="396" t="s">
        <v>11184</v>
      </c>
      <c r="C5881" s="396" t="s">
        <v>11185</v>
      </c>
      <c r="D5881" s="396" t="s">
        <v>11157</v>
      </c>
      <c r="E5881" s="396" t="s">
        <v>11158</v>
      </c>
      <c r="F5881" s="396" t="s">
        <v>10793</v>
      </c>
    </row>
    <row r="5882">
      <c r="A5882" s="311">
        <v>5881</v>
      </c>
      <c r="B5882" s="396" t="s">
        <v>11186</v>
      </c>
      <c r="C5882" s="396" t="s">
        <v>11187</v>
      </c>
      <c r="D5882" s="396" t="s">
        <v>11188</v>
      </c>
      <c r="E5882" s="396" t="s">
        <v>11189</v>
      </c>
      <c r="F5882" s="396" t="s">
        <v>10793</v>
      </c>
    </row>
    <row r="5883">
      <c r="A5883" s="311">
        <v>5882</v>
      </c>
      <c r="B5883" s="396" t="s">
        <v>11190</v>
      </c>
      <c r="C5883" s="396" t="s">
        <v>10235</v>
      </c>
      <c r="D5883" s="396" t="s">
        <v>11188</v>
      </c>
      <c r="E5883" s="396" t="s">
        <v>11189</v>
      </c>
      <c r="F5883" s="396" t="s">
        <v>10793</v>
      </c>
    </row>
    <row r="5884">
      <c r="A5884" s="311">
        <v>5883</v>
      </c>
      <c r="B5884" s="396" t="s">
        <v>11191</v>
      </c>
      <c r="C5884" s="396" t="s">
        <v>9767</v>
      </c>
      <c r="D5884" s="396" t="s">
        <v>11188</v>
      </c>
      <c r="E5884" s="396" t="s">
        <v>11189</v>
      </c>
      <c r="F5884" s="396" t="s">
        <v>10793</v>
      </c>
    </row>
    <row r="5885">
      <c r="A5885" s="311">
        <v>5884</v>
      </c>
      <c r="B5885" s="396" t="s">
        <v>11192</v>
      </c>
      <c r="C5885" s="396" t="s">
        <v>4297</v>
      </c>
      <c r="D5885" s="396" t="s">
        <v>11188</v>
      </c>
      <c r="E5885" s="396" t="s">
        <v>11189</v>
      </c>
      <c r="F5885" s="396" t="s">
        <v>10793</v>
      </c>
    </row>
    <row r="5886">
      <c r="A5886" s="311">
        <v>5885</v>
      </c>
      <c r="B5886" s="396" t="s">
        <v>11193</v>
      </c>
      <c r="C5886" s="396" t="s">
        <v>6427</v>
      </c>
      <c r="D5886" s="396" t="s">
        <v>11188</v>
      </c>
      <c r="E5886" s="396" t="s">
        <v>11189</v>
      </c>
      <c r="F5886" s="396" t="s">
        <v>10793</v>
      </c>
    </row>
    <row r="5887">
      <c r="A5887" s="311">
        <v>5886</v>
      </c>
      <c r="B5887" s="396" t="s">
        <v>11194</v>
      </c>
      <c r="C5887" s="396" t="s">
        <v>11195</v>
      </c>
      <c r="D5887" s="396" t="s">
        <v>11188</v>
      </c>
      <c r="E5887" s="396" t="s">
        <v>11189</v>
      </c>
      <c r="F5887" s="396" t="s">
        <v>10793</v>
      </c>
    </row>
    <row r="5888">
      <c r="A5888" s="311">
        <v>5887</v>
      </c>
      <c r="B5888" s="396" t="s">
        <v>11196</v>
      </c>
      <c r="C5888" s="396" t="s">
        <v>4961</v>
      </c>
      <c r="D5888" s="396" t="s">
        <v>11188</v>
      </c>
      <c r="E5888" s="396" t="s">
        <v>11189</v>
      </c>
      <c r="F5888" s="396" t="s">
        <v>10793</v>
      </c>
    </row>
    <row r="5889">
      <c r="A5889" s="311">
        <v>5888</v>
      </c>
      <c r="B5889" s="396" t="s">
        <v>11197</v>
      </c>
      <c r="C5889" s="396" t="s">
        <v>7376</v>
      </c>
      <c r="D5889" s="396" t="s">
        <v>11188</v>
      </c>
      <c r="E5889" s="396" t="s">
        <v>11189</v>
      </c>
      <c r="F5889" s="396" t="s">
        <v>10793</v>
      </c>
    </row>
    <row r="5890">
      <c r="A5890" s="311">
        <v>5889</v>
      </c>
      <c r="B5890" s="396" t="s">
        <v>11198</v>
      </c>
      <c r="C5890" s="396" t="s">
        <v>11199</v>
      </c>
      <c r="D5890" s="396" t="s">
        <v>11188</v>
      </c>
      <c r="E5890" s="396" t="s">
        <v>11189</v>
      </c>
      <c r="F5890" s="396" t="s">
        <v>10793</v>
      </c>
    </row>
    <row r="5891">
      <c r="A5891" s="311">
        <v>5890</v>
      </c>
      <c r="B5891" s="396" t="s">
        <v>11200</v>
      </c>
      <c r="C5891" s="396" t="s">
        <v>11201</v>
      </c>
      <c r="D5891" s="396" t="s">
        <v>11188</v>
      </c>
      <c r="E5891" s="396" t="s">
        <v>11189</v>
      </c>
      <c r="F5891" s="396" t="s">
        <v>10793</v>
      </c>
    </row>
    <row r="5892">
      <c r="A5892" s="311">
        <v>5891</v>
      </c>
      <c r="B5892" s="396" t="s">
        <v>11202</v>
      </c>
      <c r="C5892" s="396" t="s">
        <v>1125</v>
      </c>
      <c r="D5892" s="396" t="s">
        <v>11188</v>
      </c>
      <c r="E5892" s="396" t="s">
        <v>11189</v>
      </c>
      <c r="F5892" s="396" t="s">
        <v>10793</v>
      </c>
    </row>
    <row r="5893">
      <c r="A5893" s="311">
        <v>5892</v>
      </c>
      <c r="B5893" s="396" t="s">
        <v>11203</v>
      </c>
      <c r="C5893" s="396" t="s">
        <v>11204</v>
      </c>
      <c r="D5893" s="396" t="s">
        <v>11188</v>
      </c>
      <c r="E5893" s="396" t="s">
        <v>11189</v>
      </c>
      <c r="F5893" s="396" t="s">
        <v>10793</v>
      </c>
    </row>
    <row r="5894">
      <c r="A5894" s="311">
        <v>5893</v>
      </c>
      <c r="B5894" s="396" t="s">
        <v>11205</v>
      </c>
      <c r="C5894" s="396" t="s">
        <v>6827</v>
      </c>
      <c r="D5894" s="396" t="s">
        <v>11188</v>
      </c>
      <c r="E5894" s="396" t="s">
        <v>11189</v>
      </c>
      <c r="F5894" s="396" t="s">
        <v>10793</v>
      </c>
    </row>
    <row r="5895">
      <c r="A5895" s="311">
        <v>5894</v>
      </c>
      <c r="B5895" s="396" t="s">
        <v>11206</v>
      </c>
      <c r="C5895" s="396" t="s">
        <v>11207</v>
      </c>
      <c r="D5895" s="396" t="s">
        <v>11188</v>
      </c>
      <c r="E5895" s="396" t="s">
        <v>11189</v>
      </c>
      <c r="F5895" s="396" t="s">
        <v>10793</v>
      </c>
    </row>
    <row r="5896">
      <c r="A5896" s="311">
        <v>5895</v>
      </c>
      <c r="B5896" s="396" t="s">
        <v>11208</v>
      </c>
      <c r="C5896" s="396" t="s">
        <v>11209</v>
      </c>
      <c r="D5896" s="396" t="s">
        <v>11188</v>
      </c>
      <c r="E5896" s="396" t="s">
        <v>11189</v>
      </c>
      <c r="F5896" s="396" t="s">
        <v>10793</v>
      </c>
    </row>
    <row r="5897">
      <c r="A5897" s="311">
        <v>5896</v>
      </c>
      <c r="B5897" s="396" t="s">
        <v>11210</v>
      </c>
      <c r="C5897" s="396" t="s">
        <v>5944</v>
      </c>
      <c r="D5897" s="396" t="s">
        <v>11188</v>
      </c>
      <c r="E5897" s="396" t="s">
        <v>11189</v>
      </c>
      <c r="F5897" s="396" t="s">
        <v>10793</v>
      </c>
    </row>
    <row r="5898">
      <c r="A5898" s="311">
        <v>5897</v>
      </c>
      <c r="B5898" s="396" t="s">
        <v>11211</v>
      </c>
      <c r="C5898" s="396" t="s">
        <v>2353</v>
      </c>
      <c r="D5898" s="396" t="s">
        <v>11188</v>
      </c>
      <c r="E5898" s="396" t="s">
        <v>11189</v>
      </c>
      <c r="F5898" s="396" t="s">
        <v>10793</v>
      </c>
    </row>
    <row r="5899">
      <c r="A5899" s="311">
        <v>5898</v>
      </c>
      <c r="B5899" s="396" t="s">
        <v>11212</v>
      </c>
      <c r="C5899" s="396" t="s">
        <v>4284</v>
      </c>
      <c r="D5899" s="396" t="s">
        <v>11188</v>
      </c>
      <c r="E5899" s="396" t="s">
        <v>11189</v>
      </c>
      <c r="F5899" s="396" t="s">
        <v>10793</v>
      </c>
    </row>
    <row r="5900">
      <c r="A5900" s="311">
        <v>5899</v>
      </c>
      <c r="B5900" s="396" t="s">
        <v>11213</v>
      </c>
      <c r="C5900" s="396" t="s">
        <v>11214</v>
      </c>
      <c r="D5900" s="396" t="s">
        <v>11188</v>
      </c>
      <c r="E5900" s="396" t="s">
        <v>11189</v>
      </c>
      <c r="F5900" s="396" t="s">
        <v>10793</v>
      </c>
    </row>
    <row r="5901">
      <c r="A5901" s="311">
        <v>5900</v>
      </c>
      <c r="B5901" s="396" t="s">
        <v>11215</v>
      </c>
      <c r="C5901" s="396" t="s">
        <v>11216</v>
      </c>
      <c r="D5901" s="396" t="s">
        <v>11188</v>
      </c>
      <c r="E5901" s="396" t="s">
        <v>11189</v>
      </c>
      <c r="F5901" s="396" t="s">
        <v>10793</v>
      </c>
    </row>
    <row r="5902">
      <c r="A5902" s="311">
        <v>5901</v>
      </c>
      <c r="B5902" s="396" t="s">
        <v>11217</v>
      </c>
      <c r="C5902" s="396" t="s">
        <v>2147</v>
      </c>
      <c r="D5902" s="396" t="s">
        <v>11188</v>
      </c>
      <c r="E5902" s="396" t="s">
        <v>11189</v>
      </c>
      <c r="F5902" s="396" t="s">
        <v>10793</v>
      </c>
    </row>
    <row r="5903">
      <c r="A5903" s="311">
        <v>5902</v>
      </c>
      <c r="B5903" s="396" t="s">
        <v>11218</v>
      </c>
      <c r="C5903" s="396" t="s">
        <v>11219</v>
      </c>
      <c r="D5903" s="396" t="s">
        <v>11220</v>
      </c>
      <c r="E5903" s="396" t="s">
        <v>11221</v>
      </c>
      <c r="F5903" s="396" t="s">
        <v>10793</v>
      </c>
    </row>
    <row r="5904">
      <c r="A5904" s="311">
        <v>5903</v>
      </c>
      <c r="B5904" s="396" t="s">
        <v>11222</v>
      </c>
      <c r="C5904" s="396" t="s">
        <v>11223</v>
      </c>
      <c r="D5904" s="396" t="s">
        <v>11220</v>
      </c>
      <c r="E5904" s="396" t="s">
        <v>11221</v>
      </c>
      <c r="F5904" s="396" t="s">
        <v>10793</v>
      </c>
    </row>
    <row r="5905">
      <c r="A5905" s="311">
        <v>5904</v>
      </c>
      <c r="B5905" s="396" t="s">
        <v>11224</v>
      </c>
      <c r="C5905" s="396" t="s">
        <v>11225</v>
      </c>
      <c r="D5905" s="396" t="s">
        <v>11220</v>
      </c>
      <c r="E5905" s="396" t="s">
        <v>11221</v>
      </c>
      <c r="F5905" s="396" t="s">
        <v>10793</v>
      </c>
    </row>
    <row r="5906">
      <c r="A5906" s="311">
        <v>5905</v>
      </c>
      <c r="B5906" s="396" t="s">
        <v>11226</v>
      </c>
      <c r="C5906" s="396" t="s">
        <v>11227</v>
      </c>
      <c r="D5906" s="396" t="s">
        <v>11220</v>
      </c>
      <c r="E5906" s="396" t="s">
        <v>11221</v>
      </c>
      <c r="F5906" s="396" t="s">
        <v>10793</v>
      </c>
    </row>
    <row r="5907">
      <c r="A5907" s="311">
        <v>5906</v>
      </c>
      <c r="B5907" s="396" t="s">
        <v>11228</v>
      </c>
      <c r="C5907" s="396" t="s">
        <v>11229</v>
      </c>
      <c r="D5907" s="396" t="s">
        <v>11220</v>
      </c>
      <c r="E5907" s="396" t="s">
        <v>11221</v>
      </c>
      <c r="F5907" s="396" t="s">
        <v>10793</v>
      </c>
    </row>
    <row r="5908">
      <c r="A5908" s="311">
        <v>5907</v>
      </c>
      <c r="B5908" s="396" t="s">
        <v>11230</v>
      </c>
      <c r="C5908" s="396" t="s">
        <v>11231</v>
      </c>
      <c r="D5908" s="396" t="s">
        <v>11220</v>
      </c>
      <c r="E5908" s="396" t="s">
        <v>11221</v>
      </c>
      <c r="F5908" s="396" t="s">
        <v>10793</v>
      </c>
    </row>
    <row r="5909">
      <c r="A5909" s="311">
        <v>5908</v>
      </c>
      <c r="B5909" s="396" t="s">
        <v>11232</v>
      </c>
      <c r="C5909" s="396" t="s">
        <v>11233</v>
      </c>
      <c r="D5909" s="396" t="s">
        <v>11220</v>
      </c>
      <c r="E5909" s="396" t="s">
        <v>11221</v>
      </c>
      <c r="F5909" s="396" t="s">
        <v>10793</v>
      </c>
    </row>
    <row r="5910">
      <c r="A5910" s="311">
        <v>5909</v>
      </c>
      <c r="B5910" s="396" t="s">
        <v>11234</v>
      </c>
      <c r="C5910" s="396" t="s">
        <v>11235</v>
      </c>
      <c r="D5910" s="396" t="s">
        <v>11220</v>
      </c>
      <c r="E5910" s="396" t="s">
        <v>11221</v>
      </c>
      <c r="F5910" s="396" t="s">
        <v>10793</v>
      </c>
    </row>
    <row r="5911">
      <c r="A5911" s="311">
        <v>5910</v>
      </c>
      <c r="B5911" s="396" t="s">
        <v>11236</v>
      </c>
      <c r="C5911" s="396" t="s">
        <v>11237</v>
      </c>
      <c r="D5911" s="396" t="s">
        <v>11220</v>
      </c>
      <c r="E5911" s="396" t="s">
        <v>11221</v>
      </c>
      <c r="F5911" s="396" t="s">
        <v>10793</v>
      </c>
    </row>
    <row r="5912">
      <c r="A5912" s="311">
        <v>5911</v>
      </c>
      <c r="B5912" s="396" t="s">
        <v>11238</v>
      </c>
      <c r="C5912" s="396" t="s">
        <v>11239</v>
      </c>
      <c r="D5912" s="396" t="s">
        <v>11220</v>
      </c>
      <c r="E5912" s="396" t="s">
        <v>11221</v>
      </c>
      <c r="F5912" s="396" t="s">
        <v>10793</v>
      </c>
    </row>
    <row r="5913">
      <c r="A5913" s="311">
        <v>5912</v>
      </c>
      <c r="B5913" s="396" t="s">
        <v>11240</v>
      </c>
      <c r="C5913" s="396" t="s">
        <v>11241</v>
      </c>
      <c r="D5913" s="396" t="s">
        <v>11220</v>
      </c>
      <c r="E5913" s="396" t="s">
        <v>11221</v>
      </c>
      <c r="F5913" s="396" t="s">
        <v>10793</v>
      </c>
    </row>
    <row r="5914">
      <c r="A5914" s="311">
        <v>5913</v>
      </c>
      <c r="B5914" s="396" t="s">
        <v>11242</v>
      </c>
      <c r="C5914" s="396" t="s">
        <v>11243</v>
      </c>
      <c r="D5914" s="396" t="s">
        <v>11220</v>
      </c>
      <c r="E5914" s="396" t="s">
        <v>11221</v>
      </c>
      <c r="F5914" s="396" t="s">
        <v>10793</v>
      </c>
    </row>
    <row r="5915">
      <c r="A5915" s="311">
        <v>5914</v>
      </c>
      <c r="B5915" s="396" t="s">
        <v>11244</v>
      </c>
      <c r="C5915" s="396" t="s">
        <v>11245</v>
      </c>
      <c r="D5915" s="396" t="s">
        <v>11220</v>
      </c>
      <c r="E5915" s="396" t="s">
        <v>11221</v>
      </c>
      <c r="F5915" s="396" t="s">
        <v>10793</v>
      </c>
    </row>
    <row r="5916">
      <c r="A5916" s="311">
        <v>5915</v>
      </c>
      <c r="B5916" s="396" t="s">
        <v>11246</v>
      </c>
      <c r="C5916" s="396" t="s">
        <v>11247</v>
      </c>
      <c r="D5916" s="396" t="s">
        <v>11220</v>
      </c>
      <c r="E5916" s="396" t="s">
        <v>11221</v>
      </c>
      <c r="F5916" s="396" t="s">
        <v>10793</v>
      </c>
    </row>
    <row r="5917">
      <c r="A5917" s="311">
        <v>5916</v>
      </c>
      <c r="B5917" s="396" t="s">
        <v>11248</v>
      </c>
      <c r="C5917" s="396" t="s">
        <v>11249</v>
      </c>
      <c r="D5917" s="396" t="s">
        <v>11220</v>
      </c>
      <c r="E5917" s="396" t="s">
        <v>11221</v>
      </c>
      <c r="F5917" s="396" t="s">
        <v>10793</v>
      </c>
    </row>
    <row r="5918">
      <c r="A5918" s="311">
        <v>5917</v>
      </c>
      <c r="B5918" s="396" t="s">
        <v>11250</v>
      </c>
      <c r="C5918" s="396" t="s">
        <v>11251</v>
      </c>
      <c r="D5918" s="396" t="s">
        <v>11220</v>
      </c>
      <c r="E5918" s="396" t="s">
        <v>11221</v>
      </c>
      <c r="F5918" s="396" t="s">
        <v>10793</v>
      </c>
    </row>
    <row r="5919">
      <c r="A5919" s="311">
        <v>5918</v>
      </c>
      <c r="B5919" s="396" t="s">
        <v>11252</v>
      </c>
      <c r="C5919" s="396" t="s">
        <v>11253</v>
      </c>
      <c r="D5919" s="396" t="s">
        <v>11220</v>
      </c>
      <c r="E5919" s="396" t="s">
        <v>11221</v>
      </c>
      <c r="F5919" s="396" t="s">
        <v>10793</v>
      </c>
    </row>
    <row r="5920">
      <c r="A5920" s="311">
        <v>5919</v>
      </c>
      <c r="B5920" s="396" t="s">
        <v>11254</v>
      </c>
      <c r="C5920" s="396" t="s">
        <v>11255</v>
      </c>
      <c r="D5920" s="396" t="s">
        <v>11220</v>
      </c>
      <c r="E5920" s="396" t="s">
        <v>11221</v>
      </c>
      <c r="F5920" s="396" t="s">
        <v>10793</v>
      </c>
    </row>
    <row r="5921">
      <c r="A5921" s="311">
        <v>5920</v>
      </c>
      <c r="B5921" s="396" t="s">
        <v>11256</v>
      </c>
      <c r="C5921" s="396" t="s">
        <v>11257</v>
      </c>
      <c r="D5921" s="396" t="s">
        <v>11220</v>
      </c>
      <c r="E5921" s="396" t="s">
        <v>11221</v>
      </c>
      <c r="F5921" s="396" t="s">
        <v>10793</v>
      </c>
    </row>
    <row r="5922">
      <c r="A5922" s="311">
        <v>5921</v>
      </c>
      <c r="B5922" s="396" t="s">
        <v>11258</v>
      </c>
      <c r="C5922" s="396" t="s">
        <v>11259</v>
      </c>
      <c r="D5922" s="396" t="s">
        <v>11220</v>
      </c>
      <c r="E5922" s="396" t="s">
        <v>11221</v>
      </c>
      <c r="F5922" s="396" t="s">
        <v>10793</v>
      </c>
    </row>
    <row r="5923">
      <c r="A5923" s="311">
        <v>5922</v>
      </c>
      <c r="B5923" s="396" t="s">
        <v>11260</v>
      </c>
      <c r="C5923" s="396" t="s">
        <v>11261</v>
      </c>
      <c r="D5923" s="396" t="s">
        <v>11220</v>
      </c>
      <c r="E5923" s="396" t="s">
        <v>11221</v>
      </c>
      <c r="F5923" s="396" t="s">
        <v>10793</v>
      </c>
    </row>
    <row r="5924">
      <c r="A5924" s="311">
        <v>5923</v>
      </c>
      <c r="B5924" s="396" t="s">
        <v>11262</v>
      </c>
      <c r="C5924" s="396" t="s">
        <v>11263</v>
      </c>
      <c r="D5924" s="396" t="s">
        <v>11220</v>
      </c>
      <c r="E5924" s="396" t="s">
        <v>11221</v>
      </c>
      <c r="F5924" s="396" t="s">
        <v>10793</v>
      </c>
    </row>
    <row r="5925">
      <c r="A5925" s="311">
        <v>5924</v>
      </c>
      <c r="B5925" s="396" t="s">
        <v>11264</v>
      </c>
      <c r="C5925" s="396" t="s">
        <v>11265</v>
      </c>
      <c r="D5925" s="396" t="s">
        <v>11220</v>
      </c>
      <c r="E5925" s="396" t="s">
        <v>11221</v>
      </c>
      <c r="F5925" s="396" t="s">
        <v>10793</v>
      </c>
    </row>
    <row r="5926">
      <c r="A5926" s="311">
        <v>5925</v>
      </c>
      <c r="B5926" s="396" t="s">
        <v>11266</v>
      </c>
      <c r="C5926" s="396" t="s">
        <v>11267</v>
      </c>
      <c r="D5926" s="396" t="s">
        <v>11220</v>
      </c>
      <c r="E5926" s="396" t="s">
        <v>11221</v>
      </c>
      <c r="F5926" s="396" t="s">
        <v>10793</v>
      </c>
    </row>
    <row r="5927">
      <c r="A5927" s="311">
        <v>5926</v>
      </c>
      <c r="B5927" s="396" t="s">
        <v>11268</v>
      </c>
      <c r="C5927" s="396" t="s">
        <v>11269</v>
      </c>
      <c r="D5927" s="396" t="s">
        <v>11220</v>
      </c>
      <c r="E5927" s="396" t="s">
        <v>11221</v>
      </c>
      <c r="F5927" s="396" t="s">
        <v>10793</v>
      </c>
    </row>
    <row r="5928">
      <c r="A5928" s="311">
        <v>5927</v>
      </c>
      <c r="B5928" s="396" t="s">
        <v>11270</v>
      </c>
      <c r="C5928" s="396" t="s">
        <v>11271</v>
      </c>
      <c r="D5928" s="396" t="s">
        <v>11220</v>
      </c>
      <c r="E5928" s="396" t="s">
        <v>11221</v>
      </c>
      <c r="F5928" s="396" t="s">
        <v>10793</v>
      </c>
    </row>
    <row r="5929">
      <c r="A5929" s="311">
        <v>5928</v>
      </c>
      <c r="B5929" s="396" t="s">
        <v>11272</v>
      </c>
      <c r="C5929" s="396" t="s">
        <v>11273</v>
      </c>
      <c r="D5929" s="396" t="s">
        <v>11220</v>
      </c>
      <c r="E5929" s="396" t="s">
        <v>11221</v>
      </c>
      <c r="F5929" s="396" t="s">
        <v>10793</v>
      </c>
    </row>
    <row r="5930">
      <c r="A5930" s="311">
        <v>5929</v>
      </c>
      <c r="B5930" s="396" t="s">
        <v>11274</v>
      </c>
      <c r="C5930" s="396" t="s">
        <v>11275</v>
      </c>
      <c r="D5930" s="396" t="s">
        <v>11220</v>
      </c>
      <c r="E5930" s="396" t="s">
        <v>11221</v>
      </c>
      <c r="F5930" s="396" t="s">
        <v>10793</v>
      </c>
    </row>
    <row r="5931">
      <c r="A5931" s="311">
        <v>5930</v>
      </c>
      <c r="B5931" s="396" t="s">
        <v>11276</v>
      </c>
      <c r="C5931" s="396" t="s">
        <v>11277</v>
      </c>
      <c r="D5931" s="396" t="s">
        <v>11220</v>
      </c>
      <c r="E5931" s="396" t="s">
        <v>11221</v>
      </c>
      <c r="F5931" s="396" t="s">
        <v>10793</v>
      </c>
    </row>
    <row r="5932">
      <c r="A5932" s="311">
        <v>5931</v>
      </c>
      <c r="B5932" s="396" t="s">
        <v>11278</v>
      </c>
      <c r="C5932" s="396" t="s">
        <v>11279</v>
      </c>
      <c r="D5932" s="396" t="s">
        <v>11220</v>
      </c>
      <c r="E5932" s="396" t="s">
        <v>11221</v>
      </c>
      <c r="F5932" s="396" t="s">
        <v>10793</v>
      </c>
    </row>
    <row r="5933">
      <c r="A5933" s="311">
        <v>5932</v>
      </c>
      <c r="B5933" s="396" t="s">
        <v>11280</v>
      </c>
      <c r="C5933" s="396" t="s">
        <v>11281</v>
      </c>
      <c r="D5933" s="396" t="s">
        <v>11220</v>
      </c>
      <c r="E5933" s="396" t="s">
        <v>11221</v>
      </c>
      <c r="F5933" s="396" t="s">
        <v>10793</v>
      </c>
    </row>
    <row r="5934">
      <c r="A5934" s="311">
        <v>5933</v>
      </c>
      <c r="B5934" s="396" t="s">
        <v>11282</v>
      </c>
      <c r="C5934" s="396" t="s">
        <v>11283</v>
      </c>
      <c r="D5934" s="396" t="s">
        <v>11220</v>
      </c>
      <c r="E5934" s="396" t="s">
        <v>11221</v>
      </c>
      <c r="F5934" s="396" t="s">
        <v>10793</v>
      </c>
    </row>
    <row r="5935">
      <c r="A5935" s="311">
        <v>5934</v>
      </c>
      <c r="B5935" s="396" t="s">
        <v>11284</v>
      </c>
      <c r="C5935" s="396" t="s">
        <v>11285</v>
      </c>
      <c r="D5935" s="396" t="s">
        <v>11220</v>
      </c>
      <c r="E5935" s="396" t="s">
        <v>11221</v>
      </c>
      <c r="F5935" s="396" t="s">
        <v>10793</v>
      </c>
    </row>
    <row r="5936">
      <c r="A5936" s="311">
        <v>5935</v>
      </c>
      <c r="B5936" s="396" t="s">
        <v>11286</v>
      </c>
      <c r="C5936" s="396" t="s">
        <v>11287</v>
      </c>
      <c r="D5936" s="396" t="s">
        <v>11220</v>
      </c>
      <c r="E5936" s="396" t="s">
        <v>11221</v>
      </c>
      <c r="F5936" s="396" t="s">
        <v>10793</v>
      </c>
    </row>
    <row r="5937">
      <c r="A5937" s="311">
        <v>5936</v>
      </c>
      <c r="B5937" s="396" t="s">
        <v>11288</v>
      </c>
      <c r="C5937" s="396" t="s">
        <v>11289</v>
      </c>
      <c r="D5937" s="396" t="s">
        <v>11220</v>
      </c>
      <c r="E5937" s="396" t="s">
        <v>11221</v>
      </c>
      <c r="F5937" s="396" t="s">
        <v>10793</v>
      </c>
    </row>
    <row r="5938">
      <c r="A5938" s="311">
        <v>5937</v>
      </c>
      <c r="B5938" s="396" t="s">
        <v>11290</v>
      </c>
      <c r="C5938" s="396" t="s">
        <v>11291</v>
      </c>
      <c r="D5938" s="396" t="s">
        <v>11220</v>
      </c>
      <c r="E5938" s="396" t="s">
        <v>11221</v>
      </c>
      <c r="F5938" s="396" t="s">
        <v>10793</v>
      </c>
    </row>
    <row r="5939">
      <c r="A5939" s="311">
        <v>5938</v>
      </c>
      <c r="B5939" s="396" t="s">
        <v>11292</v>
      </c>
      <c r="C5939" s="396" t="s">
        <v>11293</v>
      </c>
      <c r="D5939" s="396" t="s">
        <v>11220</v>
      </c>
      <c r="E5939" s="396" t="s">
        <v>11221</v>
      </c>
      <c r="F5939" s="396" t="s">
        <v>10793</v>
      </c>
    </row>
    <row r="5940">
      <c r="A5940" s="311">
        <v>5939</v>
      </c>
      <c r="B5940" s="396" t="s">
        <v>11294</v>
      </c>
      <c r="C5940" s="396" t="s">
        <v>11295</v>
      </c>
      <c r="D5940" s="396" t="s">
        <v>11220</v>
      </c>
      <c r="E5940" s="396" t="s">
        <v>11221</v>
      </c>
      <c r="F5940" s="396" t="s">
        <v>10793</v>
      </c>
    </row>
    <row r="5941">
      <c r="A5941" s="311">
        <v>5940</v>
      </c>
      <c r="B5941" s="396" t="s">
        <v>11296</v>
      </c>
      <c r="C5941" s="396" t="s">
        <v>11297</v>
      </c>
      <c r="D5941" s="396" t="s">
        <v>11220</v>
      </c>
      <c r="E5941" s="396" t="s">
        <v>11221</v>
      </c>
      <c r="F5941" s="396" t="s">
        <v>10793</v>
      </c>
    </row>
    <row r="5942">
      <c r="A5942" s="311">
        <v>5941</v>
      </c>
      <c r="B5942" s="396" t="s">
        <v>11298</v>
      </c>
      <c r="C5942" s="396" t="s">
        <v>11299</v>
      </c>
      <c r="D5942" s="396" t="s">
        <v>11300</v>
      </c>
      <c r="E5942" s="396" t="s">
        <v>11301</v>
      </c>
      <c r="F5942" s="396" t="s">
        <v>10793</v>
      </c>
    </row>
    <row r="5943">
      <c r="A5943" s="311">
        <v>5942</v>
      </c>
      <c r="B5943" s="396" t="s">
        <v>11302</v>
      </c>
      <c r="C5943" s="396" t="s">
        <v>11303</v>
      </c>
      <c r="D5943" s="396" t="s">
        <v>11300</v>
      </c>
      <c r="E5943" s="396" t="s">
        <v>11301</v>
      </c>
      <c r="F5943" s="396" t="s">
        <v>10793</v>
      </c>
    </row>
    <row r="5944">
      <c r="A5944" s="311">
        <v>5943</v>
      </c>
      <c r="B5944" s="396" t="s">
        <v>11304</v>
      </c>
      <c r="C5944" s="396" t="s">
        <v>11305</v>
      </c>
      <c r="D5944" s="396" t="s">
        <v>11300</v>
      </c>
      <c r="E5944" s="396" t="s">
        <v>11301</v>
      </c>
      <c r="F5944" s="396" t="s">
        <v>10793</v>
      </c>
    </row>
    <row r="5945">
      <c r="A5945" s="311">
        <v>5944</v>
      </c>
      <c r="B5945" s="396" t="s">
        <v>11306</v>
      </c>
      <c r="C5945" s="396" t="s">
        <v>11307</v>
      </c>
      <c r="D5945" s="396" t="s">
        <v>11300</v>
      </c>
      <c r="E5945" s="396" t="s">
        <v>11301</v>
      </c>
      <c r="F5945" s="396" t="s">
        <v>10793</v>
      </c>
    </row>
    <row r="5946">
      <c r="A5946" s="311">
        <v>5945</v>
      </c>
      <c r="B5946" s="396" t="s">
        <v>11308</v>
      </c>
      <c r="C5946" s="396" t="s">
        <v>1552</v>
      </c>
      <c r="D5946" s="396" t="s">
        <v>11300</v>
      </c>
      <c r="E5946" s="396" t="s">
        <v>11301</v>
      </c>
      <c r="F5946" s="396" t="s">
        <v>10793</v>
      </c>
    </row>
    <row r="5947">
      <c r="A5947" s="311">
        <v>5946</v>
      </c>
      <c r="B5947" s="396" t="s">
        <v>11309</v>
      </c>
      <c r="C5947" s="396" t="s">
        <v>11310</v>
      </c>
      <c r="D5947" s="396" t="s">
        <v>11300</v>
      </c>
      <c r="E5947" s="396" t="s">
        <v>11301</v>
      </c>
      <c r="F5947" s="396" t="s">
        <v>10793</v>
      </c>
    </row>
    <row r="5948">
      <c r="A5948" s="311">
        <v>5947</v>
      </c>
      <c r="B5948" s="396" t="s">
        <v>11311</v>
      </c>
      <c r="C5948" s="396" t="s">
        <v>11312</v>
      </c>
      <c r="D5948" s="396" t="s">
        <v>11300</v>
      </c>
      <c r="E5948" s="396" t="s">
        <v>11301</v>
      </c>
      <c r="F5948" s="396" t="s">
        <v>10793</v>
      </c>
    </row>
    <row r="5949">
      <c r="A5949" s="311">
        <v>5948</v>
      </c>
      <c r="B5949" s="396" t="s">
        <v>11313</v>
      </c>
      <c r="C5949" s="396" t="s">
        <v>11314</v>
      </c>
      <c r="D5949" s="396" t="s">
        <v>11300</v>
      </c>
      <c r="E5949" s="396" t="s">
        <v>11301</v>
      </c>
      <c r="F5949" s="396" t="s">
        <v>10793</v>
      </c>
    </row>
    <row r="5950">
      <c r="A5950" s="311">
        <v>5949</v>
      </c>
      <c r="B5950" s="396" t="s">
        <v>11315</v>
      </c>
      <c r="C5950" s="396" t="s">
        <v>11316</v>
      </c>
      <c r="D5950" s="396" t="s">
        <v>11300</v>
      </c>
      <c r="E5950" s="396" t="s">
        <v>11301</v>
      </c>
      <c r="F5950" s="396" t="s">
        <v>10793</v>
      </c>
    </row>
    <row r="5951">
      <c r="A5951" s="311">
        <v>5950</v>
      </c>
      <c r="B5951" s="396" t="s">
        <v>11317</v>
      </c>
      <c r="C5951" s="396" t="s">
        <v>11318</v>
      </c>
      <c r="D5951" s="396" t="s">
        <v>11300</v>
      </c>
      <c r="E5951" s="396" t="s">
        <v>11301</v>
      </c>
      <c r="F5951" s="396" t="s">
        <v>10793</v>
      </c>
    </row>
    <row r="5952">
      <c r="A5952" s="311">
        <v>5951</v>
      </c>
      <c r="B5952" s="396" t="s">
        <v>11319</v>
      </c>
      <c r="C5952" s="396" t="s">
        <v>11320</v>
      </c>
      <c r="D5952" s="396" t="s">
        <v>11300</v>
      </c>
      <c r="E5952" s="396" t="s">
        <v>11301</v>
      </c>
      <c r="F5952" s="396" t="s">
        <v>10793</v>
      </c>
    </row>
    <row r="5953">
      <c r="A5953" s="311">
        <v>5952</v>
      </c>
      <c r="B5953" s="396" t="s">
        <v>11321</v>
      </c>
      <c r="C5953" s="396" t="s">
        <v>1988</v>
      </c>
      <c r="D5953" s="396" t="s">
        <v>11300</v>
      </c>
      <c r="E5953" s="396" t="s">
        <v>11301</v>
      </c>
      <c r="F5953" s="396" t="s">
        <v>10793</v>
      </c>
    </row>
    <row r="5954">
      <c r="A5954" s="311">
        <v>5953</v>
      </c>
      <c r="B5954" s="396" t="s">
        <v>11322</v>
      </c>
      <c r="C5954" s="396" t="s">
        <v>11323</v>
      </c>
      <c r="D5954" s="396" t="s">
        <v>11300</v>
      </c>
      <c r="E5954" s="396" t="s">
        <v>11301</v>
      </c>
      <c r="F5954" s="396" t="s">
        <v>10793</v>
      </c>
    </row>
    <row r="5955">
      <c r="A5955" s="311">
        <v>5954</v>
      </c>
      <c r="B5955" s="396" t="s">
        <v>11324</v>
      </c>
      <c r="C5955" s="396" t="s">
        <v>8715</v>
      </c>
      <c r="D5955" s="396" t="s">
        <v>11300</v>
      </c>
      <c r="E5955" s="396" t="s">
        <v>11301</v>
      </c>
      <c r="F5955" s="396" t="s">
        <v>10793</v>
      </c>
    </row>
    <row r="5956">
      <c r="A5956" s="311">
        <v>5955</v>
      </c>
      <c r="B5956" s="396" t="s">
        <v>11325</v>
      </c>
      <c r="C5956" s="396" t="s">
        <v>11326</v>
      </c>
      <c r="D5956" s="396" t="s">
        <v>11300</v>
      </c>
      <c r="E5956" s="396" t="s">
        <v>11301</v>
      </c>
      <c r="F5956" s="396" t="s">
        <v>10793</v>
      </c>
    </row>
    <row r="5957">
      <c r="A5957" s="311">
        <v>5956</v>
      </c>
      <c r="B5957" s="396" t="s">
        <v>11327</v>
      </c>
      <c r="C5957" s="396" t="s">
        <v>11328</v>
      </c>
      <c r="D5957" s="396" t="s">
        <v>11300</v>
      </c>
      <c r="E5957" s="396" t="s">
        <v>11301</v>
      </c>
      <c r="F5957" s="396" t="s">
        <v>10793</v>
      </c>
    </row>
    <row r="5958">
      <c r="A5958" s="311">
        <v>5957</v>
      </c>
      <c r="B5958" s="396" t="s">
        <v>11329</v>
      </c>
      <c r="C5958" s="396" t="s">
        <v>4544</v>
      </c>
      <c r="D5958" s="396" t="s">
        <v>11300</v>
      </c>
      <c r="E5958" s="396" t="s">
        <v>11301</v>
      </c>
      <c r="F5958" s="396" t="s">
        <v>10793</v>
      </c>
    </row>
    <row r="5959">
      <c r="A5959" s="311">
        <v>5958</v>
      </c>
      <c r="B5959" s="396" t="s">
        <v>11330</v>
      </c>
      <c r="C5959" s="396" t="s">
        <v>11331</v>
      </c>
      <c r="D5959" s="396" t="s">
        <v>11300</v>
      </c>
      <c r="E5959" s="396" t="s">
        <v>11301</v>
      </c>
      <c r="F5959" s="396" t="s">
        <v>10793</v>
      </c>
    </row>
    <row r="5960">
      <c r="A5960" s="311">
        <v>5959</v>
      </c>
      <c r="B5960" s="396" t="s">
        <v>11332</v>
      </c>
      <c r="C5960" s="396" t="s">
        <v>11333</v>
      </c>
      <c r="D5960" s="396" t="s">
        <v>11300</v>
      </c>
      <c r="E5960" s="396" t="s">
        <v>11301</v>
      </c>
      <c r="F5960" s="396" t="s">
        <v>10793</v>
      </c>
    </row>
    <row r="5961">
      <c r="A5961" s="311">
        <v>5960</v>
      </c>
      <c r="B5961" s="396" t="s">
        <v>11334</v>
      </c>
      <c r="C5961" s="396" t="s">
        <v>11335</v>
      </c>
      <c r="D5961" s="396" t="s">
        <v>11300</v>
      </c>
      <c r="E5961" s="396" t="s">
        <v>11301</v>
      </c>
      <c r="F5961" s="396" t="s">
        <v>10793</v>
      </c>
    </row>
    <row r="5962">
      <c r="A5962" s="311">
        <v>5961</v>
      </c>
      <c r="B5962" s="396" t="s">
        <v>11336</v>
      </c>
      <c r="C5962" s="396" t="s">
        <v>11337</v>
      </c>
      <c r="D5962" s="396" t="s">
        <v>11300</v>
      </c>
      <c r="E5962" s="396" t="s">
        <v>11301</v>
      </c>
      <c r="F5962" s="396" t="s">
        <v>10793</v>
      </c>
    </row>
    <row r="5963">
      <c r="A5963" s="311">
        <v>5962</v>
      </c>
      <c r="B5963" s="396" t="s">
        <v>11338</v>
      </c>
      <c r="C5963" s="396" t="s">
        <v>2513</v>
      </c>
      <c r="D5963" s="396" t="s">
        <v>11300</v>
      </c>
      <c r="E5963" s="396" t="s">
        <v>11301</v>
      </c>
      <c r="F5963" s="396" t="s">
        <v>10793</v>
      </c>
    </row>
    <row r="5964">
      <c r="A5964" s="311">
        <v>5963</v>
      </c>
      <c r="B5964" s="396" t="s">
        <v>11339</v>
      </c>
      <c r="C5964" s="396" t="s">
        <v>9240</v>
      </c>
      <c r="D5964" s="396" t="s">
        <v>11300</v>
      </c>
      <c r="E5964" s="396" t="s">
        <v>11301</v>
      </c>
      <c r="F5964" s="396" t="s">
        <v>10793</v>
      </c>
    </row>
    <row r="5965">
      <c r="A5965" s="311">
        <v>5964</v>
      </c>
      <c r="B5965" s="396" t="s">
        <v>11340</v>
      </c>
      <c r="C5965" s="396" t="s">
        <v>11341</v>
      </c>
      <c r="D5965" s="396" t="s">
        <v>11300</v>
      </c>
      <c r="E5965" s="396" t="s">
        <v>11301</v>
      </c>
      <c r="F5965" s="396" t="s">
        <v>10793</v>
      </c>
    </row>
    <row r="5966">
      <c r="A5966" s="311">
        <v>5965</v>
      </c>
      <c r="B5966" s="396" t="s">
        <v>11342</v>
      </c>
      <c r="C5966" s="396" t="s">
        <v>11343</v>
      </c>
      <c r="D5966" s="396" t="s">
        <v>11300</v>
      </c>
      <c r="E5966" s="396" t="s">
        <v>11301</v>
      </c>
      <c r="F5966" s="396" t="s">
        <v>10793</v>
      </c>
    </row>
    <row r="5967">
      <c r="A5967" s="311">
        <v>5966</v>
      </c>
      <c r="B5967" s="396" t="s">
        <v>11344</v>
      </c>
      <c r="C5967" s="396" t="s">
        <v>1425</v>
      </c>
      <c r="D5967" s="396" t="s">
        <v>11300</v>
      </c>
      <c r="E5967" s="396" t="s">
        <v>11301</v>
      </c>
      <c r="F5967" s="396" t="s">
        <v>10793</v>
      </c>
    </row>
    <row r="5968">
      <c r="A5968" s="311">
        <v>5967</v>
      </c>
      <c r="B5968" s="396" t="s">
        <v>11345</v>
      </c>
      <c r="C5968" s="396" t="s">
        <v>11346</v>
      </c>
      <c r="D5968" s="396" t="s">
        <v>11300</v>
      </c>
      <c r="E5968" s="396" t="s">
        <v>11301</v>
      </c>
      <c r="F5968" s="396" t="s">
        <v>10793</v>
      </c>
    </row>
    <row r="5969">
      <c r="A5969" s="311">
        <v>5968</v>
      </c>
      <c r="B5969" s="396" t="s">
        <v>11347</v>
      </c>
      <c r="C5969" s="396" t="s">
        <v>11348</v>
      </c>
      <c r="D5969" s="396" t="s">
        <v>11300</v>
      </c>
      <c r="E5969" s="396" t="s">
        <v>11301</v>
      </c>
      <c r="F5969" s="396" t="s">
        <v>10793</v>
      </c>
    </row>
    <row r="5970">
      <c r="A5970" s="311">
        <v>5969</v>
      </c>
      <c r="B5970" s="396" t="s">
        <v>11349</v>
      </c>
      <c r="C5970" s="396" t="s">
        <v>11350</v>
      </c>
      <c r="D5970" s="396" t="s">
        <v>11300</v>
      </c>
      <c r="E5970" s="396" t="s">
        <v>11301</v>
      </c>
      <c r="F5970" s="396" t="s">
        <v>10793</v>
      </c>
    </row>
    <row r="5971">
      <c r="A5971" s="311">
        <v>5970</v>
      </c>
      <c r="B5971" s="396" t="s">
        <v>11351</v>
      </c>
      <c r="C5971" s="396" t="s">
        <v>10064</v>
      </c>
      <c r="D5971" s="396" t="s">
        <v>11300</v>
      </c>
      <c r="E5971" s="396" t="s">
        <v>11301</v>
      </c>
      <c r="F5971" s="396" t="s">
        <v>10793</v>
      </c>
    </row>
    <row r="5972">
      <c r="A5972" s="311">
        <v>5971</v>
      </c>
      <c r="B5972" s="396" t="s">
        <v>11352</v>
      </c>
      <c r="C5972" s="396" t="s">
        <v>11353</v>
      </c>
      <c r="D5972" s="396" t="s">
        <v>11300</v>
      </c>
      <c r="E5972" s="396" t="s">
        <v>11301</v>
      </c>
      <c r="F5972" s="396" t="s">
        <v>10793</v>
      </c>
    </row>
    <row r="5973">
      <c r="A5973" s="311">
        <v>5972</v>
      </c>
      <c r="B5973" s="396" t="s">
        <v>11354</v>
      </c>
      <c r="C5973" s="396" t="s">
        <v>9560</v>
      </c>
      <c r="D5973" s="396" t="s">
        <v>11300</v>
      </c>
      <c r="E5973" s="396" t="s">
        <v>11301</v>
      </c>
      <c r="F5973" s="396" t="s">
        <v>10793</v>
      </c>
    </row>
    <row r="5974">
      <c r="A5974" s="311">
        <v>5973</v>
      </c>
      <c r="B5974" s="396" t="s">
        <v>11355</v>
      </c>
      <c r="C5974" s="396" t="s">
        <v>11356</v>
      </c>
      <c r="D5974" s="396" t="s">
        <v>11300</v>
      </c>
      <c r="E5974" s="396" t="s">
        <v>11301</v>
      </c>
      <c r="F5974" s="396" t="s">
        <v>10793</v>
      </c>
    </row>
    <row r="5975">
      <c r="A5975" s="311">
        <v>5974</v>
      </c>
      <c r="B5975" s="396" t="s">
        <v>11357</v>
      </c>
      <c r="C5975" s="396" t="s">
        <v>832</v>
      </c>
      <c r="D5975" s="396" t="s">
        <v>11300</v>
      </c>
      <c r="E5975" s="396" t="s">
        <v>11301</v>
      </c>
      <c r="F5975" s="396" t="s">
        <v>10793</v>
      </c>
    </row>
    <row r="5976">
      <c r="A5976" s="311">
        <v>5975</v>
      </c>
      <c r="B5976" s="396" t="s">
        <v>11358</v>
      </c>
      <c r="C5976" s="396" t="s">
        <v>11359</v>
      </c>
      <c r="D5976" s="396" t="s">
        <v>11300</v>
      </c>
      <c r="E5976" s="396" t="s">
        <v>11301</v>
      </c>
      <c r="F5976" s="396" t="s">
        <v>10793</v>
      </c>
    </row>
    <row r="5977">
      <c r="A5977" s="311">
        <v>5976</v>
      </c>
      <c r="B5977" s="396" t="s">
        <v>11360</v>
      </c>
      <c r="C5977" s="396" t="s">
        <v>11361</v>
      </c>
      <c r="D5977" s="396" t="s">
        <v>11300</v>
      </c>
      <c r="E5977" s="396" t="s">
        <v>11301</v>
      </c>
      <c r="F5977" s="396" t="s">
        <v>10793</v>
      </c>
    </row>
    <row r="5978">
      <c r="A5978" s="311">
        <v>5977</v>
      </c>
      <c r="B5978" s="396" t="s">
        <v>11362</v>
      </c>
      <c r="C5978" s="396" t="s">
        <v>1189</v>
      </c>
      <c r="D5978" s="396" t="s">
        <v>11300</v>
      </c>
      <c r="E5978" s="396" t="s">
        <v>11301</v>
      </c>
      <c r="F5978" s="396" t="s">
        <v>10793</v>
      </c>
    </row>
    <row r="5979">
      <c r="A5979" s="311">
        <v>5978</v>
      </c>
      <c r="B5979" s="396" t="s">
        <v>11363</v>
      </c>
      <c r="C5979" s="396" t="s">
        <v>11364</v>
      </c>
      <c r="D5979" s="396" t="s">
        <v>11300</v>
      </c>
      <c r="E5979" s="396" t="s">
        <v>11301</v>
      </c>
      <c r="F5979" s="396" t="s">
        <v>10793</v>
      </c>
    </row>
    <row r="5980">
      <c r="A5980" s="311">
        <v>5979</v>
      </c>
      <c r="B5980" s="396" t="s">
        <v>11365</v>
      </c>
      <c r="C5980" s="396" t="s">
        <v>9459</v>
      </c>
      <c r="D5980" s="396" t="s">
        <v>11300</v>
      </c>
      <c r="E5980" s="396" t="s">
        <v>11301</v>
      </c>
      <c r="F5980" s="396" t="s">
        <v>10793</v>
      </c>
    </row>
    <row r="5981">
      <c r="A5981" s="311">
        <v>5980</v>
      </c>
      <c r="B5981" s="396" t="s">
        <v>11366</v>
      </c>
      <c r="C5981" s="396" t="s">
        <v>11367</v>
      </c>
      <c r="D5981" s="396" t="s">
        <v>11368</v>
      </c>
      <c r="E5981" s="396" t="s">
        <v>11369</v>
      </c>
      <c r="F5981" s="396" t="s">
        <v>10793</v>
      </c>
    </row>
    <row r="5982">
      <c r="A5982" s="311">
        <v>5981</v>
      </c>
      <c r="B5982" s="396" t="s">
        <v>11370</v>
      </c>
      <c r="C5982" s="396" t="s">
        <v>11371</v>
      </c>
      <c r="D5982" s="396" t="s">
        <v>11368</v>
      </c>
      <c r="E5982" s="396" t="s">
        <v>11369</v>
      </c>
      <c r="F5982" s="396" t="s">
        <v>10793</v>
      </c>
    </row>
    <row r="5983">
      <c r="A5983" s="311">
        <v>5982</v>
      </c>
      <c r="B5983" s="396" t="s">
        <v>11372</v>
      </c>
      <c r="C5983" s="396" t="s">
        <v>11373</v>
      </c>
      <c r="D5983" s="396" t="s">
        <v>11368</v>
      </c>
      <c r="E5983" s="396" t="s">
        <v>11369</v>
      </c>
      <c r="F5983" s="396" t="s">
        <v>10793</v>
      </c>
    </row>
    <row r="5984">
      <c r="A5984" s="311">
        <v>5983</v>
      </c>
      <c r="B5984" s="396" t="s">
        <v>11374</v>
      </c>
      <c r="C5984" s="396" t="s">
        <v>2258</v>
      </c>
      <c r="D5984" s="396" t="s">
        <v>11368</v>
      </c>
      <c r="E5984" s="396" t="s">
        <v>11369</v>
      </c>
      <c r="F5984" s="396" t="s">
        <v>10793</v>
      </c>
    </row>
    <row r="5985">
      <c r="A5985" s="311">
        <v>5984</v>
      </c>
      <c r="B5985" s="396" t="s">
        <v>11375</v>
      </c>
      <c r="C5985" s="396" t="s">
        <v>11376</v>
      </c>
      <c r="D5985" s="396" t="s">
        <v>11368</v>
      </c>
      <c r="E5985" s="396" t="s">
        <v>11369</v>
      </c>
      <c r="F5985" s="396" t="s">
        <v>10793</v>
      </c>
    </row>
    <row r="5986">
      <c r="A5986" s="311">
        <v>5985</v>
      </c>
      <c r="B5986" s="396" t="s">
        <v>11377</v>
      </c>
      <c r="C5986" s="396" t="s">
        <v>1195</v>
      </c>
      <c r="D5986" s="396" t="s">
        <v>11368</v>
      </c>
      <c r="E5986" s="396" t="s">
        <v>11369</v>
      </c>
      <c r="F5986" s="396" t="s">
        <v>10793</v>
      </c>
    </row>
    <row r="5987">
      <c r="A5987" s="311">
        <v>5986</v>
      </c>
      <c r="B5987" s="396" t="s">
        <v>11378</v>
      </c>
      <c r="C5987" s="396" t="s">
        <v>11379</v>
      </c>
      <c r="D5987" s="396" t="s">
        <v>11368</v>
      </c>
      <c r="E5987" s="396" t="s">
        <v>11369</v>
      </c>
      <c r="F5987" s="396" t="s">
        <v>10793</v>
      </c>
    </row>
    <row r="5988">
      <c r="A5988" s="311">
        <v>5987</v>
      </c>
      <c r="B5988" s="396" t="s">
        <v>11380</v>
      </c>
      <c r="C5988" s="396" t="s">
        <v>4494</v>
      </c>
      <c r="D5988" s="396" t="s">
        <v>11368</v>
      </c>
      <c r="E5988" s="396" t="s">
        <v>11369</v>
      </c>
      <c r="F5988" s="396" t="s">
        <v>10793</v>
      </c>
    </row>
    <row r="5989">
      <c r="A5989" s="311">
        <v>5988</v>
      </c>
      <c r="B5989" s="396" t="s">
        <v>11381</v>
      </c>
      <c r="C5989" s="396" t="s">
        <v>286</v>
      </c>
      <c r="D5989" s="396" t="s">
        <v>11368</v>
      </c>
      <c r="E5989" s="396" t="s">
        <v>11369</v>
      </c>
      <c r="F5989" s="396" t="s">
        <v>10793</v>
      </c>
    </row>
    <row r="5990">
      <c r="A5990" s="311">
        <v>5989</v>
      </c>
      <c r="B5990" s="396" t="s">
        <v>11382</v>
      </c>
      <c r="C5990" s="396" t="s">
        <v>5107</v>
      </c>
      <c r="D5990" s="396" t="s">
        <v>11368</v>
      </c>
      <c r="E5990" s="396" t="s">
        <v>11369</v>
      </c>
      <c r="F5990" s="396" t="s">
        <v>10793</v>
      </c>
    </row>
    <row r="5991">
      <c r="A5991" s="311">
        <v>5990</v>
      </c>
      <c r="B5991" s="396" t="s">
        <v>11383</v>
      </c>
      <c r="C5991" s="396" t="s">
        <v>1411</v>
      </c>
      <c r="D5991" s="396" t="s">
        <v>11368</v>
      </c>
      <c r="E5991" s="396" t="s">
        <v>11369</v>
      </c>
      <c r="F5991" s="396" t="s">
        <v>10793</v>
      </c>
    </row>
    <row r="5992">
      <c r="A5992" s="311">
        <v>5991</v>
      </c>
      <c r="B5992" s="396" t="s">
        <v>11384</v>
      </c>
      <c r="C5992" s="396" t="s">
        <v>4260</v>
      </c>
      <c r="D5992" s="396" t="s">
        <v>11368</v>
      </c>
      <c r="E5992" s="396" t="s">
        <v>11369</v>
      </c>
      <c r="F5992" s="396" t="s">
        <v>10793</v>
      </c>
    </row>
    <row r="5993">
      <c r="A5993" s="311">
        <v>5992</v>
      </c>
      <c r="B5993" s="396" t="s">
        <v>11385</v>
      </c>
      <c r="C5993" s="396" t="s">
        <v>11386</v>
      </c>
      <c r="D5993" s="396" t="s">
        <v>11368</v>
      </c>
      <c r="E5993" s="396" t="s">
        <v>11369</v>
      </c>
      <c r="F5993" s="396" t="s">
        <v>10793</v>
      </c>
    </row>
    <row r="5994">
      <c r="A5994" s="311">
        <v>5993</v>
      </c>
      <c r="B5994" s="396" t="s">
        <v>11387</v>
      </c>
      <c r="C5994" s="396" t="s">
        <v>902</v>
      </c>
      <c r="D5994" s="396" t="s">
        <v>11368</v>
      </c>
      <c r="E5994" s="396" t="s">
        <v>11369</v>
      </c>
      <c r="F5994" s="396" t="s">
        <v>10793</v>
      </c>
    </row>
    <row r="5995">
      <c r="A5995" s="311">
        <v>5994</v>
      </c>
      <c r="B5995" s="396" t="s">
        <v>11388</v>
      </c>
      <c r="C5995" s="396" t="s">
        <v>292</v>
      </c>
      <c r="D5995" s="396" t="s">
        <v>11368</v>
      </c>
      <c r="E5995" s="396" t="s">
        <v>11369</v>
      </c>
      <c r="F5995" s="396" t="s">
        <v>10793</v>
      </c>
    </row>
    <row r="5996">
      <c r="A5996" s="311">
        <v>5995</v>
      </c>
      <c r="B5996" s="396" t="s">
        <v>11389</v>
      </c>
      <c r="C5996" s="396" t="s">
        <v>11390</v>
      </c>
      <c r="D5996" s="396" t="s">
        <v>11368</v>
      </c>
      <c r="E5996" s="396" t="s">
        <v>11369</v>
      </c>
      <c r="F5996" s="396" t="s">
        <v>10793</v>
      </c>
    </row>
    <row r="5997">
      <c r="A5997" s="311">
        <v>5996</v>
      </c>
      <c r="B5997" s="396" t="s">
        <v>11391</v>
      </c>
      <c r="C5997" s="396" t="s">
        <v>810</v>
      </c>
      <c r="D5997" s="396" t="s">
        <v>11368</v>
      </c>
      <c r="E5997" s="396" t="s">
        <v>11369</v>
      </c>
      <c r="F5997" s="396" t="s">
        <v>10793</v>
      </c>
    </row>
    <row r="5998">
      <c r="A5998" s="311">
        <v>5997</v>
      </c>
      <c r="B5998" s="396" t="s">
        <v>11392</v>
      </c>
      <c r="C5998" s="396" t="s">
        <v>2848</v>
      </c>
      <c r="D5998" s="396" t="s">
        <v>11368</v>
      </c>
      <c r="E5998" s="396" t="s">
        <v>11369</v>
      </c>
      <c r="F5998" s="396" t="s">
        <v>10793</v>
      </c>
    </row>
    <row r="5999">
      <c r="A5999" s="311">
        <v>5998</v>
      </c>
      <c r="B5999" s="396" t="s">
        <v>11393</v>
      </c>
      <c r="C5999" s="396" t="s">
        <v>11394</v>
      </c>
      <c r="D5999" s="396" t="s">
        <v>11368</v>
      </c>
      <c r="E5999" s="396" t="s">
        <v>11369</v>
      </c>
      <c r="F5999" s="396" t="s">
        <v>10793</v>
      </c>
    </row>
    <row r="6000">
      <c r="A6000" s="311">
        <v>5999</v>
      </c>
      <c r="B6000" s="396" t="s">
        <v>11395</v>
      </c>
      <c r="C6000" s="396" t="s">
        <v>11396</v>
      </c>
      <c r="D6000" s="396" t="s">
        <v>11368</v>
      </c>
      <c r="E6000" s="396" t="s">
        <v>11369</v>
      </c>
      <c r="F6000" s="396" t="s">
        <v>10793</v>
      </c>
    </row>
    <row r="6001">
      <c r="A6001" s="311">
        <v>6000</v>
      </c>
      <c r="B6001" s="396" t="s">
        <v>11397</v>
      </c>
      <c r="C6001" s="396" t="s">
        <v>2206</v>
      </c>
      <c r="D6001" s="396" t="s">
        <v>11368</v>
      </c>
      <c r="E6001" s="396" t="s">
        <v>11369</v>
      </c>
      <c r="F6001" s="396" t="s">
        <v>10793</v>
      </c>
    </row>
    <row r="6002">
      <c r="A6002" s="311">
        <v>6001</v>
      </c>
      <c r="B6002" s="396" t="s">
        <v>11398</v>
      </c>
      <c r="C6002" s="396" t="s">
        <v>1669</v>
      </c>
      <c r="D6002" s="396" t="s">
        <v>11368</v>
      </c>
      <c r="E6002" s="396" t="s">
        <v>11369</v>
      </c>
      <c r="F6002" s="396" t="s">
        <v>10793</v>
      </c>
    </row>
    <row r="6003">
      <c r="A6003" s="311">
        <v>6002</v>
      </c>
      <c r="B6003" s="396" t="s">
        <v>11399</v>
      </c>
      <c r="C6003" s="396" t="s">
        <v>4732</v>
      </c>
      <c r="D6003" s="396" t="s">
        <v>11368</v>
      </c>
      <c r="E6003" s="396" t="s">
        <v>11369</v>
      </c>
      <c r="F6003" s="396" t="s">
        <v>10793</v>
      </c>
    </row>
    <row r="6004">
      <c r="A6004" s="311">
        <v>6003</v>
      </c>
      <c r="B6004" s="396" t="s">
        <v>11400</v>
      </c>
      <c r="C6004" s="396" t="s">
        <v>11401</v>
      </c>
      <c r="D6004" s="396" t="s">
        <v>11368</v>
      </c>
      <c r="E6004" s="396" t="s">
        <v>11369</v>
      </c>
      <c r="F6004" s="396" t="s">
        <v>10793</v>
      </c>
    </row>
    <row r="6005">
      <c r="A6005" s="311">
        <v>6004</v>
      </c>
      <c r="B6005" s="396" t="s">
        <v>11402</v>
      </c>
      <c r="C6005" s="396" t="s">
        <v>2455</v>
      </c>
      <c r="D6005" s="396" t="s">
        <v>11368</v>
      </c>
      <c r="E6005" s="396" t="s">
        <v>11369</v>
      </c>
      <c r="F6005" s="396" t="s">
        <v>10793</v>
      </c>
    </row>
    <row r="6006">
      <c r="A6006" s="311">
        <v>6005</v>
      </c>
      <c r="B6006" s="396" t="s">
        <v>11403</v>
      </c>
      <c r="C6006" s="396" t="s">
        <v>605</v>
      </c>
      <c r="D6006" s="396" t="s">
        <v>11368</v>
      </c>
      <c r="E6006" s="396" t="s">
        <v>11369</v>
      </c>
      <c r="F6006" s="396" t="s">
        <v>10793</v>
      </c>
    </row>
    <row r="6007">
      <c r="A6007" s="311">
        <v>6006</v>
      </c>
      <c r="B6007" s="396" t="s">
        <v>11404</v>
      </c>
      <c r="C6007" s="396" t="s">
        <v>1427</v>
      </c>
      <c r="D6007" s="396" t="s">
        <v>11368</v>
      </c>
      <c r="E6007" s="396" t="s">
        <v>11369</v>
      </c>
      <c r="F6007" s="396" t="s">
        <v>10793</v>
      </c>
    </row>
    <row r="6008">
      <c r="A6008" s="311">
        <v>6007</v>
      </c>
      <c r="B6008" s="396" t="s">
        <v>11405</v>
      </c>
      <c r="C6008" s="396" t="s">
        <v>11406</v>
      </c>
      <c r="D6008" s="396" t="s">
        <v>11368</v>
      </c>
      <c r="E6008" s="396" t="s">
        <v>11369</v>
      </c>
      <c r="F6008" s="396" t="s">
        <v>10793</v>
      </c>
    </row>
    <row r="6009">
      <c r="A6009" s="311">
        <v>6008</v>
      </c>
      <c r="B6009" s="396" t="s">
        <v>11407</v>
      </c>
      <c r="C6009" s="396" t="s">
        <v>11408</v>
      </c>
      <c r="D6009" s="396" t="s">
        <v>11368</v>
      </c>
      <c r="E6009" s="396" t="s">
        <v>11369</v>
      </c>
      <c r="F6009" s="396" t="s">
        <v>10793</v>
      </c>
    </row>
    <row r="6010">
      <c r="A6010" s="311">
        <v>6009</v>
      </c>
      <c r="B6010" s="396" t="s">
        <v>11409</v>
      </c>
      <c r="C6010" s="396" t="s">
        <v>11410</v>
      </c>
      <c r="D6010" s="396" t="s">
        <v>11368</v>
      </c>
      <c r="E6010" s="396" t="s">
        <v>11369</v>
      </c>
      <c r="F6010" s="396" t="s">
        <v>10793</v>
      </c>
    </row>
    <row r="6011">
      <c r="A6011" s="311">
        <v>6010</v>
      </c>
      <c r="B6011" s="396" t="s">
        <v>11411</v>
      </c>
      <c r="C6011" s="396" t="s">
        <v>11412</v>
      </c>
      <c r="D6011" s="396" t="s">
        <v>11368</v>
      </c>
      <c r="E6011" s="396" t="s">
        <v>11369</v>
      </c>
      <c r="F6011" s="396" t="s">
        <v>10793</v>
      </c>
    </row>
    <row r="6012">
      <c r="A6012" s="311">
        <v>6011</v>
      </c>
      <c r="B6012" s="396" t="s">
        <v>11413</v>
      </c>
      <c r="C6012" s="396" t="s">
        <v>11414</v>
      </c>
      <c r="D6012" s="396" t="s">
        <v>11368</v>
      </c>
      <c r="E6012" s="396" t="s">
        <v>11369</v>
      </c>
      <c r="F6012" s="396" t="s">
        <v>10793</v>
      </c>
    </row>
    <row r="6013">
      <c r="A6013" s="311">
        <v>6012</v>
      </c>
      <c r="B6013" s="396" t="s">
        <v>11415</v>
      </c>
      <c r="C6013" s="396" t="s">
        <v>1907</v>
      </c>
      <c r="D6013" s="396" t="s">
        <v>11368</v>
      </c>
      <c r="E6013" s="396" t="s">
        <v>11369</v>
      </c>
      <c r="F6013" s="396" t="s">
        <v>10793</v>
      </c>
    </row>
    <row r="6014">
      <c r="A6014" s="311">
        <v>6013</v>
      </c>
      <c r="B6014" s="396" t="s">
        <v>11416</v>
      </c>
      <c r="C6014" s="396" t="s">
        <v>11417</v>
      </c>
      <c r="D6014" s="396" t="s">
        <v>11418</v>
      </c>
      <c r="E6014" s="396" t="s">
        <v>11419</v>
      </c>
      <c r="F6014" s="396" t="s">
        <v>10793</v>
      </c>
    </row>
    <row r="6015">
      <c r="A6015" s="311">
        <v>6014</v>
      </c>
      <c r="B6015" s="396" t="s">
        <v>11420</v>
      </c>
      <c r="C6015" s="396" t="s">
        <v>11421</v>
      </c>
      <c r="D6015" s="396" t="s">
        <v>11418</v>
      </c>
      <c r="E6015" s="396" t="s">
        <v>11419</v>
      </c>
      <c r="F6015" s="396" t="s">
        <v>10793</v>
      </c>
    </row>
    <row r="6016">
      <c r="A6016" s="311">
        <v>6015</v>
      </c>
      <c r="B6016" s="396" t="s">
        <v>11422</v>
      </c>
      <c r="C6016" s="396" t="s">
        <v>11423</v>
      </c>
      <c r="D6016" s="396" t="s">
        <v>11418</v>
      </c>
      <c r="E6016" s="396" t="s">
        <v>11419</v>
      </c>
      <c r="F6016" s="396" t="s">
        <v>10793</v>
      </c>
    </row>
    <row r="6017">
      <c r="A6017" s="311">
        <v>6016</v>
      </c>
      <c r="B6017" s="396" t="s">
        <v>11424</v>
      </c>
      <c r="C6017" s="396" t="s">
        <v>11425</v>
      </c>
      <c r="D6017" s="396" t="s">
        <v>11418</v>
      </c>
      <c r="E6017" s="396" t="s">
        <v>11419</v>
      </c>
      <c r="F6017" s="396" t="s">
        <v>10793</v>
      </c>
    </row>
    <row r="6018">
      <c r="A6018" s="311">
        <v>6017</v>
      </c>
      <c r="B6018" s="396" t="s">
        <v>11426</v>
      </c>
      <c r="C6018" s="396" t="s">
        <v>5178</v>
      </c>
      <c r="D6018" s="396" t="s">
        <v>11418</v>
      </c>
      <c r="E6018" s="396" t="s">
        <v>11419</v>
      </c>
      <c r="F6018" s="396" t="s">
        <v>10793</v>
      </c>
    </row>
    <row r="6019">
      <c r="A6019" s="311">
        <v>6018</v>
      </c>
      <c r="B6019" s="396" t="s">
        <v>11427</v>
      </c>
      <c r="C6019" s="396" t="s">
        <v>10570</v>
      </c>
      <c r="D6019" s="396" t="s">
        <v>11418</v>
      </c>
      <c r="E6019" s="396" t="s">
        <v>11419</v>
      </c>
      <c r="F6019" s="396" t="s">
        <v>10793</v>
      </c>
    </row>
    <row r="6020">
      <c r="A6020" s="311">
        <v>6019</v>
      </c>
      <c r="B6020" s="396" t="s">
        <v>11428</v>
      </c>
      <c r="C6020" s="396" t="s">
        <v>11429</v>
      </c>
      <c r="D6020" s="396" t="s">
        <v>11418</v>
      </c>
      <c r="E6020" s="396" t="s">
        <v>11419</v>
      </c>
      <c r="F6020" s="396" t="s">
        <v>10793</v>
      </c>
    </row>
    <row r="6021">
      <c r="A6021" s="311">
        <v>6020</v>
      </c>
      <c r="B6021" s="396" t="s">
        <v>11430</v>
      </c>
      <c r="C6021" s="396" t="s">
        <v>8875</v>
      </c>
      <c r="D6021" s="396" t="s">
        <v>11418</v>
      </c>
      <c r="E6021" s="396" t="s">
        <v>11419</v>
      </c>
      <c r="F6021" s="396" t="s">
        <v>10793</v>
      </c>
    </row>
    <row r="6022">
      <c r="A6022" s="311">
        <v>6021</v>
      </c>
      <c r="B6022" s="396" t="s">
        <v>11431</v>
      </c>
      <c r="C6022" s="396" t="s">
        <v>609</v>
      </c>
      <c r="D6022" s="396" t="s">
        <v>11418</v>
      </c>
      <c r="E6022" s="396" t="s">
        <v>11419</v>
      </c>
      <c r="F6022" s="396" t="s">
        <v>10793</v>
      </c>
    </row>
    <row r="6023">
      <c r="A6023" s="311">
        <v>6022</v>
      </c>
      <c r="B6023" s="396" t="s">
        <v>11432</v>
      </c>
      <c r="C6023" s="396" t="s">
        <v>11433</v>
      </c>
      <c r="D6023" s="396" t="s">
        <v>11418</v>
      </c>
      <c r="E6023" s="396" t="s">
        <v>11419</v>
      </c>
      <c r="F6023" s="396" t="s">
        <v>10793</v>
      </c>
    </row>
    <row r="6024">
      <c r="A6024" s="311">
        <v>6023</v>
      </c>
      <c r="B6024" s="396" t="s">
        <v>11434</v>
      </c>
      <c r="C6024" s="396" t="s">
        <v>3051</v>
      </c>
      <c r="D6024" s="396" t="s">
        <v>11418</v>
      </c>
      <c r="E6024" s="396" t="s">
        <v>11419</v>
      </c>
      <c r="F6024" s="396" t="s">
        <v>10793</v>
      </c>
    </row>
    <row r="6025">
      <c r="A6025" s="311">
        <v>6024</v>
      </c>
      <c r="B6025" s="396" t="s">
        <v>11435</v>
      </c>
      <c r="C6025" s="396" t="s">
        <v>11436</v>
      </c>
      <c r="D6025" s="396" t="s">
        <v>11418</v>
      </c>
      <c r="E6025" s="396" t="s">
        <v>11419</v>
      </c>
      <c r="F6025" s="396" t="s">
        <v>10793</v>
      </c>
    </row>
    <row r="6026">
      <c r="A6026" s="311">
        <v>6025</v>
      </c>
      <c r="B6026" s="396" t="s">
        <v>11437</v>
      </c>
      <c r="C6026" s="396" t="s">
        <v>11438</v>
      </c>
      <c r="D6026" s="396" t="s">
        <v>11418</v>
      </c>
      <c r="E6026" s="396" t="s">
        <v>11419</v>
      </c>
      <c r="F6026" s="396" t="s">
        <v>10793</v>
      </c>
    </row>
    <row r="6027">
      <c r="A6027" s="311">
        <v>6026</v>
      </c>
      <c r="B6027" s="396" t="s">
        <v>11439</v>
      </c>
      <c r="C6027" s="396" t="s">
        <v>980</v>
      </c>
      <c r="D6027" s="396" t="s">
        <v>11418</v>
      </c>
      <c r="E6027" s="396" t="s">
        <v>11419</v>
      </c>
      <c r="F6027" s="396" t="s">
        <v>10793</v>
      </c>
    </row>
    <row r="6028">
      <c r="A6028" s="311">
        <v>6027</v>
      </c>
      <c r="B6028" s="396" t="s">
        <v>11440</v>
      </c>
      <c r="C6028" s="396" t="s">
        <v>11441</v>
      </c>
      <c r="D6028" s="396" t="s">
        <v>11418</v>
      </c>
      <c r="E6028" s="396" t="s">
        <v>11419</v>
      </c>
      <c r="F6028" s="396" t="s">
        <v>10793</v>
      </c>
    </row>
    <row r="6029">
      <c r="A6029" s="311">
        <v>6028</v>
      </c>
      <c r="B6029" s="396" t="s">
        <v>11442</v>
      </c>
      <c r="C6029" s="396" t="s">
        <v>11443</v>
      </c>
      <c r="D6029" s="396" t="s">
        <v>11418</v>
      </c>
      <c r="E6029" s="396" t="s">
        <v>11419</v>
      </c>
      <c r="F6029" s="396" t="s">
        <v>10793</v>
      </c>
    </row>
    <row r="6030">
      <c r="A6030" s="311">
        <v>6029</v>
      </c>
      <c r="B6030" s="396" t="s">
        <v>11444</v>
      </c>
      <c r="C6030" s="396" t="s">
        <v>8884</v>
      </c>
      <c r="D6030" s="396" t="s">
        <v>11418</v>
      </c>
      <c r="E6030" s="396" t="s">
        <v>11419</v>
      </c>
      <c r="F6030" s="396" t="s">
        <v>10793</v>
      </c>
    </row>
    <row r="6031">
      <c r="A6031" s="311">
        <v>6030</v>
      </c>
      <c r="B6031" s="396" t="s">
        <v>11445</v>
      </c>
      <c r="C6031" s="396" t="s">
        <v>8112</v>
      </c>
      <c r="D6031" s="396" t="s">
        <v>11418</v>
      </c>
      <c r="E6031" s="396" t="s">
        <v>11419</v>
      </c>
      <c r="F6031" s="396" t="s">
        <v>10793</v>
      </c>
    </row>
    <row r="6032">
      <c r="A6032" s="311">
        <v>6031</v>
      </c>
      <c r="B6032" s="396" t="s">
        <v>11446</v>
      </c>
      <c r="C6032" s="396" t="s">
        <v>11447</v>
      </c>
      <c r="D6032" s="396" t="s">
        <v>11418</v>
      </c>
      <c r="E6032" s="396" t="s">
        <v>11419</v>
      </c>
      <c r="F6032" s="396" t="s">
        <v>10793</v>
      </c>
    </row>
    <row r="6033">
      <c r="A6033" s="311">
        <v>6032</v>
      </c>
      <c r="B6033" s="396" t="s">
        <v>11448</v>
      </c>
      <c r="C6033" s="396" t="s">
        <v>5450</v>
      </c>
      <c r="D6033" s="396" t="s">
        <v>11418</v>
      </c>
      <c r="E6033" s="396" t="s">
        <v>11419</v>
      </c>
      <c r="F6033" s="396" t="s">
        <v>10793</v>
      </c>
    </row>
    <row r="6034">
      <c r="A6034" s="311">
        <v>6033</v>
      </c>
      <c r="B6034" s="396" t="s">
        <v>11449</v>
      </c>
      <c r="C6034" s="396" t="s">
        <v>4494</v>
      </c>
      <c r="D6034" s="396" t="s">
        <v>11418</v>
      </c>
      <c r="E6034" s="396" t="s">
        <v>11419</v>
      </c>
      <c r="F6034" s="396" t="s">
        <v>10793</v>
      </c>
    </row>
    <row r="6035">
      <c r="A6035" s="311">
        <v>6034</v>
      </c>
      <c r="B6035" s="396" t="s">
        <v>11450</v>
      </c>
      <c r="C6035" s="396" t="s">
        <v>11451</v>
      </c>
      <c r="D6035" s="396" t="s">
        <v>11418</v>
      </c>
      <c r="E6035" s="396" t="s">
        <v>11419</v>
      </c>
      <c r="F6035" s="396" t="s">
        <v>10793</v>
      </c>
    </row>
    <row r="6036">
      <c r="A6036" s="311">
        <v>6035</v>
      </c>
      <c r="B6036" s="396" t="s">
        <v>11452</v>
      </c>
      <c r="C6036" s="396" t="s">
        <v>3059</v>
      </c>
      <c r="D6036" s="396" t="s">
        <v>11418</v>
      </c>
      <c r="E6036" s="396" t="s">
        <v>11419</v>
      </c>
      <c r="F6036" s="396" t="s">
        <v>10793</v>
      </c>
    </row>
    <row r="6037">
      <c r="A6037" s="311">
        <v>6036</v>
      </c>
      <c r="B6037" s="396" t="s">
        <v>11453</v>
      </c>
      <c r="C6037" s="396" t="s">
        <v>11454</v>
      </c>
      <c r="D6037" s="396" t="s">
        <v>11418</v>
      </c>
      <c r="E6037" s="396" t="s">
        <v>11419</v>
      </c>
      <c r="F6037" s="396" t="s">
        <v>10793</v>
      </c>
    </row>
    <row r="6038">
      <c r="A6038" s="311">
        <v>6037</v>
      </c>
      <c r="B6038" s="396" t="s">
        <v>11455</v>
      </c>
      <c r="C6038" s="396" t="s">
        <v>11456</v>
      </c>
      <c r="D6038" s="396" t="s">
        <v>11418</v>
      </c>
      <c r="E6038" s="396" t="s">
        <v>11419</v>
      </c>
      <c r="F6038" s="396" t="s">
        <v>10793</v>
      </c>
    </row>
    <row r="6039">
      <c r="A6039" s="311">
        <v>6038</v>
      </c>
      <c r="B6039" s="396" t="s">
        <v>11457</v>
      </c>
      <c r="C6039" s="396" t="s">
        <v>11458</v>
      </c>
      <c r="D6039" s="396" t="s">
        <v>11418</v>
      </c>
      <c r="E6039" s="396" t="s">
        <v>11419</v>
      </c>
      <c r="F6039" s="396" t="s">
        <v>10793</v>
      </c>
    </row>
    <row r="6040">
      <c r="A6040" s="311">
        <v>6039</v>
      </c>
      <c r="B6040" s="396" t="s">
        <v>11459</v>
      </c>
      <c r="C6040" s="396" t="s">
        <v>4098</v>
      </c>
      <c r="D6040" s="396" t="s">
        <v>11418</v>
      </c>
      <c r="E6040" s="396" t="s">
        <v>11419</v>
      </c>
      <c r="F6040" s="396" t="s">
        <v>10793</v>
      </c>
    </row>
    <row r="6041">
      <c r="A6041" s="311">
        <v>6040</v>
      </c>
      <c r="B6041" s="396" t="s">
        <v>11460</v>
      </c>
      <c r="C6041" s="396" t="s">
        <v>7336</v>
      </c>
      <c r="D6041" s="396" t="s">
        <v>11418</v>
      </c>
      <c r="E6041" s="396" t="s">
        <v>11419</v>
      </c>
      <c r="F6041" s="396" t="s">
        <v>10793</v>
      </c>
    </row>
    <row r="6042">
      <c r="A6042" s="311">
        <v>6041</v>
      </c>
      <c r="B6042" s="396" t="s">
        <v>11461</v>
      </c>
      <c r="C6042" s="396" t="s">
        <v>11462</v>
      </c>
      <c r="D6042" s="396" t="s">
        <v>11418</v>
      </c>
      <c r="E6042" s="396" t="s">
        <v>11419</v>
      </c>
      <c r="F6042" s="396" t="s">
        <v>10793</v>
      </c>
    </row>
    <row r="6043">
      <c r="A6043" s="311">
        <v>6042</v>
      </c>
      <c r="B6043" s="396" t="s">
        <v>11463</v>
      </c>
      <c r="C6043" s="396" t="s">
        <v>1727</v>
      </c>
      <c r="D6043" s="396" t="s">
        <v>11418</v>
      </c>
      <c r="E6043" s="396" t="s">
        <v>11419</v>
      </c>
      <c r="F6043" s="396" t="s">
        <v>10793</v>
      </c>
    </row>
    <row r="6044">
      <c r="A6044" s="311">
        <v>6043</v>
      </c>
      <c r="B6044" s="396" t="s">
        <v>11464</v>
      </c>
      <c r="C6044" s="396" t="s">
        <v>1395</v>
      </c>
      <c r="D6044" s="396" t="s">
        <v>11418</v>
      </c>
      <c r="E6044" s="396" t="s">
        <v>11419</v>
      </c>
      <c r="F6044" s="396" t="s">
        <v>10793</v>
      </c>
    </row>
    <row r="6045">
      <c r="A6045" s="311">
        <v>6044</v>
      </c>
      <c r="B6045" s="396" t="s">
        <v>11465</v>
      </c>
      <c r="C6045" s="396" t="s">
        <v>11466</v>
      </c>
      <c r="D6045" s="396" t="s">
        <v>11418</v>
      </c>
      <c r="E6045" s="396" t="s">
        <v>11419</v>
      </c>
      <c r="F6045" s="396" t="s">
        <v>10793</v>
      </c>
    </row>
    <row r="6046">
      <c r="A6046" s="311">
        <v>6045</v>
      </c>
      <c r="B6046" s="396" t="s">
        <v>11467</v>
      </c>
      <c r="C6046" s="396" t="s">
        <v>3061</v>
      </c>
      <c r="D6046" s="396" t="s">
        <v>11418</v>
      </c>
      <c r="E6046" s="396" t="s">
        <v>11419</v>
      </c>
      <c r="F6046" s="396" t="s">
        <v>10793</v>
      </c>
    </row>
    <row r="6047">
      <c r="A6047" s="311">
        <v>6046</v>
      </c>
      <c r="B6047" s="396" t="s">
        <v>11468</v>
      </c>
      <c r="C6047" s="396" t="s">
        <v>6326</v>
      </c>
      <c r="D6047" s="396" t="s">
        <v>11418</v>
      </c>
      <c r="E6047" s="396" t="s">
        <v>11419</v>
      </c>
      <c r="F6047" s="396" t="s">
        <v>10793</v>
      </c>
    </row>
    <row r="6048">
      <c r="A6048" s="311">
        <v>6047</v>
      </c>
      <c r="B6048" s="396" t="s">
        <v>11469</v>
      </c>
      <c r="C6048" s="396" t="s">
        <v>7592</v>
      </c>
      <c r="D6048" s="396" t="s">
        <v>11418</v>
      </c>
      <c r="E6048" s="396" t="s">
        <v>11419</v>
      </c>
      <c r="F6048" s="396" t="s">
        <v>10793</v>
      </c>
    </row>
    <row r="6049">
      <c r="A6049" s="311">
        <v>6048</v>
      </c>
      <c r="B6049" s="396" t="s">
        <v>11470</v>
      </c>
      <c r="C6049" s="396" t="s">
        <v>7568</v>
      </c>
      <c r="D6049" s="396" t="s">
        <v>11418</v>
      </c>
      <c r="E6049" s="396" t="s">
        <v>11419</v>
      </c>
      <c r="F6049" s="396" t="s">
        <v>10793</v>
      </c>
    </row>
    <row r="6050">
      <c r="A6050" s="311">
        <v>6049</v>
      </c>
      <c r="B6050" s="396" t="s">
        <v>11471</v>
      </c>
      <c r="C6050" s="396" t="s">
        <v>531</v>
      </c>
      <c r="D6050" s="396" t="s">
        <v>11418</v>
      </c>
      <c r="E6050" s="396" t="s">
        <v>11419</v>
      </c>
      <c r="F6050" s="396" t="s">
        <v>10793</v>
      </c>
    </row>
    <row r="6051">
      <c r="A6051" s="311">
        <v>6050</v>
      </c>
      <c r="B6051" s="396" t="s">
        <v>11472</v>
      </c>
      <c r="C6051" s="396" t="s">
        <v>978</v>
      </c>
      <c r="D6051" s="396" t="s">
        <v>11418</v>
      </c>
      <c r="E6051" s="396" t="s">
        <v>11419</v>
      </c>
      <c r="F6051" s="396" t="s">
        <v>10793</v>
      </c>
    </row>
    <row r="6052">
      <c r="A6052" s="311">
        <v>6051</v>
      </c>
      <c r="B6052" s="396" t="s">
        <v>11473</v>
      </c>
      <c r="C6052" s="396" t="s">
        <v>322</v>
      </c>
      <c r="D6052" s="396" t="s">
        <v>11418</v>
      </c>
      <c r="E6052" s="396" t="s">
        <v>11419</v>
      </c>
      <c r="F6052" s="396" t="s">
        <v>10793</v>
      </c>
    </row>
    <row r="6053">
      <c r="A6053" s="311">
        <v>6052</v>
      </c>
      <c r="B6053" s="396" t="s">
        <v>11474</v>
      </c>
      <c r="C6053" s="396" t="s">
        <v>1397</v>
      </c>
      <c r="D6053" s="396" t="s">
        <v>11418</v>
      </c>
      <c r="E6053" s="396" t="s">
        <v>11419</v>
      </c>
      <c r="F6053" s="396" t="s">
        <v>10793</v>
      </c>
    </row>
    <row r="6054">
      <c r="A6054" s="311">
        <v>6053</v>
      </c>
      <c r="B6054" s="396" t="s">
        <v>11475</v>
      </c>
      <c r="C6054" s="396" t="s">
        <v>11476</v>
      </c>
      <c r="D6054" s="396" t="s">
        <v>11477</v>
      </c>
      <c r="E6054" s="396" t="s">
        <v>11478</v>
      </c>
      <c r="F6054" s="396" t="s">
        <v>10793</v>
      </c>
    </row>
    <row r="6055">
      <c r="A6055" s="311">
        <v>6054</v>
      </c>
      <c r="B6055" s="396" t="s">
        <v>11479</v>
      </c>
      <c r="C6055" s="396" t="s">
        <v>11480</v>
      </c>
      <c r="D6055" s="396" t="s">
        <v>11477</v>
      </c>
      <c r="E6055" s="396" t="s">
        <v>11478</v>
      </c>
      <c r="F6055" s="396" t="s">
        <v>10793</v>
      </c>
    </row>
    <row r="6056">
      <c r="A6056" s="311">
        <v>6055</v>
      </c>
      <c r="B6056" s="396" t="s">
        <v>11481</v>
      </c>
      <c r="C6056" s="396" t="s">
        <v>11482</v>
      </c>
      <c r="D6056" s="396" t="s">
        <v>11477</v>
      </c>
      <c r="E6056" s="396" t="s">
        <v>11478</v>
      </c>
      <c r="F6056" s="396" t="s">
        <v>10793</v>
      </c>
    </row>
    <row r="6057">
      <c r="A6057" s="311">
        <v>6056</v>
      </c>
      <c r="B6057" s="396" t="s">
        <v>11483</v>
      </c>
      <c r="C6057" s="396" t="s">
        <v>11484</v>
      </c>
      <c r="D6057" s="396" t="s">
        <v>11477</v>
      </c>
      <c r="E6057" s="396" t="s">
        <v>11478</v>
      </c>
      <c r="F6057" s="396" t="s">
        <v>10793</v>
      </c>
    </row>
    <row r="6058">
      <c r="A6058" s="311">
        <v>6057</v>
      </c>
      <c r="B6058" s="396" t="s">
        <v>11485</v>
      </c>
      <c r="C6058" s="396" t="s">
        <v>11486</v>
      </c>
      <c r="D6058" s="396" t="s">
        <v>11477</v>
      </c>
      <c r="E6058" s="396" t="s">
        <v>11478</v>
      </c>
      <c r="F6058" s="396" t="s">
        <v>10793</v>
      </c>
    </row>
    <row r="6059">
      <c r="A6059" s="311">
        <v>6058</v>
      </c>
      <c r="B6059" s="396" t="s">
        <v>11487</v>
      </c>
      <c r="C6059" s="396" t="s">
        <v>11488</v>
      </c>
      <c r="D6059" s="396" t="s">
        <v>11477</v>
      </c>
      <c r="E6059" s="396" t="s">
        <v>11478</v>
      </c>
      <c r="F6059" s="396" t="s">
        <v>10793</v>
      </c>
    </row>
    <row r="6060">
      <c r="A6060" s="311">
        <v>6059</v>
      </c>
      <c r="B6060" s="396" t="s">
        <v>11489</v>
      </c>
      <c r="C6060" s="396" t="s">
        <v>11490</v>
      </c>
      <c r="D6060" s="396" t="s">
        <v>11477</v>
      </c>
      <c r="E6060" s="396" t="s">
        <v>11478</v>
      </c>
      <c r="F6060" s="396" t="s">
        <v>10793</v>
      </c>
    </row>
    <row r="6061">
      <c r="A6061" s="311">
        <v>6060</v>
      </c>
      <c r="B6061" s="396" t="s">
        <v>11491</v>
      </c>
      <c r="C6061" s="396" t="s">
        <v>11492</v>
      </c>
      <c r="D6061" s="396" t="s">
        <v>11477</v>
      </c>
      <c r="E6061" s="396" t="s">
        <v>11478</v>
      </c>
      <c r="F6061" s="396" t="s">
        <v>10793</v>
      </c>
    </row>
    <row r="6062">
      <c r="A6062" s="311">
        <v>6061</v>
      </c>
      <c r="B6062" s="396" t="s">
        <v>11493</v>
      </c>
      <c r="C6062" s="396" t="s">
        <v>11494</v>
      </c>
      <c r="D6062" s="396" t="s">
        <v>11477</v>
      </c>
      <c r="E6062" s="396" t="s">
        <v>11478</v>
      </c>
      <c r="F6062" s="396" t="s">
        <v>10793</v>
      </c>
    </row>
    <row r="6063">
      <c r="A6063" s="311">
        <v>6062</v>
      </c>
      <c r="B6063" s="396" t="s">
        <v>11495</v>
      </c>
      <c r="C6063" s="396" t="s">
        <v>11496</v>
      </c>
      <c r="D6063" s="396" t="s">
        <v>11477</v>
      </c>
      <c r="E6063" s="396" t="s">
        <v>11478</v>
      </c>
      <c r="F6063" s="396" t="s">
        <v>10793</v>
      </c>
    </row>
    <row r="6064">
      <c r="A6064" s="311">
        <v>6063</v>
      </c>
      <c r="B6064" s="396" t="s">
        <v>11497</v>
      </c>
      <c r="C6064" s="396" t="s">
        <v>11498</v>
      </c>
      <c r="D6064" s="396" t="s">
        <v>11477</v>
      </c>
      <c r="E6064" s="396" t="s">
        <v>11478</v>
      </c>
      <c r="F6064" s="396" t="s">
        <v>10793</v>
      </c>
    </row>
    <row r="6065">
      <c r="A6065" s="311">
        <v>6064</v>
      </c>
      <c r="B6065" s="396" t="s">
        <v>11499</v>
      </c>
      <c r="C6065" s="396" t="s">
        <v>11500</v>
      </c>
      <c r="D6065" s="396" t="s">
        <v>11477</v>
      </c>
      <c r="E6065" s="396" t="s">
        <v>11478</v>
      </c>
      <c r="F6065" s="396" t="s">
        <v>10793</v>
      </c>
    </row>
    <row r="6066">
      <c r="A6066" s="311">
        <v>6065</v>
      </c>
      <c r="B6066" s="396" t="s">
        <v>11501</v>
      </c>
      <c r="C6066" s="396" t="s">
        <v>11502</v>
      </c>
      <c r="D6066" s="396" t="s">
        <v>11477</v>
      </c>
      <c r="E6066" s="396" t="s">
        <v>11478</v>
      </c>
      <c r="F6066" s="396" t="s">
        <v>10793</v>
      </c>
    </row>
    <row r="6067">
      <c r="A6067" s="311">
        <v>6066</v>
      </c>
      <c r="B6067" s="396" t="s">
        <v>11503</v>
      </c>
      <c r="C6067" s="396" t="s">
        <v>11504</v>
      </c>
      <c r="D6067" s="396" t="s">
        <v>11477</v>
      </c>
      <c r="E6067" s="396" t="s">
        <v>11478</v>
      </c>
      <c r="F6067" s="396" t="s">
        <v>10793</v>
      </c>
    </row>
    <row r="6068">
      <c r="A6068" s="311">
        <v>6067</v>
      </c>
      <c r="B6068" s="396" t="s">
        <v>11505</v>
      </c>
      <c r="C6068" s="396" t="s">
        <v>11506</v>
      </c>
      <c r="D6068" s="396" t="s">
        <v>11477</v>
      </c>
      <c r="E6068" s="396" t="s">
        <v>11478</v>
      </c>
      <c r="F6068" s="396" t="s">
        <v>10793</v>
      </c>
    </row>
    <row r="6069">
      <c r="A6069" s="311">
        <v>6068</v>
      </c>
      <c r="B6069" s="396" t="s">
        <v>11507</v>
      </c>
      <c r="C6069" s="396" t="s">
        <v>11508</v>
      </c>
      <c r="D6069" s="396" t="s">
        <v>11477</v>
      </c>
      <c r="E6069" s="396" t="s">
        <v>11478</v>
      </c>
      <c r="F6069" s="396" t="s">
        <v>10793</v>
      </c>
    </row>
    <row r="6070">
      <c r="A6070" s="311">
        <v>6069</v>
      </c>
      <c r="B6070" s="396" t="s">
        <v>11509</v>
      </c>
      <c r="C6070" s="396" t="s">
        <v>11510</v>
      </c>
      <c r="D6070" s="396" t="s">
        <v>11477</v>
      </c>
      <c r="E6070" s="396" t="s">
        <v>11478</v>
      </c>
      <c r="F6070" s="396" t="s">
        <v>10793</v>
      </c>
    </row>
    <row r="6071">
      <c r="A6071" s="311">
        <v>6070</v>
      </c>
      <c r="B6071" s="396" t="s">
        <v>11511</v>
      </c>
      <c r="C6071" s="396" t="s">
        <v>11512</v>
      </c>
      <c r="D6071" s="396" t="s">
        <v>11477</v>
      </c>
      <c r="E6071" s="396" t="s">
        <v>11478</v>
      </c>
      <c r="F6071" s="396" t="s">
        <v>10793</v>
      </c>
    </row>
    <row r="6072">
      <c r="A6072" s="311">
        <v>6071</v>
      </c>
      <c r="B6072" s="396" t="s">
        <v>11513</v>
      </c>
      <c r="C6072" s="396" t="s">
        <v>11514</v>
      </c>
      <c r="D6072" s="396" t="s">
        <v>11477</v>
      </c>
      <c r="E6072" s="396" t="s">
        <v>11478</v>
      </c>
      <c r="F6072" s="396" t="s">
        <v>10793</v>
      </c>
    </row>
    <row r="6073">
      <c r="A6073" s="311">
        <v>6072</v>
      </c>
      <c r="B6073" s="396" t="s">
        <v>11515</v>
      </c>
      <c r="C6073" s="396" t="s">
        <v>11516</v>
      </c>
      <c r="D6073" s="396" t="s">
        <v>11477</v>
      </c>
      <c r="E6073" s="396" t="s">
        <v>11478</v>
      </c>
      <c r="F6073" s="396" t="s">
        <v>10793</v>
      </c>
    </row>
    <row r="6074">
      <c r="A6074" s="311">
        <v>6073</v>
      </c>
      <c r="B6074" s="396" t="s">
        <v>11517</v>
      </c>
      <c r="C6074" s="396" t="s">
        <v>11518</v>
      </c>
      <c r="D6074" s="396" t="s">
        <v>11477</v>
      </c>
      <c r="E6074" s="396" t="s">
        <v>11478</v>
      </c>
      <c r="F6074" s="396" t="s">
        <v>10793</v>
      </c>
    </row>
    <row r="6075">
      <c r="A6075" s="311">
        <v>6074</v>
      </c>
      <c r="B6075" s="396" t="s">
        <v>11519</v>
      </c>
      <c r="C6075" s="396" t="s">
        <v>11520</v>
      </c>
      <c r="D6075" s="396" t="s">
        <v>11477</v>
      </c>
      <c r="E6075" s="396" t="s">
        <v>11478</v>
      </c>
      <c r="F6075" s="396" t="s">
        <v>10793</v>
      </c>
    </row>
    <row r="6076">
      <c r="A6076" s="311">
        <v>6075</v>
      </c>
      <c r="B6076" s="396" t="s">
        <v>11521</v>
      </c>
      <c r="C6076" s="396" t="s">
        <v>11522</v>
      </c>
      <c r="D6076" s="396" t="s">
        <v>11477</v>
      </c>
      <c r="E6076" s="396" t="s">
        <v>11478</v>
      </c>
      <c r="F6076" s="396" t="s">
        <v>10793</v>
      </c>
    </row>
    <row r="6077">
      <c r="A6077" s="311">
        <v>6076</v>
      </c>
      <c r="B6077" s="396" t="s">
        <v>11523</v>
      </c>
      <c r="C6077" s="396" t="s">
        <v>11524</v>
      </c>
      <c r="D6077" s="396" t="s">
        <v>11477</v>
      </c>
      <c r="E6077" s="396" t="s">
        <v>11478</v>
      </c>
      <c r="F6077" s="396" t="s">
        <v>10793</v>
      </c>
    </row>
    <row r="6078">
      <c r="A6078" s="311">
        <v>6077</v>
      </c>
      <c r="B6078" s="396" t="s">
        <v>11525</v>
      </c>
      <c r="C6078" s="396" t="s">
        <v>11526</v>
      </c>
      <c r="D6078" s="396" t="s">
        <v>11477</v>
      </c>
      <c r="E6078" s="396" t="s">
        <v>11478</v>
      </c>
      <c r="F6078" s="396" t="s">
        <v>10793</v>
      </c>
    </row>
    <row r="6079">
      <c r="A6079" s="311">
        <v>6078</v>
      </c>
      <c r="B6079" s="396" t="s">
        <v>11527</v>
      </c>
      <c r="C6079" s="396" t="s">
        <v>11528</v>
      </c>
      <c r="D6079" s="396" t="s">
        <v>11477</v>
      </c>
      <c r="E6079" s="396" t="s">
        <v>11478</v>
      </c>
      <c r="F6079" s="396" t="s">
        <v>10793</v>
      </c>
    </row>
    <row r="6080">
      <c r="A6080" s="311">
        <v>6079</v>
      </c>
      <c r="B6080" s="396" t="s">
        <v>11529</v>
      </c>
      <c r="C6080" s="396" t="s">
        <v>11530</v>
      </c>
      <c r="D6080" s="396" t="s">
        <v>11477</v>
      </c>
      <c r="E6080" s="396" t="s">
        <v>11478</v>
      </c>
      <c r="F6080" s="396" t="s">
        <v>10793</v>
      </c>
    </row>
    <row r="6081">
      <c r="A6081" s="311">
        <v>6080</v>
      </c>
      <c r="B6081" s="396" t="s">
        <v>11531</v>
      </c>
      <c r="C6081" s="396" t="s">
        <v>11532</v>
      </c>
      <c r="D6081" s="396" t="s">
        <v>11477</v>
      </c>
      <c r="E6081" s="396" t="s">
        <v>11478</v>
      </c>
      <c r="F6081" s="396" t="s">
        <v>10793</v>
      </c>
    </row>
    <row r="6082">
      <c r="A6082" s="311">
        <v>6081</v>
      </c>
      <c r="B6082" s="396" t="s">
        <v>11533</v>
      </c>
      <c r="C6082" s="396" t="s">
        <v>11534</v>
      </c>
      <c r="D6082" s="396" t="s">
        <v>11477</v>
      </c>
      <c r="E6082" s="396" t="s">
        <v>11478</v>
      </c>
      <c r="F6082" s="396" t="s">
        <v>10793</v>
      </c>
    </row>
    <row r="6083">
      <c r="A6083" s="311">
        <v>6082</v>
      </c>
      <c r="B6083" s="396" t="s">
        <v>11535</v>
      </c>
      <c r="C6083" s="396" t="s">
        <v>11536</v>
      </c>
      <c r="D6083" s="396" t="s">
        <v>11477</v>
      </c>
      <c r="E6083" s="396" t="s">
        <v>11478</v>
      </c>
      <c r="F6083" s="396" t="s">
        <v>10793</v>
      </c>
    </row>
    <row r="6084">
      <c r="A6084" s="311">
        <v>6083</v>
      </c>
      <c r="B6084" s="396" t="s">
        <v>11537</v>
      </c>
      <c r="C6084" s="396" t="s">
        <v>11538</v>
      </c>
      <c r="D6084" s="396" t="s">
        <v>11539</v>
      </c>
      <c r="E6084" s="396" t="s">
        <v>11540</v>
      </c>
      <c r="F6084" s="396" t="s">
        <v>10793</v>
      </c>
    </row>
    <row r="6085">
      <c r="A6085" s="311">
        <v>6084</v>
      </c>
      <c r="B6085" s="396" t="s">
        <v>11541</v>
      </c>
      <c r="C6085" s="396" t="s">
        <v>7208</v>
      </c>
      <c r="D6085" s="396" t="s">
        <v>11539</v>
      </c>
      <c r="E6085" s="396" t="s">
        <v>11540</v>
      </c>
      <c r="F6085" s="396" t="s">
        <v>10793</v>
      </c>
    </row>
    <row r="6086">
      <c r="A6086" s="311">
        <v>6085</v>
      </c>
      <c r="B6086" s="396" t="s">
        <v>11542</v>
      </c>
      <c r="C6086" s="396" t="s">
        <v>11543</v>
      </c>
      <c r="D6086" s="396" t="s">
        <v>11539</v>
      </c>
      <c r="E6086" s="396" t="s">
        <v>11540</v>
      </c>
      <c r="F6086" s="396" t="s">
        <v>10793</v>
      </c>
    </row>
    <row r="6087">
      <c r="A6087" s="311">
        <v>6086</v>
      </c>
      <c r="B6087" s="396" t="s">
        <v>11544</v>
      </c>
      <c r="C6087" s="396" t="s">
        <v>8639</v>
      </c>
      <c r="D6087" s="396" t="s">
        <v>11539</v>
      </c>
      <c r="E6087" s="396" t="s">
        <v>11540</v>
      </c>
      <c r="F6087" s="396" t="s">
        <v>10793</v>
      </c>
    </row>
    <row r="6088">
      <c r="A6088" s="311">
        <v>6087</v>
      </c>
      <c r="B6088" s="396" t="s">
        <v>11545</v>
      </c>
      <c r="C6088" s="396" t="s">
        <v>11546</v>
      </c>
      <c r="D6088" s="396" t="s">
        <v>11539</v>
      </c>
      <c r="E6088" s="396" t="s">
        <v>11540</v>
      </c>
      <c r="F6088" s="396" t="s">
        <v>10793</v>
      </c>
    </row>
    <row r="6089">
      <c r="A6089" s="311">
        <v>6088</v>
      </c>
      <c r="B6089" s="396" t="s">
        <v>11547</v>
      </c>
      <c r="C6089" s="396" t="s">
        <v>9789</v>
      </c>
      <c r="D6089" s="396" t="s">
        <v>11539</v>
      </c>
      <c r="E6089" s="396" t="s">
        <v>11540</v>
      </c>
      <c r="F6089" s="396" t="s">
        <v>10793</v>
      </c>
    </row>
    <row r="6090">
      <c r="A6090" s="311">
        <v>6089</v>
      </c>
      <c r="B6090" s="396" t="s">
        <v>11548</v>
      </c>
      <c r="C6090" s="396" t="s">
        <v>9187</v>
      </c>
      <c r="D6090" s="396" t="s">
        <v>11539</v>
      </c>
      <c r="E6090" s="396" t="s">
        <v>11540</v>
      </c>
      <c r="F6090" s="396" t="s">
        <v>10793</v>
      </c>
    </row>
    <row r="6091">
      <c r="A6091" s="311">
        <v>6090</v>
      </c>
      <c r="B6091" s="396" t="s">
        <v>11549</v>
      </c>
      <c r="C6091" s="396" t="s">
        <v>11550</v>
      </c>
      <c r="D6091" s="396" t="s">
        <v>11539</v>
      </c>
      <c r="E6091" s="396" t="s">
        <v>11540</v>
      </c>
      <c r="F6091" s="396" t="s">
        <v>10793</v>
      </c>
    </row>
    <row r="6092">
      <c r="A6092" s="311">
        <v>6091</v>
      </c>
      <c r="B6092" s="396" t="s">
        <v>11551</v>
      </c>
      <c r="C6092" s="396" t="s">
        <v>11552</v>
      </c>
      <c r="D6092" s="396" t="s">
        <v>11539</v>
      </c>
      <c r="E6092" s="396" t="s">
        <v>11540</v>
      </c>
      <c r="F6092" s="396" t="s">
        <v>10793</v>
      </c>
    </row>
    <row r="6093">
      <c r="A6093" s="311">
        <v>6092</v>
      </c>
      <c r="B6093" s="396" t="s">
        <v>11553</v>
      </c>
      <c r="C6093" s="396" t="s">
        <v>10152</v>
      </c>
      <c r="D6093" s="396" t="s">
        <v>11539</v>
      </c>
      <c r="E6093" s="396" t="s">
        <v>11540</v>
      </c>
      <c r="F6093" s="396" t="s">
        <v>10793</v>
      </c>
    </row>
    <row r="6094">
      <c r="A6094" s="311">
        <v>6093</v>
      </c>
      <c r="B6094" s="396" t="s">
        <v>11554</v>
      </c>
      <c r="C6094" s="396" t="s">
        <v>2787</v>
      </c>
      <c r="D6094" s="396" t="s">
        <v>11539</v>
      </c>
      <c r="E6094" s="396" t="s">
        <v>11540</v>
      </c>
      <c r="F6094" s="396" t="s">
        <v>10793</v>
      </c>
    </row>
    <row r="6095">
      <c r="A6095" s="311">
        <v>6094</v>
      </c>
      <c r="B6095" s="396" t="s">
        <v>11555</v>
      </c>
      <c r="C6095" s="396" t="s">
        <v>1212</v>
      </c>
      <c r="D6095" s="396" t="s">
        <v>11539</v>
      </c>
      <c r="E6095" s="396" t="s">
        <v>11540</v>
      </c>
      <c r="F6095" s="396" t="s">
        <v>10793</v>
      </c>
    </row>
    <row r="6096">
      <c r="A6096" s="311">
        <v>6095</v>
      </c>
      <c r="B6096" s="396" t="s">
        <v>11556</v>
      </c>
      <c r="C6096" s="396" t="s">
        <v>4331</v>
      </c>
      <c r="D6096" s="396" t="s">
        <v>11539</v>
      </c>
      <c r="E6096" s="396" t="s">
        <v>11540</v>
      </c>
      <c r="F6096" s="396" t="s">
        <v>10793</v>
      </c>
    </row>
    <row r="6097">
      <c r="A6097" s="311">
        <v>6096</v>
      </c>
      <c r="B6097" s="396" t="s">
        <v>11557</v>
      </c>
      <c r="C6097" s="396" t="s">
        <v>7210</v>
      </c>
      <c r="D6097" s="396" t="s">
        <v>11539</v>
      </c>
      <c r="E6097" s="396" t="s">
        <v>11540</v>
      </c>
      <c r="F6097" s="396" t="s">
        <v>10793</v>
      </c>
    </row>
    <row r="6098">
      <c r="A6098" s="311">
        <v>6097</v>
      </c>
      <c r="B6098" s="396" t="s">
        <v>11558</v>
      </c>
      <c r="C6098" s="396" t="s">
        <v>11559</v>
      </c>
      <c r="D6098" s="396" t="s">
        <v>11539</v>
      </c>
      <c r="E6098" s="396" t="s">
        <v>11540</v>
      </c>
      <c r="F6098" s="396" t="s">
        <v>10793</v>
      </c>
    </row>
    <row r="6099">
      <c r="A6099" s="311">
        <v>6098</v>
      </c>
      <c r="B6099" s="396" t="s">
        <v>11560</v>
      </c>
      <c r="C6099" s="396" t="s">
        <v>11561</v>
      </c>
      <c r="D6099" s="396" t="s">
        <v>11539</v>
      </c>
      <c r="E6099" s="396" t="s">
        <v>11540</v>
      </c>
      <c r="F6099" s="396" t="s">
        <v>10793</v>
      </c>
    </row>
    <row r="6100">
      <c r="A6100" s="311">
        <v>6099</v>
      </c>
      <c r="B6100" s="396" t="s">
        <v>11562</v>
      </c>
      <c r="C6100" s="396" t="s">
        <v>11563</v>
      </c>
      <c r="D6100" s="396" t="s">
        <v>11539</v>
      </c>
      <c r="E6100" s="396" t="s">
        <v>11540</v>
      </c>
      <c r="F6100" s="396" t="s">
        <v>10793</v>
      </c>
    </row>
    <row r="6101">
      <c r="A6101" s="311">
        <v>6100</v>
      </c>
      <c r="B6101" s="396" t="s">
        <v>11564</v>
      </c>
      <c r="C6101" s="396" t="s">
        <v>7067</v>
      </c>
      <c r="D6101" s="396" t="s">
        <v>11539</v>
      </c>
      <c r="E6101" s="396" t="s">
        <v>11540</v>
      </c>
      <c r="F6101" s="396" t="s">
        <v>10793</v>
      </c>
    </row>
    <row r="6102">
      <c r="A6102" s="311">
        <v>6101</v>
      </c>
      <c r="B6102" s="396" t="s">
        <v>11565</v>
      </c>
      <c r="C6102" s="396" t="s">
        <v>11566</v>
      </c>
      <c r="D6102" s="396" t="s">
        <v>11539</v>
      </c>
      <c r="E6102" s="396" t="s">
        <v>11540</v>
      </c>
      <c r="F6102" s="396" t="s">
        <v>10793</v>
      </c>
    </row>
    <row r="6103">
      <c r="A6103" s="311">
        <v>6102</v>
      </c>
      <c r="B6103" s="396" t="s">
        <v>11567</v>
      </c>
      <c r="C6103" s="396" t="s">
        <v>11568</v>
      </c>
      <c r="D6103" s="396" t="s">
        <v>11539</v>
      </c>
      <c r="E6103" s="396" t="s">
        <v>11540</v>
      </c>
      <c r="F6103" s="396" t="s">
        <v>10793</v>
      </c>
    </row>
    <row r="6104">
      <c r="A6104" s="311">
        <v>6103</v>
      </c>
      <c r="B6104" s="396" t="s">
        <v>11569</v>
      </c>
      <c r="C6104" s="396" t="s">
        <v>11570</v>
      </c>
      <c r="D6104" s="396" t="s">
        <v>11539</v>
      </c>
      <c r="E6104" s="396" t="s">
        <v>11540</v>
      </c>
      <c r="F6104" s="396" t="s">
        <v>10793</v>
      </c>
    </row>
    <row r="6105">
      <c r="A6105" s="311">
        <v>6104</v>
      </c>
      <c r="B6105" s="396" t="s">
        <v>11571</v>
      </c>
      <c r="C6105" s="396" t="s">
        <v>2165</v>
      </c>
      <c r="D6105" s="396" t="s">
        <v>11539</v>
      </c>
      <c r="E6105" s="396" t="s">
        <v>11540</v>
      </c>
      <c r="F6105" s="396" t="s">
        <v>10793</v>
      </c>
    </row>
    <row r="6106">
      <c r="A6106" s="311">
        <v>6105</v>
      </c>
      <c r="B6106" s="396" t="s">
        <v>11572</v>
      </c>
      <c r="C6106" s="396" t="s">
        <v>7222</v>
      </c>
      <c r="D6106" s="396" t="s">
        <v>11539</v>
      </c>
      <c r="E6106" s="396" t="s">
        <v>11540</v>
      </c>
      <c r="F6106" s="396" t="s">
        <v>10793</v>
      </c>
    </row>
    <row r="6107">
      <c r="A6107" s="311">
        <v>6106</v>
      </c>
      <c r="B6107" s="396" t="s">
        <v>11573</v>
      </c>
      <c r="C6107" s="396" t="s">
        <v>11574</v>
      </c>
      <c r="D6107" s="396" t="s">
        <v>11539</v>
      </c>
      <c r="E6107" s="396" t="s">
        <v>11540</v>
      </c>
      <c r="F6107" s="396" t="s">
        <v>10793</v>
      </c>
    </row>
    <row r="6108">
      <c r="A6108" s="311">
        <v>6107</v>
      </c>
      <c r="B6108" s="396" t="s">
        <v>11575</v>
      </c>
      <c r="C6108" s="396" t="s">
        <v>11576</v>
      </c>
      <c r="D6108" s="396" t="s">
        <v>11577</v>
      </c>
      <c r="E6108" s="396" t="s">
        <v>11578</v>
      </c>
      <c r="F6108" s="396" t="s">
        <v>10793</v>
      </c>
    </row>
    <row r="6109">
      <c r="A6109" s="311">
        <v>6108</v>
      </c>
      <c r="B6109" s="396" t="s">
        <v>11579</v>
      </c>
      <c r="C6109" s="396" t="s">
        <v>11580</v>
      </c>
      <c r="D6109" s="396" t="s">
        <v>11577</v>
      </c>
      <c r="E6109" s="396" t="s">
        <v>11578</v>
      </c>
      <c r="F6109" s="396" t="s">
        <v>10793</v>
      </c>
    </row>
    <row r="6110">
      <c r="A6110" s="311">
        <v>6109</v>
      </c>
      <c r="B6110" s="396" t="s">
        <v>11581</v>
      </c>
      <c r="C6110" s="396" t="s">
        <v>11582</v>
      </c>
      <c r="D6110" s="396" t="s">
        <v>11577</v>
      </c>
      <c r="E6110" s="396" t="s">
        <v>11578</v>
      </c>
      <c r="F6110" s="396" t="s">
        <v>10793</v>
      </c>
    </row>
    <row r="6111">
      <c r="A6111" s="311">
        <v>6110</v>
      </c>
      <c r="B6111" s="396" t="s">
        <v>11583</v>
      </c>
      <c r="C6111" s="396" t="s">
        <v>11584</v>
      </c>
      <c r="D6111" s="396" t="s">
        <v>11577</v>
      </c>
      <c r="E6111" s="396" t="s">
        <v>11578</v>
      </c>
      <c r="F6111" s="396" t="s">
        <v>10793</v>
      </c>
    </row>
    <row r="6112">
      <c r="A6112" s="311">
        <v>6111</v>
      </c>
      <c r="B6112" s="396" t="s">
        <v>11585</v>
      </c>
      <c r="C6112" s="396" t="s">
        <v>11586</v>
      </c>
      <c r="D6112" s="396" t="s">
        <v>11577</v>
      </c>
      <c r="E6112" s="396" t="s">
        <v>11578</v>
      </c>
      <c r="F6112" s="396" t="s">
        <v>10793</v>
      </c>
    </row>
    <row r="6113">
      <c r="A6113" s="311">
        <v>6112</v>
      </c>
      <c r="B6113" s="396" t="s">
        <v>11587</v>
      </c>
      <c r="C6113" s="396" t="s">
        <v>1640</v>
      </c>
      <c r="D6113" s="396" t="s">
        <v>11577</v>
      </c>
      <c r="E6113" s="396" t="s">
        <v>11578</v>
      </c>
      <c r="F6113" s="396" t="s">
        <v>10793</v>
      </c>
    </row>
    <row r="6114">
      <c r="A6114" s="311">
        <v>6113</v>
      </c>
      <c r="B6114" s="396" t="s">
        <v>11588</v>
      </c>
      <c r="C6114" s="396" t="s">
        <v>11589</v>
      </c>
      <c r="D6114" s="396" t="s">
        <v>11577</v>
      </c>
      <c r="E6114" s="396" t="s">
        <v>11578</v>
      </c>
      <c r="F6114" s="396" t="s">
        <v>10793</v>
      </c>
    </row>
    <row r="6115">
      <c r="A6115" s="311">
        <v>6114</v>
      </c>
      <c r="B6115" s="396" t="s">
        <v>11590</v>
      </c>
      <c r="C6115" s="396" t="s">
        <v>1698</v>
      </c>
      <c r="D6115" s="396" t="s">
        <v>11577</v>
      </c>
      <c r="E6115" s="396" t="s">
        <v>11578</v>
      </c>
      <c r="F6115" s="396" t="s">
        <v>10793</v>
      </c>
    </row>
    <row r="6116">
      <c r="A6116" s="311">
        <v>6115</v>
      </c>
      <c r="B6116" s="396" t="s">
        <v>11591</v>
      </c>
      <c r="C6116" s="396" t="s">
        <v>11592</v>
      </c>
      <c r="D6116" s="396" t="s">
        <v>11577</v>
      </c>
      <c r="E6116" s="396" t="s">
        <v>11578</v>
      </c>
      <c r="F6116" s="396" t="s">
        <v>10793</v>
      </c>
    </row>
    <row r="6117">
      <c r="A6117" s="311">
        <v>6116</v>
      </c>
      <c r="B6117" s="396" t="s">
        <v>11593</v>
      </c>
      <c r="C6117" s="396" t="s">
        <v>11594</v>
      </c>
      <c r="D6117" s="396" t="s">
        <v>11577</v>
      </c>
      <c r="E6117" s="396" t="s">
        <v>11578</v>
      </c>
      <c r="F6117" s="396" t="s">
        <v>10793</v>
      </c>
    </row>
    <row r="6118">
      <c r="A6118" s="311">
        <v>6117</v>
      </c>
      <c r="B6118" s="396" t="s">
        <v>11595</v>
      </c>
      <c r="C6118" s="396" t="s">
        <v>11596</v>
      </c>
      <c r="D6118" s="396" t="s">
        <v>11577</v>
      </c>
      <c r="E6118" s="396" t="s">
        <v>11578</v>
      </c>
      <c r="F6118" s="396" t="s">
        <v>10793</v>
      </c>
    </row>
    <row r="6119">
      <c r="A6119" s="311">
        <v>6118</v>
      </c>
      <c r="B6119" s="396" t="s">
        <v>11597</v>
      </c>
      <c r="C6119" s="396" t="s">
        <v>11598</v>
      </c>
      <c r="D6119" s="396" t="s">
        <v>11577</v>
      </c>
      <c r="E6119" s="396" t="s">
        <v>11578</v>
      </c>
      <c r="F6119" s="396" t="s">
        <v>10793</v>
      </c>
    </row>
    <row r="6120">
      <c r="A6120" s="311">
        <v>6119</v>
      </c>
      <c r="B6120" s="396" t="s">
        <v>11599</v>
      </c>
      <c r="C6120" s="396" t="s">
        <v>11600</v>
      </c>
      <c r="D6120" s="396" t="s">
        <v>11577</v>
      </c>
      <c r="E6120" s="396" t="s">
        <v>11578</v>
      </c>
      <c r="F6120" s="396" t="s">
        <v>10793</v>
      </c>
    </row>
    <row r="6121">
      <c r="A6121" s="311">
        <v>6120</v>
      </c>
      <c r="B6121" s="396" t="s">
        <v>11601</v>
      </c>
      <c r="C6121" s="396" t="s">
        <v>11602</v>
      </c>
      <c r="D6121" s="396" t="s">
        <v>11577</v>
      </c>
      <c r="E6121" s="396" t="s">
        <v>11578</v>
      </c>
      <c r="F6121" s="396" t="s">
        <v>10793</v>
      </c>
    </row>
    <row r="6122">
      <c r="A6122" s="311">
        <v>6121</v>
      </c>
      <c r="B6122" s="396" t="s">
        <v>11603</v>
      </c>
      <c r="C6122" s="396" t="s">
        <v>6388</v>
      </c>
      <c r="D6122" s="396" t="s">
        <v>11577</v>
      </c>
      <c r="E6122" s="396" t="s">
        <v>11578</v>
      </c>
      <c r="F6122" s="396" t="s">
        <v>10793</v>
      </c>
    </row>
    <row r="6123">
      <c r="A6123" s="311">
        <v>6122</v>
      </c>
      <c r="B6123" s="396" t="s">
        <v>11604</v>
      </c>
      <c r="C6123" s="396" t="s">
        <v>11605</v>
      </c>
      <c r="D6123" s="396" t="s">
        <v>11577</v>
      </c>
      <c r="E6123" s="396" t="s">
        <v>11578</v>
      </c>
      <c r="F6123" s="396" t="s">
        <v>10793</v>
      </c>
    </row>
    <row r="6124">
      <c r="A6124" s="311">
        <v>6123</v>
      </c>
      <c r="B6124" s="396" t="s">
        <v>11606</v>
      </c>
      <c r="C6124" s="396" t="s">
        <v>11607</v>
      </c>
      <c r="D6124" s="396" t="s">
        <v>11577</v>
      </c>
      <c r="E6124" s="396" t="s">
        <v>11578</v>
      </c>
      <c r="F6124" s="396" t="s">
        <v>10793</v>
      </c>
    </row>
    <row r="6125">
      <c r="A6125" s="311">
        <v>6124</v>
      </c>
      <c r="B6125" s="396" t="s">
        <v>11608</v>
      </c>
      <c r="C6125" s="396" t="s">
        <v>11609</v>
      </c>
      <c r="D6125" s="396" t="s">
        <v>11577</v>
      </c>
      <c r="E6125" s="396" t="s">
        <v>11578</v>
      </c>
      <c r="F6125" s="396" t="s">
        <v>10793</v>
      </c>
    </row>
    <row r="6126">
      <c r="A6126" s="311">
        <v>6125</v>
      </c>
      <c r="B6126" s="396" t="s">
        <v>11610</v>
      </c>
      <c r="C6126" s="396" t="s">
        <v>11611</v>
      </c>
      <c r="D6126" s="396" t="s">
        <v>11577</v>
      </c>
      <c r="E6126" s="396" t="s">
        <v>11578</v>
      </c>
      <c r="F6126" s="396" t="s">
        <v>10793</v>
      </c>
    </row>
    <row r="6127">
      <c r="A6127" s="311">
        <v>6126</v>
      </c>
      <c r="B6127" s="396" t="s">
        <v>11612</v>
      </c>
      <c r="C6127" s="396" t="s">
        <v>7946</v>
      </c>
      <c r="D6127" s="396" t="s">
        <v>11577</v>
      </c>
      <c r="E6127" s="396" t="s">
        <v>11578</v>
      </c>
      <c r="F6127" s="396" t="s">
        <v>10793</v>
      </c>
    </row>
    <row r="6128">
      <c r="A6128" s="311">
        <v>6127</v>
      </c>
      <c r="B6128" s="396" t="s">
        <v>11613</v>
      </c>
      <c r="C6128" s="396" t="s">
        <v>11614</v>
      </c>
      <c r="D6128" s="396" t="s">
        <v>11577</v>
      </c>
      <c r="E6128" s="396" t="s">
        <v>11578</v>
      </c>
      <c r="F6128" s="396" t="s">
        <v>10793</v>
      </c>
    </row>
    <row r="6129">
      <c r="A6129" s="311">
        <v>6128</v>
      </c>
      <c r="B6129" s="396" t="s">
        <v>11615</v>
      </c>
      <c r="C6129" s="396" t="s">
        <v>4029</v>
      </c>
      <c r="D6129" s="396" t="s">
        <v>11577</v>
      </c>
      <c r="E6129" s="396" t="s">
        <v>11578</v>
      </c>
      <c r="F6129" s="396" t="s">
        <v>10793</v>
      </c>
    </row>
    <row r="6130">
      <c r="A6130" s="311">
        <v>6129</v>
      </c>
      <c r="B6130" s="396" t="s">
        <v>11616</v>
      </c>
      <c r="C6130" s="396" t="s">
        <v>11617</v>
      </c>
      <c r="D6130" s="396" t="s">
        <v>11577</v>
      </c>
      <c r="E6130" s="396" t="s">
        <v>11578</v>
      </c>
      <c r="F6130" s="396" t="s">
        <v>10793</v>
      </c>
    </row>
    <row r="6131">
      <c r="A6131" s="311">
        <v>6130</v>
      </c>
      <c r="B6131" s="396" t="s">
        <v>11618</v>
      </c>
      <c r="C6131" s="396" t="s">
        <v>11619</v>
      </c>
      <c r="D6131" s="396" t="s">
        <v>11620</v>
      </c>
      <c r="E6131" s="396" t="s">
        <v>11621</v>
      </c>
      <c r="F6131" s="396" t="s">
        <v>10793</v>
      </c>
    </row>
    <row r="6132">
      <c r="A6132" s="311">
        <v>6131</v>
      </c>
      <c r="B6132" s="396" t="s">
        <v>11622</v>
      </c>
      <c r="C6132" s="396" t="s">
        <v>11623</v>
      </c>
      <c r="D6132" s="396" t="s">
        <v>11620</v>
      </c>
      <c r="E6132" s="396" t="s">
        <v>11621</v>
      </c>
      <c r="F6132" s="396" t="s">
        <v>10793</v>
      </c>
    </row>
    <row r="6133">
      <c r="A6133" s="311">
        <v>6132</v>
      </c>
      <c r="B6133" s="396" t="s">
        <v>11624</v>
      </c>
      <c r="C6133" s="396" t="s">
        <v>11625</v>
      </c>
      <c r="D6133" s="396" t="s">
        <v>11620</v>
      </c>
      <c r="E6133" s="396" t="s">
        <v>11621</v>
      </c>
      <c r="F6133" s="396" t="s">
        <v>10793</v>
      </c>
    </row>
    <row r="6134">
      <c r="A6134" s="311">
        <v>6133</v>
      </c>
      <c r="B6134" s="396" t="s">
        <v>11626</v>
      </c>
      <c r="C6134" s="396" t="s">
        <v>11627</v>
      </c>
      <c r="D6134" s="396" t="s">
        <v>11620</v>
      </c>
      <c r="E6134" s="396" t="s">
        <v>11621</v>
      </c>
      <c r="F6134" s="396" t="s">
        <v>10793</v>
      </c>
    </row>
    <row r="6135">
      <c r="A6135" s="311">
        <v>6134</v>
      </c>
      <c r="B6135" s="396" t="s">
        <v>11628</v>
      </c>
      <c r="C6135" s="396" t="s">
        <v>8378</v>
      </c>
      <c r="D6135" s="396" t="s">
        <v>11620</v>
      </c>
      <c r="E6135" s="396" t="s">
        <v>11621</v>
      </c>
      <c r="F6135" s="396" t="s">
        <v>10793</v>
      </c>
    </row>
    <row r="6136">
      <c r="A6136" s="311">
        <v>6135</v>
      </c>
      <c r="B6136" s="396" t="s">
        <v>11629</v>
      </c>
      <c r="C6136" s="396" t="s">
        <v>11630</v>
      </c>
      <c r="D6136" s="396" t="s">
        <v>11620</v>
      </c>
      <c r="E6136" s="396" t="s">
        <v>11621</v>
      </c>
      <c r="F6136" s="396" t="s">
        <v>10793</v>
      </c>
    </row>
    <row r="6137">
      <c r="A6137" s="311">
        <v>6136</v>
      </c>
      <c r="B6137" s="396" t="s">
        <v>11631</v>
      </c>
      <c r="C6137" s="396" t="s">
        <v>11632</v>
      </c>
      <c r="D6137" s="396" t="s">
        <v>11620</v>
      </c>
      <c r="E6137" s="396" t="s">
        <v>11621</v>
      </c>
      <c r="F6137" s="396" t="s">
        <v>10793</v>
      </c>
    </row>
    <row r="6138">
      <c r="A6138" s="311">
        <v>6137</v>
      </c>
      <c r="B6138" s="396" t="s">
        <v>11633</v>
      </c>
      <c r="C6138" s="396" t="s">
        <v>11634</v>
      </c>
      <c r="D6138" s="396" t="s">
        <v>11620</v>
      </c>
      <c r="E6138" s="396" t="s">
        <v>11621</v>
      </c>
      <c r="F6138" s="396" t="s">
        <v>10793</v>
      </c>
    </row>
    <row r="6139">
      <c r="A6139" s="311">
        <v>6138</v>
      </c>
      <c r="B6139" s="396" t="s">
        <v>11635</v>
      </c>
      <c r="C6139" s="396" t="s">
        <v>11636</v>
      </c>
      <c r="D6139" s="396" t="s">
        <v>11620</v>
      </c>
      <c r="E6139" s="396" t="s">
        <v>11621</v>
      </c>
      <c r="F6139" s="396" t="s">
        <v>10793</v>
      </c>
    </row>
    <row r="6140">
      <c r="A6140" s="311">
        <v>6139</v>
      </c>
      <c r="B6140" s="396" t="s">
        <v>11637</v>
      </c>
      <c r="C6140" s="396" t="s">
        <v>11638</v>
      </c>
      <c r="D6140" s="396" t="s">
        <v>11620</v>
      </c>
      <c r="E6140" s="396" t="s">
        <v>11621</v>
      </c>
      <c r="F6140" s="396" t="s">
        <v>10793</v>
      </c>
    </row>
    <row r="6141">
      <c r="A6141" s="311">
        <v>6140</v>
      </c>
      <c r="B6141" s="396" t="s">
        <v>11639</v>
      </c>
      <c r="C6141" s="396" t="s">
        <v>252</v>
      </c>
      <c r="D6141" s="396" t="s">
        <v>11640</v>
      </c>
      <c r="E6141" s="396" t="s">
        <v>11641</v>
      </c>
      <c r="F6141" s="396" t="s">
        <v>11642</v>
      </c>
    </row>
    <row r="6142">
      <c r="A6142" s="311">
        <v>6141</v>
      </c>
      <c r="B6142" s="396" t="s">
        <v>11643</v>
      </c>
      <c r="C6142" s="396" t="s">
        <v>11644</v>
      </c>
      <c r="D6142" s="396" t="s">
        <v>11640</v>
      </c>
      <c r="E6142" s="396" t="s">
        <v>11641</v>
      </c>
      <c r="F6142" s="396" t="s">
        <v>11642</v>
      </c>
    </row>
    <row r="6143">
      <c r="A6143" s="311">
        <v>6142</v>
      </c>
      <c r="B6143" s="396" t="s">
        <v>11645</v>
      </c>
      <c r="C6143" s="396" t="s">
        <v>11646</v>
      </c>
      <c r="D6143" s="396" t="s">
        <v>11640</v>
      </c>
      <c r="E6143" s="396" t="s">
        <v>11641</v>
      </c>
      <c r="F6143" s="396" t="s">
        <v>11642</v>
      </c>
    </row>
    <row r="6144">
      <c r="A6144" s="311">
        <v>6143</v>
      </c>
      <c r="B6144" s="396" t="s">
        <v>11647</v>
      </c>
      <c r="C6144" s="396" t="s">
        <v>186</v>
      </c>
      <c r="D6144" s="396" t="s">
        <v>11640</v>
      </c>
      <c r="E6144" s="396" t="s">
        <v>11641</v>
      </c>
      <c r="F6144" s="396" t="s">
        <v>11642</v>
      </c>
    </row>
    <row r="6145">
      <c r="A6145" s="311">
        <v>6144</v>
      </c>
      <c r="B6145" s="396" t="s">
        <v>11648</v>
      </c>
      <c r="C6145" s="396" t="s">
        <v>1628</v>
      </c>
      <c r="D6145" s="396" t="s">
        <v>11640</v>
      </c>
      <c r="E6145" s="396" t="s">
        <v>11641</v>
      </c>
      <c r="F6145" s="396" t="s">
        <v>11642</v>
      </c>
    </row>
    <row r="6146">
      <c r="A6146" s="311">
        <v>6145</v>
      </c>
      <c r="B6146" s="396" t="s">
        <v>11649</v>
      </c>
      <c r="C6146" s="396" t="s">
        <v>11650</v>
      </c>
      <c r="D6146" s="396" t="s">
        <v>11640</v>
      </c>
      <c r="E6146" s="396" t="s">
        <v>11641</v>
      </c>
      <c r="F6146" s="396" t="s">
        <v>11642</v>
      </c>
    </row>
    <row r="6147">
      <c r="A6147" s="311">
        <v>6146</v>
      </c>
      <c r="B6147" s="396" t="s">
        <v>11651</v>
      </c>
      <c r="C6147" s="396" t="s">
        <v>10795</v>
      </c>
      <c r="D6147" s="396" t="s">
        <v>11640</v>
      </c>
      <c r="E6147" s="396" t="s">
        <v>11641</v>
      </c>
      <c r="F6147" s="396" t="s">
        <v>11642</v>
      </c>
    </row>
    <row r="6148">
      <c r="A6148" s="311">
        <v>6147</v>
      </c>
      <c r="B6148" s="396" t="s">
        <v>11652</v>
      </c>
      <c r="C6148" s="396" t="s">
        <v>11653</v>
      </c>
      <c r="D6148" s="396" t="s">
        <v>11640</v>
      </c>
      <c r="E6148" s="396" t="s">
        <v>11641</v>
      </c>
      <c r="F6148" s="396" t="s">
        <v>11642</v>
      </c>
    </row>
    <row r="6149">
      <c r="A6149" s="311">
        <v>6148</v>
      </c>
      <c r="B6149" s="396" t="s">
        <v>11654</v>
      </c>
      <c r="C6149" s="396" t="s">
        <v>11655</v>
      </c>
      <c r="D6149" s="396" t="s">
        <v>11640</v>
      </c>
      <c r="E6149" s="396" t="s">
        <v>11641</v>
      </c>
      <c r="F6149" s="396" t="s">
        <v>11642</v>
      </c>
    </row>
    <row r="6150">
      <c r="A6150" s="311">
        <v>6149</v>
      </c>
      <c r="B6150" s="396" t="s">
        <v>11656</v>
      </c>
      <c r="C6150" s="396" t="s">
        <v>11657</v>
      </c>
      <c r="D6150" s="396" t="s">
        <v>11640</v>
      </c>
      <c r="E6150" s="396" t="s">
        <v>11641</v>
      </c>
      <c r="F6150" s="396" t="s">
        <v>11642</v>
      </c>
    </row>
    <row r="6151">
      <c r="A6151" s="311">
        <v>6150</v>
      </c>
      <c r="B6151" s="396" t="s">
        <v>11658</v>
      </c>
      <c r="C6151" s="396" t="s">
        <v>11659</v>
      </c>
      <c r="D6151" s="396" t="s">
        <v>11640</v>
      </c>
      <c r="E6151" s="396" t="s">
        <v>11641</v>
      </c>
      <c r="F6151" s="396" t="s">
        <v>11642</v>
      </c>
    </row>
    <row r="6152">
      <c r="A6152" s="311">
        <v>6151</v>
      </c>
      <c r="B6152" s="396" t="s">
        <v>11660</v>
      </c>
      <c r="C6152" s="396" t="s">
        <v>11661</v>
      </c>
      <c r="D6152" s="396" t="s">
        <v>11640</v>
      </c>
      <c r="E6152" s="396" t="s">
        <v>11641</v>
      </c>
      <c r="F6152" s="396" t="s">
        <v>11642</v>
      </c>
    </row>
    <row r="6153">
      <c r="A6153" s="311">
        <v>6152</v>
      </c>
      <c r="B6153" s="396" t="s">
        <v>11662</v>
      </c>
      <c r="C6153" s="396" t="s">
        <v>11663</v>
      </c>
      <c r="D6153" s="396" t="s">
        <v>11640</v>
      </c>
      <c r="E6153" s="396" t="s">
        <v>11641</v>
      </c>
      <c r="F6153" s="396" t="s">
        <v>11642</v>
      </c>
    </row>
    <row r="6154">
      <c r="A6154" s="311">
        <v>6153</v>
      </c>
      <c r="B6154" s="396" t="s">
        <v>11664</v>
      </c>
      <c r="C6154" s="396" t="s">
        <v>6574</v>
      </c>
      <c r="D6154" s="396" t="s">
        <v>11640</v>
      </c>
      <c r="E6154" s="396" t="s">
        <v>11641</v>
      </c>
      <c r="F6154" s="396" t="s">
        <v>11642</v>
      </c>
    </row>
    <row r="6155">
      <c r="A6155" s="311">
        <v>6154</v>
      </c>
      <c r="B6155" s="396" t="s">
        <v>11665</v>
      </c>
      <c r="C6155" s="396" t="s">
        <v>11666</v>
      </c>
      <c r="D6155" s="396" t="s">
        <v>11640</v>
      </c>
      <c r="E6155" s="396" t="s">
        <v>11641</v>
      </c>
      <c r="F6155" s="396" t="s">
        <v>11642</v>
      </c>
    </row>
    <row r="6156">
      <c r="A6156" s="311">
        <v>6155</v>
      </c>
      <c r="B6156" s="396" t="s">
        <v>11667</v>
      </c>
      <c r="C6156" s="396" t="s">
        <v>9433</v>
      </c>
      <c r="D6156" s="396" t="s">
        <v>11640</v>
      </c>
      <c r="E6156" s="396" t="s">
        <v>11641</v>
      </c>
      <c r="F6156" s="396" t="s">
        <v>11642</v>
      </c>
    </row>
    <row r="6157">
      <c r="A6157" s="311">
        <v>6156</v>
      </c>
      <c r="B6157" s="396" t="s">
        <v>11668</v>
      </c>
      <c r="C6157" s="396" t="s">
        <v>11669</v>
      </c>
      <c r="D6157" s="396" t="s">
        <v>11670</v>
      </c>
      <c r="E6157" s="396" t="s">
        <v>11671</v>
      </c>
      <c r="F6157" s="396" t="s">
        <v>11642</v>
      </c>
    </row>
    <row r="6158">
      <c r="A6158" s="311">
        <v>6157</v>
      </c>
      <c r="B6158" s="396" t="s">
        <v>11672</v>
      </c>
      <c r="C6158" s="396" t="s">
        <v>11673</v>
      </c>
      <c r="D6158" s="396" t="s">
        <v>11670</v>
      </c>
      <c r="E6158" s="396" t="s">
        <v>11671</v>
      </c>
      <c r="F6158" s="396" t="s">
        <v>11642</v>
      </c>
    </row>
    <row r="6159">
      <c r="A6159" s="311">
        <v>6158</v>
      </c>
      <c r="B6159" s="396" t="s">
        <v>11674</v>
      </c>
      <c r="C6159" s="396" t="s">
        <v>11675</v>
      </c>
      <c r="D6159" s="396" t="s">
        <v>11670</v>
      </c>
      <c r="E6159" s="396" t="s">
        <v>11671</v>
      </c>
      <c r="F6159" s="396" t="s">
        <v>11642</v>
      </c>
    </row>
    <row r="6160">
      <c r="A6160" s="311">
        <v>6159</v>
      </c>
      <c r="B6160" s="396" t="s">
        <v>11676</v>
      </c>
      <c r="C6160" s="396" t="s">
        <v>11677</v>
      </c>
      <c r="D6160" s="396" t="s">
        <v>11670</v>
      </c>
      <c r="E6160" s="396" t="s">
        <v>11671</v>
      </c>
      <c r="F6160" s="396" t="s">
        <v>11642</v>
      </c>
    </row>
    <row r="6161">
      <c r="A6161" s="311">
        <v>6160</v>
      </c>
      <c r="B6161" s="396" t="s">
        <v>11678</v>
      </c>
      <c r="C6161" s="396" t="s">
        <v>11679</v>
      </c>
      <c r="D6161" s="396" t="s">
        <v>11670</v>
      </c>
      <c r="E6161" s="396" t="s">
        <v>11671</v>
      </c>
      <c r="F6161" s="396" t="s">
        <v>11642</v>
      </c>
    </row>
    <row r="6162">
      <c r="A6162" s="311">
        <v>6161</v>
      </c>
      <c r="B6162" s="396" t="s">
        <v>11680</v>
      </c>
      <c r="C6162" s="396" t="s">
        <v>11681</v>
      </c>
      <c r="D6162" s="396" t="s">
        <v>11670</v>
      </c>
      <c r="E6162" s="396" t="s">
        <v>11671</v>
      </c>
      <c r="F6162" s="396" t="s">
        <v>11642</v>
      </c>
    </row>
    <row r="6163">
      <c r="A6163" s="311">
        <v>6162</v>
      </c>
      <c r="B6163" s="396" t="s">
        <v>11682</v>
      </c>
      <c r="C6163" s="396" t="s">
        <v>11683</v>
      </c>
      <c r="D6163" s="396" t="s">
        <v>11684</v>
      </c>
      <c r="E6163" s="396" t="s">
        <v>11685</v>
      </c>
      <c r="F6163" s="396" t="s">
        <v>11642</v>
      </c>
    </row>
    <row r="6164">
      <c r="A6164" s="311">
        <v>6163</v>
      </c>
      <c r="B6164" s="396" t="s">
        <v>11686</v>
      </c>
      <c r="C6164" s="396" t="s">
        <v>11687</v>
      </c>
      <c r="D6164" s="396" t="s">
        <v>11684</v>
      </c>
      <c r="E6164" s="396" t="s">
        <v>11685</v>
      </c>
      <c r="F6164" s="396" t="s">
        <v>11642</v>
      </c>
    </row>
    <row r="6165">
      <c r="A6165" s="311">
        <v>6164</v>
      </c>
      <c r="B6165" s="396" t="s">
        <v>11688</v>
      </c>
      <c r="C6165" s="396" t="s">
        <v>11689</v>
      </c>
      <c r="D6165" s="396" t="s">
        <v>11684</v>
      </c>
      <c r="E6165" s="396" t="s">
        <v>11685</v>
      </c>
      <c r="F6165" s="396" t="s">
        <v>11642</v>
      </c>
    </row>
    <row r="6166">
      <c r="A6166" s="311">
        <v>6165</v>
      </c>
      <c r="B6166" s="396" t="s">
        <v>11690</v>
      </c>
      <c r="C6166" s="396" t="s">
        <v>11691</v>
      </c>
      <c r="D6166" s="396" t="s">
        <v>11684</v>
      </c>
      <c r="E6166" s="396" t="s">
        <v>11685</v>
      </c>
      <c r="F6166" s="396" t="s">
        <v>11642</v>
      </c>
    </row>
    <row r="6167">
      <c r="A6167" s="311">
        <v>6166</v>
      </c>
      <c r="B6167" s="396" t="s">
        <v>11692</v>
      </c>
      <c r="C6167" s="396" t="s">
        <v>11693</v>
      </c>
      <c r="D6167" s="396" t="s">
        <v>11684</v>
      </c>
      <c r="E6167" s="396" t="s">
        <v>11685</v>
      </c>
      <c r="F6167" s="396" t="s">
        <v>11642</v>
      </c>
    </row>
    <row r="6168">
      <c r="A6168" s="311">
        <v>6167</v>
      </c>
      <c r="B6168" s="396" t="s">
        <v>11694</v>
      </c>
      <c r="C6168" s="396" t="s">
        <v>11695</v>
      </c>
      <c r="D6168" s="396" t="s">
        <v>11684</v>
      </c>
      <c r="E6168" s="396" t="s">
        <v>11685</v>
      </c>
      <c r="F6168" s="396" t="s">
        <v>11642</v>
      </c>
    </row>
    <row r="6169">
      <c r="A6169" s="311">
        <v>6168</v>
      </c>
      <c r="B6169" s="396" t="s">
        <v>11696</v>
      </c>
      <c r="C6169" s="396" t="s">
        <v>4096</v>
      </c>
      <c r="D6169" s="396" t="s">
        <v>11684</v>
      </c>
      <c r="E6169" s="396" t="s">
        <v>11685</v>
      </c>
      <c r="F6169" s="396" t="s">
        <v>11642</v>
      </c>
    </row>
    <row r="6170">
      <c r="A6170" s="311">
        <v>6169</v>
      </c>
      <c r="B6170" s="396" t="s">
        <v>11697</v>
      </c>
      <c r="C6170" s="396" t="s">
        <v>11698</v>
      </c>
      <c r="D6170" s="396" t="s">
        <v>11684</v>
      </c>
      <c r="E6170" s="396" t="s">
        <v>11685</v>
      </c>
      <c r="F6170" s="396" t="s">
        <v>11642</v>
      </c>
    </row>
    <row r="6171">
      <c r="A6171" s="311">
        <v>6170</v>
      </c>
      <c r="B6171" s="396" t="s">
        <v>11699</v>
      </c>
      <c r="C6171" s="396" t="s">
        <v>11700</v>
      </c>
      <c r="D6171" s="396" t="s">
        <v>11684</v>
      </c>
      <c r="E6171" s="396" t="s">
        <v>11685</v>
      </c>
      <c r="F6171" s="396" t="s">
        <v>11642</v>
      </c>
    </row>
    <row r="6172">
      <c r="A6172" s="311">
        <v>6171</v>
      </c>
      <c r="B6172" s="396" t="s">
        <v>11701</v>
      </c>
      <c r="C6172" s="396" t="s">
        <v>11702</v>
      </c>
      <c r="D6172" s="396" t="s">
        <v>11684</v>
      </c>
      <c r="E6172" s="396" t="s">
        <v>11685</v>
      </c>
      <c r="F6172" s="396" t="s">
        <v>11642</v>
      </c>
    </row>
    <row r="6173">
      <c r="A6173" s="311">
        <v>6172</v>
      </c>
      <c r="B6173" s="396" t="s">
        <v>11703</v>
      </c>
      <c r="C6173" s="396" t="s">
        <v>11704</v>
      </c>
      <c r="D6173" s="396" t="s">
        <v>11684</v>
      </c>
      <c r="E6173" s="396" t="s">
        <v>11685</v>
      </c>
      <c r="F6173" s="396" t="s">
        <v>11642</v>
      </c>
    </row>
    <row r="6174">
      <c r="A6174" s="311">
        <v>6173</v>
      </c>
      <c r="B6174" s="396" t="s">
        <v>11705</v>
      </c>
      <c r="C6174" s="396" t="s">
        <v>11706</v>
      </c>
      <c r="D6174" s="396" t="s">
        <v>11684</v>
      </c>
      <c r="E6174" s="396" t="s">
        <v>11685</v>
      </c>
      <c r="F6174" s="396" t="s">
        <v>11642</v>
      </c>
    </row>
    <row r="6175">
      <c r="A6175" s="311">
        <v>6174</v>
      </c>
      <c r="B6175" s="396" t="s">
        <v>11707</v>
      </c>
      <c r="C6175" s="396" t="s">
        <v>11708</v>
      </c>
      <c r="D6175" s="396" t="s">
        <v>11684</v>
      </c>
      <c r="E6175" s="396" t="s">
        <v>11685</v>
      </c>
      <c r="F6175" s="396" t="s">
        <v>11642</v>
      </c>
    </row>
    <row r="6176">
      <c r="A6176" s="311">
        <v>6175</v>
      </c>
      <c r="B6176" s="396" t="s">
        <v>11709</v>
      </c>
      <c r="C6176" s="396" t="s">
        <v>11710</v>
      </c>
      <c r="D6176" s="396" t="s">
        <v>11684</v>
      </c>
      <c r="E6176" s="396" t="s">
        <v>11685</v>
      </c>
      <c r="F6176" s="396" t="s">
        <v>11642</v>
      </c>
    </row>
    <row r="6177">
      <c r="A6177" s="311">
        <v>6176</v>
      </c>
      <c r="B6177" s="396" t="s">
        <v>11711</v>
      </c>
      <c r="C6177" s="396" t="s">
        <v>11712</v>
      </c>
      <c r="D6177" s="396" t="s">
        <v>11684</v>
      </c>
      <c r="E6177" s="396" t="s">
        <v>11685</v>
      </c>
      <c r="F6177" s="396" t="s">
        <v>11642</v>
      </c>
    </row>
    <row r="6178">
      <c r="A6178" s="311">
        <v>6177</v>
      </c>
      <c r="B6178" s="396" t="s">
        <v>11713</v>
      </c>
      <c r="C6178" s="396" t="s">
        <v>11714</v>
      </c>
      <c r="D6178" s="396" t="s">
        <v>11684</v>
      </c>
      <c r="E6178" s="396" t="s">
        <v>11685</v>
      </c>
      <c r="F6178" s="396" t="s">
        <v>11642</v>
      </c>
    </row>
    <row r="6179">
      <c r="A6179" s="311">
        <v>6178</v>
      </c>
      <c r="B6179" s="396" t="s">
        <v>11715</v>
      </c>
      <c r="C6179" s="396" t="s">
        <v>1093</v>
      </c>
      <c r="D6179" s="396" t="s">
        <v>11684</v>
      </c>
      <c r="E6179" s="396" t="s">
        <v>11685</v>
      </c>
      <c r="F6179" s="396" t="s">
        <v>11642</v>
      </c>
    </row>
    <row r="6180">
      <c r="A6180" s="311">
        <v>6179</v>
      </c>
      <c r="B6180" s="396" t="s">
        <v>11716</v>
      </c>
      <c r="C6180" s="396" t="s">
        <v>11717</v>
      </c>
      <c r="D6180" s="396" t="s">
        <v>11684</v>
      </c>
      <c r="E6180" s="396" t="s">
        <v>11685</v>
      </c>
      <c r="F6180" s="396" t="s">
        <v>11642</v>
      </c>
    </row>
    <row r="6181">
      <c r="A6181" s="311">
        <v>6180</v>
      </c>
      <c r="B6181" s="396" t="s">
        <v>11718</v>
      </c>
      <c r="C6181" s="396" t="s">
        <v>11719</v>
      </c>
      <c r="D6181" s="396" t="s">
        <v>11684</v>
      </c>
      <c r="E6181" s="396" t="s">
        <v>11685</v>
      </c>
      <c r="F6181" s="396" t="s">
        <v>11642</v>
      </c>
    </row>
    <row r="6182">
      <c r="A6182" s="311">
        <v>6181</v>
      </c>
      <c r="B6182" s="396" t="s">
        <v>11720</v>
      </c>
      <c r="C6182" s="396" t="s">
        <v>11721</v>
      </c>
      <c r="D6182" s="396" t="s">
        <v>11684</v>
      </c>
      <c r="E6182" s="396" t="s">
        <v>11685</v>
      </c>
      <c r="F6182" s="396" t="s">
        <v>11642</v>
      </c>
    </row>
    <row r="6183">
      <c r="A6183" s="311">
        <v>6182</v>
      </c>
      <c r="B6183" s="396" t="s">
        <v>11722</v>
      </c>
      <c r="C6183" s="396" t="s">
        <v>3201</v>
      </c>
      <c r="D6183" s="396" t="s">
        <v>11684</v>
      </c>
      <c r="E6183" s="396" t="s">
        <v>11685</v>
      </c>
      <c r="F6183" s="396" t="s">
        <v>11642</v>
      </c>
    </row>
    <row r="6184">
      <c r="A6184" s="311">
        <v>6183</v>
      </c>
      <c r="B6184" s="396" t="s">
        <v>11723</v>
      </c>
      <c r="C6184" s="396" t="s">
        <v>11724</v>
      </c>
      <c r="D6184" s="396" t="s">
        <v>11684</v>
      </c>
      <c r="E6184" s="396" t="s">
        <v>11685</v>
      </c>
      <c r="F6184" s="396" t="s">
        <v>11642</v>
      </c>
    </row>
    <row r="6185">
      <c r="A6185" s="311">
        <v>6184</v>
      </c>
      <c r="B6185" s="396" t="s">
        <v>11725</v>
      </c>
      <c r="C6185" s="396" t="s">
        <v>11726</v>
      </c>
      <c r="D6185" s="396" t="s">
        <v>11684</v>
      </c>
      <c r="E6185" s="396" t="s">
        <v>11685</v>
      </c>
      <c r="F6185" s="396" t="s">
        <v>11642</v>
      </c>
    </row>
    <row r="6186">
      <c r="A6186" s="311">
        <v>6185</v>
      </c>
      <c r="B6186" s="396" t="s">
        <v>11727</v>
      </c>
      <c r="C6186" s="396" t="s">
        <v>11728</v>
      </c>
      <c r="D6186" s="396" t="s">
        <v>11684</v>
      </c>
      <c r="E6186" s="396" t="s">
        <v>11685</v>
      </c>
      <c r="F6186" s="396" t="s">
        <v>11642</v>
      </c>
    </row>
    <row r="6187">
      <c r="A6187" s="311">
        <v>6186</v>
      </c>
      <c r="B6187" s="396" t="s">
        <v>11729</v>
      </c>
      <c r="C6187" s="396" t="s">
        <v>11730</v>
      </c>
      <c r="D6187" s="396" t="s">
        <v>11684</v>
      </c>
      <c r="E6187" s="396" t="s">
        <v>11685</v>
      </c>
      <c r="F6187" s="396" t="s">
        <v>11642</v>
      </c>
    </row>
    <row r="6188">
      <c r="A6188" s="311">
        <v>6187</v>
      </c>
      <c r="B6188" s="396" t="s">
        <v>11731</v>
      </c>
      <c r="C6188" s="396" t="s">
        <v>11732</v>
      </c>
      <c r="D6188" s="396" t="s">
        <v>11684</v>
      </c>
      <c r="E6188" s="396" t="s">
        <v>11685</v>
      </c>
      <c r="F6188" s="396" t="s">
        <v>11642</v>
      </c>
    </row>
    <row r="6189">
      <c r="A6189" s="311">
        <v>6188</v>
      </c>
      <c r="B6189" s="396" t="s">
        <v>11733</v>
      </c>
      <c r="C6189" s="396" t="s">
        <v>4306</v>
      </c>
      <c r="D6189" s="396" t="s">
        <v>11684</v>
      </c>
      <c r="E6189" s="396" t="s">
        <v>11685</v>
      </c>
      <c r="F6189" s="396" t="s">
        <v>11642</v>
      </c>
    </row>
    <row r="6190">
      <c r="A6190" s="311">
        <v>6189</v>
      </c>
      <c r="B6190" s="396" t="s">
        <v>11734</v>
      </c>
      <c r="C6190" s="396" t="s">
        <v>11735</v>
      </c>
      <c r="D6190" s="396" t="s">
        <v>11684</v>
      </c>
      <c r="E6190" s="396" t="s">
        <v>11685</v>
      </c>
      <c r="F6190" s="396" t="s">
        <v>11642</v>
      </c>
    </row>
    <row r="6191">
      <c r="A6191" s="311">
        <v>6190</v>
      </c>
      <c r="B6191" s="396" t="s">
        <v>11736</v>
      </c>
      <c r="C6191" s="396" t="s">
        <v>2343</v>
      </c>
      <c r="D6191" s="396" t="s">
        <v>11684</v>
      </c>
      <c r="E6191" s="396" t="s">
        <v>11685</v>
      </c>
      <c r="F6191" s="396" t="s">
        <v>11642</v>
      </c>
    </row>
    <row r="6192">
      <c r="A6192" s="311">
        <v>6191</v>
      </c>
      <c r="B6192" s="396" t="s">
        <v>11737</v>
      </c>
      <c r="C6192" s="396" t="s">
        <v>11738</v>
      </c>
      <c r="D6192" s="396" t="s">
        <v>11684</v>
      </c>
      <c r="E6192" s="396" t="s">
        <v>11685</v>
      </c>
      <c r="F6192" s="396" t="s">
        <v>11642</v>
      </c>
    </row>
    <row r="6193">
      <c r="A6193" s="311">
        <v>6192</v>
      </c>
      <c r="B6193" s="396" t="s">
        <v>11739</v>
      </c>
      <c r="C6193" s="396" t="s">
        <v>11740</v>
      </c>
      <c r="D6193" s="396" t="s">
        <v>11684</v>
      </c>
      <c r="E6193" s="396" t="s">
        <v>11685</v>
      </c>
      <c r="F6193" s="396" t="s">
        <v>11642</v>
      </c>
    </row>
    <row r="6194">
      <c r="A6194" s="311">
        <v>6193</v>
      </c>
      <c r="B6194" s="396" t="s">
        <v>11741</v>
      </c>
      <c r="C6194" s="396" t="s">
        <v>11742</v>
      </c>
      <c r="D6194" s="396" t="s">
        <v>11684</v>
      </c>
      <c r="E6194" s="396" t="s">
        <v>11685</v>
      </c>
      <c r="F6194" s="396" t="s">
        <v>11642</v>
      </c>
    </row>
    <row r="6195">
      <c r="A6195" s="311">
        <v>6194</v>
      </c>
      <c r="B6195" s="396" t="s">
        <v>11743</v>
      </c>
      <c r="C6195" s="396" t="s">
        <v>11744</v>
      </c>
      <c r="D6195" s="396" t="s">
        <v>11745</v>
      </c>
      <c r="E6195" s="396" t="s">
        <v>11746</v>
      </c>
      <c r="F6195" s="396" t="s">
        <v>11642</v>
      </c>
    </row>
    <row r="6196">
      <c r="A6196" s="311">
        <v>6195</v>
      </c>
      <c r="B6196" s="396" t="s">
        <v>11747</v>
      </c>
      <c r="C6196" s="396" t="s">
        <v>1843</v>
      </c>
      <c r="D6196" s="396" t="s">
        <v>11745</v>
      </c>
      <c r="E6196" s="396" t="s">
        <v>11746</v>
      </c>
      <c r="F6196" s="396" t="s">
        <v>11642</v>
      </c>
    </row>
    <row r="6197">
      <c r="A6197" s="311">
        <v>6196</v>
      </c>
      <c r="B6197" s="396" t="s">
        <v>11748</v>
      </c>
      <c r="C6197" s="396" t="s">
        <v>11749</v>
      </c>
      <c r="D6197" s="396" t="s">
        <v>11745</v>
      </c>
      <c r="E6197" s="396" t="s">
        <v>11746</v>
      </c>
      <c r="F6197" s="396" t="s">
        <v>11642</v>
      </c>
    </row>
    <row r="6198">
      <c r="A6198" s="311">
        <v>6197</v>
      </c>
      <c r="B6198" s="396" t="s">
        <v>11750</v>
      </c>
      <c r="C6198" s="396" t="s">
        <v>11751</v>
      </c>
      <c r="D6198" s="396" t="s">
        <v>11745</v>
      </c>
      <c r="E6198" s="396" t="s">
        <v>11746</v>
      </c>
      <c r="F6198" s="396" t="s">
        <v>11642</v>
      </c>
    </row>
    <row r="6199">
      <c r="A6199" s="311">
        <v>6198</v>
      </c>
      <c r="B6199" s="396" t="s">
        <v>11752</v>
      </c>
      <c r="C6199" s="396" t="s">
        <v>11753</v>
      </c>
      <c r="D6199" s="396" t="s">
        <v>11745</v>
      </c>
      <c r="E6199" s="396" t="s">
        <v>11746</v>
      </c>
      <c r="F6199" s="396" t="s">
        <v>11642</v>
      </c>
    </row>
    <row r="6200">
      <c r="A6200" s="311">
        <v>6199</v>
      </c>
      <c r="B6200" s="396" t="s">
        <v>11754</v>
      </c>
      <c r="C6200" s="396" t="s">
        <v>4262</v>
      </c>
      <c r="D6200" s="396" t="s">
        <v>11745</v>
      </c>
      <c r="E6200" s="396" t="s">
        <v>11746</v>
      </c>
      <c r="F6200" s="396" t="s">
        <v>11642</v>
      </c>
    </row>
    <row r="6201">
      <c r="A6201" s="311">
        <v>6200</v>
      </c>
      <c r="B6201" s="396" t="s">
        <v>11755</v>
      </c>
      <c r="C6201" s="396" t="s">
        <v>4777</v>
      </c>
      <c r="D6201" s="396" t="s">
        <v>11745</v>
      </c>
      <c r="E6201" s="396" t="s">
        <v>11746</v>
      </c>
      <c r="F6201" s="396" t="s">
        <v>11642</v>
      </c>
    </row>
    <row r="6202">
      <c r="A6202" s="311">
        <v>6201</v>
      </c>
      <c r="B6202" s="396" t="s">
        <v>11756</v>
      </c>
      <c r="C6202" s="396" t="s">
        <v>11757</v>
      </c>
      <c r="D6202" s="396" t="s">
        <v>11745</v>
      </c>
      <c r="E6202" s="396" t="s">
        <v>11746</v>
      </c>
      <c r="F6202" s="396" t="s">
        <v>11642</v>
      </c>
    </row>
    <row r="6203">
      <c r="A6203" s="311">
        <v>6202</v>
      </c>
      <c r="B6203" s="396" t="s">
        <v>11758</v>
      </c>
      <c r="C6203" s="396" t="s">
        <v>11759</v>
      </c>
      <c r="D6203" s="396" t="s">
        <v>11745</v>
      </c>
      <c r="E6203" s="396" t="s">
        <v>11746</v>
      </c>
      <c r="F6203" s="396" t="s">
        <v>11642</v>
      </c>
    </row>
    <row r="6204">
      <c r="A6204" s="311">
        <v>6203</v>
      </c>
      <c r="B6204" s="396" t="s">
        <v>11760</v>
      </c>
      <c r="C6204" s="396" t="s">
        <v>11761</v>
      </c>
      <c r="D6204" s="396" t="s">
        <v>11745</v>
      </c>
      <c r="E6204" s="396" t="s">
        <v>11746</v>
      </c>
      <c r="F6204" s="396" t="s">
        <v>11642</v>
      </c>
    </row>
    <row r="6205">
      <c r="A6205" s="311">
        <v>6204</v>
      </c>
      <c r="B6205" s="396" t="s">
        <v>11762</v>
      </c>
      <c r="C6205" s="396" t="s">
        <v>11763</v>
      </c>
      <c r="D6205" s="396" t="s">
        <v>11745</v>
      </c>
      <c r="E6205" s="396" t="s">
        <v>11746</v>
      </c>
      <c r="F6205" s="396" t="s">
        <v>11642</v>
      </c>
    </row>
    <row r="6206">
      <c r="A6206" s="311">
        <v>6205</v>
      </c>
      <c r="B6206" s="396" t="s">
        <v>11764</v>
      </c>
      <c r="C6206" s="396" t="s">
        <v>11765</v>
      </c>
      <c r="D6206" s="396" t="s">
        <v>11745</v>
      </c>
      <c r="E6206" s="396" t="s">
        <v>11746</v>
      </c>
      <c r="F6206" s="396" t="s">
        <v>11642</v>
      </c>
    </row>
    <row r="6207">
      <c r="A6207" s="311">
        <v>6206</v>
      </c>
      <c r="B6207" s="396" t="s">
        <v>11766</v>
      </c>
      <c r="C6207" s="396" t="s">
        <v>11767</v>
      </c>
      <c r="D6207" s="396" t="s">
        <v>11745</v>
      </c>
      <c r="E6207" s="396" t="s">
        <v>11746</v>
      </c>
      <c r="F6207" s="396" t="s">
        <v>11642</v>
      </c>
    </row>
    <row r="6208">
      <c r="A6208" s="311">
        <v>6207</v>
      </c>
      <c r="B6208" s="396" t="s">
        <v>11768</v>
      </c>
      <c r="C6208" s="396" t="s">
        <v>11769</v>
      </c>
      <c r="D6208" s="396" t="s">
        <v>11745</v>
      </c>
      <c r="E6208" s="396" t="s">
        <v>11746</v>
      </c>
      <c r="F6208" s="396" t="s">
        <v>11642</v>
      </c>
    </row>
    <row r="6209">
      <c r="A6209" s="311">
        <v>6208</v>
      </c>
      <c r="B6209" s="396" t="s">
        <v>11770</v>
      </c>
      <c r="C6209" s="396" t="s">
        <v>11771</v>
      </c>
      <c r="D6209" s="396" t="s">
        <v>11745</v>
      </c>
      <c r="E6209" s="396" t="s">
        <v>11746</v>
      </c>
      <c r="F6209" s="396" t="s">
        <v>11642</v>
      </c>
    </row>
    <row r="6210">
      <c r="A6210" s="311">
        <v>6209</v>
      </c>
      <c r="B6210" s="396" t="s">
        <v>11772</v>
      </c>
      <c r="C6210" s="396" t="s">
        <v>11773</v>
      </c>
      <c r="D6210" s="396" t="s">
        <v>11745</v>
      </c>
      <c r="E6210" s="396" t="s">
        <v>11746</v>
      </c>
      <c r="F6210" s="396" t="s">
        <v>11642</v>
      </c>
    </row>
    <row r="6211">
      <c r="A6211" s="311">
        <v>6210</v>
      </c>
      <c r="B6211" s="396" t="s">
        <v>11774</v>
      </c>
      <c r="C6211" s="396" t="s">
        <v>11775</v>
      </c>
      <c r="D6211" s="396" t="s">
        <v>11745</v>
      </c>
      <c r="E6211" s="396" t="s">
        <v>11746</v>
      </c>
      <c r="F6211" s="396" t="s">
        <v>11642</v>
      </c>
    </row>
    <row r="6212">
      <c r="A6212" s="311">
        <v>6211</v>
      </c>
      <c r="B6212" s="396" t="s">
        <v>11776</v>
      </c>
      <c r="C6212" s="396" t="s">
        <v>320</v>
      </c>
      <c r="D6212" s="396" t="s">
        <v>11745</v>
      </c>
      <c r="E6212" s="396" t="s">
        <v>11746</v>
      </c>
      <c r="F6212" s="396" t="s">
        <v>11642</v>
      </c>
    </row>
    <row r="6213">
      <c r="A6213" s="311">
        <v>6212</v>
      </c>
      <c r="B6213" s="396" t="s">
        <v>11777</v>
      </c>
      <c r="C6213" s="396" t="s">
        <v>1927</v>
      </c>
      <c r="D6213" s="396" t="s">
        <v>11745</v>
      </c>
      <c r="E6213" s="396" t="s">
        <v>11746</v>
      </c>
      <c r="F6213" s="396" t="s">
        <v>11642</v>
      </c>
    </row>
    <row r="6214">
      <c r="A6214" s="311">
        <v>6213</v>
      </c>
      <c r="B6214" s="396" t="s">
        <v>11778</v>
      </c>
      <c r="C6214" s="396" t="s">
        <v>11779</v>
      </c>
      <c r="D6214" s="396" t="s">
        <v>11745</v>
      </c>
      <c r="E6214" s="396" t="s">
        <v>11746</v>
      </c>
      <c r="F6214" s="396" t="s">
        <v>11642</v>
      </c>
    </row>
    <row r="6215">
      <c r="A6215" s="311">
        <v>6214</v>
      </c>
      <c r="B6215" s="396" t="s">
        <v>11780</v>
      </c>
      <c r="C6215" s="396" t="s">
        <v>11781</v>
      </c>
      <c r="D6215" s="396" t="s">
        <v>11745</v>
      </c>
      <c r="E6215" s="396" t="s">
        <v>11746</v>
      </c>
      <c r="F6215" s="396" t="s">
        <v>11642</v>
      </c>
    </row>
    <row r="6216">
      <c r="A6216" s="311">
        <v>6215</v>
      </c>
      <c r="B6216" s="396" t="s">
        <v>11782</v>
      </c>
      <c r="C6216" s="396" t="s">
        <v>11783</v>
      </c>
      <c r="D6216" s="396" t="s">
        <v>11745</v>
      </c>
      <c r="E6216" s="396" t="s">
        <v>11746</v>
      </c>
      <c r="F6216" s="396" t="s">
        <v>11642</v>
      </c>
    </row>
    <row r="6217">
      <c r="A6217" s="311">
        <v>6216</v>
      </c>
      <c r="B6217" s="396" t="s">
        <v>11784</v>
      </c>
      <c r="C6217" s="396" t="s">
        <v>11785</v>
      </c>
      <c r="D6217" s="396" t="s">
        <v>11745</v>
      </c>
      <c r="E6217" s="396" t="s">
        <v>11746</v>
      </c>
      <c r="F6217" s="396" t="s">
        <v>11642</v>
      </c>
    </row>
    <row r="6218">
      <c r="A6218" s="311">
        <v>6217</v>
      </c>
      <c r="B6218" s="396" t="s">
        <v>11786</v>
      </c>
      <c r="C6218" s="396" t="s">
        <v>11787</v>
      </c>
      <c r="D6218" s="396" t="s">
        <v>11745</v>
      </c>
      <c r="E6218" s="396" t="s">
        <v>11746</v>
      </c>
      <c r="F6218" s="396" t="s">
        <v>11642</v>
      </c>
    </row>
    <row r="6219">
      <c r="A6219" s="311">
        <v>6218</v>
      </c>
      <c r="B6219" s="396" t="s">
        <v>11788</v>
      </c>
      <c r="C6219" s="396" t="s">
        <v>11789</v>
      </c>
      <c r="D6219" s="396" t="s">
        <v>11745</v>
      </c>
      <c r="E6219" s="396" t="s">
        <v>11746</v>
      </c>
      <c r="F6219" s="396" t="s">
        <v>11642</v>
      </c>
    </row>
    <row r="6220">
      <c r="A6220" s="311">
        <v>6219</v>
      </c>
      <c r="B6220" s="396" t="s">
        <v>11790</v>
      </c>
      <c r="C6220" s="396" t="s">
        <v>11791</v>
      </c>
      <c r="D6220" s="396" t="s">
        <v>11745</v>
      </c>
      <c r="E6220" s="396" t="s">
        <v>11746</v>
      </c>
      <c r="F6220" s="396" t="s">
        <v>11642</v>
      </c>
    </row>
    <row r="6221">
      <c r="A6221" s="311">
        <v>6220</v>
      </c>
      <c r="B6221" s="396" t="s">
        <v>11792</v>
      </c>
      <c r="C6221" s="396" t="s">
        <v>11793</v>
      </c>
      <c r="D6221" s="396" t="s">
        <v>11745</v>
      </c>
      <c r="E6221" s="396" t="s">
        <v>11746</v>
      </c>
      <c r="F6221" s="396" t="s">
        <v>11642</v>
      </c>
    </row>
    <row r="6222">
      <c r="A6222" s="311">
        <v>6221</v>
      </c>
      <c r="B6222" s="396" t="s">
        <v>11794</v>
      </c>
      <c r="C6222" s="396" t="s">
        <v>4151</v>
      </c>
      <c r="D6222" s="396" t="s">
        <v>11745</v>
      </c>
      <c r="E6222" s="396" t="s">
        <v>11746</v>
      </c>
      <c r="F6222" s="396" t="s">
        <v>11642</v>
      </c>
    </row>
    <row r="6223">
      <c r="A6223" s="311">
        <v>6222</v>
      </c>
      <c r="B6223" s="396" t="s">
        <v>11795</v>
      </c>
      <c r="C6223" s="396" t="s">
        <v>11796</v>
      </c>
      <c r="D6223" s="396" t="s">
        <v>11797</v>
      </c>
      <c r="E6223" s="396" t="s">
        <v>11798</v>
      </c>
      <c r="F6223" s="396" t="s">
        <v>11642</v>
      </c>
    </row>
    <row r="6224">
      <c r="A6224" s="311">
        <v>6223</v>
      </c>
      <c r="B6224" s="396" t="s">
        <v>11799</v>
      </c>
      <c r="C6224" s="396" t="s">
        <v>11800</v>
      </c>
      <c r="D6224" s="396" t="s">
        <v>11797</v>
      </c>
      <c r="E6224" s="396" t="s">
        <v>11798</v>
      </c>
      <c r="F6224" s="396" t="s">
        <v>11642</v>
      </c>
    </row>
    <row r="6225">
      <c r="A6225" s="311">
        <v>6224</v>
      </c>
      <c r="B6225" s="396" t="s">
        <v>11801</v>
      </c>
      <c r="C6225" s="396" t="s">
        <v>772</v>
      </c>
      <c r="D6225" s="396" t="s">
        <v>11797</v>
      </c>
      <c r="E6225" s="396" t="s">
        <v>11798</v>
      </c>
      <c r="F6225" s="396" t="s">
        <v>11642</v>
      </c>
    </row>
    <row r="6226">
      <c r="A6226" s="311">
        <v>6225</v>
      </c>
      <c r="B6226" s="396" t="s">
        <v>11802</v>
      </c>
      <c r="C6226" s="396" t="s">
        <v>11803</v>
      </c>
      <c r="D6226" s="396" t="s">
        <v>11797</v>
      </c>
      <c r="E6226" s="396" t="s">
        <v>11798</v>
      </c>
      <c r="F6226" s="396" t="s">
        <v>11642</v>
      </c>
    </row>
    <row r="6227">
      <c r="A6227" s="311">
        <v>6226</v>
      </c>
      <c r="B6227" s="396" t="s">
        <v>11804</v>
      </c>
      <c r="C6227" s="396" t="s">
        <v>11805</v>
      </c>
      <c r="D6227" s="396" t="s">
        <v>11797</v>
      </c>
      <c r="E6227" s="396" t="s">
        <v>11798</v>
      </c>
      <c r="F6227" s="396" t="s">
        <v>11642</v>
      </c>
    </row>
    <row r="6228">
      <c r="A6228" s="311">
        <v>6227</v>
      </c>
      <c r="B6228" s="396" t="s">
        <v>11806</v>
      </c>
      <c r="C6228" s="396" t="s">
        <v>11807</v>
      </c>
      <c r="D6228" s="396" t="s">
        <v>11797</v>
      </c>
      <c r="E6228" s="396" t="s">
        <v>11798</v>
      </c>
      <c r="F6228" s="396" t="s">
        <v>11642</v>
      </c>
    </row>
    <row r="6229">
      <c r="A6229" s="311">
        <v>6228</v>
      </c>
      <c r="B6229" s="396" t="s">
        <v>11808</v>
      </c>
      <c r="C6229" s="396" t="s">
        <v>11809</v>
      </c>
      <c r="D6229" s="396" t="s">
        <v>11797</v>
      </c>
      <c r="E6229" s="396" t="s">
        <v>11798</v>
      </c>
      <c r="F6229" s="396" t="s">
        <v>11642</v>
      </c>
    </row>
    <row r="6230">
      <c r="A6230" s="311">
        <v>6229</v>
      </c>
      <c r="B6230" s="396" t="s">
        <v>11810</v>
      </c>
      <c r="C6230" s="396" t="s">
        <v>11811</v>
      </c>
      <c r="D6230" s="396" t="s">
        <v>11797</v>
      </c>
      <c r="E6230" s="396" t="s">
        <v>11798</v>
      </c>
      <c r="F6230" s="396" t="s">
        <v>11642</v>
      </c>
    </row>
    <row r="6231">
      <c r="A6231" s="311">
        <v>6230</v>
      </c>
      <c r="B6231" s="396" t="s">
        <v>11812</v>
      </c>
      <c r="C6231" s="396" t="s">
        <v>11813</v>
      </c>
      <c r="D6231" s="396" t="s">
        <v>11797</v>
      </c>
      <c r="E6231" s="396" t="s">
        <v>11798</v>
      </c>
      <c r="F6231" s="396" t="s">
        <v>11642</v>
      </c>
    </row>
    <row r="6232">
      <c r="A6232" s="311">
        <v>6231</v>
      </c>
      <c r="B6232" s="396" t="s">
        <v>11814</v>
      </c>
      <c r="C6232" s="396" t="s">
        <v>11815</v>
      </c>
      <c r="D6232" s="396" t="s">
        <v>11797</v>
      </c>
      <c r="E6232" s="396" t="s">
        <v>11798</v>
      </c>
      <c r="F6232" s="396" t="s">
        <v>11642</v>
      </c>
    </row>
    <row r="6233">
      <c r="A6233" s="311">
        <v>6232</v>
      </c>
      <c r="B6233" s="396" t="s">
        <v>11816</v>
      </c>
      <c r="C6233" s="396" t="s">
        <v>11817</v>
      </c>
      <c r="D6233" s="396" t="s">
        <v>11797</v>
      </c>
      <c r="E6233" s="396" t="s">
        <v>11798</v>
      </c>
      <c r="F6233" s="396" t="s">
        <v>11642</v>
      </c>
    </row>
    <row r="6234">
      <c r="A6234" s="311">
        <v>6233</v>
      </c>
      <c r="B6234" s="396" t="s">
        <v>11818</v>
      </c>
      <c r="C6234" s="396" t="s">
        <v>11819</v>
      </c>
      <c r="D6234" s="396" t="s">
        <v>11797</v>
      </c>
      <c r="E6234" s="396" t="s">
        <v>11798</v>
      </c>
      <c r="F6234" s="396" t="s">
        <v>11642</v>
      </c>
    </row>
    <row r="6235">
      <c r="A6235" s="311">
        <v>6234</v>
      </c>
      <c r="B6235" s="396" t="s">
        <v>11820</v>
      </c>
      <c r="C6235" s="396" t="s">
        <v>11821</v>
      </c>
      <c r="D6235" s="396" t="s">
        <v>11822</v>
      </c>
      <c r="E6235" s="396" t="s">
        <v>11823</v>
      </c>
      <c r="F6235" s="396" t="s">
        <v>11642</v>
      </c>
    </row>
    <row r="6236">
      <c r="A6236" s="311">
        <v>6235</v>
      </c>
      <c r="B6236" s="396" t="s">
        <v>11824</v>
      </c>
      <c r="C6236" s="396" t="s">
        <v>11825</v>
      </c>
      <c r="D6236" s="396" t="s">
        <v>11822</v>
      </c>
      <c r="E6236" s="396" t="s">
        <v>11823</v>
      </c>
      <c r="F6236" s="396" t="s">
        <v>11642</v>
      </c>
    </row>
    <row r="6237">
      <c r="A6237" s="311">
        <v>6236</v>
      </c>
      <c r="B6237" s="396" t="s">
        <v>11826</v>
      </c>
      <c r="C6237" s="396" t="s">
        <v>11827</v>
      </c>
      <c r="D6237" s="396" t="s">
        <v>11822</v>
      </c>
      <c r="E6237" s="396" t="s">
        <v>11823</v>
      </c>
      <c r="F6237" s="396" t="s">
        <v>11642</v>
      </c>
    </row>
    <row r="6238">
      <c r="A6238" s="311">
        <v>6237</v>
      </c>
      <c r="B6238" s="396" t="s">
        <v>11828</v>
      </c>
      <c r="C6238" s="396" t="s">
        <v>1687</v>
      </c>
      <c r="D6238" s="396" t="s">
        <v>11822</v>
      </c>
      <c r="E6238" s="396" t="s">
        <v>11823</v>
      </c>
      <c r="F6238" s="396" t="s">
        <v>11642</v>
      </c>
    </row>
    <row r="6239">
      <c r="A6239" s="311">
        <v>6238</v>
      </c>
      <c r="B6239" s="396" t="s">
        <v>11829</v>
      </c>
      <c r="C6239" s="396" t="s">
        <v>11830</v>
      </c>
      <c r="D6239" s="396" t="s">
        <v>11822</v>
      </c>
      <c r="E6239" s="396" t="s">
        <v>11823</v>
      </c>
      <c r="F6239" s="396" t="s">
        <v>11642</v>
      </c>
    </row>
    <row r="6240">
      <c r="A6240" s="311">
        <v>6239</v>
      </c>
      <c r="B6240" s="396" t="s">
        <v>11831</v>
      </c>
      <c r="C6240" s="396" t="s">
        <v>11832</v>
      </c>
      <c r="D6240" s="396" t="s">
        <v>11822</v>
      </c>
      <c r="E6240" s="396" t="s">
        <v>11823</v>
      </c>
      <c r="F6240" s="396" t="s">
        <v>11642</v>
      </c>
    </row>
    <row r="6241">
      <c r="A6241" s="311">
        <v>6240</v>
      </c>
      <c r="B6241" s="396" t="s">
        <v>11833</v>
      </c>
      <c r="C6241" s="396" t="s">
        <v>11834</v>
      </c>
      <c r="D6241" s="396" t="s">
        <v>11822</v>
      </c>
      <c r="E6241" s="396" t="s">
        <v>11823</v>
      </c>
      <c r="F6241" s="396" t="s">
        <v>11642</v>
      </c>
    </row>
    <row r="6242">
      <c r="A6242" s="311">
        <v>6241</v>
      </c>
      <c r="B6242" s="396" t="s">
        <v>11835</v>
      </c>
      <c r="C6242" s="396" t="s">
        <v>316</v>
      </c>
      <c r="D6242" s="396" t="s">
        <v>11822</v>
      </c>
      <c r="E6242" s="396" t="s">
        <v>11823</v>
      </c>
      <c r="F6242" s="396" t="s">
        <v>11642</v>
      </c>
    </row>
    <row r="6243">
      <c r="A6243" s="311">
        <v>6242</v>
      </c>
      <c r="B6243" s="396" t="s">
        <v>11836</v>
      </c>
      <c r="C6243" s="396" t="s">
        <v>11837</v>
      </c>
      <c r="D6243" s="396" t="s">
        <v>11822</v>
      </c>
      <c r="E6243" s="396" t="s">
        <v>11823</v>
      </c>
      <c r="F6243" s="396" t="s">
        <v>11642</v>
      </c>
    </row>
    <row r="6244">
      <c r="A6244" s="311">
        <v>6243</v>
      </c>
      <c r="B6244" s="396" t="s">
        <v>11838</v>
      </c>
      <c r="C6244" s="396" t="s">
        <v>10191</v>
      </c>
      <c r="D6244" s="396" t="s">
        <v>11822</v>
      </c>
      <c r="E6244" s="396" t="s">
        <v>11823</v>
      </c>
      <c r="F6244" s="396" t="s">
        <v>11642</v>
      </c>
    </row>
    <row r="6245">
      <c r="A6245" s="311">
        <v>6244</v>
      </c>
      <c r="B6245" s="396" t="s">
        <v>11839</v>
      </c>
      <c r="C6245" s="396" t="s">
        <v>11840</v>
      </c>
      <c r="D6245" s="396" t="s">
        <v>11822</v>
      </c>
      <c r="E6245" s="396" t="s">
        <v>11823</v>
      </c>
      <c r="F6245" s="396" t="s">
        <v>11642</v>
      </c>
    </row>
    <row r="6246">
      <c r="A6246" s="311">
        <v>6245</v>
      </c>
      <c r="B6246" s="396" t="s">
        <v>11841</v>
      </c>
      <c r="C6246" s="396" t="s">
        <v>9240</v>
      </c>
      <c r="D6246" s="396" t="s">
        <v>11822</v>
      </c>
      <c r="E6246" s="396" t="s">
        <v>11823</v>
      </c>
      <c r="F6246" s="396" t="s">
        <v>11642</v>
      </c>
    </row>
    <row r="6247">
      <c r="A6247" s="311">
        <v>6246</v>
      </c>
      <c r="B6247" s="396" t="s">
        <v>11842</v>
      </c>
      <c r="C6247" s="396" t="s">
        <v>6383</v>
      </c>
      <c r="D6247" s="396" t="s">
        <v>11822</v>
      </c>
      <c r="E6247" s="396" t="s">
        <v>11823</v>
      </c>
      <c r="F6247" s="396" t="s">
        <v>11642</v>
      </c>
    </row>
    <row r="6248">
      <c r="A6248" s="311">
        <v>6247</v>
      </c>
      <c r="B6248" s="396" t="s">
        <v>11843</v>
      </c>
      <c r="C6248" s="396" t="s">
        <v>9238</v>
      </c>
      <c r="D6248" s="396" t="s">
        <v>11822</v>
      </c>
      <c r="E6248" s="396" t="s">
        <v>11823</v>
      </c>
      <c r="F6248" s="396" t="s">
        <v>11642</v>
      </c>
    </row>
    <row r="6249">
      <c r="A6249" s="311">
        <v>6248</v>
      </c>
      <c r="B6249" s="396" t="s">
        <v>11844</v>
      </c>
      <c r="C6249" s="396" t="s">
        <v>11845</v>
      </c>
      <c r="D6249" s="396" t="s">
        <v>11822</v>
      </c>
      <c r="E6249" s="396" t="s">
        <v>11823</v>
      </c>
      <c r="F6249" s="396" t="s">
        <v>11642</v>
      </c>
    </row>
    <row r="6250">
      <c r="A6250" s="311">
        <v>6249</v>
      </c>
      <c r="B6250" s="396" t="s">
        <v>11846</v>
      </c>
      <c r="C6250" s="396" t="s">
        <v>11847</v>
      </c>
      <c r="D6250" s="396" t="s">
        <v>11822</v>
      </c>
      <c r="E6250" s="396" t="s">
        <v>11823</v>
      </c>
      <c r="F6250" s="396" t="s">
        <v>11642</v>
      </c>
    </row>
    <row r="6251">
      <c r="A6251" s="311">
        <v>6250</v>
      </c>
      <c r="B6251" s="396" t="s">
        <v>11848</v>
      </c>
      <c r="C6251" s="396" t="s">
        <v>11849</v>
      </c>
      <c r="D6251" s="396" t="s">
        <v>11822</v>
      </c>
      <c r="E6251" s="396" t="s">
        <v>11823</v>
      </c>
      <c r="F6251" s="396" t="s">
        <v>11642</v>
      </c>
    </row>
    <row r="6252">
      <c r="A6252" s="311">
        <v>6251</v>
      </c>
      <c r="B6252" s="396" t="s">
        <v>11850</v>
      </c>
      <c r="C6252" s="396" t="s">
        <v>10178</v>
      </c>
      <c r="D6252" s="396" t="s">
        <v>11822</v>
      </c>
      <c r="E6252" s="396" t="s">
        <v>11823</v>
      </c>
      <c r="F6252" s="396" t="s">
        <v>11642</v>
      </c>
    </row>
    <row r="6253">
      <c r="A6253" s="311">
        <v>6252</v>
      </c>
      <c r="B6253" s="396" t="s">
        <v>11851</v>
      </c>
      <c r="C6253" s="396" t="s">
        <v>11852</v>
      </c>
      <c r="D6253" s="396" t="s">
        <v>11822</v>
      </c>
      <c r="E6253" s="396" t="s">
        <v>11823</v>
      </c>
      <c r="F6253" s="396" t="s">
        <v>11642</v>
      </c>
    </row>
    <row r="6254">
      <c r="A6254" s="311">
        <v>6253</v>
      </c>
      <c r="B6254" s="396" t="s">
        <v>11853</v>
      </c>
      <c r="C6254" s="396" t="s">
        <v>11854</v>
      </c>
      <c r="D6254" s="396" t="s">
        <v>11855</v>
      </c>
      <c r="E6254" s="396" t="s">
        <v>11856</v>
      </c>
      <c r="F6254" s="396" t="s">
        <v>11642</v>
      </c>
    </row>
    <row r="6255">
      <c r="A6255" s="311">
        <v>6254</v>
      </c>
      <c r="B6255" s="396" t="s">
        <v>11857</v>
      </c>
      <c r="C6255" s="396" t="s">
        <v>11858</v>
      </c>
      <c r="D6255" s="396" t="s">
        <v>11855</v>
      </c>
      <c r="E6255" s="396" t="s">
        <v>11856</v>
      </c>
      <c r="F6255" s="396" t="s">
        <v>11642</v>
      </c>
    </row>
    <row r="6256">
      <c r="A6256" s="311">
        <v>6255</v>
      </c>
      <c r="B6256" s="396" t="s">
        <v>11859</v>
      </c>
      <c r="C6256" s="396" t="s">
        <v>11860</v>
      </c>
      <c r="D6256" s="396" t="s">
        <v>11855</v>
      </c>
      <c r="E6256" s="396" t="s">
        <v>11856</v>
      </c>
      <c r="F6256" s="396" t="s">
        <v>11642</v>
      </c>
    </row>
    <row r="6257">
      <c r="A6257" s="311">
        <v>6256</v>
      </c>
      <c r="B6257" s="396" t="s">
        <v>11861</v>
      </c>
      <c r="C6257" s="396" t="s">
        <v>11862</v>
      </c>
      <c r="D6257" s="396" t="s">
        <v>11855</v>
      </c>
      <c r="E6257" s="396" t="s">
        <v>11856</v>
      </c>
      <c r="F6257" s="396" t="s">
        <v>11642</v>
      </c>
    </row>
    <row r="6258">
      <c r="A6258" s="311">
        <v>6257</v>
      </c>
      <c r="B6258" s="396" t="s">
        <v>11863</v>
      </c>
      <c r="C6258" s="396" t="s">
        <v>11864</v>
      </c>
      <c r="D6258" s="396" t="s">
        <v>11855</v>
      </c>
      <c r="E6258" s="396" t="s">
        <v>11856</v>
      </c>
      <c r="F6258" s="396" t="s">
        <v>11642</v>
      </c>
    </row>
    <row r="6259">
      <c r="A6259" s="311">
        <v>6258</v>
      </c>
      <c r="B6259" s="396" t="s">
        <v>11865</v>
      </c>
      <c r="C6259" s="396" t="s">
        <v>11866</v>
      </c>
      <c r="D6259" s="396" t="s">
        <v>11855</v>
      </c>
      <c r="E6259" s="396" t="s">
        <v>11856</v>
      </c>
      <c r="F6259" s="396" t="s">
        <v>11642</v>
      </c>
    </row>
    <row r="6260">
      <c r="A6260" s="311">
        <v>6259</v>
      </c>
      <c r="B6260" s="396" t="s">
        <v>11867</v>
      </c>
      <c r="C6260" s="396" t="s">
        <v>11868</v>
      </c>
      <c r="D6260" s="396" t="s">
        <v>11855</v>
      </c>
      <c r="E6260" s="396" t="s">
        <v>11856</v>
      </c>
      <c r="F6260" s="396" t="s">
        <v>11642</v>
      </c>
    </row>
    <row r="6261">
      <c r="A6261" s="311">
        <v>6260</v>
      </c>
      <c r="B6261" s="396" t="s">
        <v>11869</v>
      </c>
      <c r="C6261" s="396" t="s">
        <v>11870</v>
      </c>
      <c r="D6261" s="396" t="s">
        <v>11855</v>
      </c>
      <c r="E6261" s="396" t="s">
        <v>11856</v>
      </c>
      <c r="F6261" s="396" t="s">
        <v>11642</v>
      </c>
    </row>
    <row r="6262">
      <c r="A6262" s="311">
        <v>6261</v>
      </c>
      <c r="B6262" s="396" t="s">
        <v>11871</v>
      </c>
      <c r="C6262" s="396" t="s">
        <v>11872</v>
      </c>
      <c r="D6262" s="396" t="s">
        <v>11855</v>
      </c>
      <c r="E6262" s="396" t="s">
        <v>11856</v>
      </c>
      <c r="F6262" s="396" t="s">
        <v>11642</v>
      </c>
    </row>
    <row r="6263">
      <c r="A6263" s="311">
        <v>6262</v>
      </c>
      <c r="B6263" s="396" t="s">
        <v>11873</v>
      </c>
      <c r="C6263" s="396" t="s">
        <v>11874</v>
      </c>
      <c r="D6263" s="396" t="s">
        <v>11855</v>
      </c>
      <c r="E6263" s="396" t="s">
        <v>11856</v>
      </c>
      <c r="F6263" s="396" t="s">
        <v>11642</v>
      </c>
    </row>
    <row r="6264">
      <c r="A6264" s="311">
        <v>6263</v>
      </c>
      <c r="B6264" s="396" t="s">
        <v>11875</v>
      </c>
      <c r="C6264" s="396" t="s">
        <v>9102</v>
      </c>
      <c r="D6264" s="396" t="s">
        <v>11855</v>
      </c>
      <c r="E6264" s="396" t="s">
        <v>11856</v>
      </c>
      <c r="F6264" s="396" t="s">
        <v>11642</v>
      </c>
    </row>
    <row r="6265">
      <c r="A6265" s="311">
        <v>6264</v>
      </c>
      <c r="B6265" s="396" t="s">
        <v>11876</v>
      </c>
      <c r="C6265" s="396" t="s">
        <v>6355</v>
      </c>
      <c r="D6265" s="396" t="s">
        <v>11855</v>
      </c>
      <c r="E6265" s="396" t="s">
        <v>11856</v>
      </c>
      <c r="F6265" s="396" t="s">
        <v>11642</v>
      </c>
    </row>
    <row r="6266">
      <c r="A6266" s="311">
        <v>6265</v>
      </c>
      <c r="B6266" s="396" t="s">
        <v>11877</v>
      </c>
      <c r="C6266" s="396" t="s">
        <v>11878</v>
      </c>
      <c r="D6266" s="396" t="s">
        <v>11855</v>
      </c>
      <c r="E6266" s="396" t="s">
        <v>11856</v>
      </c>
      <c r="F6266" s="396" t="s">
        <v>11642</v>
      </c>
    </row>
    <row r="6267">
      <c r="A6267" s="311">
        <v>6266</v>
      </c>
      <c r="B6267" s="396" t="s">
        <v>11879</v>
      </c>
      <c r="C6267" s="396" t="s">
        <v>11880</v>
      </c>
      <c r="D6267" s="396" t="s">
        <v>11855</v>
      </c>
      <c r="E6267" s="396" t="s">
        <v>11856</v>
      </c>
      <c r="F6267" s="396" t="s">
        <v>11642</v>
      </c>
    </row>
    <row r="6268">
      <c r="A6268" s="311">
        <v>6267</v>
      </c>
      <c r="B6268" s="396" t="s">
        <v>11881</v>
      </c>
      <c r="C6268" s="396" t="s">
        <v>11882</v>
      </c>
      <c r="D6268" s="396" t="s">
        <v>11855</v>
      </c>
      <c r="E6268" s="396" t="s">
        <v>11856</v>
      </c>
      <c r="F6268" s="396" t="s">
        <v>11642</v>
      </c>
    </row>
    <row r="6269">
      <c r="A6269" s="311">
        <v>6268</v>
      </c>
      <c r="B6269" s="396" t="s">
        <v>11883</v>
      </c>
      <c r="C6269" s="396" t="s">
        <v>10451</v>
      </c>
      <c r="D6269" s="396" t="s">
        <v>11855</v>
      </c>
      <c r="E6269" s="396" t="s">
        <v>11856</v>
      </c>
      <c r="F6269" s="396" t="s">
        <v>11642</v>
      </c>
    </row>
    <row r="6270">
      <c r="A6270" s="311">
        <v>6269</v>
      </c>
      <c r="B6270" s="396" t="s">
        <v>11884</v>
      </c>
      <c r="C6270" s="396" t="s">
        <v>11885</v>
      </c>
      <c r="D6270" s="396" t="s">
        <v>11855</v>
      </c>
      <c r="E6270" s="396" t="s">
        <v>11856</v>
      </c>
      <c r="F6270" s="396" t="s">
        <v>11642</v>
      </c>
    </row>
    <row r="6271">
      <c r="A6271" s="311">
        <v>6270</v>
      </c>
      <c r="B6271" s="396" t="s">
        <v>11886</v>
      </c>
      <c r="C6271" s="396" t="s">
        <v>6576</v>
      </c>
      <c r="D6271" s="396" t="s">
        <v>11855</v>
      </c>
      <c r="E6271" s="396" t="s">
        <v>11856</v>
      </c>
      <c r="F6271" s="396" t="s">
        <v>11642</v>
      </c>
    </row>
    <row r="6272">
      <c r="A6272" s="311">
        <v>6271</v>
      </c>
      <c r="B6272" s="396" t="s">
        <v>11887</v>
      </c>
      <c r="C6272" s="396" t="s">
        <v>11888</v>
      </c>
      <c r="D6272" s="396" t="s">
        <v>11855</v>
      </c>
      <c r="E6272" s="396" t="s">
        <v>11856</v>
      </c>
      <c r="F6272" s="396" t="s">
        <v>11642</v>
      </c>
    </row>
    <row r="6273">
      <c r="A6273" s="311">
        <v>6272</v>
      </c>
      <c r="B6273" s="396" t="s">
        <v>11889</v>
      </c>
      <c r="C6273" s="396" t="s">
        <v>10476</v>
      </c>
      <c r="D6273" s="396" t="s">
        <v>11855</v>
      </c>
      <c r="E6273" s="396" t="s">
        <v>11856</v>
      </c>
      <c r="F6273" s="396" t="s">
        <v>11642</v>
      </c>
    </row>
    <row r="6274">
      <c r="A6274" s="311">
        <v>6273</v>
      </c>
      <c r="B6274" s="396" t="s">
        <v>11890</v>
      </c>
      <c r="C6274" s="396" t="s">
        <v>10443</v>
      </c>
      <c r="D6274" s="396" t="s">
        <v>11855</v>
      </c>
      <c r="E6274" s="396" t="s">
        <v>11856</v>
      </c>
      <c r="F6274" s="396" t="s">
        <v>11642</v>
      </c>
    </row>
    <row r="6275">
      <c r="A6275" s="311">
        <v>6274</v>
      </c>
      <c r="B6275" s="396" t="s">
        <v>11891</v>
      </c>
      <c r="C6275" s="396" t="s">
        <v>8578</v>
      </c>
      <c r="D6275" s="396" t="s">
        <v>11855</v>
      </c>
      <c r="E6275" s="396" t="s">
        <v>11856</v>
      </c>
      <c r="F6275" s="396" t="s">
        <v>11642</v>
      </c>
    </row>
    <row r="6276">
      <c r="A6276" s="311">
        <v>6275</v>
      </c>
      <c r="B6276" s="396" t="s">
        <v>11892</v>
      </c>
      <c r="C6276" s="396" t="s">
        <v>11893</v>
      </c>
      <c r="D6276" s="396" t="s">
        <v>11855</v>
      </c>
      <c r="E6276" s="396" t="s">
        <v>11856</v>
      </c>
      <c r="F6276" s="396" t="s">
        <v>11642</v>
      </c>
    </row>
    <row r="6277">
      <c r="A6277" s="311">
        <v>6276</v>
      </c>
      <c r="B6277" s="396" t="s">
        <v>11894</v>
      </c>
      <c r="C6277" s="396" t="s">
        <v>11895</v>
      </c>
      <c r="D6277" s="396" t="s">
        <v>11896</v>
      </c>
      <c r="E6277" s="396" t="s">
        <v>11897</v>
      </c>
      <c r="F6277" s="396" t="s">
        <v>11642</v>
      </c>
    </row>
    <row r="6278">
      <c r="A6278" s="311">
        <v>6277</v>
      </c>
      <c r="B6278" s="396" t="s">
        <v>11898</v>
      </c>
      <c r="C6278" s="396" t="s">
        <v>11899</v>
      </c>
      <c r="D6278" s="396" t="s">
        <v>11896</v>
      </c>
      <c r="E6278" s="396" t="s">
        <v>11897</v>
      </c>
      <c r="F6278" s="396" t="s">
        <v>11642</v>
      </c>
    </row>
    <row r="6279">
      <c r="A6279" s="311">
        <v>6278</v>
      </c>
      <c r="B6279" s="396" t="s">
        <v>11900</v>
      </c>
      <c r="C6279" s="396" t="s">
        <v>11901</v>
      </c>
      <c r="D6279" s="396" t="s">
        <v>11896</v>
      </c>
      <c r="E6279" s="396" t="s">
        <v>11897</v>
      </c>
      <c r="F6279" s="396" t="s">
        <v>11642</v>
      </c>
    </row>
    <row r="6280">
      <c r="A6280" s="311">
        <v>6279</v>
      </c>
      <c r="B6280" s="396" t="s">
        <v>11902</v>
      </c>
      <c r="C6280" s="396" t="s">
        <v>11903</v>
      </c>
      <c r="D6280" s="396" t="s">
        <v>11896</v>
      </c>
      <c r="E6280" s="396" t="s">
        <v>11897</v>
      </c>
      <c r="F6280" s="396" t="s">
        <v>11642</v>
      </c>
    </row>
    <row r="6281">
      <c r="A6281" s="311">
        <v>6280</v>
      </c>
      <c r="B6281" s="396" t="s">
        <v>11904</v>
      </c>
      <c r="C6281" s="396" t="s">
        <v>11905</v>
      </c>
      <c r="D6281" s="396" t="s">
        <v>11896</v>
      </c>
      <c r="E6281" s="396" t="s">
        <v>11897</v>
      </c>
      <c r="F6281" s="396" t="s">
        <v>11642</v>
      </c>
    </row>
    <row r="6282">
      <c r="A6282" s="311">
        <v>6281</v>
      </c>
      <c r="B6282" s="396" t="s">
        <v>11906</v>
      </c>
      <c r="C6282" s="396" t="s">
        <v>11907</v>
      </c>
      <c r="D6282" s="396" t="s">
        <v>11896</v>
      </c>
      <c r="E6282" s="396" t="s">
        <v>11897</v>
      </c>
      <c r="F6282" s="396" t="s">
        <v>11642</v>
      </c>
    </row>
    <row r="6283">
      <c r="A6283" s="311">
        <v>6282</v>
      </c>
      <c r="B6283" s="396" t="s">
        <v>11908</v>
      </c>
      <c r="C6283" s="396" t="s">
        <v>11909</v>
      </c>
      <c r="D6283" s="396" t="s">
        <v>11896</v>
      </c>
      <c r="E6283" s="396" t="s">
        <v>11897</v>
      </c>
      <c r="F6283" s="396" t="s">
        <v>11642</v>
      </c>
    </row>
    <row r="6284">
      <c r="A6284" s="311">
        <v>6283</v>
      </c>
      <c r="B6284" s="396" t="s">
        <v>11910</v>
      </c>
      <c r="C6284" s="396" t="s">
        <v>11911</v>
      </c>
      <c r="D6284" s="396" t="s">
        <v>11896</v>
      </c>
      <c r="E6284" s="396" t="s">
        <v>11897</v>
      </c>
      <c r="F6284" s="396" t="s">
        <v>11642</v>
      </c>
    </row>
    <row r="6285">
      <c r="A6285" s="311">
        <v>6284</v>
      </c>
      <c r="B6285" s="396" t="s">
        <v>11912</v>
      </c>
      <c r="C6285" s="396" t="s">
        <v>5049</v>
      </c>
      <c r="D6285" s="396" t="s">
        <v>11896</v>
      </c>
      <c r="E6285" s="396" t="s">
        <v>11897</v>
      </c>
      <c r="F6285" s="396" t="s">
        <v>11642</v>
      </c>
    </row>
    <row r="6286">
      <c r="A6286" s="311">
        <v>6285</v>
      </c>
      <c r="B6286" s="396" t="s">
        <v>11913</v>
      </c>
      <c r="C6286" s="396" t="s">
        <v>11914</v>
      </c>
      <c r="D6286" s="396" t="s">
        <v>11896</v>
      </c>
      <c r="E6286" s="396" t="s">
        <v>11897</v>
      </c>
      <c r="F6286" s="396" t="s">
        <v>11642</v>
      </c>
    </row>
    <row r="6287">
      <c r="A6287" s="311">
        <v>6286</v>
      </c>
      <c r="B6287" s="396" t="s">
        <v>11915</v>
      </c>
      <c r="C6287" s="396" t="s">
        <v>11916</v>
      </c>
      <c r="D6287" s="396" t="s">
        <v>11896</v>
      </c>
      <c r="E6287" s="396" t="s">
        <v>11897</v>
      </c>
      <c r="F6287" s="396" t="s">
        <v>11642</v>
      </c>
    </row>
    <row r="6288">
      <c r="A6288" s="311">
        <v>6287</v>
      </c>
      <c r="B6288" s="396" t="s">
        <v>11917</v>
      </c>
      <c r="C6288" s="396" t="s">
        <v>11918</v>
      </c>
      <c r="D6288" s="396" t="s">
        <v>11896</v>
      </c>
      <c r="E6288" s="396" t="s">
        <v>11897</v>
      </c>
      <c r="F6288" s="396" t="s">
        <v>11642</v>
      </c>
    </row>
    <row r="6289">
      <c r="A6289" s="311">
        <v>6288</v>
      </c>
      <c r="B6289" s="396" t="s">
        <v>11919</v>
      </c>
      <c r="C6289" s="396" t="s">
        <v>11920</v>
      </c>
      <c r="D6289" s="396" t="s">
        <v>11896</v>
      </c>
      <c r="E6289" s="396" t="s">
        <v>11897</v>
      </c>
      <c r="F6289" s="396" t="s">
        <v>11642</v>
      </c>
    </row>
    <row r="6290">
      <c r="A6290" s="311">
        <v>6289</v>
      </c>
      <c r="B6290" s="396" t="s">
        <v>11921</v>
      </c>
      <c r="C6290" s="396" t="s">
        <v>11922</v>
      </c>
      <c r="D6290" s="396" t="s">
        <v>11896</v>
      </c>
      <c r="E6290" s="396" t="s">
        <v>11897</v>
      </c>
      <c r="F6290" s="396" t="s">
        <v>11642</v>
      </c>
    </row>
    <row r="6291">
      <c r="A6291" s="311">
        <v>6290</v>
      </c>
      <c r="B6291" s="396" t="s">
        <v>11923</v>
      </c>
      <c r="C6291" s="396" t="s">
        <v>11924</v>
      </c>
      <c r="D6291" s="396" t="s">
        <v>11896</v>
      </c>
      <c r="E6291" s="396" t="s">
        <v>11897</v>
      </c>
      <c r="F6291" s="396" t="s">
        <v>11642</v>
      </c>
    </row>
    <row r="6292">
      <c r="A6292" s="311">
        <v>6291</v>
      </c>
      <c r="B6292" s="396" t="s">
        <v>11925</v>
      </c>
      <c r="C6292" s="396" t="s">
        <v>11926</v>
      </c>
      <c r="D6292" s="396" t="s">
        <v>11896</v>
      </c>
      <c r="E6292" s="396" t="s">
        <v>11897</v>
      </c>
      <c r="F6292" s="396" t="s">
        <v>11642</v>
      </c>
    </row>
    <row r="6293">
      <c r="A6293" s="311">
        <v>6292</v>
      </c>
      <c r="B6293" s="396" t="s">
        <v>11927</v>
      </c>
      <c r="C6293" s="396" t="s">
        <v>11928</v>
      </c>
      <c r="D6293" s="396" t="s">
        <v>11896</v>
      </c>
      <c r="E6293" s="396" t="s">
        <v>11897</v>
      </c>
      <c r="F6293" s="396" t="s">
        <v>11642</v>
      </c>
    </row>
    <row r="6294">
      <c r="A6294" s="311">
        <v>6293</v>
      </c>
      <c r="B6294" s="396" t="s">
        <v>11929</v>
      </c>
      <c r="C6294" s="396" t="s">
        <v>11930</v>
      </c>
      <c r="D6294" s="396" t="s">
        <v>11896</v>
      </c>
      <c r="E6294" s="396" t="s">
        <v>11897</v>
      </c>
      <c r="F6294" s="396" t="s">
        <v>11642</v>
      </c>
    </row>
    <row r="6295">
      <c r="A6295" s="311">
        <v>6294</v>
      </c>
      <c r="B6295" s="396" t="s">
        <v>11931</v>
      </c>
      <c r="C6295" s="396" t="s">
        <v>11932</v>
      </c>
      <c r="D6295" s="396" t="s">
        <v>11896</v>
      </c>
      <c r="E6295" s="396" t="s">
        <v>11897</v>
      </c>
      <c r="F6295" s="396" t="s">
        <v>11642</v>
      </c>
    </row>
    <row r="6296">
      <c r="A6296" s="311">
        <v>6295</v>
      </c>
      <c r="B6296" s="396" t="s">
        <v>11933</v>
      </c>
      <c r="C6296" s="396" t="s">
        <v>11934</v>
      </c>
      <c r="D6296" s="396" t="s">
        <v>11896</v>
      </c>
      <c r="E6296" s="396" t="s">
        <v>11897</v>
      </c>
      <c r="F6296" s="396" t="s">
        <v>11642</v>
      </c>
    </row>
    <row r="6297">
      <c r="A6297" s="311">
        <v>6296</v>
      </c>
      <c r="B6297" s="396" t="s">
        <v>11935</v>
      </c>
      <c r="C6297" s="396" t="s">
        <v>6090</v>
      </c>
      <c r="D6297" s="396" t="s">
        <v>11896</v>
      </c>
      <c r="E6297" s="396" t="s">
        <v>11897</v>
      </c>
      <c r="F6297" s="396" t="s">
        <v>11642</v>
      </c>
    </row>
    <row r="6298">
      <c r="A6298" s="311">
        <v>6297</v>
      </c>
      <c r="B6298" s="396" t="s">
        <v>11936</v>
      </c>
      <c r="C6298" s="396" t="s">
        <v>11937</v>
      </c>
      <c r="D6298" s="396" t="s">
        <v>11896</v>
      </c>
      <c r="E6298" s="396" t="s">
        <v>11897</v>
      </c>
      <c r="F6298" s="396" t="s">
        <v>11642</v>
      </c>
    </row>
    <row r="6299">
      <c r="A6299" s="311">
        <v>6298</v>
      </c>
      <c r="B6299" s="396" t="s">
        <v>11938</v>
      </c>
      <c r="C6299" s="396" t="s">
        <v>11939</v>
      </c>
      <c r="D6299" s="396" t="s">
        <v>11940</v>
      </c>
      <c r="E6299" s="396" t="s">
        <v>11941</v>
      </c>
      <c r="F6299" s="396" t="s">
        <v>11642</v>
      </c>
    </row>
    <row r="6300">
      <c r="A6300" s="311">
        <v>6299</v>
      </c>
      <c r="B6300" s="396" t="s">
        <v>11942</v>
      </c>
      <c r="C6300" s="396" t="s">
        <v>4494</v>
      </c>
      <c r="D6300" s="396" t="s">
        <v>11940</v>
      </c>
      <c r="E6300" s="396" t="s">
        <v>11941</v>
      </c>
      <c r="F6300" s="396" t="s">
        <v>11642</v>
      </c>
    </row>
    <row r="6301">
      <c r="A6301" s="311">
        <v>6300</v>
      </c>
      <c r="B6301" s="396" t="s">
        <v>11943</v>
      </c>
      <c r="C6301" s="396" t="s">
        <v>11944</v>
      </c>
      <c r="D6301" s="396" t="s">
        <v>11940</v>
      </c>
      <c r="E6301" s="396" t="s">
        <v>11941</v>
      </c>
      <c r="F6301" s="396" t="s">
        <v>11642</v>
      </c>
    </row>
    <row r="6302">
      <c r="A6302" s="311">
        <v>6301</v>
      </c>
      <c r="B6302" s="396" t="s">
        <v>11945</v>
      </c>
      <c r="C6302" s="396" t="s">
        <v>11946</v>
      </c>
      <c r="D6302" s="396" t="s">
        <v>11940</v>
      </c>
      <c r="E6302" s="396" t="s">
        <v>11941</v>
      </c>
      <c r="F6302" s="396" t="s">
        <v>11642</v>
      </c>
    </row>
    <row r="6303">
      <c r="A6303" s="311">
        <v>6302</v>
      </c>
      <c r="B6303" s="396" t="s">
        <v>11947</v>
      </c>
      <c r="C6303" s="396" t="s">
        <v>11948</v>
      </c>
      <c r="D6303" s="396" t="s">
        <v>11940</v>
      </c>
      <c r="E6303" s="396" t="s">
        <v>11941</v>
      </c>
      <c r="F6303" s="396" t="s">
        <v>11642</v>
      </c>
    </row>
    <row r="6304">
      <c r="A6304" s="311">
        <v>6303</v>
      </c>
      <c r="B6304" s="396" t="s">
        <v>11949</v>
      </c>
      <c r="C6304" s="396" t="s">
        <v>5944</v>
      </c>
      <c r="D6304" s="396" t="s">
        <v>11940</v>
      </c>
      <c r="E6304" s="396" t="s">
        <v>11941</v>
      </c>
      <c r="F6304" s="396" t="s">
        <v>11642</v>
      </c>
    </row>
    <row r="6305">
      <c r="A6305" s="311">
        <v>6304</v>
      </c>
      <c r="B6305" s="396" t="s">
        <v>11950</v>
      </c>
      <c r="C6305" s="396" t="s">
        <v>11951</v>
      </c>
      <c r="D6305" s="396" t="s">
        <v>11940</v>
      </c>
      <c r="E6305" s="396" t="s">
        <v>11941</v>
      </c>
      <c r="F6305" s="396" t="s">
        <v>11642</v>
      </c>
    </row>
    <row r="6306">
      <c r="A6306" s="311">
        <v>6305</v>
      </c>
      <c r="B6306" s="396" t="s">
        <v>11952</v>
      </c>
      <c r="C6306" s="396" t="s">
        <v>11953</v>
      </c>
      <c r="D6306" s="396" t="s">
        <v>11940</v>
      </c>
      <c r="E6306" s="396" t="s">
        <v>11941</v>
      </c>
      <c r="F6306" s="396" t="s">
        <v>11642</v>
      </c>
    </row>
    <row r="6307">
      <c r="A6307" s="311">
        <v>6306</v>
      </c>
      <c r="B6307" s="396" t="s">
        <v>11954</v>
      </c>
      <c r="C6307" s="396" t="s">
        <v>11955</v>
      </c>
      <c r="D6307" s="396" t="s">
        <v>11940</v>
      </c>
      <c r="E6307" s="396" t="s">
        <v>11941</v>
      </c>
      <c r="F6307" s="396" t="s">
        <v>11642</v>
      </c>
    </row>
    <row r="6308">
      <c r="A6308" s="311">
        <v>6307</v>
      </c>
      <c r="B6308" s="396" t="s">
        <v>11956</v>
      </c>
      <c r="C6308" s="396" t="s">
        <v>11957</v>
      </c>
      <c r="D6308" s="396" t="s">
        <v>11940</v>
      </c>
      <c r="E6308" s="396" t="s">
        <v>11941</v>
      </c>
      <c r="F6308" s="396" t="s">
        <v>11642</v>
      </c>
    </row>
    <row r="6309">
      <c r="A6309" s="311">
        <v>6308</v>
      </c>
      <c r="B6309" s="396" t="s">
        <v>11958</v>
      </c>
      <c r="C6309" s="396" t="s">
        <v>9979</v>
      </c>
      <c r="D6309" s="396" t="s">
        <v>11940</v>
      </c>
      <c r="E6309" s="396" t="s">
        <v>11941</v>
      </c>
      <c r="F6309" s="396" t="s">
        <v>11642</v>
      </c>
    </row>
    <row r="6310">
      <c r="A6310" s="311">
        <v>6309</v>
      </c>
      <c r="B6310" s="396" t="s">
        <v>11959</v>
      </c>
      <c r="C6310" s="396" t="s">
        <v>11960</v>
      </c>
      <c r="D6310" s="396" t="s">
        <v>11940</v>
      </c>
      <c r="E6310" s="396" t="s">
        <v>11941</v>
      </c>
      <c r="F6310" s="396" t="s">
        <v>11642</v>
      </c>
    </row>
    <row r="6311">
      <c r="A6311" s="311">
        <v>6310</v>
      </c>
      <c r="B6311" s="396" t="s">
        <v>11961</v>
      </c>
      <c r="C6311" s="396" t="s">
        <v>11962</v>
      </c>
      <c r="D6311" s="396" t="s">
        <v>11940</v>
      </c>
      <c r="E6311" s="396" t="s">
        <v>11941</v>
      </c>
      <c r="F6311" s="396" t="s">
        <v>11642</v>
      </c>
    </row>
    <row r="6312">
      <c r="A6312" s="311">
        <v>6311</v>
      </c>
      <c r="B6312" s="396" t="s">
        <v>11963</v>
      </c>
      <c r="C6312" s="396" t="s">
        <v>11964</v>
      </c>
      <c r="D6312" s="396" t="s">
        <v>11940</v>
      </c>
      <c r="E6312" s="396" t="s">
        <v>11941</v>
      </c>
      <c r="F6312" s="396" t="s">
        <v>11642</v>
      </c>
    </row>
    <row r="6313">
      <c r="A6313" s="311">
        <v>6312</v>
      </c>
      <c r="B6313" s="396" t="s">
        <v>11965</v>
      </c>
      <c r="C6313" s="396" t="s">
        <v>11966</v>
      </c>
      <c r="D6313" s="396" t="s">
        <v>11940</v>
      </c>
      <c r="E6313" s="396" t="s">
        <v>11941</v>
      </c>
      <c r="F6313" s="396" t="s">
        <v>11642</v>
      </c>
    </row>
    <row r="6314">
      <c r="A6314" s="311">
        <v>6313</v>
      </c>
      <c r="B6314" s="396" t="s">
        <v>11967</v>
      </c>
      <c r="C6314" s="396" t="s">
        <v>11968</v>
      </c>
      <c r="D6314" s="396" t="s">
        <v>11940</v>
      </c>
      <c r="E6314" s="396" t="s">
        <v>11941</v>
      </c>
      <c r="F6314" s="396" t="s">
        <v>11642</v>
      </c>
    </row>
    <row r="6315">
      <c r="A6315" s="311">
        <v>6314</v>
      </c>
      <c r="B6315" s="396" t="s">
        <v>11969</v>
      </c>
      <c r="C6315" s="396" t="s">
        <v>11970</v>
      </c>
      <c r="D6315" s="396" t="s">
        <v>11940</v>
      </c>
      <c r="E6315" s="396" t="s">
        <v>11941</v>
      </c>
      <c r="F6315" s="396" t="s">
        <v>11642</v>
      </c>
    </row>
    <row r="6316">
      <c r="A6316" s="311">
        <v>6315</v>
      </c>
      <c r="B6316" s="396" t="s">
        <v>11971</v>
      </c>
      <c r="C6316" s="396" t="s">
        <v>10655</v>
      </c>
      <c r="D6316" s="396" t="s">
        <v>11940</v>
      </c>
      <c r="E6316" s="396" t="s">
        <v>11941</v>
      </c>
      <c r="F6316" s="396" t="s">
        <v>11642</v>
      </c>
    </row>
    <row r="6317">
      <c r="A6317" s="311">
        <v>6316</v>
      </c>
      <c r="B6317" s="396" t="s">
        <v>11972</v>
      </c>
      <c r="C6317" s="396" t="s">
        <v>11973</v>
      </c>
      <c r="D6317" s="396" t="s">
        <v>11940</v>
      </c>
      <c r="E6317" s="396" t="s">
        <v>11941</v>
      </c>
      <c r="F6317" s="396" t="s">
        <v>11642</v>
      </c>
    </row>
    <row r="6318">
      <c r="A6318" s="311">
        <v>6317</v>
      </c>
      <c r="B6318" s="396" t="s">
        <v>11974</v>
      </c>
      <c r="C6318" s="396" t="s">
        <v>11975</v>
      </c>
      <c r="D6318" s="396" t="s">
        <v>11940</v>
      </c>
      <c r="E6318" s="396" t="s">
        <v>11941</v>
      </c>
      <c r="F6318" s="396" t="s">
        <v>11642</v>
      </c>
    </row>
    <row r="6319">
      <c r="A6319" s="311">
        <v>6318</v>
      </c>
      <c r="B6319" s="396" t="s">
        <v>11976</v>
      </c>
      <c r="C6319" s="396" t="s">
        <v>11977</v>
      </c>
      <c r="D6319" s="396" t="s">
        <v>11940</v>
      </c>
      <c r="E6319" s="396" t="s">
        <v>11941</v>
      </c>
      <c r="F6319" s="396" t="s">
        <v>11642</v>
      </c>
    </row>
    <row r="6320">
      <c r="A6320" s="311">
        <v>6319</v>
      </c>
      <c r="B6320" s="396" t="s">
        <v>11978</v>
      </c>
      <c r="C6320" s="396" t="s">
        <v>11979</v>
      </c>
      <c r="D6320" s="396" t="s">
        <v>11940</v>
      </c>
      <c r="E6320" s="396" t="s">
        <v>11941</v>
      </c>
      <c r="F6320" s="396" t="s">
        <v>11642</v>
      </c>
    </row>
    <row r="6321">
      <c r="A6321" s="311">
        <v>6320</v>
      </c>
      <c r="B6321" s="396" t="s">
        <v>11980</v>
      </c>
      <c r="C6321" s="396" t="s">
        <v>11981</v>
      </c>
      <c r="D6321" s="396" t="s">
        <v>11940</v>
      </c>
      <c r="E6321" s="396" t="s">
        <v>11941</v>
      </c>
      <c r="F6321" s="396" t="s">
        <v>11642</v>
      </c>
    </row>
    <row r="6322">
      <c r="A6322" s="311">
        <v>6321</v>
      </c>
      <c r="B6322" s="396" t="s">
        <v>11982</v>
      </c>
      <c r="C6322" s="396" t="s">
        <v>286</v>
      </c>
      <c r="D6322" s="396" t="s">
        <v>11940</v>
      </c>
      <c r="E6322" s="396" t="s">
        <v>11941</v>
      </c>
      <c r="F6322" s="396" t="s">
        <v>11642</v>
      </c>
    </row>
    <row r="6323">
      <c r="A6323" s="311">
        <v>6322</v>
      </c>
      <c r="B6323" s="396" t="s">
        <v>11983</v>
      </c>
      <c r="C6323" s="396" t="s">
        <v>11984</v>
      </c>
      <c r="D6323" s="396" t="s">
        <v>11940</v>
      </c>
      <c r="E6323" s="396" t="s">
        <v>11941</v>
      </c>
      <c r="F6323" s="396" t="s">
        <v>11642</v>
      </c>
    </row>
    <row r="6324">
      <c r="A6324" s="311">
        <v>6323</v>
      </c>
      <c r="B6324" s="396" t="s">
        <v>11985</v>
      </c>
      <c r="C6324" s="396" t="s">
        <v>9965</v>
      </c>
      <c r="D6324" s="396" t="s">
        <v>11940</v>
      </c>
      <c r="E6324" s="396" t="s">
        <v>11941</v>
      </c>
      <c r="F6324" s="396" t="s">
        <v>11642</v>
      </c>
    </row>
    <row r="6325">
      <c r="A6325" s="311">
        <v>6324</v>
      </c>
      <c r="B6325" s="396" t="s">
        <v>11986</v>
      </c>
      <c r="C6325" s="396" t="s">
        <v>1659</v>
      </c>
      <c r="D6325" s="396" t="s">
        <v>11940</v>
      </c>
      <c r="E6325" s="396" t="s">
        <v>11941</v>
      </c>
      <c r="F6325" s="396" t="s">
        <v>11642</v>
      </c>
    </row>
    <row r="6326">
      <c r="A6326" s="311">
        <v>6325</v>
      </c>
      <c r="B6326" s="396" t="s">
        <v>11987</v>
      </c>
      <c r="C6326" s="396" t="s">
        <v>11988</v>
      </c>
      <c r="D6326" s="396" t="s">
        <v>11940</v>
      </c>
      <c r="E6326" s="396" t="s">
        <v>11941</v>
      </c>
      <c r="F6326" s="396" t="s">
        <v>11642</v>
      </c>
    </row>
    <row r="6327">
      <c r="A6327" s="311">
        <v>6326</v>
      </c>
      <c r="B6327" s="396" t="s">
        <v>11989</v>
      </c>
      <c r="C6327" s="396" t="s">
        <v>11990</v>
      </c>
      <c r="D6327" s="396" t="s">
        <v>11940</v>
      </c>
      <c r="E6327" s="396" t="s">
        <v>11941</v>
      </c>
      <c r="F6327" s="396" t="s">
        <v>11642</v>
      </c>
    </row>
    <row r="6328">
      <c r="A6328" s="311">
        <v>6327</v>
      </c>
      <c r="B6328" s="396" t="s">
        <v>11991</v>
      </c>
      <c r="C6328" s="396" t="s">
        <v>11992</v>
      </c>
      <c r="D6328" s="396" t="s">
        <v>11940</v>
      </c>
      <c r="E6328" s="396" t="s">
        <v>11941</v>
      </c>
      <c r="F6328" s="396" t="s">
        <v>11642</v>
      </c>
    </row>
    <row r="6329">
      <c r="A6329" s="311">
        <v>6328</v>
      </c>
      <c r="B6329" s="396" t="s">
        <v>11993</v>
      </c>
      <c r="C6329" s="396" t="s">
        <v>11994</v>
      </c>
      <c r="D6329" s="396" t="s">
        <v>11940</v>
      </c>
      <c r="E6329" s="396" t="s">
        <v>11941</v>
      </c>
      <c r="F6329" s="396" t="s">
        <v>11642</v>
      </c>
    </row>
    <row r="6330">
      <c r="A6330" s="311">
        <v>6329</v>
      </c>
      <c r="B6330" s="396" t="s">
        <v>11995</v>
      </c>
      <c r="C6330" s="396" t="s">
        <v>11996</v>
      </c>
      <c r="D6330" s="396" t="s">
        <v>11997</v>
      </c>
      <c r="E6330" s="396" t="s">
        <v>11998</v>
      </c>
      <c r="F6330" s="396" t="s">
        <v>11642</v>
      </c>
    </row>
    <row r="6331">
      <c r="A6331" s="311">
        <v>6330</v>
      </c>
      <c r="B6331" s="396" t="s">
        <v>11999</v>
      </c>
      <c r="C6331" s="396" t="s">
        <v>12000</v>
      </c>
      <c r="D6331" s="396" t="s">
        <v>11997</v>
      </c>
      <c r="E6331" s="396" t="s">
        <v>11998</v>
      </c>
      <c r="F6331" s="396" t="s">
        <v>11642</v>
      </c>
    </row>
    <row r="6332">
      <c r="A6332" s="311">
        <v>6331</v>
      </c>
      <c r="B6332" s="396" t="s">
        <v>12001</v>
      </c>
      <c r="C6332" s="396" t="s">
        <v>12002</v>
      </c>
      <c r="D6332" s="396" t="s">
        <v>11997</v>
      </c>
      <c r="E6332" s="396" t="s">
        <v>11998</v>
      </c>
      <c r="F6332" s="396" t="s">
        <v>11642</v>
      </c>
    </row>
    <row r="6333">
      <c r="A6333" s="311">
        <v>6332</v>
      </c>
      <c r="B6333" s="396" t="s">
        <v>12003</v>
      </c>
      <c r="C6333" s="396" t="s">
        <v>12004</v>
      </c>
      <c r="D6333" s="396" t="s">
        <v>11997</v>
      </c>
      <c r="E6333" s="396" t="s">
        <v>11998</v>
      </c>
      <c r="F6333" s="396" t="s">
        <v>11642</v>
      </c>
    </row>
    <row r="6334">
      <c r="A6334" s="311">
        <v>6333</v>
      </c>
      <c r="B6334" s="396" t="s">
        <v>12005</v>
      </c>
      <c r="C6334" s="396" t="s">
        <v>9937</v>
      </c>
      <c r="D6334" s="396" t="s">
        <v>11997</v>
      </c>
      <c r="E6334" s="396" t="s">
        <v>11998</v>
      </c>
      <c r="F6334" s="396" t="s">
        <v>11642</v>
      </c>
    </row>
    <row r="6335">
      <c r="A6335" s="311">
        <v>6334</v>
      </c>
      <c r="B6335" s="396" t="s">
        <v>12006</v>
      </c>
      <c r="C6335" s="396" t="s">
        <v>856</v>
      </c>
      <c r="D6335" s="396" t="s">
        <v>11997</v>
      </c>
      <c r="E6335" s="396" t="s">
        <v>11998</v>
      </c>
      <c r="F6335" s="396" t="s">
        <v>11642</v>
      </c>
    </row>
    <row r="6336">
      <c r="A6336" s="311">
        <v>6335</v>
      </c>
      <c r="B6336" s="396" t="s">
        <v>12007</v>
      </c>
      <c r="C6336" s="396" t="s">
        <v>12008</v>
      </c>
      <c r="D6336" s="396" t="s">
        <v>11997</v>
      </c>
      <c r="E6336" s="396" t="s">
        <v>11998</v>
      </c>
      <c r="F6336" s="396" t="s">
        <v>11642</v>
      </c>
    </row>
    <row r="6337">
      <c r="A6337" s="311">
        <v>6336</v>
      </c>
      <c r="B6337" s="396" t="s">
        <v>12009</v>
      </c>
      <c r="C6337" s="396" t="s">
        <v>9925</v>
      </c>
      <c r="D6337" s="396" t="s">
        <v>11997</v>
      </c>
      <c r="E6337" s="396" t="s">
        <v>11998</v>
      </c>
      <c r="F6337" s="396" t="s">
        <v>11642</v>
      </c>
    </row>
    <row r="6338">
      <c r="A6338" s="311">
        <v>6337</v>
      </c>
      <c r="B6338" s="396" t="s">
        <v>12010</v>
      </c>
      <c r="C6338" s="396" t="s">
        <v>12011</v>
      </c>
      <c r="D6338" s="396" t="s">
        <v>11997</v>
      </c>
      <c r="E6338" s="396" t="s">
        <v>11998</v>
      </c>
      <c r="F6338" s="396" t="s">
        <v>11642</v>
      </c>
    </row>
    <row r="6339">
      <c r="A6339" s="311">
        <v>6338</v>
      </c>
      <c r="B6339" s="396" t="s">
        <v>12012</v>
      </c>
      <c r="C6339" s="396" t="s">
        <v>12013</v>
      </c>
      <c r="D6339" s="396" t="s">
        <v>11997</v>
      </c>
      <c r="E6339" s="396" t="s">
        <v>11998</v>
      </c>
      <c r="F6339" s="396" t="s">
        <v>11642</v>
      </c>
    </row>
    <row r="6340">
      <c r="A6340" s="311">
        <v>6339</v>
      </c>
      <c r="B6340" s="396" t="s">
        <v>12014</v>
      </c>
      <c r="C6340" s="396" t="s">
        <v>12015</v>
      </c>
      <c r="D6340" s="396" t="s">
        <v>11997</v>
      </c>
      <c r="E6340" s="396" t="s">
        <v>11998</v>
      </c>
      <c r="F6340" s="396" t="s">
        <v>11642</v>
      </c>
    </row>
    <row r="6341">
      <c r="A6341" s="311">
        <v>6340</v>
      </c>
      <c r="B6341" s="396" t="s">
        <v>12016</v>
      </c>
      <c r="C6341" s="396" t="s">
        <v>9931</v>
      </c>
      <c r="D6341" s="396" t="s">
        <v>11997</v>
      </c>
      <c r="E6341" s="396" t="s">
        <v>11998</v>
      </c>
      <c r="F6341" s="396" t="s">
        <v>11642</v>
      </c>
    </row>
    <row r="6342">
      <c r="A6342" s="311">
        <v>6341</v>
      </c>
      <c r="B6342" s="396" t="s">
        <v>12017</v>
      </c>
      <c r="C6342" s="396" t="s">
        <v>12018</v>
      </c>
      <c r="D6342" s="396" t="s">
        <v>11997</v>
      </c>
      <c r="E6342" s="396" t="s">
        <v>11998</v>
      </c>
      <c r="F6342" s="396" t="s">
        <v>11642</v>
      </c>
    </row>
    <row r="6343">
      <c r="A6343" s="311">
        <v>6342</v>
      </c>
      <c r="B6343" s="396" t="s">
        <v>12019</v>
      </c>
      <c r="C6343" s="396" t="s">
        <v>12020</v>
      </c>
      <c r="D6343" s="396" t="s">
        <v>11997</v>
      </c>
      <c r="E6343" s="396" t="s">
        <v>11998</v>
      </c>
      <c r="F6343" s="396" t="s">
        <v>11642</v>
      </c>
    </row>
    <row r="6344">
      <c r="A6344" s="311">
        <v>6343</v>
      </c>
      <c r="B6344" s="396" t="s">
        <v>12021</v>
      </c>
      <c r="C6344" s="396" t="s">
        <v>12022</v>
      </c>
      <c r="D6344" s="396" t="s">
        <v>11997</v>
      </c>
      <c r="E6344" s="396" t="s">
        <v>11998</v>
      </c>
      <c r="F6344" s="396" t="s">
        <v>11642</v>
      </c>
    </row>
    <row r="6345">
      <c r="A6345" s="311">
        <v>6344</v>
      </c>
      <c r="B6345" s="396" t="s">
        <v>12023</v>
      </c>
      <c r="C6345" s="396" t="s">
        <v>7388</v>
      </c>
      <c r="D6345" s="396" t="s">
        <v>11997</v>
      </c>
      <c r="E6345" s="396" t="s">
        <v>11998</v>
      </c>
      <c r="F6345" s="396" t="s">
        <v>11642</v>
      </c>
    </row>
    <row r="6346">
      <c r="A6346" s="311">
        <v>6345</v>
      </c>
      <c r="B6346" s="396" t="s">
        <v>12024</v>
      </c>
      <c r="C6346" s="396" t="s">
        <v>653</v>
      </c>
      <c r="D6346" s="396" t="s">
        <v>11997</v>
      </c>
      <c r="E6346" s="396" t="s">
        <v>11998</v>
      </c>
      <c r="F6346" s="396" t="s">
        <v>11642</v>
      </c>
    </row>
    <row r="6347">
      <c r="A6347" s="311">
        <v>6346</v>
      </c>
      <c r="B6347" s="396" t="s">
        <v>12025</v>
      </c>
      <c r="C6347" s="396" t="s">
        <v>12026</v>
      </c>
      <c r="D6347" s="396" t="s">
        <v>11997</v>
      </c>
      <c r="E6347" s="396" t="s">
        <v>11998</v>
      </c>
      <c r="F6347" s="396" t="s">
        <v>11642</v>
      </c>
    </row>
    <row r="6348">
      <c r="A6348" s="311">
        <v>6347</v>
      </c>
      <c r="B6348" s="396" t="s">
        <v>12027</v>
      </c>
      <c r="C6348" s="396" t="s">
        <v>12028</v>
      </c>
      <c r="D6348" s="396" t="s">
        <v>11997</v>
      </c>
      <c r="E6348" s="396" t="s">
        <v>11998</v>
      </c>
      <c r="F6348" s="396" t="s">
        <v>11642</v>
      </c>
    </row>
    <row r="6349">
      <c r="A6349" s="311">
        <v>6348</v>
      </c>
      <c r="B6349" s="396" t="s">
        <v>12029</v>
      </c>
      <c r="C6349" s="396" t="s">
        <v>12030</v>
      </c>
      <c r="D6349" s="396" t="s">
        <v>11997</v>
      </c>
      <c r="E6349" s="396" t="s">
        <v>11998</v>
      </c>
      <c r="F6349" s="396" t="s">
        <v>11642</v>
      </c>
    </row>
    <row r="6350">
      <c r="A6350" s="311">
        <v>6349</v>
      </c>
      <c r="B6350" s="396" t="s">
        <v>12031</v>
      </c>
      <c r="C6350" s="396" t="s">
        <v>7362</v>
      </c>
      <c r="D6350" s="396" t="s">
        <v>11997</v>
      </c>
      <c r="E6350" s="396" t="s">
        <v>11998</v>
      </c>
      <c r="F6350" s="396" t="s">
        <v>11642</v>
      </c>
    </row>
    <row r="6351">
      <c r="A6351" s="311">
        <v>6350</v>
      </c>
      <c r="B6351" s="396" t="s">
        <v>12032</v>
      </c>
      <c r="C6351" s="396" t="s">
        <v>12033</v>
      </c>
      <c r="D6351" s="396" t="s">
        <v>11997</v>
      </c>
      <c r="E6351" s="396" t="s">
        <v>11998</v>
      </c>
      <c r="F6351" s="396" t="s">
        <v>11642</v>
      </c>
    </row>
    <row r="6352">
      <c r="A6352" s="311">
        <v>6351</v>
      </c>
      <c r="B6352" s="396" t="s">
        <v>12034</v>
      </c>
      <c r="C6352" s="396" t="s">
        <v>12035</v>
      </c>
      <c r="D6352" s="396" t="s">
        <v>11997</v>
      </c>
      <c r="E6352" s="396" t="s">
        <v>11998</v>
      </c>
      <c r="F6352" s="396" t="s">
        <v>11642</v>
      </c>
    </row>
    <row r="6353">
      <c r="A6353" s="311">
        <v>6352</v>
      </c>
      <c r="B6353" s="396" t="s">
        <v>12036</v>
      </c>
      <c r="C6353" s="396" t="s">
        <v>12037</v>
      </c>
      <c r="D6353" s="396" t="s">
        <v>11997</v>
      </c>
      <c r="E6353" s="396" t="s">
        <v>11998</v>
      </c>
      <c r="F6353" s="396" t="s">
        <v>11642</v>
      </c>
    </row>
    <row r="6354">
      <c r="A6354" s="311">
        <v>6353</v>
      </c>
      <c r="B6354" s="396" t="s">
        <v>12038</v>
      </c>
      <c r="C6354" s="396" t="s">
        <v>7376</v>
      </c>
      <c r="D6354" s="396" t="s">
        <v>11997</v>
      </c>
      <c r="E6354" s="396" t="s">
        <v>11998</v>
      </c>
      <c r="F6354" s="396" t="s">
        <v>11642</v>
      </c>
    </row>
    <row r="6355">
      <c r="A6355" s="311">
        <v>6354</v>
      </c>
      <c r="B6355" s="396" t="s">
        <v>12039</v>
      </c>
      <c r="C6355" s="396" t="s">
        <v>12040</v>
      </c>
      <c r="D6355" s="396" t="s">
        <v>11997</v>
      </c>
      <c r="E6355" s="396" t="s">
        <v>11998</v>
      </c>
      <c r="F6355" s="396" t="s">
        <v>11642</v>
      </c>
    </row>
    <row r="6356">
      <c r="A6356" s="311">
        <v>6355</v>
      </c>
      <c r="B6356" s="396" t="s">
        <v>12041</v>
      </c>
      <c r="C6356" s="396" t="s">
        <v>12042</v>
      </c>
      <c r="D6356" s="396" t="s">
        <v>11997</v>
      </c>
      <c r="E6356" s="396" t="s">
        <v>11998</v>
      </c>
      <c r="F6356" s="396" t="s">
        <v>11642</v>
      </c>
    </row>
    <row r="6357">
      <c r="A6357" s="311">
        <v>6356</v>
      </c>
      <c r="B6357" s="396" t="s">
        <v>12043</v>
      </c>
      <c r="C6357" s="396" t="s">
        <v>12044</v>
      </c>
      <c r="D6357" s="396" t="s">
        <v>12045</v>
      </c>
      <c r="E6357" s="396" t="s">
        <v>12046</v>
      </c>
      <c r="F6357" s="396" t="s">
        <v>11642</v>
      </c>
    </row>
    <row r="6358">
      <c r="A6358" s="311">
        <v>6357</v>
      </c>
      <c r="B6358" s="396" t="s">
        <v>12047</v>
      </c>
      <c r="C6358" s="396" t="s">
        <v>12048</v>
      </c>
      <c r="D6358" s="396" t="s">
        <v>12045</v>
      </c>
      <c r="E6358" s="396" t="s">
        <v>12046</v>
      </c>
      <c r="F6358" s="396" t="s">
        <v>11642</v>
      </c>
    </row>
    <row r="6359">
      <c r="A6359" s="311">
        <v>6358</v>
      </c>
      <c r="B6359" s="396" t="s">
        <v>12049</v>
      </c>
      <c r="C6359" s="396" t="s">
        <v>9463</v>
      </c>
      <c r="D6359" s="396" t="s">
        <v>12045</v>
      </c>
      <c r="E6359" s="396" t="s">
        <v>12046</v>
      </c>
      <c r="F6359" s="396" t="s">
        <v>11642</v>
      </c>
    </row>
    <row r="6360">
      <c r="A6360" s="311">
        <v>6359</v>
      </c>
      <c r="B6360" s="396" t="s">
        <v>12050</v>
      </c>
      <c r="C6360" s="396" t="s">
        <v>12051</v>
      </c>
      <c r="D6360" s="396" t="s">
        <v>12045</v>
      </c>
      <c r="E6360" s="396" t="s">
        <v>12046</v>
      </c>
      <c r="F6360" s="396" t="s">
        <v>11642</v>
      </c>
    </row>
    <row r="6361">
      <c r="A6361" s="311">
        <v>6360</v>
      </c>
      <c r="B6361" s="396" t="s">
        <v>12052</v>
      </c>
      <c r="C6361" s="396" t="s">
        <v>12053</v>
      </c>
      <c r="D6361" s="396" t="s">
        <v>12045</v>
      </c>
      <c r="E6361" s="396" t="s">
        <v>12046</v>
      </c>
      <c r="F6361" s="396" t="s">
        <v>11642</v>
      </c>
    </row>
    <row r="6362">
      <c r="A6362" s="311">
        <v>6361</v>
      </c>
      <c r="B6362" s="396" t="s">
        <v>12054</v>
      </c>
      <c r="C6362" s="396" t="s">
        <v>12055</v>
      </c>
      <c r="D6362" s="396" t="s">
        <v>12045</v>
      </c>
      <c r="E6362" s="396" t="s">
        <v>12046</v>
      </c>
      <c r="F6362" s="396" t="s">
        <v>11642</v>
      </c>
    </row>
    <row r="6363">
      <c r="A6363" s="311">
        <v>6362</v>
      </c>
      <c r="B6363" s="396" t="s">
        <v>12056</v>
      </c>
      <c r="C6363" s="396" t="s">
        <v>12057</v>
      </c>
      <c r="D6363" s="396" t="s">
        <v>12045</v>
      </c>
      <c r="E6363" s="396" t="s">
        <v>12046</v>
      </c>
      <c r="F6363" s="396" t="s">
        <v>11642</v>
      </c>
    </row>
    <row r="6364">
      <c r="A6364" s="311">
        <v>6363</v>
      </c>
      <c r="B6364" s="396" t="s">
        <v>12058</v>
      </c>
      <c r="C6364" s="396" t="s">
        <v>12059</v>
      </c>
      <c r="D6364" s="396" t="s">
        <v>12045</v>
      </c>
      <c r="E6364" s="396" t="s">
        <v>12046</v>
      </c>
      <c r="F6364" s="396" t="s">
        <v>11642</v>
      </c>
    </row>
    <row r="6365">
      <c r="A6365" s="311">
        <v>6364</v>
      </c>
      <c r="B6365" s="396" t="s">
        <v>12060</v>
      </c>
      <c r="C6365" s="396" t="s">
        <v>12061</v>
      </c>
      <c r="D6365" s="396" t="s">
        <v>12045</v>
      </c>
      <c r="E6365" s="396" t="s">
        <v>12046</v>
      </c>
      <c r="F6365" s="396" t="s">
        <v>11642</v>
      </c>
    </row>
    <row r="6366">
      <c r="A6366" s="311">
        <v>6365</v>
      </c>
      <c r="B6366" s="396" t="s">
        <v>12062</v>
      </c>
      <c r="C6366" s="396" t="s">
        <v>12063</v>
      </c>
      <c r="D6366" s="396" t="s">
        <v>12045</v>
      </c>
      <c r="E6366" s="396" t="s">
        <v>12046</v>
      </c>
      <c r="F6366" s="396" t="s">
        <v>11642</v>
      </c>
    </row>
    <row r="6367">
      <c r="A6367" s="311">
        <v>6366</v>
      </c>
      <c r="B6367" s="396" t="s">
        <v>12064</v>
      </c>
      <c r="C6367" s="396" t="s">
        <v>12065</v>
      </c>
      <c r="D6367" s="396" t="s">
        <v>12045</v>
      </c>
      <c r="E6367" s="396" t="s">
        <v>12046</v>
      </c>
      <c r="F6367" s="396" t="s">
        <v>11642</v>
      </c>
    </row>
    <row r="6368">
      <c r="A6368" s="311">
        <v>6367</v>
      </c>
      <c r="B6368" s="396" t="s">
        <v>12066</v>
      </c>
      <c r="C6368" s="396" t="s">
        <v>12067</v>
      </c>
      <c r="D6368" s="396" t="s">
        <v>12045</v>
      </c>
      <c r="E6368" s="396" t="s">
        <v>12046</v>
      </c>
      <c r="F6368" s="396" t="s">
        <v>11642</v>
      </c>
    </row>
    <row r="6369">
      <c r="A6369" s="311">
        <v>6368</v>
      </c>
      <c r="B6369" s="396" t="s">
        <v>12068</v>
      </c>
      <c r="C6369" s="396" t="s">
        <v>5579</v>
      </c>
      <c r="D6369" s="396" t="s">
        <v>12045</v>
      </c>
      <c r="E6369" s="396" t="s">
        <v>12046</v>
      </c>
      <c r="F6369" s="396" t="s">
        <v>11642</v>
      </c>
    </row>
    <row r="6370">
      <c r="A6370" s="311">
        <v>6369</v>
      </c>
      <c r="B6370" s="396" t="s">
        <v>12069</v>
      </c>
      <c r="C6370" s="396" t="s">
        <v>12070</v>
      </c>
      <c r="D6370" s="396" t="s">
        <v>12045</v>
      </c>
      <c r="E6370" s="396" t="s">
        <v>12046</v>
      </c>
      <c r="F6370" s="396" t="s">
        <v>11642</v>
      </c>
    </row>
    <row r="6371">
      <c r="A6371" s="311">
        <v>6370</v>
      </c>
      <c r="B6371" s="396" t="s">
        <v>12071</v>
      </c>
      <c r="C6371" s="396" t="s">
        <v>12072</v>
      </c>
      <c r="D6371" s="396" t="s">
        <v>12045</v>
      </c>
      <c r="E6371" s="396" t="s">
        <v>12046</v>
      </c>
      <c r="F6371" s="396" t="s">
        <v>11642</v>
      </c>
    </row>
    <row r="6372">
      <c r="A6372" s="311">
        <v>6371</v>
      </c>
      <c r="B6372" s="396" t="s">
        <v>12073</v>
      </c>
      <c r="C6372" s="396" t="s">
        <v>12074</v>
      </c>
      <c r="D6372" s="396" t="s">
        <v>12045</v>
      </c>
      <c r="E6372" s="396" t="s">
        <v>12046</v>
      </c>
      <c r="F6372" s="396" t="s">
        <v>11642</v>
      </c>
    </row>
    <row r="6373">
      <c r="A6373" s="311">
        <v>6372</v>
      </c>
      <c r="B6373" s="396" t="s">
        <v>12075</v>
      </c>
      <c r="C6373" s="396" t="s">
        <v>9828</v>
      </c>
      <c r="D6373" s="396" t="s">
        <v>12045</v>
      </c>
      <c r="E6373" s="396" t="s">
        <v>12046</v>
      </c>
      <c r="F6373" s="396" t="s">
        <v>11642</v>
      </c>
    </row>
    <row r="6374">
      <c r="A6374" s="311">
        <v>6373</v>
      </c>
      <c r="B6374" s="396" t="s">
        <v>12076</v>
      </c>
      <c r="C6374" s="396" t="s">
        <v>12077</v>
      </c>
      <c r="D6374" s="396" t="s">
        <v>12045</v>
      </c>
      <c r="E6374" s="396" t="s">
        <v>12046</v>
      </c>
      <c r="F6374" s="396" t="s">
        <v>11642</v>
      </c>
    </row>
    <row r="6375">
      <c r="A6375" s="311">
        <v>6374</v>
      </c>
      <c r="B6375" s="396" t="s">
        <v>12078</v>
      </c>
      <c r="C6375" s="396" t="s">
        <v>12079</v>
      </c>
      <c r="D6375" s="396" t="s">
        <v>12045</v>
      </c>
      <c r="E6375" s="396" t="s">
        <v>12046</v>
      </c>
      <c r="F6375" s="396" t="s">
        <v>11642</v>
      </c>
    </row>
    <row r="6376">
      <c r="A6376" s="311">
        <v>6375</v>
      </c>
      <c r="B6376" s="396" t="s">
        <v>12080</v>
      </c>
      <c r="C6376" s="396" t="s">
        <v>7472</v>
      </c>
      <c r="D6376" s="396" t="s">
        <v>12045</v>
      </c>
      <c r="E6376" s="396" t="s">
        <v>12046</v>
      </c>
      <c r="F6376" s="396" t="s">
        <v>11642</v>
      </c>
    </row>
    <row r="6377">
      <c r="A6377" s="311">
        <v>6376</v>
      </c>
      <c r="B6377" s="396" t="s">
        <v>12081</v>
      </c>
      <c r="C6377" s="396" t="s">
        <v>12082</v>
      </c>
      <c r="D6377" s="396" t="s">
        <v>12045</v>
      </c>
      <c r="E6377" s="396" t="s">
        <v>12046</v>
      </c>
      <c r="F6377" s="396" t="s">
        <v>11642</v>
      </c>
    </row>
    <row r="6378">
      <c r="A6378" s="311">
        <v>6377</v>
      </c>
      <c r="B6378" s="396" t="s">
        <v>12083</v>
      </c>
      <c r="C6378" s="396" t="s">
        <v>12084</v>
      </c>
      <c r="D6378" s="396" t="s">
        <v>12085</v>
      </c>
      <c r="E6378" s="396" t="s">
        <v>12086</v>
      </c>
      <c r="F6378" s="396" t="s">
        <v>11642</v>
      </c>
    </row>
    <row r="6379">
      <c r="A6379" s="311">
        <v>6378</v>
      </c>
      <c r="B6379" s="396" t="s">
        <v>12087</v>
      </c>
      <c r="C6379" s="396" t="s">
        <v>12088</v>
      </c>
      <c r="D6379" s="396" t="s">
        <v>12085</v>
      </c>
      <c r="E6379" s="396" t="s">
        <v>12086</v>
      </c>
      <c r="F6379" s="396" t="s">
        <v>11642</v>
      </c>
    </row>
    <row r="6380">
      <c r="A6380" s="311">
        <v>6379</v>
      </c>
      <c r="B6380" s="396" t="s">
        <v>12089</v>
      </c>
      <c r="C6380" s="396" t="s">
        <v>10470</v>
      </c>
      <c r="D6380" s="396" t="s">
        <v>12085</v>
      </c>
      <c r="E6380" s="396" t="s">
        <v>12086</v>
      </c>
      <c r="F6380" s="396" t="s">
        <v>11642</v>
      </c>
    </row>
    <row r="6381">
      <c r="A6381" s="311">
        <v>6380</v>
      </c>
      <c r="B6381" s="396" t="s">
        <v>12090</v>
      </c>
      <c r="C6381" s="396" t="s">
        <v>12091</v>
      </c>
      <c r="D6381" s="396" t="s">
        <v>12085</v>
      </c>
      <c r="E6381" s="396" t="s">
        <v>12086</v>
      </c>
      <c r="F6381" s="396" t="s">
        <v>11642</v>
      </c>
    </row>
    <row r="6382">
      <c r="A6382" s="311">
        <v>6381</v>
      </c>
      <c r="B6382" s="396" t="s">
        <v>12092</v>
      </c>
      <c r="C6382" s="396" t="s">
        <v>12093</v>
      </c>
      <c r="D6382" s="396" t="s">
        <v>12085</v>
      </c>
      <c r="E6382" s="396" t="s">
        <v>12086</v>
      </c>
      <c r="F6382" s="396" t="s">
        <v>11642</v>
      </c>
    </row>
    <row r="6383">
      <c r="A6383" s="311">
        <v>6382</v>
      </c>
      <c r="B6383" s="396" t="s">
        <v>12094</v>
      </c>
      <c r="C6383" s="396" t="s">
        <v>12095</v>
      </c>
      <c r="D6383" s="396" t="s">
        <v>12085</v>
      </c>
      <c r="E6383" s="396" t="s">
        <v>12086</v>
      </c>
      <c r="F6383" s="396" t="s">
        <v>11642</v>
      </c>
    </row>
    <row r="6384">
      <c r="A6384" s="311">
        <v>6383</v>
      </c>
      <c r="B6384" s="396" t="s">
        <v>12096</v>
      </c>
      <c r="C6384" s="396" t="s">
        <v>1169</v>
      </c>
      <c r="D6384" s="396" t="s">
        <v>12085</v>
      </c>
      <c r="E6384" s="396" t="s">
        <v>12086</v>
      </c>
      <c r="F6384" s="396" t="s">
        <v>11642</v>
      </c>
    </row>
    <row r="6385">
      <c r="A6385" s="311">
        <v>6384</v>
      </c>
      <c r="B6385" s="396" t="s">
        <v>12097</v>
      </c>
      <c r="C6385" s="396" t="s">
        <v>12098</v>
      </c>
      <c r="D6385" s="396" t="s">
        <v>12085</v>
      </c>
      <c r="E6385" s="396" t="s">
        <v>12086</v>
      </c>
      <c r="F6385" s="396" t="s">
        <v>11642</v>
      </c>
    </row>
    <row r="6386">
      <c r="A6386" s="311">
        <v>6385</v>
      </c>
      <c r="B6386" s="396" t="s">
        <v>12099</v>
      </c>
      <c r="C6386" s="396" t="s">
        <v>12100</v>
      </c>
      <c r="D6386" s="396" t="s">
        <v>12085</v>
      </c>
      <c r="E6386" s="396" t="s">
        <v>12086</v>
      </c>
      <c r="F6386" s="396" t="s">
        <v>11642</v>
      </c>
    </row>
    <row r="6387">
      <c r="A6387" s="311">
        <v>6386</v>
      </c>
      <c r="B6387" s="396" t="s">
        <v>12101</v>
      </c>
      <c r="C6387" s="396" t="s">
        <v>12102</v>
      </c>
      <c r="D6387" s="396" t="s">
        <v>12085</v>
      </c>
      <c r="E6387" s="396" t="s">
        <v>12086</v>
      </c>
      <c r="F6387" s="396" t="s">
        <v>11642</v>
      </c>
    </row>
    <row r="6388">
      <c r="A6388" s="311">
        <v>6387</v>
      </c>
      <c r="B6388" s="396" t="s">
        <v>12103</v>
      </c>
      <c r="C6388" s="396" t="s">
        <v>12104</v>
      </c>
      <c r="D6388" s="396" t="s">
        <v>12085</v>
      </c>
      <c r="E6388" s="396" t="s">
        <v>12086</v>
      </c>
      <c r="F6388" s="396" t="s">
        <v>11642</v>
      </c>
    </row>
    <row r="6389">
      <c r="A6389" s="311">
        <v>6388</v>
      </c>
      <c r="B6389" s="396" t="s">
        <v>12105</v>
      </c>
      <c r="C6389" s="396" t="s">
        <v>12106</v>
      </c>
      <c r="D6389" s="396" t="s">
        <v>12085</v>
      </c>
      <c r="E6389" s="396" t="s">
        <v>12086</v>
      </c>
      <c r="F6389" s="396" t="s">
        <v>11642</v>
      </c>
    </row>
    <row r="6390">
      <c r="A6390" s="311">
        <v>6389</v>
      </c>
      <c r="B6390" s="396" t="s">
        <v>12107</v>
      </c>
      <c r="C6390" s="396" t="s">
        <v>12108</v>
      </c>
      <c r="D6390" s="396" t="s">
        <v>12085</v>
      </c>
      <c r="E6390" s="396" t="s">
        <v>12086</v>
      </c>
      <c r="F6390" s="396" t="s">
        <v>11642</v>
      </c>
    </row>
    <row r="6391">
      <c r="A6391" s="311">
        <v>6390</v>
      </c>
      <c r="B6391" s="396" t="s">
        <v>12109</v>
      </c>
      <c r="C6391" s="396" t="s">
        <v>12110</v>
      </c>
      <c r="D6391" s="396" t="s">
        <v>12111</v>
      </c>
      <c r="E6391" s="396" t="s">
        <v>12112</v>
      </c>
      <c r="F6391" s="396" t="s">
        <v>11642</v>
      </c>
    </row>
    <row r="6392">
      <c r="A6392" s="311">
        <v>6391</v>
      </c>
      <c r="B6392" s="396" t="s">
        <v>12113</v>
      </c>
      <c r="C6392" s="396" t="s">
        <v>12114</v>
      </c>
      <c r="D6392" s="396" t="s">
        <v>12111</v>
      </c>
      <c r="E6392" s="396" t="s">
        <v>12112</v>
      </c>
      <c r="F6392" s="396" t="s">
        <v>11642</v>
      </c>
    </row>
    <row r="6393">
      <c r="A6393" s="311">
        <v>6392</v>
      </c>
      <c r="B6393" s="396" t="s">
        <v>12115</v>
      </c>
      <c r="C6393" s="396" t="s">
        <v>12116</v>
      </c>
      <c r="D6393" s="396" t="s">
        <v>12111</v>
      </c>
      <c r="E6393" s="396" t="s">
        <v>12112</v>
      </c>
      <c r="F6393" s="396" t="s">
        <v>11642</v>
      </c>
    </row>
    <row r="6394">
      <c r="A6394" s="311">
        <v>6393</v>
      </c>
      <c r="B6394" s="396" t="s">
        <v>12117</v>
      </c>
      <c r="C6394" s="396" t="s">
        <v>12118</v>
      </c>
      <c r="D6394" s="396" t="s">
        <v>12111</v>
      </c>
      <c r="E6394" s="396" t="s">
        <v>12112</v>
      </c>
      <c r="F6394" s="396" t="s">
        <v>11642</v>
      </c>
    </row>
    <row r="6395">
      <c r="A6395" s="311">
        <v>6394</v>
      </c>
      <c r="B6395" s="396" t="s">
        <v>12119</v>
      </c>
      <c r="C6395" s="396" t="s">
        <v>12120</v>
      </c>
      <c r="D6395" s="396" t="s">
        <v>12111</v>
      </c>
      <c r="E6395" s="396" t="s">
        <v>12112</v>
      </c>
      <c r="F6395" s="396" t="s">
        <v>11642</v>
      </c>
    </row>
    <row r="6396">
      <c r="A6396" s="311">
        <v>6395</v>
      </c>
      <c r="B6396" s="396" t="s">
        <v>12121</v>
      </c>
      <c r="C6396" s="396" t="s">
        <v>12122</v>
      </c>
      <c r="D6396" s="396" t="s">
        <v>12111</v>
      </c>
      <c r="E6396" s="396" t="s">
        <v>12112</v>
      </c>
      <c r="F6396" s="396" t="s">
        <v>11642</v>
      </c>
    </row>
    <row r="6397">
      <c r="A6397" s="311">
        <v>6396</v>
      </c>
      <c r="B6397" s="396" t="s">
        <v>12123</v>
      </c>
      <c r="C6397" s="396" t="s">
        <v>12124</v>
      </c>
      <c r="D6397" s="396" t="s">
        <v>12111</v>
      </c>
      <c r="E6397" s="396" t="s">
        <v>12112</v>
      </c>
      <c r="F6397" s="396" t="s">
        <v>11642</v>
      </c>
    </row>
    <row r="6398">
      <c r="A6398" s="311">
        <v>6397</v>
      </c>
      <c r="B6398" s="396" t="s">
        <v>12125</v>
      </c>
      <c r="C6398" s="396" t="s">
        <v>12126</v>
      </c>
      <c r="D6398" s="396" t="s">
        <v>12111</v>
      </c>
      <c r="E6398" s="396" t="s">
        <v>12112</v>
      </c>
      <c r="F6398" s="396" t="s">
        <v>11642</v>
      </c>
    </row>
    <row r="6399">
      <c r="A6399" s="311">
        <v>6398</v>
      </c>
      <c r="B6399" s="396" t="s">
        <v>12127</v>
      </c>
      <c r="C6399" s="396" t="s">
        <v>12128</v>
      </c>
      <c r="D6399" s="396" t="s">
        <v>12111</v>
      </c>
      <c r="E6399" s="396" t="s">
        <v>12112</v>
      </c>
      <c r="F6399" s="396" t="s">
        <v>11642</v>
      </c>
    </row>
    <row r="6400">
      <c r="A6400" s="311">
        <v>6399</v>
      </c>
      <c r="B6400" s="396" t="s">
        <v>12129</v>
      </c>
      <c r="C6400" s="396" t="s">
        <v>12130</v>
      </c>
      <c r="D6400" s="396" t="s">
        <v>12111</v>
      </c>
      <c r="E6400" s="396" t="s">
        <v>12112</v>
      </c>
      <c r="F6400" s="396" t="s">
        <v>11642</v>
      </c>
    </row>
    <row r="6401">
      <c r="A6401" s="311">
        <v>6400</v>
      </c>
      <c r="B6401" s="396" t="s">
        <v>12131</v>
      </c>
      <c r="C6401" s="396" t="s">
        <v>12132</v>
      </c>
      <c r="D6401" s="396" t="s">
        <v>12111</v>
      </c>
      <c r="E6401" s="396" t="s">
        <v>12112</v>
      </c>
      <c r="F6401" s="396" t="s">
        <v>11642</v>
      </c>
    </row>
    <row r="6402">
      <c r="A6402" s="311">
        <v>6401</v>
      </c>
      <c r="B6402" s="396" t="s">
        <v>12133</v>
      </c>
      <c r="C6402" s="396" t="s">
        <v>12134</v>
      </c>
      <c r="D6402" s="396" t="s">
        <v>12111</v>
      </c>
      <c r="E6402" s="396" t="s">
        <v>12112</v>
      </c>
      <c r="F6402" s="396" t="s">
        <v>11642</v>
      </c>
    </row>
    <row r="6403">
      <c r="A6403" s="311">
        <v>6402</v>
      </c>
      <c r="B6403" s="396" t="s">
        <v>12135</v>
      </c>
      <c r="C6403" s="396" t="s">
        <v>7738</v>
      </c>
      <c r="D6403" s="396" t="s">
        <v>12136</v>
      </c>
      <c r="E6403" s="396" t="s">
        <v>12137</v>
      </c>
      <c r="F6403" s="396" t="s">
        <v>12138</v>
      </c>
    </row>
    <row r="6404">
      <c r="A6404" s="311">
        <v>6403</v>
      </c>
      <c r="B6404" s="396" t="s">
        <v>12139</v>
      </c>
      <c r="C6404" s="396" t="s">
        <v>12140</v>
      </c>
      <c r="D6404" s="396" t="s">
        <v>12136</v>
      </c>
      <c r="E6404" s="396" t="s">
        <v>12137</v>
      </c>
      <c r="F6404" s="396" t="s">
        <v>12138</v>
      </c>
    </row>
    <row r="6405">
      <c r="A6405" s="311">
        <v>6404</v>
      </c>
      <c r="B6405" s="396" t="s">
        <v>12141</v>
      </c>
      <c r="C6405" s="396" t="s">
        <v>12142</v>
      </c>
      <c r="D6405" s="396" t="s">
        <v>12136</v>
      </c>
      <c r="E6405" s="396" t="s">
        <v>12137</v>
      </c>
      <c r="F6405" s="396" t="s">
        <v>12138</v>
      </c>
    </row>
    <row r="6406">
      <c r="A6406" s="311">
        <v>6405</v>
      </c>
      <c r="B6406" s="396" t="s">
        <v>12143</v>
      </c>
      <c r="C6406" s="396" t="s">
        <v>12144</v>
      </c>
      <c r="D6406" s="396" t="s">
        <v>12136</v>
      </c>
      <c r="E6406" s="396" t="s">
        <v>12137</v>
      </c>
      <c r="F6406" s="396" t="s">
        <v>12138</v>
      </c>
    </row>
    <row r="6407">
      <c r="A6407" s="311">
        <v>6406</v>
      </c>
      <c r="B6407" s="396" t="s">
        <v>12145</v>
      </c>
      <c r="C6407" s="396" t="s">
        <v>12146</v>
      </c>
      <c r="D6407" s="396" t="s">
        <v>12136</v>
      </c>
      <c r="E6407" s="396" t="s">
        <v>12137</v>
      </c>
      <c r="F6407" s="396" t="s">
        <v>12138</v>
      </c>
    </row>
    <row r="6408">
      <c r="A6408" s="311">
        <v>6407</v>
      </c>
      <c r="B6408" s="396" t="s">
        <v>12147</v>
      </c>
      <c r="C6408" s="396" t="s">
        <v>12148</v>
      </c>
      <c r="D6408" s="396" t="s">
        <v>12136</v>
      </c>
      <c r="E6408" s="396" t="s">
        <v>12137</v>
      </c>
      <c r="F6408" s="396" t="s">
        <v>12138</v>
      </c>
    </row>
    <row r="6409">
      <c r="A6409" s="311">
        <v>6408</v>
      </c>
      <c r="B6409" s="396" t="s">
        <v>12149</v>
      </c>
      <c r="C6409" s="396" t="s">
        <v>12150</v>
      </c>
      <c r="D6409" s="396" t="s">
        <v>12136</v>
      </c>
      <c r="E6409" s="396" t="s">
        <v>12137</v>
      </c>
      <c r="F6409" s="396" t="s">
        <v>12138</v>
      </c>
    </row>
    <row r="6410">
      <c r="A6410" s="311">
        <v>6409</v>
      </c>
      <c r="B6410" s="396" t="s">
        <v>12151</v>
      </c>
      <c r="C6410" s="396" t="s">
        <v>12152</v>
      </c>
      <c r="D6410" s="396" t="s">
        <v>12136</v>
      </c>
      <c r="E6410" s="396" t="s">
        <v>12137</v>
      </c>
      <c r="F6410" s="396" t="s">
        <v>12138</v>
      </c>
    </row>
    <row r="6411">
      <c r="A6411" s="311">
        <v>6410</v>
      </c>
      <c r="B6411" s="396" t="s">
        <v>12153</v>
      </c>
      <c r="C6411" s="396" t="s">
        <v>12154</v>
      </c>
      <c r="D6411" s="396" t="s">
        <v>12136</v>
      </c>
      <c r="E6411" s="396" t="s">
        <v>12137</v>
      </c>
      <c r="F6411" s="396" t="s">
        <v>12138</v>
      </c>
    </row>
    <row r="6412">
      <c r="A6412" s="311">
        <v>6411</v>
      </c>
      <c r="B6412" s="396" t="s">
        <v>12155</v>
      </c>
      <c r="C6412" s="396" t="s">
        <v>12156</v>
      </c>
      <c r="D6412" s="396" t="s">
        <v>12136</v>
      </c>
      <c r="E6412" s="396" t="s">
        <v>12137</v>
      </c>
      <c r="F6412" s="396" t="s">
        <v>12138</v>
      </c>
    </row>
    <row r="6413">
      <c r="A6413" s="311">
        <v>6412</v>
      </c>
      <c r="B6413" s="396" t="s">
        <v>12157</v>
      </c>
      <c r="C6413" s="396" t="s">
        <v>12158</v>
      </c>
      <c r="D6413" s="396" t="s">
        <v>12136</v>
      </c>
      <c r="E6413" s="396" t="s">
        <v>12137</v>
      </c>
      <c r="F6413" s="396" t="s">
        <v>12138</v>
      </c>
    </row>
    <row r="6414">
      <c r="A6414" s="311">
        <v>6413</v>
      </c>
      <c r="B6414" s="396" t="s">
        <v>12159</v>
      </c>
      <c r="C6414" s="396" t="s">
        <v>12160</v>
      </c>
      <c r="D6414" s="396" t="s">
        <v>12136</v>
      </c>
      <c r="E6414" s="396" t="s">
        <v>12137</v>
      </c>
      <c r="F6414" s="396" t="s">
        <v>12138</v>
      </c>
    </row>
    <row r="6415">
      <c r="A6415" s="311">
        <v>6414</v>
      </c>
      <c r="B6415" s="396" t="s">
        <v>12161</v>
      </c>
      <c r="C6415" s="396" t="s">
        <v>12162</v>
      </c>
      <c r="D6415" s="396" t="s">
        <v>12136</v>
      </c>
      <c r="E6415" s="396" t="s">
        <v>12137</v>
      </c>
      <c r="F6415" s="396" t="s">
        <v>12138</v>
      </c>
    </row>
    <row r="6416">
      <c r="A6416" s="311">
        <v>6415</v>
      </c>
      <c r="B6416" s="396" t="s">
        <v>12163</v>
      </c>
      <c r="C6416" s="396" t="s">
        <v>12164</v>
      </c>
      <c r="D6416" s="396" t="s">
        <v>12136</v>
      </c>
      <c r="E6416" s="396" t="s">
        <v>12137</v>
      </c>
      <c r="F6416" s="396" t="s">
        <v>12138</v>
      </c>
    </row>
    <row r="6417">
      <c r="A6417" s="311">
        <v>6416</v>
      </c>
      <c r="B6417" s="396" t="s">
        <v>12165</v>
      </c>
      <c r="C6417" s="396" t="s">
        <v>12166</v>
      </c>
      <c r="D6417" s="396" t="s">
        <v>12136</v>
      </c>
      <c r="E6417" s="396" t="s">
        <v>12137</v>
      </c>
      <c r="F6417" s="396" t="s">
        <v>12138</v>
      </c>
    </row>
    <row r="6418">
      <c r="A6418" s="311">
        <v>6417</v>
      </c>
      <c r="B6418" s="396" t="s">
        <v>12167</v>
      </c>
      <c r="C6418" s="396" t="s">
        <v>2429</v>
      </c>
      <c r="D6418" s="396" t="s">
        <v>12136</v>
      </c>
      <c r="E6418" s="396" t="s">
        <v>12137</v>
      </c>
      <c r="F6418" s="396" t="s">
        <v>12138</v>
      </c>
    </row>
    <row r="6419">
      <c r="A6419" s="311">
        <v>6418</v>
      </c>
      <c r="B6419" s="396" t="s">
        <v>12168</v>
      </c>
      <c r="C6419" s="396" t="s">
        <v>12169</v>
      </c>
      <c r="D6419" s="396" t="s">
        <v>12170</v>
      </c>
      <c r="E6419" s="396" t="s">
        <v>12171</v>
      </c>
      <c r="F6419" s="396" t="s">
        <v>12138</v>
      </c>
    </row>
    <row r="6420">
      <c r="A6420" s="311">
        <v>6419</v>
      </c>
      <c r="B6420" s="396" t="s">
        <v>12172</v>
      </c>
      <c r="C6420" s="396" t="s">
        <v>12173</v>
      </c>
      <c r="D6420" s="396" t="s">
        <v>12170</v>
      </c>
      <c r="E6420" s="396" t="s">
        <v>12171</v>
      </c>
      <c r="F6420" s="396" t="s">
        <v>12138</v>
      </c>
    </row>
    <row r="6421">
      <c r="A6421" s="311">
        <v>6420</v>
      </c>
      <c r="B6421" s="396" t="s">
        <v>12174</v>
      </c>
      <c r="C6421" s="396" t="s">
        <v>12175</v>
      </c>
      <c r="D6421" s="396" t="s">
        <v>12170</v>
      </c>
      <c r="E6421" s="396" t="s">
        <v>12171</v>
      </c>
      <c r="F6421" s="396" t="s">
        <v>12138</v>
      </c>
    </row>
    <row r="6422">
      <c r="A6422" s="311">
        <v>6421</v>
      </c>
      <c r="B6422" s="396" t="s">
        <v>12176</v>
      </c>
      <c r="C6422" s="396" t="s">
        <v>12177</v>
      </c>
      <c r="D6422" s="396" t="s">
        <v>12170</v>
      </c>
      <c r="E6422" s="396" t="s">
        <v>12171</v>
      </c>
      <c r="F6422" s="396" t="s">
        <v>12138</v>
      </c>
    </row>
    <row r="6423">
      <c r="A6423" s="311">
        <v>6422</v>
      </c>
      <c r="B6423" s="396" t="s">
        <v>12178</v>
      </c>
      <c r="C6423" s="396" t="s">
        <v>12179</v>
      </c>
      <c r="D6423" s="396" t="s">
        <v>12170</v>
      </c>
      <c r="E6423" s="396" t="s">
        <v>12171</v>
      </c>
      <c r="F6423" s="396" t="s">
        <v>12138</v>
      </c>
    </row>
    <row r="6424">
      <c r="A6424" s="311">
        <v>6423</v>
      </c>
      <c r="B6424" s="396" t="s">
        <v>12180</v>
      </c>
      <c r="C6424" s="396" t="s">
        <v>12181</v>
      </c>
      <c r="D6424" s="396" t="s">
        <v>12170</v>
      </c>
      <c r="E6424" s="396" t="s">
        <v>12171</v>
      </c>
      <c r="F6424" s="396" t="s">
        <v>12138</v>
      </c>
    </row>
    <row r="6425">
      <c r="A6425" s="311">
        <v>6424</v>
      </c>
      <c r="B6425" s="396" t="s">
        <v>12182</v>
      </c>
      <c r="C6425" s="396" t="s">
        <v>12183</v>
      </c>
      <c r="D6425" s="396" t="s">
        <v>12170</v>
      </c>
      <c r="E6425" s="396" t="s">
        <v>12171</v>
      </c>
      <c r="F6425" s="396" t="s">
        <v>12138</v>
      </c>
    </row>
    <row r="6426">
      <c r="A6426" s="311">
        <v>6425</v>
      </c>
      <c r="B6426" s="396" t="s">
        <v>12184</v>
      </c>
      <c r="C6426" s="396" t="s">
        <v>12185</v>
      </c>
      <c r="D6426" s="396" t="s">
        <v>12170</v>
      </c>
      <c r="E6426" s="396" t="s">
        <v>12171</v>
      </c>
      <c r="F6426" s="396" t="s">
        <v>12138</v>
      </c>
    </row>
    <row r="6427">
      <c r="A6427" s="311">
        <v>6426</v>
      </c>
      <c r="B6427" s="396" t="s">
        <v>12186</v>
      </c>
      <c r="C6427" s="396" t="s">
        <v>12187</v>
      </c>
      <c r="D6427" s="396" t="s">
        <v>12170</v>
      </c>
      <c r="E6427" s="396" t="s">
        <v>12171</v>
      </c>
      <c r="F6427" s="396" t="s">
        <v>12138</v>
      </c>
    </row>
    <row r="6428">
      <c r="A6428" s="311">
        <v>6427</v>
      </c>
      <c r="B6428" s="396" t="s">
        <v>12188</v>
      </c>
      <c r="C6428" s="396" t="s">
        <v>12189</v>
      </c>
      <c r="D6428" s="396" t="s">
        <v>12170</v>
      </c>
      <c r="E6428" s="396" t="s">
        <v>12171</v>
      </c>
      <c r="F6428" s="396" t="s">
        <v>12138</v>
      </c>
    </row>
    <row r="6429">
      <c r="A6429" s="311">
        <v>6428</v>
      </c>
      <c r="B6429" s="396" t="s">
        <v>12190</v>
      </c>
      <c r="C6429" s="396" t="s">
        <v>12191</v>
      </c>
      <c r="D6429" s="396" t="s">
        <v>12170</v>
      </c>
      <c r="E6429" s="396" t="s">
        <v>12171</v>
      </c>
      <c r="F6429" s="396" t="s">
        <v>12138</v>
      </c>
    </row>
    <row r="6430">
      <c r="A6430" s="311">
        <v>6429</v>
      </c>
      <c r="B6430" s="396" t="s">
        <v>12192</v>
      </c>
      <c r="C6430" s="396" t="s">
        <v>12193</v>
      </c>
      <c r="D6430" s="396" t="s">
        <v>12170</v>
      </c>
      <c r="E6430" s="396" t="s">
        <v>12171</v>
      </c>
      <c r="F6430" s="396" t="s">
        <v>12138</v>
      </c>
    </row>
    <row r="6431">
      <c r="A6431" s="311">
        <v>6430</v>
      </c>
      <c r="B6431" s="396" t="s">
        <v>12194</v>
      </c>
      <c r="C6431" s="396" t="s">
        <v>12195</v>
      </c>
      <c r="D6431" s="396" t="s">
        <v>12170</v>
      </c>
      <c r="E6431" s="396" t="s">
        <v>12171</v>
      </c>
      <c r="F6431" s="396" t="s">
        <v>12138</v>
      </c>
    </row>
    <row r="6432">
      <c r="A6432" s="311">
        <v>6431</v>
      </c>
      <c r="B6432" s="396" t="s">
        <v>12196</v>
      </c>
      <c r="C6432" s="396" t="s">
        <v>12197</v>
      </c>
      <c r="D6432" s="396" t="s">
        <v>12170</v>
      </c>
      <c r="E6432" s="396" t="s">
        <v>12171</v>
      </c>
      <c r="F6432" s="396" t="s">
        <v>12138</v>
      </c>
    </row>
    <row r="6433">
      <c r="A6433" s="311">
        <v>6432</v>
      </c>
      <c r="B6433" s="396" t="s">
        <v>12198</v>
      </c>
      <c r="C6433" s="396" t="s">
        <v>12199</v>
      </c>
      <c r="D6433" s="396" t="s">
        <v>12170</v>
      </c>
      <c r="E6433" s="396" t="s">
        <v>12171</v>
      </c>
      <c r="F6433" s="396" t="s">
        <v>12138</v>
      </c>
    </row>
    <row r="6434">
      <c r="A6434" s="311">
        <v>6433</v>
      </c>
      <c r="B6434" s="396" t="s">
        <v>12200</v>
      </c>
      <c r="C6434" s="396" t="s">
        <v>12201</v>
      </c>
      <c r="D6434" s="396" t="s">
        <v>12170</v>
      </c>
      <c r="E6434" s="396" t="s">
        <v>12171</v>
      </c>
      <c r="F6434" s="396" t="s">
        <v>12138</v>
      </c>
    </row>
    <row r="6435">
      <c r="A6435" s="311">
        <v>6434</v>
      </c>
      <c r="B6435" s="396" t="s">
        <v>12202</v>
      </c>
      <c r="C6435" s="396" t="s">
        <v>12203</v>
      </c>
      <c r="D6435" s="396" t="s">
        <v>12204</v>
      </c>
      <c r="E6435" s="396" t="s">
        <v>12205</v>
      </c>
      <c r="F6435" s="396" t="s">
        <v>12138</v>
      </c>
    </row>
    <row r="6436">
      <c r="A6436" s="311">
        <v>6435</v>
      </c>
      <c r="B6436" s="396" t="s">
        <v>12206</v>
      </c>
      <c r="C6436" s="396" t="s">
        <v>12207</v>
      </c>
      <c r="D6436" s="396" t="s">
        <v>12204</v>
      </c>
      <c r="E6436" s="396" t="s">
        <v>12205</v>
      </c>
      <c r="F6436" s="396" t="s">
        <v>12138</v>
      </c>
    </row>
    <row r="6437">
      <c r="A6437" s="311">
        <v>6436</v>
      </c>
      <c r="B6437" s="396" t="s">
        <v>12208</v>
      </c>
      <c r="C6437" s="396" t="s">
        <v>12209</v>
      </c>
      <c r="D6437" s="396" t="s">
        <v>12204</v>
      </c>
      <c r="E6437" s="396" t="s">
        <v>12205</v>
      </c>
      <c r="F6437" s="396" t="s">
        <v>12138</v>
      </c>
    </row>
    <row r="6438">
      <c r="A6438" s="311">
        <v>6437</v>
      </c>
      <c r="B6438" s="396" t="s">
        <v>12210</v>
      </c>
      <c r="C6438" s="396" t="s">
        <v>12211</v>
      </c>
      <c r="D6438" s="396" t="s">
        <v>12204</v>
      </c>
      <c r="E6438" s="396" t="s">
        <v>12205</v>
      </c>
      <c r="F6438" s="396" t="s">
        <v>12138</v>
      </c>
    </row>
    <row r="6439">
      <c r="A6439" s="311">
        <v>6438</v>
      </c>
      <c r="B6439" s="396" t="s">
        <v>12212</v>
      </c>
      <c r="C6439" s="396" t="s">
        <v>12213</v>
      </c>
      <c r="D6439" s="396" t="s">
        <v>12204</v>
      </c>
      <c r="E6439" s="396" t="s">
        <v>12205</v>
      </c>
      <c r="F6439" s="396" t="s">
        <v>12138</v>
      </c>
    </row>
    <row r="6440">
      <c r="A6440" s="311">
        <v>6439</v>
      </c>
      <c r="B6440" s="396" t="s">
        <v>12214</v>
      </c>
      <c r="C6440" s="396" t="s">
        <v>12215</v>
      </c>
      <c r="D6440" s="396" t="s">
        <v>12204</v>
      </c>
      <c r="E6440" s="396" t="s">
        <v>12205</v>
      </c>
      <c r="F6440" s="396" t="s">
        <v>12138</v>
      </c>
    </row>
    <row r="6441">
      <c r="A6441" s="311">
        <v>6440</v>
      </c>
      <c r="B6441" s="396" t="s">
        <v>12216</v>
      </c>
      <c r="C6441" s="396" t="s">
        <v>12217</v>
      </c>
      <c r="D6441" s="396" t="s">
        <v>12204</v>
      </c>
      <c r="E6441" s="396" t="s">
        <v>12205</v>
      </c>
      <c r="F6441" s="396" t="s">
        <v>12138</v>
      </c>
    </row>
    <row r="6442">
      <c r="A6442" s="311">
        <v>6441</v>
      </c>
      <c r="B6442" s="396" t="s">
        <v>12218</v>
      </c>
      <c r="C6442" s="396" t="s">
        <v>12219</v>
      </c>
      <c r="D6442" s="396" t="s">
        <v>12204</v>
      </c>
      <c r="E6442" s="396" t="s">
        <v>12205</v>
      </c>
      <c r="F6442" s="396" t="s">
        <v>12138</v>
      </c>
    </row>
    <row r="6443">
      <c r="A6443" s="311">
        <v>6442</v>
      </c>
      <c r="B6443" s="396" t="s">
        <v>12220</v>
      </c>
      <c r="C6443" s="396" t="s">
        <v>12221</v>
      </c>
      <c r="D6443" s="396" t="s">
        <v>12204</v>
      </c>
      <c r="E6443" s="396" t="s">
        <v>12205</v>
      </c>
      <c r="F6443" s="396" t="s">
        <v>12138</v>
      </c>
    </row>
    <row r="6444">
      <c r="A6444" s="311">
        <v>6443</v>
      </c>
      <c r="B6444" s="396" t="s">
        <v>12222</v>
      </c>
      <c r="C6444" s="396" t="s">
        <v>8845</v>
      </c>
      <c r="D6444" s="396" t="s">
        <v>12204</v>
      </c>
      <c r="E6444" s="396" t="s">
        <v>12205</v>
      </c>
      <c r="F6444" s="396" t="s">
        <v>12138</v>
      </c>
    </row>
    <row r="6445">
      <c r="A6445" s="311">
        <v>6444</v>
      </c>
      <c r="B6445" s="396" t="s">
        <v>12223</v>
      </c>
      <c r="C6445" s="396" t="s">
        <v>12224</v>
      </c>
      <c r="D6445" s="396" t="s">
        <v>12204</v>
      </c>
      <c r="E6445" s="396" t="s">
        <v>12205</v>
      </c>
      <c r="F6445" s="396" t="s">
        <v>12138</v>
      </c>
    </row>
    <row r="6446">
      <c r="A6446" s="311">
        <v>6445</v>
      </c>
      <c r="B6446" s="396" t="s">
        <v>12225</v>
      </c>
      <c r="C6446" s="396" t="s">
        <v>12226</v>
      </c>
      <c r="D6446" s="396" t="s">
        <v>12204</v>
      </c>
      <c r="E6446" s="396" t="s">
        <v>12205</v>
      </c>
      <c r="F6446" s="396" t="s">
        <v>12138</v>
      </c>
    </row>
    <row r="6447">
      <c r="A6447" s="311">
        <v>6446</v>
      </c>
      <c r="B6447" s="396" t="s">
        <v>12227</v>
      </c>
      <c r="C6447" s="396" t="s">
        <v>12228</v>
      </c>
      <c r="D6447" s="396" t="s">
        <v>12204</v>
      </c>
      <c r="E6447" s="396" t="s">
        <v>12205</v>
      </c>
      <c r="F6447" s="396" t="s">
        <v>12138</v>
      </c>
    </row>
    <row r="6448">
      <c r="A6448" s="311">
        <v>6447</v>
      </c>
      <c r="B6448" s="396" t="s">
        <v>12229</v>
      </c>
      <c r="C6448" s="396" t="s">
        <v>12230</v>
      </c>
      <c r="D6448" s="396" t="s">
        <v>12204</v>
      </c>
      <c r="E6448" s="396" t="s">
        <v>12205</v>
      </c>
      <c r="F6448" s="396" t="s">
        <v>12138</v>
      </c>
    </row>
    <row r="6449">
      <c r="A6449" s="311">
        <v>6448</v>
      </c>
      <c r="B6449" s="396" t="s">
        <v>12231</v>
      </c>
      <c r="C6449" s="396" t="s">
        <v>12232</v>
      </c>
      <c r="D6449" s="396" t="s">
        <v>12204</v>
      </c>
      <c r="E6449" s="396" t="s">
        <v>12205</v>
      </c>
      <c r="F6449" s="396" t="s">
        <v>12138</v>
      </c>
    </row>
    <row r="6450">
      <c r="A6450" s="311">
        <v>6449</v>
      </c>
      <c r="B6450" s="396" t="s">
        <v>12233</v>
      </c>
      <c r="C6450" s="396" t="s">
        <v>12234</v>
      </c>
      <c r="D6450" s="396" t="s">
        <v>12204</v>
      </c>
      <c r="E6450" s="396" t="s">
        <v>12205</v>
      </c>
      <c r="F6450" s="396" t="s">
        <v>12138</v>
      </c>
    </row>
    <row r="6451">
      <c r="A6451" s="311">
        <v>6450</v>
      </c>
      <c r="B6451" s="396" t="s">
        <v>12235</v>
      </c>
      <c r="C6451" s="396" t="s">
        <v>12236</v>
      </c>
      <c r="D6451" s="396" t="s">
        <v>12204</v>
      </c>
      <c r="E6451" s="396" t="s">
        <v>12205</v>
      </c>
      <c r="F6451" s="396" t="s">
        <v>12138</v>
      </c>
    </row>
    <row r="6452">
      <c r="A6452" s="311">
        <v>6451</v>
      </c>
      <c r="B6452" s="396" t="s">
        <v>12237</v>
      </c>
      <c r="C6452" s="396" t="s">
        <v>12238</v>
      </c>
      <c r="D6452" s="396" t="s">
        <v>12204</v>
      </c>
      <c r="E6452" s="396" t="s">
        <v>12205</v>
      </c>
      <c r="F6452" s="396" t="s">
        <v>12138</v>
      </c>
    </row>
    <row r="6453">
      <c r="A6453" s="311">
        <v>6452</v>
      </c>
      <c r="B6453" s="396" t="s">
        <v>12239</v>
      </c>
      <c r="C6453" s="396" t="s">
        <v>12240</v>
      </c>
      <c r="D6453" s="396" t="s">
        <v>12204</v>
      </c>
      <c r="E6453" s="396" t="s">
        <v>12205</v>
      </c>
      <c r="F6453" s="396" t="s">
        <v>12138</v>
      </c>
    </row>
    <row r="6454">
      <c r="A6454" s="311">
        <v>6453</v>
      </c>
      <c r="B6454" s="396" t="s">
        <v>12241</v>
      </c>
      <c r="C6454" s="396" t="s">
        <v>12242</v>
      </c>
      <c r="D6454" s="396" t="s">
        <v>12204</v>
      </c>
      <c r="E6454" s="396" t="s">
        <v>12205</v>
      </c>
      <c r="F6454" s="396" t="s">
        <v>12138</v>
      </c>
    </row>
    <row r="6455">
      <c r="A6455" s="311">
        <v>6454</v>
      </c>
      <c r="B6455" s="396" t="s">
        <v>12243</v>
      </c>
      <c r="C6455" s="396" t="s">
        <v>10702</v>
      </c>
      <c r="D6455" s="396" t="s">
        <v>12244</v>
      </c>
      <c r="E6455" s="396" t="s">
        <v>12245</v>
      </c>
      <c r="F6455" s="396" t="s">
        <v>12138</v>
      </c>
    </row>
    <row r="6456">
      <c r="A6456" s="311">
        <v>6455</v>
      </c>
      <c r="B6456" s="396" t="s">
        <v>12246</v>
      </c>
      <c r="C6456" s="396" t="s">
        <v>12247</v>
      </c>
      <c r="D6456" s="396" t="s">
        <v>12244</v>
      </c>
      <c r="E6456" s="396" t="s">
        <v>12245</v>
      </c>
      <c r="F6456" s="396" t="s">
        <v>12138</v>
      </c>
    </row>
    <row r="6457">
      <c r="A6457" s="311">
        <v>6456</v>
      </c>
      <c r="B6457" s="396" t="s">
        <v>12248</v>
      </c>
      <c r="C6457" s="396" t="s">
        <v>9704</v>
      </c>
      <c r="D6457" s="396" t="s">
        <v>12244</v>
      </c>
      <c r="E6457" s="396" t="s">
        <v>12245</v>
      </c>
      <c r="F6457" s="396" t="s">
        <v>12138</v>
      </c>
    </row>
    <row r="6458">
      <c r="A6458" s="311">
        <v>6457</v>
      </c>
      <c r="B6458" s="396" t="s">
        <v>12249</v>
      </c>
      <c r="C6458" s="396" t="s">
        <v>7118</v>
      </c>
      <c r="D6458" s="396" t="s">
        <v>12244</v>
      </c>
      <c r="E6458" s="396" t="s">
        <v>12245</v>
      </c>
      <c r="F6458" s="396" t="s">
        <v>12138</v>
      </c>
    </row>
    <row r="6459">
      <c r="A6459" s="311">
        <v>6458</v>
      </c>
      <c r="B6459" s="396" t="s">
        <v>12250</v>
      </c>
      <c r="C6459" s="396" t="s">
        <v>8010</v>
      </c>
      <c r="D6459" s="396" t="s">
        <v>12244</v>
      </c>
      <c r="E6459" s="396" t="s">
        <v>12245</v>
      </c>
      <c r="F6459" s="396" t="s">
        <v>12138</v>
      </c>
    </row>
    <row r="6460">
      <c r="A6460" s="311">
        <v>6459</v>
      </c>
      <c r="B6460" s="396" t="s">
        <v>12251</v>
      </c>
      <c r="C6460" s="396" t="s">
        <v>10735</v>
      </c>
      <c r="D6460" s="396" t="s">
        <v>12244</v>
      </c>
      <c r="E6460" s="396" t="s">
        <v>12245</v>
      </c>
      <c r="F6460" s="396" t="s">
        <v>12138</v>
      </c>
    </row>
    <row r="6461">
      <c r="A6461" s="311">
        <v>6460</v>
      </c>
      <c r="B6461" s="396" t="s">
        <v>12252</v>
      </c>
      <c r="C6461" s="396" t="s">
        <v>10728</v>
      </c>
      <c r="D6461" s="396" t="s">
        <v>12244</v>
      </c>
      <c r="E6461" s="396" t="s">
        <v>12245</v>
      </c>
      <c r="F6461" s="396" t="s">
        <v>12138</v>
      </c>
    </row>
    <row r="6462">
      <c r="A6462" s="311">
        <v>6461</v>
      </c>
      <c r="B6462" s="396" t="s">
        <v>12253</v>
      </c>
      <c r="C6462" s="396" t="s">
        <v>12254</v>
      </c>
      <c r="D6462" s="396" t="s">
        <v>12244</v>
      </c>
      <c r="E6462" s="396" t="s">
        <v>12245</v>
      </c>
      <c r="F6462" s="396" t="s">
        <v>12138</v>
      </c>
    </row>
    <row r="6463">
      <c r="A6463" s="311">
        <v>6462</v>
      </c>
      <c r="B6463" s="396" t="s">
        <v>12255</v>
      </c>
      <c r="C6463" s="396" t="s">
        <v>12256</v>
      </c>
      <c r="D6463" s="396" t="s">
        <v>12244</v>
      </c>
      <c r="E6463" s="396" t="s">
        <v>12245</v>
      </c>
      <c r="F6463" s="396" t="s">
        <v>12138</v>
      </c>
    </row>
    <row r="6464">
      <c r="A6464" s="311">
        <v>6463</v>
      </c>
      <c r="B6464" s="396" t="s">
        <v>12257</v>
      </c>
      <c r="C6464" s="396" t="s">
        <v>12258</v>
      </c>
      <c r="D6464" s="396" t="s">
        <v>12244</v>
      </c>
      <c r="E6464" s="396" t="s">
        <v>12245</v>
      </c>
      <c r="F6464" s="396" t="s">
        <v>12138</v>
      </c>
    </row>
    <row r="6465">
      <c r="A6465" s="311">
        <v>6464</v>
      </c>
      <c r="B6465" s="396" t="s">
        <v>12259</v>
      </c>
      <c r="C6465" s="396" t="s">
        <v>1869</v>
      </c>
      <c r="D6465" s="396" t="s">
        <v>12244</v>
      </c>
      <c r="E6465" s="396" t="s">
        <v>12245</v>
      </c>
      <c r="F6465" s="396" t="s">
        <v>12138</v>
      </c>
    </row>
    <row r="6466">
      <c r="A6466" s="311">
        <v>6465</v>
      </c>
      <c r="B6466" s="396" t="s">
        <v>12260</v>
      </c>
      <c r="C6466" s="396" t="s">
        <v>12261</v>
      </c>
      <c r="D6466" s="396" t="s">
        <v>12244</v>
      </c>
      <c r="E6466" s="396" t="s">
        <v>12245</v>
      </c>
      <c r="F6466" s="396" t="s">
        <v>12138</v>
      </c>
    </row>
    <row r="6467">
      <c r="A6467" s="311">
        <v>6466</v>
      </c>
      <c r="B6467" s="396" t="s">
        <v>12262</v>
      </c>
      <c r="C6467" s="396" t="s">
        <v>12263</v>
      </c>
      <c r="D6467" s="396" t="s">
        <v>12244</v>
      </c>
      <c r="E6467" s="396" t="s">
        <v>12245</v>
      </c>
      <c r="F6467" s="396" t="s">
        <v>12138</v>
      </c>
    </row>
    <row r="6468">
      <c r="A6468" s="311">
        <v>6467</v>
      </c>
      <c r="B6468" s="396" t="s">
        <v>12264</v>
      </c>
      <c r="C6468" s="396" t="s">
        <v>12265</v>
      </c>
      <c r="D6468" s="396" t="s">
        <v>12244</v>
      </c>
      <c r="E6468" s="396" t="s">
        <v>12245</v>
      </c>
      <c r="F6468" s="396" t="s">
        <v>12138</v>
      </c>
    </row>
    <row r="6469">
      <c r="A6469" s="311">
        <v>6468</v>
      </c>
      <c r="B6469" s="396" t="s">
        <v>12266</v>
      </c>
      <c r="C6469" s="396" t="s">
        <v>10718</v>
      </c>
      <c r="D6469" s="396" t="s">
        <v>12244</v>
      </c>
      <c r="E6469" s="396" t="s">
        <v>12245</v>
      </c>
      <c r="F6469" s="396" t="s">
        <v>12138</v>
      </c>
    </row>
    <row r="6470">
      <c r="A6470" s="311">
        <v>6469</v>
      </c>
      <c r="B6470" s="396" t="s">
        <v>12267</v>
      </c>
      <c r="C6470" s="396" t="s">
        <v>12268</v>
      </c>
      <c r="D6470" s="396" t="s">
        <v>12244</v>
      </c>
      <c r="E6470" s="396" t="s">
        <v>12245</v>
      </c>
      <c r="F6470" s="396" t="s">
        <v>12138</v>
      </c>
    </row>
    <row r="6471">
      <c r="A6471" s="311">
        <v>6470</v>
      </c>
      <c r="B6471" s="396" t="s">
        <v>12269</v>
      </c>
      <c r="C6471" s="396" t="s">
        <v>12270</v>
      </c>
      <c r="D6471" s="396" t="s">
        <v>12244</v>
      </c>
      <c r="E6471" s="396" t="s">
        <v>12245</v>
      </c>
      <c r="F6471" s="396" t="s">
        <v>12138</v>
      </c>
    </row>
    <row r="6472">
      <c r="A6472" s="311">
        <v>6471</v>
      </c>
      <c r="B6472" s="396" t="s">
        <v>12271</v>
      </c>
      <c r="C6472" s="396" t="s">
        <v>7765</v>
      </c>
      <c r="D6472" s="396" t="s">
        <v>12244</v>
      </c>
      <c r="E6472" s="396" t="s">
        <v>12245</v>
      </c>
      <c r="F6472" s="396" t="s">
        <v>12138</v>
      </c>
    </row>
    <row r="6473">
      <c r="A6473" s="311">
        <v>6472</v>
      </c>
      <c r="B6473" s="396" t="s">
        <v>12272</v>
      </c>
      <c r="C6473" s="396" t="s">
        <v>12273</v>
      </c>
      <c r="D6473" s="396" t="s">
        <v>12274</v>
      </c>
      <c r="E6473" s="396" t="s">
        <v>12275</v>
      </c>
      <c r="F6473" s="396" t="s">
        <v>12138</v>
      </c>
    </row>
    <row r="6474">
      <c r="A6474" s="311">
        <v>6473</v>
      </c>
      <c r="B6474" s="396" t="s">
        <v>12276</v>
      </c>
      <c r="C6474" s="396" t="s">
        <v>12277</v>
      </c>
      <c r="D6474" s="396" t="s">
        <v>12274</v>
      </c>
      <c r="E6474" s="396" t="s">
        <v>12275</v>
      </c>
      <c r="F6474" s="396" t="s">
        <v>12138</v>
      </c>
    </row>
    <row r="6475">
      <c r="A6475" s="311">
        <v>6474</v>
      </c>
      <c r="B6475" s="396" t="s">
        <v>12278</v>
      </c>
      <c r="C6475" s="396" t="s">
        <v>12279</v>
      </c>
      <c r="D6475" s="396" t="s">
        <v>12274</v>
      </c>
      <c r="E6475" s="396" t="s">
        <v>12275</v>
      </c>
      <c r="F6475" s="396" t="s">
        <v>12138</v>
      </c>
    </row>
    <row r="6476">
      <c r="A6476" s="311">
        <v>6475</v>
      </c>
      <c r="B6476" s="396" t="s">
        <v>12280</v>
      </c>
      <c r="C6476" s="396" t="s">
        <v>12281</v>
      </c>
      <c r="D6476" s="396" t="s">
        <v>12274</v>
      </c>
      <c r="E6476" s="396" t="s">
        <v>12275</v>
      </c>
      <c r="F6476" s="396" t="s">
        <v>12138</v>
      </c>
    </row>
    <row r="6477">
      <c r="A6477" s="311">
        <v>6476</v>
      </c>
      <c r="B6477" s="396" t="s">
        <v>12282</v>
      </c>
      <c r="C6477" s="396" t="s">
        <v>12283</v>
      </c>
      <c r="D6477" s="396" t="s">
        <v>12274</v>
      </c>
      <c r="E6477" s="396" t="s">
        <v>12275</v>
      </c>
      <c r="F6477" s="396" t="s">
        <v>12138</v>
      </c>
    </row>
    <row r="6478">
      <c r="A6478" s="311">
        <v>6477</v>
      </c>
      <c r="B6478" s="396" t="s">
        <v>12284</v>
      </c>
      <c r="C6478" s="396" t="s">
        <v>12285</v>
      </c>
      <c r="D6478" s="396" t="s">
        <v>12274</v>
      </c>
      <c r="E6478" s="396" t="s">
        <v>12275</v>
      </c>
      <c r="F6478" s="396" t="s">
        <v>12138</v>
      </c>
    </row>
    <row r="6479">
      <c r="A6479" s="311">
        <v>6478</v>
      </c>
      <c r="B6479" s="396" t="s">
        <v>12286</v>
      </c>
      <c r="C6479" s="396" t="s">
        <v>12287</v>
      </c>
      <c r="D6479" s="396" t="s">
        <v>12274</v>
      </c>
      <c r="E6479" s="396" t="s">
        <v>12275</v>
      </c>
      <c r="F6479" s="396" t="s">
        <v>12138</v>
      </c>
    </row>
    <row r="6480">
      <c r="A6480" s="311">
        <v>6479</v>
      </c>
      <c r="B6480" s="396" t="s">
        <v>12288</v>
      </c>
      <c r="C6480" s="396" t="s">
        <v>12289</v>
      </c>
      <c r="D6480" s="396" t="s">
        <v>12274</v>
      </c>
      <c r="E6480" s="396" t="s">
        <v>12275</v>
      </c>
      <c r="F6480" s="396" t="s">
        <v>12138</v>
      </c>
    </row>
    <row r="6481">
      <c r="A6481" s="311">
        <v>6480</v>
      </c>
      <c r="B6481" s="396" t="s">
        <v>12290</v>
      </c>
      <c r="C6481" s="396" t="s">
        <v>12291</v>
      </c>
      <c r="D6481" s="396" t="s">
        <v>12274</v>
      </c>
      <c r="E6481" s="396" t="s">
        <v>12275</v>
      </c>
      <c r="F6481" s="396" t="s">
        <v>12138</v>
      </c>
    </row>
    <row r="6482">
      <c r="A6482" s="311">
        <v>6481</v>
      </c>
      <c r="B6482" s="396" t="s">
        <v>12292</v>
      </c>
      <c r="C6482" s="396" t="s">
        <v>11930</v>
      </c>
      <c r="D6482" s="396" t="s">
        <v>12274</v>
      </c>
      <c r="E6482" s="396" t="s">
        <v>12275</v>
      </c>
      <c r="F6482" s="396" t="s">
        <v>12138</v>
      </c>
    </row>
    <row r="6483">
      <c r="A6483" s="311">
        <v>6482</v>
      </c>
      <c r="B6483" s="396" t="s">
        <v>12293</v>
      </c>
      <c r="C6483" s="396" t="s">
        <v>12294</v>
      </c>
      <c r="D6483" s="396" t="s">
        <v>12274</v>
      </c>
      <c r="E6483" s="396" t="s">
        <v>12275</v>
      </c>
      <c r="F6483" s="396" t="s">
        <v>12138</v>
      </c>
    </row>
    <row r="6484">
      <c r="A6484" s="311">
        <v>6483</v>
      </c>
      <c r="B6484" s="396" t="s">
        <v>12295</v>
      </c>
      <c r="C6484" s="396" t="s">
        <v>12296</v>
      </c>
      <c r="D6484" s="396" t="s">
        <v>12274</v>
      </c>
      <c r="E6484" s="396" t="s">
        <v>12275</v>
      </c>
      <c r="F6484" s="396" t="s">
        <v>12138</v>
      </c>
    </row>
    <row r="6485">
      <c r="A6485" s="311">
        <v>6484</v>
      </c>
      <c r="B6485" s="396" t="s">
        <v>12297</v>
      </c>
      <c r="C6485" s="396" t="s">
        <v>12298</v>
      </c>
      <c r="D6485" s="396" t="s">
        <v>12274</v>
      </c>
      <c r="E6485" s="396" t="s">
        <v>12275</v>
      </c>
      <c r="F6485" s="396" t="s">
        <v>12138</v>
      </c>
    </row>
    <row r="6486">
      <c r="A6486" s="311">
        <v>6485</v>
      </c>
      <c r="B6486" s="396" t="s">
        <v>12299</v>
      </c>
      <c r="C6486" s="396" t="s">
        <v>11893</v>
      </c>
      <c r="D6486" s="396" t="s">
        <v>12274</v>
      </c>
      <c r="E6486" s="396" t="s">
        <v>12275</v>
      </c>
      <c r="F6486" s="396" t="s">
        <v>12138</v>
      </c>
    </row>
    <row r="6487">
      <c r="A6487" s="311">
        <v>6486</v>
      </c>
      <c r="B6487" s="396" t="s">
        <v>12300</v>
      </c>
      <c r="C6487" s="396" t="s">
        <v>12301</v>
      </c>
      <c r="D6487" s="396" t="s">
        <v>12274</v>
      </c>
      <c r="E6487" s="396" t="s">
        <v>12275</v>
      </c>
      <c r="F6487" s="396" t="s">
        <v>12138</v>
      </c>
    </row>
    <row r="6488">
      <c r="A6488" s="311">
        <v>6487</v>
      </c>
      <c r="B6488" s="396" t="s">
        <v>12302</v>
      </c>
      <c r="C6488" s="396" t="s">
        <v>12303</v>
      </c>
      <c r="D6488" s="396" t="s">
        <v>12274</v>
      </c>
      <c r="E6488" s="396" t="s">
        <v>12275</v>
      </c>
      <c r="F6488" s="396" t="s">
        <v>12138</v>
      </c>
    </row>
    <row r="6489">
      <c r="A6489" s="311">
        <v>6488</v>
      </c>
      <c r="B6489" s="396" t="s">
        <v>12304</v>
      </c>
      <c r="C6489" s="396" t="s">
        <v>12305</v>
      </c>
      <c r="D6489" s="396" t="s">
        <v>12274</v>
      </c>
      <c r="E6489" s="396" t="s">
        <v>12275</v>
      </c>
      <c r="F6489" s="396" t="s">
        <v>12138</v>
      </c>
    </row>
    <row r="6490">
      <c r="A6490" s="311">
        <v>6489</v>
      </c>
      <c r="B6490" s="396" t="s">
        <v>12306</v>
      </c>
      <c r="C6490" s="396" t="s">
        <v>12307</v>
      </c>
      <c r="D6490" s="396" t="s">
        <v>12274</v>
      </c>
      <c r="E6490" s="396" t="s">
        <v>12275</v>
      </c>
      <c r="F6490" s="396" t="s">
        <v>12138</v>
      </c>
    </row>
    <row r="6491">
      <c r="A6491" s="311">
        <v>6490</v>
      </c>
      <c r="B6491" s="396" t="s">
        <v>12308</v>
      </c>
      <c r="C6491" s="396" t="s">
        <v>12309</v>
      </c>
      <c r="D6491" s="396" t="s">
        <v>12274</v>
      </c>
      <c r="E6491" s="396" t="s">
        <v>12275</v>
      </c>
      <c r="F6491" s="396" t="s">
        <v>12138</v>
      </c>
    </row>
    <row r="6492">
      <c r="A6492" s="311">
        <v>6491</v>
      </c>
      <c r="B6492" s="396" t="s">
        <v>12310</v>
      </c>
      <c r="C6492" s="396" t="s">
        <v>12311</v>
      </c>
      <c r="D6492" s="396" t="s">
        <v>12274</v>
      </c>
      <c r="E6492" s="396" t="s">
        <v>12275</v>
      </c>
      <c r="F6492" s="396" t="s">
        <v>12138</v>
      </c>
    </row>
    <row r="6493">
      <c r="A6493" s="311">
        <v>6492</v>
      </c>
      <c r="B6493" s="396" t="s">
        <v>12312</v>
      </c>
      <c r="C6493" s="396" t="s">
        <v>12313</v>
      </c>
      <c r="D6493" s="396" t="s">
        <v>12274</v>
      </c>
      <c r="E6493" s="396" t="s">
        <v>12275</v>
      </c>
      <c r="F6493" s="396" t="s">
        <v>12138</v>
      </c>
    </row>
    <row r="6494">
      <c r="A6494" s="311">
        <v>6493</v>
      </c>
      <c r="B6494" s="396" t="s">
        <v>12314</v>
      </c>
      <c r="C6494" s="396" t="s">
        <v>12315</v>
      </c>
      <c r="D6494" s="396" t="s">
        <v>12274</v>
      </c>
      <c r="E6494" s="396" t="s">
        <v>12275</v>
      </c>
      <c r="F6494" s="396" t="s">
        <v>12138</v>
      </c>
    </row>
    <row r="6495">
      <c r="A6495" s="311">
        <v>6494</v>
      </c>
      <c r="B6495" s="396" t="s">
        <v>12316</v>
      </c>
      <c r="C6495" s="396" t="s">
        <v>12317</v>
      </c>
      <c r="D6495" s="396" t="s">
        <v>12274</v>
      </c>
      <c r="E6495" s="396" t="s">
        <v>12275</v>
      </c>
      <c r="F6495" s="396" t="s">
        <v>12138</v>
      </c>
    </row>
    <row r="6496">
      <c r="A6496" s="311">
        <v>6495</v>
      </c>
      <c r="B6496" s="396" t="s">
        <v>12318</v>
      </c>
      <c r="C6496" s="396" t="s">
        <v>12319</v>
      </c>
      <c r="D6496" s="396" t="s">
        <v>12274</v>
      </c>
      <c r="E6496" s="396" t="s">
        <v>12275</v>
      </c>
      <c r="F6496" s="396" t="s">
        <v>12138</v>
      </c>
    </row>
    <row r="6497">
      <c r="A6497" s="311">
        <v>6496</v>
      </c>
      <c r="B6497" s="396" t="s">
        <v>12320</v>
      </c>
      <c r="C6497" s="396" t="s">
        <v>12321</v>
      </c>
      <c r="D6497" s="396" t="s">
        <v>12274</v>
      </c>
      <c r="E6497" s="396" t="s">
        <v>12275</v>
      </c>
      <c r="F6497" s="396" t="s">
        <v>12138</v>
      </c>
    </row>
    <row r="6498">
      <c r="A6498" s="311">
        <v>6497</v>
      </c>
      <c r="B6498" s="396" t="s">
        <v>12322</v>
      </c>
      <c r="C6498" s="396" t="s">
        <v>12323</v>
      </c>
      <c r="D6498" s="396" t="s">
        <v>12274</v>
      </c>
      <c r="E6498" s="396" t="s">
        <v>12275</v>
      </c>
      <c r="F6498" s="396" t="s">
        <v>12138</v>
      </c>
    </row>
    <row r="6499">
      <c r="A6499" s="311">
        <v>6498</v>
      </c>
      <c r="B6499" s="396" t="s">
        <v>12324</v>
      </c>
      <c r="C6499" s="396" t="s">
        <v>12325</v>
      </c>
      <c r="D6499" s="396" t="s">
        <v>12274</v>
      </c>
      <c r="E6499" s="396" t="s">
        <v>12275</v>
      </c>
      <c r="F6499" s="396" t="s">
        <v>12138</v>
      </c>
    </row>
    <row r="6500">
      <c r="A6500" s="311">
        <v>6499</v>
      </c>
      <c r="B6500" s="396" t="s">
        <v>12326</v>
      </c>
      <c r="C6500" s="396" t="s">
        <v>12327</v>
      </c>
      <c r="D6500" s="396" t="s">
        <v>12274</v>
      </c>
      <c r="E6500" s="396" t="s">
        <v>12275</v>
      </c>
      <c r="F6500" s="396" t="s">
        <v>12138</v>
      </c>
    </row>
    <row r="6501">
      <c r="A6501" s="311">
        <v>6500</v>
      </c>
      <c r="B6501" s="396" t="s">
        <v>12328</v>
      </c>
      <c r="C6501" s="396" t="s">
        <v>12329</v>
      </c>
      <c r="D6501" s="396" t="s">
        <v>12274</v>
      </c>
      <c r="E6501" s="396" t="s">
        <v>12275</v>
      </c>
      <c r="F6501" s="396" t="s">
        <v>12138</v>
      </c>
    </row>
    <row r="6502">
      <c r="A6502" s="311">
        <v>6501</v>
      </c>
      <c r="B6502" s="396" t="s">
        <v>12330</v>
      </c>
      <c r="C6502" s="396" t="s">
        <v>12331</v>
      </c>
      <c r="D6502" s="396" t="s">
        <v>12274</v>
      </c>
      <c r="E6502" s="396" t="s">
        <v>12275</v>
      </c>
      <c r="F6502" s="396" t="s">
        <v>12138</v>
      </c>
    </row>
    <row r="6503">
      <c r="A6503" s="311">
        <v>6502</v>
      </c>
      <c r="B6503" s="396" t="s">
        <v>12332</v>
      </c>
      <c r="C6503" s="396" t="s">
        <v>12333</v>
      </c>
      <c r="D6503" s="396" t="s">
        <v>12334</v>
      </c>
      <c r="E6503" s="396" t="s">
        <v>12335</v>
      </c>
      <c r="F6503" s="396" t="s">
        <v>12138</v>
      </c>
    </row>
    <row r="6504">
      <c r="A6504" s="311">
        <v>6503</v>
      </c>
      <c r="B6504" s="396" t="s">
        <v>12336</v>
      </c>
      <c r="C6504" s="396" t="s">
        <v>4262</v>
      </c>
      <c r="D6504" s="396" t="s">
        <v>12334</v>
      </c>
      <c r="E6504" s="396" t="s">
        <v>12335</v>
      </c>
      <c r="F6504" s="396" t="s">
        <v>12138</v>
      </c>
    </row>
    <row r="6505">
      <c r="A6505" s="311">
        <v>6504</v>
      </c>
      <c r="B6505" s="396" t="s">
        <v>12337</v>
      </c>
      <c r="C6505" s="396" t="s">
        <v>12338</v>
      </c>
      <c r="D6505" s="396" t="s">
        <v>12334</v>
      </c>
      <c r="E6505" s="396" t="s">
        <v>12335</v>
      </c>
      <c r="F6505" s="396" t="s">
        <v>12138</v>
      </c>
    </row>
    <row r="6506">
      <c r="A6506" s="311">
        <v>6505</v>
      </c>
      <c r="B6506" s="396" t="s">
        <v>12339</v>
      </c>
      <c r="C6506" s="396" t="s">
        <v>6853</v>
      </c>
      <c r="D6506" s="396" t="s">
        <v>12334</v>
      </c>
      <c r="E6506" s="396" t="s">
        <v>12335</v>
      </c>
      <c r="F6506" s="396" t="s">
        <v>12138</v>
      </c>
    </row>
    <row r="6507">
      <c r="A6507" s="311">
        <v>6506</v>
      </c>
      <c r="B6507" s="396" t="s">
        <v>12340</v>
      </c>
      <c r="C6507" s="396" t="s">
        <v>12341</v>
      </c>
      <c r="D6507" s="396" t="s">
        <v>12334</v>
      </c>
      <c r="E6507" s="396" t="s">
        <v>12335</v>
      </c>
      <c r="F6507" s="396" t="s">
        <v>12138</v>
      </c>
    </row>
    <row r="6508">
      <c r="A6508" s="311">
        <v>6507</v>
      </c>
      <c r="B6508" s="396" t="s">
        <v>12342</v>
      </c>
      <c r="C6508" s="396" t="s">
        <v>9370</v>
      </c>
      <c r="D6508" s="396" t="s">
        <v>12334</v>
      </c>
      <c r="E6508" s="396" t="s">
        <v>12335</v>
      </c>
      <c r="F6508" s="396" t="s">
        <v>12138</v>
      </c>
    </row>
    <row r="6509">
      <c r="A6509" s="311">
        <v>6508</v>
      </c>
      <c r="B6509" s="396" t="s">
        <v>12343</v>
      </c>
      <c r="C6509" s="396" t="s">
        <v>12344</v>
      </c>
      <c r="D6509" s="396" t="s">
        <v>12334</v>
      </c>
      <c r="E6509" s="396" t="s">
        <v>12335</v>
      </c>
      <c r="F6509" s="396" t="s">
        <v>12138</v>
      </c>
    </row>
    <row r="6510">
      <c r="A6510" s="311">
        <v>6509</v>
      </c>
      <c r="B6510" s="396" t="s">
        <v>12345</v>
      </c>
      <c r="C6510" s="396" t="s">
        <v>12346</v>
      </c>
      <c r="D6510" s="396" t="s">
        <v>12334</v>
      </c>
      <c r="E6510" s="396" t="s">
        <v>12335</v>
      </c>
      <c r="F6510" s="396" t="s">
        <v>12138</v>
      </c>
    </row>
    <row r="6511">
      <c r="A6511" s="311">
        <v>6510</v>
      </c>
      <c r="B6511" s="396" t="s">
        <v>12347</v>
      </c>
      <c r="C6511" s="396" t="s">
        <v>12348</v>
      </c>
      <c r="D6511" s="396" t="s">
        <v>12334</v>
      </c>
      <c r="E6511" s="396" t="s">
        <v>12335</v>
      </c>
      <c r="F6511" s="396" t="s">
        <v>12138</v>
      </c>
    </row>
    <row r="6512">
      <c r="A6512" s="311">
        <v>6511</v>
      </c>
      <c r="B6512" s="396" t="s">
        <v>12349</v>
      </c>
      <c r="C6512" s="396" t="s">
        <v>12350</v>
      </c>
      <c r="D6512" s="396" t="s">
        <v>12334</v>
      </c>
      <c r="E6512" s="396" t="s">
        <v>12335</v>
      </c>
      <c r="F6512" s="396" t="s">
        <v>12138</v>
      </c>
    </row>
    <row r="6513">
      <c r="A6513" s="311">
        <v>6512</v>
      </c>
      <c r="B6513" s="396" t="s">
        <v>12351</v>
      </c>
      <c r="C6513" s="396" t="s">
        <v>308</v>
      </c>
      <c r="D6513" s="396" t="s">
        <v>12334</v>
      </c>
      <c r="E6513" s="396" t="s">
        <v>12335</v>
      </c>
      <c r="F6513" s="396" t="s">
        <v>12138</v>
      </c>
    </row>
    <row r="6514">
      <c r="A6514" s="311">
        <v>6513</v>
      </c>
      <c r="B6514" s="396" t="s">
        <v>12352</v>
      </c>
      <c r="C6514" s="396" t="s">
        <v>10261</v>
      </c>
      <c r="D6514" s="396" t="s">
        <v>12334</v>
      </c>
      <c r="E6514" s="396" t="s">
        <v>12335</v>
      </c>
      <c r="F6514" s="396" t="s">
        <v>12138</v>
      </c>
    </row>
    <row r="6515">
      <c r="A6515" s="311">
        <v>6514</v>
      </c>
      <c r="B6515" s="396" t="s">
        <v>12353</v>
      </c>
      <c r="C6515" s="396" t="s">
        <v>9264</v>
      </c>
      <c r="D6515" s="396" t="s">
        <v>12334</v>
      </c>
      <c r="E6515" s="396" t="s">
        <v>12335</v>
      </c>
      <c r="F6515" s="396" t="s">
        <v>12138</v>
      </c>
    </row>
    <row r="6516">
      <c r="A6516" s="311">
        <v>6515</v>
      </c>
      <c r="B6516" s="396" t="s">
        <v>12354</v>
      </c>
      <c r="C6516" s="396" t="s">
        <v>8340</v>
      </c>
      <c r="D6516" s="396" t="s">
        <v>12334</v>
      </c>
      <c r="E6516" s="396" t="s">
        <v>12335</v>
      </c>
      <c r="F6516" s="396" t="s">
        <v>12138</v>
      </c>
    </row>
    <row r="6517">
      <c r="A6517" s="311">
        <v>6516</v>
      </c>
      <c r="B6517" s="396" t="s">
        <v>12355</v>
      </c>
      <c r="C6517" s="396" t="s">
        <v>5381</v>
      </c>
      <c r="D6517" s="396" t="s">
        <v>12334</v>
      </c>
      <c r="E6517" s="396" t="s">
        <v>12335</v>
      </c>
      <c r="F6517" s="396" t="s">
        <v>12138</v>
      </c>
    </row>
    <row r="6518">
      <c r="A6518" s="311">
        <v>6517</v>
      </c>
      <c r="B6518" s="396" t="s">
        <v>12356</v>
      </c>
      <c r="C6518" s="396" t="s">
        <v>12357</v>
      </c>
      <c r="D6518" s="396" t="s">
        <v>12358</v>
      </c>
      <c r="E6518" s="396" t="s">
        <v>12359</v>
      </c>
      <c r="F6518" s="396" t="s">
        <v>12138</v>
      </c>
    </row>
    <row r="6519">
      <c r="A6519" s="311">
        <v>6518</v>
      </c>
      <c r="B6519" s="396" t="s">
        <v>12360</v>
      </c>
      <c r="C6519" s="396" t="s">
        <v>12361</v>
      </c>
      <c r="D6519" s="396" t="s">
        <v>12358</v>
      </c>
      <c r="E6519" s="396" t="s">
        <v>12359</v>
      </c>
      <c r="F6519" s="396" t="s">
        <v>12138</v>
      </c>
    </row>
    <row r="6520">
      <c r="A6520" s="311">
        <v>6519</v>
      </c>
      <c r="B6520" s="396" t="s">
        <v>12362</v>
      </c>
      <c r="C6520" s="396" t="s">
        <v>12363</v>
      </c>
      <c r="D6520" s="396" t="s">
        <v>12358</v>
      </c>
      <c r="E6520" s="396" t="s">
        <v>12359</v>
      </c>
      <c r="F6520" s="396" t="s">
        <v>12138</v>
      </c>
    </row>
    <row r="6521">
      <c r="A6521" s="311">
        <v>6520</v>
      </c>
      <c r="B6521" s="396" t="s">
        <v>12364</v>
      </c>
      <c r="C6521" s="396" t="s">
        <v>12365</v>
      </c>
      <c r="D6521" s="396" t="s">
        <v>12358</v>
      </c>
      <c r="E6521" s="396" t="s">
        <v>12359</v>
      </c>
      <c r="F6521" s="396" t="s">
        <v>12138</v>
      </c>
    </row>
    <row r="6522">
      <c r="A6522" s="311">
        <v>6521</v>
      </c>
      <c r="B6522" s="396" t="s">
        <v>12366</v>
      </c>
      <c r="C6522" s="396" t="s">
        <v>12367</v>
      </c>
      <c r="D6522" s="396" t="s">
        <v>12358</v>
      </c>
      <c r="E6522" s="396" t="s">
        <v>12359</v>
      </c>
      <c r="F6522" s="396" t="s">
        <v>12138</v>
      </c>
    </row>
    <row r="6523">
      <c r="A6523" s="311">
        <v>6522</v>
      </c>
      <c r="B6523" s="396" t="s">
        <v>12368</v>
      </c>
      <c r="C6523" s="396" t="s">
        <v>1395</v>
      </c>
      <c r="D6523" s="396" t="s">
        <v>12358</v>
      </c>
      <c r="E6523" s="396" t="s">
        <v>12359</v>
      </c>
      <c r="F6523" s="396" t="s">
        <v>12138</v>
      </c>
    </row>
    <row r="6524">
      <c r="A6524" s="311">
        <v>6523</v>
      </c>
      <c r="B6524" s="396" t="s">
        <v>12369</v>
      </c>
      <c r="C6524" s="396" t="s">
        <v>12370</v>
      </c>
      <c r="D6524" s="396" t="s">
        <v>12358</v>
      </c>
      <c r="E6524" s="396" t="s">
        <v>12359</v>
      </c>
      <c r="F6524" s="396" t="s">
        <v>12138</v>
      </c>
    </row>
    <row r="6525">
      <c r="A6525" s="311">
        <v>6524</v>
      </c>
      <c r="B6525" s="396" t="s">
        <v>12371</v>
      </c>
      <c r="C6525" s="396" t="s">
        <v>12372</v>
      </c>
      <c r="D6525" s="396" t="s">
        <v>12358</v>
      </c>
      <c r="E6525" s="396" t="s">
        <v>12359</v>
      </c>
      <c r="F6525" s="396" t="s">
        <v>12138</v>
      </c>
    </row>
    <row r="6526">
      <c r="A6526" s="311">
        <v>6525</v>
      </c>
      <c r="B6526" s="396" t="s">
        <v>12373</v>
      </c>
      <c r="C6526" s="396" t="s">
        <v>12374</v>
      </c>
      <c r="D6526" s="396" t="s">
        <v>12358</v>
      </c>
      <c r="E6526" s="396" t="s">
        <v>12359</v>
      </c>
      <c r="F6526" s="396" t="s">
        <v>12138</v>
      </c>
    </row>
    <row r="6527">
      <c r="A6527" s="311">
        <v>6526</v>
      </c>
      <c r="B6527" s="396" t="s">
        <v>12375</v>
      </c>
      <c r="C6527" s="396" t="s">
        <v>12376</v>
      </c>
      <c r="D6527" s="396" t="s">
        <v>12358</v>
      </c>
      <c r="E6527" s="396" t="s">
        <v>12359</v>
      </c>
      <c r="F6527" s="396" t="s">
        <v>12138</v>
      </c>
    </row>
    <row r="6528">
      <c r="A6528" s="311">
        <v>6527</v>
      </c>
      <c r="B6528" s="396" t="s">
        <v>12377</v>
      </c>
      <c r="C6528" s="396" t="s">
        <v>4306</v>
      </c>
      <c r="D6528" s="396" t="s">
        <v>12358</v>
      </c>
      <c r="E6528" s="396" t="s">
        <v>12359</v>
      </c>
      <c r="F6528" s="396" t="s">
        <v>12138</v>
      </c>
    </row>
    <row r="6529">
      <c r="A6529" s="311">
        <v>6528</v>
      </c>
      <c r="B6529" s="396" t="s">
        <v>12378</v>
      </c>
      <c r="C6529" s="396" t="s">
        <v>12379</v>
      </c>
      <c r="D6529" s="396" t="s">
        <v>12358</v>
      </c>
      <c r="E6529" s="396" t="s">
        <v>12359</v>
      </c>
      <c r="F6529" s="396" t="s">
        <v>12138</v>
      </c>
    </row>
    <row r="6530">
      <c r="A6530" s="311">
        <v>6529</v>
      </c>
      <c r="B6530" s="396" t="s">
        <v>12380</v>
      </c>
      <c r="C6530" s="396" t="s">
        <v>12381</v>
      </c>
      <c r="D6530" s="396" t="s">
        <v>12358</v>
      </c>
      <c r="E6530" s="396" t="s">
        <v>12359</v>
      </c>
      <c r="F6530" s="396" t="s">
        <v>12138</v>
      </c>
    </row>
    <row r="6531">
      <c r="A6531" s="311">
        <v>6530</v>
      </c>
      <c r="B6531" s="396" t="s">
        <v>12382</v>
      </c>
      <c r="C6531" s="396" t="s">
        <v>12383</v>
      </c>
      <c r="D6531" s="396" t="s">
        <v>12358</v>
      </c>
      <c r="E6531" s="396" t="s">
        <v>12359</v>
      </c>
      <c r="F6531" s="396" t="s">
        <v>12138</v>
      </c>
    </row>
    <row r="6532">
      <c r="A6532" s="311">
        <v>6531</v>
      </c>
      <c r="B6532" s="396" t="s">
        <v>12384</v>
      </c>
      <c r="C6532" s="396" t="s">
        <v>12385</v>
      </c>
      <c r="D6532" s="396" t="s">
        <v>12358</v>
      </c>
      <c r="E6532" s="396" t="s">
        <v>12359</v>
      </c>
      <c r="F6532" s="396" t="s">
        <v>12138</v>
      </c>
    </row>
    <row r="6533">
      <c r="A6533" s="311">
        <v>6532</v>
      </c>
      <c r="B6533" s="396" t="s">
        <v>12386</v>
      </c>
      <c r="C6533" s="396" t="s">
        <v>12387</v>
      </c>
      <c r="D6533" s="396" t="s">
        <v>12358</v>
      </c>
      <c r="E6533" s="396" t="s">
        <v>12359</v>
      </c>
      <c r="F6533" s="396" t="s">
        <v>12138</v>
      </c>
    </row>
    <row r="6534">
      <c r="A6534" s="311">
        <v>6533</v>
      </c>
      <c r="B6534" s="396" t="s">
        <v>12388</v>
      </c>
      <c r="C6534" s="396" t="s">
        <v>12389</v>
      </c>
      <c r="D6534" s="396" t="s">
        <v>12358</v>
      </c>
      <c r="E6534" s="396" t="s">
        <v>12359</v>
      </c>
      <c r="F6534" s="396" t="s">
        <v>12138</v>
      </c>
    </row>
    <row r="6535">
      <c r="A6535" s="311">
        <v>6534</v>
      </c>
      <c r="B6535" s="396" t="s">
        <v>12390</v>
      </c>
      <c r="C6535" s="396" t="s">
        <v>12391</v>
      </c>
      <c r="D6535" s="396" t="s">
        <v>12358</v>
      </c>
      <c r="E6535" s="396" t="s">
        <v>12359</v>
      </c>
      <c r="F6535" s="396" t="s">
        <v>12138</v>
      </c>
    </row>
    <row r="6536">
      <c r="A6536" s="311">
        <v>6535</v>
      </c>
      <c r="B6536" s="396" t="s">
        <v>12392</v>
      </c>
      <c r="C6536" s="396" t="s">
        <v>6385</v>
      </c>
      <c r="D6536" s="396" t="s">
        <v>12358</v>
      </c>
      <c r="E6536" s="396" t="s">
        <v>12359</v>
      </c>
      <c r="F6536" s="396" t="s">
        <v>12138</v>
      </c>
    </row>
    <row r="6537">
      <c r="A6537" s="311">
        <v>6536</v>
      </c>
      <c r="B6537" s="396" t="s">
        <v>12393</v>
      </c>
      <c r="C6537" s="396" t="s">
        <v>12394</v>
      </c>
      <c r="D6537" s="396" t="s">
        <v>12358</v>
      </c>
      <c r="E6537" s="396" t="s">
        <v>12359</v>
      </c>
      <c r="F6537" s="396" t="s">
        <v>12138</v>
      </c>
    </row>
    <row r="6538">
      <c r="A6538" s="311">
        <v>6537</v>
      </c>
      <c r="B6538" s="396" t="s">
        <v>12395</v>
      </c>
      <c r="C6538" s="396" t="s">
        <v>12396</v>
      </c>
      <c r="D6538" s="396" t="s">
        <v>12358</v>
      </c>
      <c r="E6538" s="396" t="s">
        <v>12359</v>
      </c>
      <c r="F6538" s="396" t="s">
        <v>12138</v>
      </c>
    </row>
    <row r="6539">
      <c r="A6539" s="311">
        <v>6538</v>
      </c>
      <c r="B6539" s="396" t="s">
        <v>12397</v>
      </c>
      <c r="C6539" s="396" t="s">
        <v>12398</v>
      </c>
      <c r="D6539" s="396" t="s">
        <v>12358</v>
      </c>
      <c r="E6539" s="396" t="s">
        <v>12359</v>
      </c>
      <c r="F6539" s="396" t="s">
        <v>12138</v>
      </c>
    </row>
    <row r="6540">
      <c r="A6540" s="311">
        <v>6539</v>
      </c>
      <c r="B6540" s="396" t="s">
        <v>12399</v>
      </c>
      <c r="C6540" s="396" t="s">
        <v>12400</v>
      </c>
      <c r="D6540" s="396" t="s">
        <v>12358</v>
      </c>
      <c r="E6540" s="396" t="s">
        <v>12359</v>
      </c>
      <c r="F6540" s="396" t="s">
        <v>12138</v>
      </c>
    </row>
    <row r="6541">
      <c r="A6541" s="311">
        <v>6540</v>
      </c>
      <c r="B6541" s="396" t="s">
        <v>12401</v>
      </c>
      <c r="C6541" s="396" t="s">
        <v>8559</v>
      </c>
      <c r="D6541" s="396" t="s">
        <v>12358</v>
      </c>
      <c r="E6541" s="396" t="s">
        <v>12359</v>
      </c>
      <c r="F6541" s="396" t="s">
        <v>12138</v>
      </c>
    </row>
    <row r="6542">
      <c r="A6542" s="311">
        <v>6541</v>
      </c>
      <c r="B6542" s="396" t="s">
        <v>12402</v>
      </c>
      <c r="C6542" s="396" t="s">
        <v>12403</v>
      </c>
      <c r="D6542" s="396" t="s">
        <v>12358</v>
      </c>
      <c r="E6542" s="396" t="s">
        <v>12359</v>
      </c>
      <c r="F6542" s="396" t="s">
        <v>12138</v>
      </c>
    </row>
    <row r="6543">
      <c r="A6543" s="311">
        <v>6542</v>
      </c>
      <c r="B6543" s="396" t="s">
        <v>12404</v>
      </c>
      <c r="C6543" s="396" t="s">
        <v>12405</v>
      </c>
      <c r="D6543" s="396" t="s">
        <v>12358</v>
      </c>
      <c r="E6543" s="396" t="s">
        <v>12359</v>
      </c>
      <c r="F6543" s="396" t="s">
        <v>12138</v>
      </c>
    </row>
    <row r="6544">
      <c r="A6544" s="311">
        <v>6543</v>
      </c>
      <c r="B6544" s="396" t="s">
        <v>12406</v>
      </c>
      <c r="C6544" s="396" t="s">
        <v>12407</v>
      </c>
      <c r="D6544" s="396" t="s">
        <v>12358</v>
      </c>
      <c r="E6544" s="396" t="s">
        <v>12359</v>
      </c>
      <c r="F6544" s="396" t="s">
        <v>12138</v>
      </c>
    </row>
    <row r="6545">
      <c r="A6545" s="311">
        <v>6544</v>
      </c>
      <c r="B6545" s="396" t="s">
        <v>12408</v>
      </c>
      <c r="C6545" s="396" t="s">
        <v>12409</v>
      </c>
      <c r="D6545" s="396" t="s">
        <v>12358</v>
      </c>
      <c r="E6545" s="396" t="s">
        <v>12359</v>
      </c>
      <c r="F6545" s="396" t="s">
        <v>12138</v>
      </c>
    </row>
    <row r="6546">
      <c r="A6546" s="311">
        <v>6545</v>
      </c>
      <c r="B6546" s="396" t="s">
        <v>12410</v>
      </c>
      <c r="C6546" s="396" t="s">
        <v>12411</v>
      </c>
      <c r="D6546" s="396" t="s">
        <v>12412</v>
      </c>
      <c r="E6546" s="396" t="s">
        <v>12413</v>
      </c>
      <c r="F6546" s="396" t="s">
        <v>12138</v>
      </c>
    </row>
    <row r="6547">
      <c r="A6547" s="311">
        <v>6546</v>
      </c>
      <c r="B6547" s="396" t="s">
        <v>12414</v>
      </c>
      <c r="C6547" s="396" t="s">
        <v>12415</v>
      </c>
      <c r="D6547" s="396" t="s">
        <v>12412</v>
      </c>
      <c r="E6547" s="396" t="s">
        <v>12413</v>
      </c>
      <c r="F6547" s="396" t="s">
        <v>12138</v>
      </c>
    </row>
    <row r="6548">
      <c r="A6548" s="311">
        <v>6547</v>
      </c>
      <c r="B6548" s="396" t="s">
        <v>12416</v>
      </c>
      <c r="C6548" s="396" t="s">
        <v>9735</v>
      </c>
      <c r="D6548" s="396" t="s">
        <v>12412</v>
      </c>
      <c r="E6548" s="396" t="s">
        <v>12413</v>
      </c>
      <c r="F6548" s="396" t="s">
        <v>12138</v>
      </c>
    </row>
    <row r="6549">
      <c r="A6549" s="311">
        <v>6548</v>
      </c>
      <c r="B6549" s="396" t="s">
        <v>12417</v>
      </c>
      <c r="C6549" s="396" t="s">
        <v>12418</v>
      </c>
      <c r="D6549" s="396" t="s">
        <v>12412</v>
      </c>
      <c r="E6549" s="396" t="s">
        <v>12413</v>
      </c>
      <c r="F6549" s="396" t="s">
        <v>12138</v>
      </c>
    </row>
    <row r="6550">
      <c r="A6550" s="311">
        <v>6549</v>
      </c>
      <c r="B6550" s="396" t="s">
        <v>12419</v>
      </c>
      <c r="C6550" s="396" t="s">
        <v>5529</v>
      </c>
      <c r="D6550" s="396" t="s">
        <v>12412</v>
      </c>
      <c r="E6550" s="396" t="s">
        <v>12413</v>
      </c>
      <c r="F6550" s="396" t="s">
        <v>12138</v>
      </c>
    </row>
    <row r="6551">
      <c r="A6551" s="311">
        <v>6550</v>
      </c>
      <c r="B6551" s="396" t="s">
        <v>12420</v>
      </c>
      <c r="C6551" s="396" t="s">
        <v>12421</v>
      </c>
      <c r="D6551" s="396" t="s">
        <v>12412</v>
      </c>
      <c r="E6551" s="396" t="s">
        <v>12413</v>
      </c>
      <c r="F6551" s="396" t="s">
        <v>12138</v>
      </c>
    </row>
    <row r="6552">
      <c r="A6552" s="311">
        <v>6551</v>
      </c>
      <c r="B6552" s="396" t="s">
        <v>12422</v>
      </c>
      <c r="C6552" s="396" t="s">
        <v>12423</v>
      </c>
      <c r="D6552" s="396" t="s">
        <v>12412</v>
      </c>
      <c r="E6552" s="396" t="s">
        <v>12413</v>
      </c>
      <c r="F6552" s="396" t="s">
        <v>12138</v>
      </c>
    </row>
    <row r="6553">
      <c r="A6553" s="311">
        <v>6552</v>
      </c>
      <c r="B6553" s="396" t="s">
        <v>12424</v>
      </c>
      <c r="C6553" s="396" t="s">
        <v>5498</v>
      </c>
      <c r="D6553" s="396" t="s">
        <v>12412</v>
      </c>
      <c r="E6553" s="396" t="s">
        <v>12413</v>
      </c>
      <c r="F6553" s="396" t="s">
        <v>12138</v>
      </c>
    </row>
    <row r="6554">
      <c r="A6554" s="311">
        <v>6553</v>
      </c>
      <c r="B6554" s="396" t="s">
        <v>12425</v>
      </c>
      <c r="C6554" s="396" t="s">
        <v>10726</v>
      </c>
      <c r="D6554" s="396" t="s">
        <v>12412</v>
      </c>
      <c r="E6554" s="396" t="s">
        <v>12413</v>
      </c>
      <c r="F6554" s="396" t="s">
        <v>12138</v>
      </c>
    </row>
    <row r="6555">
      <c r="A6555" s="311">
        <v>6554</v>
      </c>
      <c r="B6555" s="396" t="s">
        <v>12426</v>
      </c>
      <c r="C6555" s="396" t="s">
        <v>5511</v>
      </c>
      <c r="D6555" s="396" t="s">
        <v>12412</v>
      </c>
      <c r="E6555" s="396" t="s">
        <v>12413</v>
      </c>
      <c r="F6555" s="396" t="s">
        <v>12138</v>
      </c>
    </row>
    <row r="6556">
      <c r="A6556" s="311">
        <v>6555</v>
      </c>
      <c r="B6556" s="396" t="s">
        <v>12427</v>
      </c>
      <c r="C6556" s="396" t="s">
        <v>10730</v>
      </c>
      <c r="D6556" s="396" t="s">
        <v>12412</v>
      </c>
      <c r="E6556" s="396" t="s">
        <v>12413</v>
      </c>
      <c r="F6556" s="396" t="s">
        <v>12138</v>
      </c>
    </row>
    <row r="6557">
      <c r="A6557" s="311">
        <v>6556</v>
      </c>
      <c r="B6557" s="396" t="s">
        <v>12428</v>
      </c>
      <c r="C6557" s="396" t="s">
        <v>12429</v>
      </c>
      <c r="D6557" s="396" t="s">
        <v>12412</v>
      </c>
      <c r="E6557" s="396" t="s">
        <v>12413</v>
      </c>
      <c r="F6557" s="396" t="s">
        <v>12138</v>
      </c>
    </row>
    <row r="6558">
      <c r="A6558" s="311">
        <v>6557</v>
      </c>
      <c r="B6558" s="396" t="s">
        <v>12430</v>
      </c>
      <c r="C6558" s="396" t="s">
        <v>10704</v>
      </c>
      <c r="D6558" s="396" t="s">
        <v>12412</v>
      </c>
      <c r="E6558" s="396" t="s">
        <v>12413</v>
      </c>
      <c r="F6558" s="396" t="s">
        <v>12138</v>
      </c>
    </row>
    <row r="6559">
      <c r="A6559" s="311">
        <v>6558</v>
      </c>
      <c r="B6559" s="396" t="s">
        <v>12431</v>
      </c>
      <c r="C6559" s="396" t="s">
        <v>12432</v>
      </c>
      <c r="D6559" s="396" t="s">
        <v>12412</v>
      </c>
      <c r="E6559" s="396" t="s">
        <v>12413</v>
      </c>
      <c r="F6559" s="396" t="s">
        <v>12138</v>
      </c>
    </row>
    <row r="6560">
      <c r="A6560" s="311">
        <v>6559</v>
      </c>
      <c r="B6560" s="396" t="s">
        <v>12433</v>
      </c>
      <c r="C6560" s="396" t="s">
        <v>10709</v>
      </c>
      <c r="D6560" s="396" t="s">
        <v>12412</v>
      </c>
      <c r="E6560" s="396" t="s">
        <v>12413</v>
      </c>
      <c r="F6560" s="396" t="s">
        <v>12138</v>
      </c>
    </row>
    <row r="6561">
      <c r="A6561" s="311">
        <v>6560</v>
      </c>
      <c r="B6561" s="396" t="s">
        <v>12434</v>
      </c>
      <c r="C6561" s="396" t="s">
        <v>5519</v>
      </c>
      <c r="D6561" s="396" t="s">
        <v>12412</v>
      </c>
      <c r="E6561" s="396" t="s">
        <v>12413</v>
      </c>
      <c r="F6561" s="396" t="s">
        <v>12138</v>
      </c>
    </row>
    <row r="6562">
      <c r="A6562" s="311">
        <v>6561</v>
      </c>
      <c r="B6562" s="396" t="s">
        <v>12435</v>
      </c>
      <c r="C6562" s="396" t="s">
        <v>12436</v>
      </c>
      <c r="D6562" s="396" t="s">
        <v>12437</v>
      </c>
      <c r="E6562" s="396" t="s">
        <v>12438</v>
      </c>
      <c r="F6562" s="396" t="s">
        <v>12439</v>
      </c>
    </row>
    <row r="6563">
      <c r="A6563" s="311">
        <v>6562</v>
      </c>
      <c r="B6563" s="396" t="s">
        <v>12440</v>
      </c>
      <c r="C6563" s="396" t="s">
        <v>12441</v>
      </c>
      <c r="D6563" s="396" t="s">
        <v>12437</v>
      </c>
      <c r="E6563" s="396" t="s">
        <v>12438</v>
      </c>
      <c r="F6563" s="396" t="s">
        <v>12439</v>
      </c>
    </row>
    <row r="6564">
      <c r="A6564" s="311">
        <v>6563</v>
      </c>
      <c r="B6564" s="396" t="s">
        <v>12442</v>
      </c>
      <c r="C6564" s="396" t="s">
        <v>12443</v>
      </c>
      <c r="D6564" s="396" t="s">
        <v>12437</v>
      </c>
      <c r="E6564" s="396" t="s">
        <v>12438</v>
      </c>
      <c r="F6564" s="396" t="s">
        <v>12439</v>
      </c>
    </row>
    <row r="6565">
      <c r="A6565" s="311">
        <v>6564</v>
      </c>
      <c r="B6565" s="396" t="s">
        <v>12444</v>
      </c>
      <c r="C6565" s="396" t="s">
        <v>12445</v>
      </c>
      <c r="D6565" s="396" t="s">
        <v>12437</v>
      </c>
      <c r="E6565" s="396" t="s">
        <v>12438</v>
      </c>
      <c r="F6565" s="396" t="s">
        <v>12439</v>
      </c>
    </row>
    <row r="6566">
      <c r="A6566" s="311">
        <v>6565</v>
      </c>
      <c r="B6566" s="396" t="s">
        <v>12446</v>
      </c>
      <c r="C6566" s="396" t="s">
        <v>12447</v>
      </c>
      <c r="D6566" s="396" t="s">
        <v>12437</v>
      </c>
      <c r="E6566" s="396" t="s">
        <v>12438</v>
      </c>
      <c r="F6566" s="396" t="s">
        <v>12439</v>
      </c>
    </row>
    <row r="6567">
      <c r="A6567" s="311">
        <v>6566</v>
      </c>
      <c r="B6567" s="396" t="s">
        <v>12448</v>
      </c>
      <c r="C6567" s="396" t="s">
        <v>12449</v>
      </c>
      <c r="D6567" s="396" t="s">
        <v>12437</v>
      </c>
      <c r="E6567" s="396" t="s">
        <v>12438</v>
      </c>
      <c r="F6567" s="396" t="s">
        <v>12439</v>
      </c>
    </row>
    <row r="6568">
      <c r="A6568" s="311">
        <v>6567</v>
      </c>
      <c r="B6568" s="396" t="s">
        <v>12450</v>
      </c>
      <c r="C6568" s="396" t="s">
        <v>12451</v>
      </c>
      <c r="D6568" s="396" t="s">
        <v>12437</v>
      </c>
      <c r="E6568" s="396" t="s">
        <v>12438</v>
      </c>
      <c r="F6568" s="396" t="s">
        <v>12439</v>
      </c>
    </row>
    <row r="6569">
      <c r="A6569" s="311">
        <v>6568</v>
      </c>
      <c r="B6569" s="396" t="s">
        <v>12452</v>
      </c>
      <c r="C6569" s="396" t="s">
        <v>12453</v>
      </c>
      <c r="D6569" s="396" t="s">
        <v>12437</v>
      </c>
      <c r="E6569" s="396" t="s">
        <v>12438</v>
      </c>
      <c r="F6569" s="396" t="s">
        <v>12439</v>
      </c>
    </row>
    <row r="6570">
      <c r="A6570" s="311">
        <v>6569</v>
      </c>
      <c r="B6570" s="396" t="s">
        <v>12454</v>
      </c>
      <c r="C6570" s="396" t="s">
        <v>12455</v>
      </c>
      <c r="D6570" s="396" t="s">
        <v>12437</v>
      </c>
      <c r="E6570" s="396" t="s">
        <v>12438</v>
      </c>
      <c r="F6570" s="396" t="s">
        <v>12439</v>
      </c>
    </row>
    <row r="6571">
      <c r="A6571" s="311">
        <v>6570</v>
      </c>
      <c r="B6571" s="396" t="s">
        <v>12456</v>
      </c>
      <c r="C6571" s="396" t="s">
        <v>12441</v>
      </c>
      <c r="D6571" s="396" t="s">
        <v>12457</v>
      </c>
      <c r="E6571" s="396" t="s">
        <v>12458</v>
      </c>
      <c r="F6571" s="396" t="s">
        <v>12439</v>
      </c>
    </row>
    <row r="6572">
      <c r="A6572" s="311">
        <v>6571</v>
      </c>
      <c r="B6572" s="396" t="s">
        <v>12459</v>
      </c>
      <c r="C6572" s="396" t="s">
        <v>12460</v>
      </c>
      <c r="D6572" s="396" t="s">
        <v>12457</v>
      </c>
      <c r="E6572" s="396" t="s">
        <v>12458</v>
      </c>
      <c r="F6572" s="396" t="s">
        <v>12439</v>
      </c>
    </row>
    <row r="6573">
      <c r="A6573" s="311">
        <v>6572</v>
      </c>
      <c r="B6573" s="396" t="s">
        <v>12461</v>
      </c>
      <c r="C6573" s="396" t="s">
        <v>12447</v>
      </c>
      <c r="D6573" s="396" t="s">
        <v>12457</v>
      </c>
      <c r="E6573" s="396" t="s">
        <v>12458</v>
      </c>
      <c r="F6573" s="396" t="s">
        <v>12439</v>
      </c>
    </row>
    <row r="6574">
      <c r="A6574" s="311">
        <v>6573</v>
      </c>
      <c r="B6574" s="396" t="s">
        <v>12462</v>
      </c>
      <c r="C6574" s="396" t="s">
        <v>12455</v>
      </c>
      <c r="D6574" s="396" t="s">
        <v>12457</v>
      </c>
      <c r="E6574" s="396" t="s">
        <v>12458</v>
      </c>
      <c r="F6574" s="396" t="s">
        <v>12439</v>
      </c>
    </row>
    <row r="6575">
      <c r="A6575" s="311">
        <v>6574</v>
      </c>
      <c r="B6575" s="396" t="s">
        <v>12463</v>
      </c>
      <c r="C6575" s="396" t="s">
        <v>12464</v>
      </c>
      <c r="D6575" s="396" t="s">
        <v>12457</v>
      </c>
      <c r="E6575" s="396" t="s">
        <v>12458</v>
      </c>
      <c r="F6575" s="396" t="s">
        <v>12439</v>
      </c>
    </row>
    <row r="6576">
      <c r="A6576" s="311">
        <v>6575</v>
      </c>
      <c r="B6576" s="396" t="s">
        <v>12465</v>
      </c>
      <c r="C6576" s="396" t="s">
        <v>12466</v>
      </c>
      <c r="D6576" s="396" t="s">
        <v>12467</v>
      </c>
      <c r="E6576" s="396" t="s">
        <v>12468</v>
      </c>
      <c r="F6576" s="396" t="s">
        <v>12439</v>
      </c>
    </row>
    <row r="6577">
      <c r="A6577" s="311">
        <v>6576</v>
      </c>
      <c r="B6577" s="396" t="s">
        <v>12469</v>
      </c>
      <c r="C6577" s="396" t="s">
        <v>12470</v>
      </c>
      <c r="D6577" s="396" t="s">
        <v>12467</v>
      </c>
      <c r="E6577" s="396" t="s">
        <v>12468</v>
      </c>
      <c r="F6577" s="396" t="s">
        <v>12439</v>
      </c>
    </row>
    <row r="6578">
      <c r="A6578" s="311">
        <v>6577</v>
      </c>
      <c r="B6578" s="396" t="s">
        <v>12471</v>
      </c>
      <c r="C6578" s="396" t="s">
        <v>12472</v>
      </c>
      <c r="D6578" s="396" t="s">
        <v>12467</v>
      </c>
      <c r="E6578" s="396" t="s">
        <v>12468</v>
      </c>
      <c r="F6578" s="396" t="s">
        <v>12439</v>
      </c>
    </row>
    <row r="6579">
      <c r="A6579" s="311">
        <v>6578</v>
      </c>
      <c r="B6579" s="396" t="s">
        <v>12473</v>
      </c>
      <c r="C6579" s="396" t="s">
        <v>12474</v>
      </c>
      <c r="D6579" s="396" t="s">
        <v>12467</v>
      </c>
      <c r="E6579" s="396" t="s">
        <v>12468</v>
      </c>
      <c r="F6579" s="396" t="s">
        <v>12439</v>
      </c>
    </row>
    <row r="6580">
      <c r="A6580" s="311">
        <v>6579</v>
      </c>
      <c r="B6580" s="396" t="s">
        <v>12475</v>
      </c>
      <c r="C6580" s="396" t="s">
        <v>12476</v>
      </c>
      <c r="D6580" s="396" t="s">
        <v>12467</v>
      </c>
      <c r="E6580" s="396" t="s">
        <v>12468</v>
      </c>
      <c r="F6580" s="396" t="s">
        <v>12439</v>
      </c>
    </row>
    <row r="6581">
      <c r="A6581" s="311">
        <v>6580</v>
      </c>
      <c r="B6581" s="396" t="s">
        <v>12477</v>
      </c>
      <c r="C6581" s="396" t="s">
        <v>5385</v>
      </c>
      <c r="D6581" s="396" t="s">
        <v>12467</v>
      </c>
      <c r="E6581" s="396" t="s">
        <v>12468</v>
      </c>
      <c r="F6581" s="396" t="s">
        <v>12439</v>
      </c>
    </row>
    <row r="6582">
      <c r="A6582" s="311">
        <v>6581</v>
      </c>
      <c r="B6582" s="396" t="s">
        <v>12478</v>
      </c>
      <c r="C6582" s="396" t="s">
        <v>12479</v>
      </c>
      <c r="D6582" s="396" t="s">
        <v>12467</v>
      </c>
      <c r="E6582" s="396" t="s">
        <v>12468</v>
      </c>
      <c r="F6582" s="396" t="s">
        <v>12439</v>
      </c>
    </row>
    <row r="6583">
      <c r="A6583" s="311">
        <v>6582</v>
      </c>
      <c r="B6583" s="396" t="s">
        <v>12480</v>
      </c>
      <c r="C6583" s="396" t="s">
        <v>12481</v>
      </c>
      <c r="D6583" s="396" t="s">
        <v>12467</v>
      </c>
      <c r="E6583" s="396" t="s">
        <v>12468</v>
      </c>
      <c r="F6583" s="396" t="s">
        <v>12439</v>
      </c>
    </row>
    <row r="6584">
      <c r="A6584" s="311">
        <v>6583</v>
      </c>
      <c r="B6584" s="396" t="s">
        <v>12482</v>
      </c>
      <c r="C6584" s="396" t="s">
        <v>7937</v>
      </c>
      <c r="D6584" s="396" t="s">
        <v>12467</v>
      </c>
      <c r="E6584" s="396" t="s">
        <v>12468</v>
      </c>
      <c r="F6584" s="396" t="s">
        <v>12439</v>
      </c>
    </row>
    <row r="6585">
      <c r="A6585" s="311">
        <v>6584</v>
      </c>
      <c r="B6585" s="396" t="s">
        <v>12483</v>
      </c>
      <c r="C6585" s="396" t="s">
        <v>12484</v>
      </c>
      <c r="D6585" s="396" t="s">
        <v>12467</v>
      </c>
      <c r="E6585" s="396" t="s">
        <v>12468</v>
      </c>
      <c r="F6585" s="396" t="s">
        <v>12439</v>
      </c>
    </row>
    <row r="6586">
      <c r="A6586" s="311">
        <v>6585</v>
      </c>
      <c r="B6586" s="396" t="s">
        <v>12485</v>
      </c>
      <c r="C6586" s="396" t="s">
        <v>12486</v>
      </c>
      <c r="D6586" s="396" t="s">
        <v>12467</v>
      </c>
      <c r="E6586" s="396" t="s">
        <v>12468</v>
      </c>
      <c r="F6586" s="396" t="s">
        <v>12439</v>
      </c>
    </row>
    <row r="6587">
      <c r="A6587" s="311">
        <v>6586</v>
      </c>
      <c r="B6587" s="396" t="s">
        <v>12487</v>
      </c>
      <c r="C6587" s="396" t="s">
        <v>7534</v>
      </c>
      <c r="D6587" s="396" t="s">
        <v>12467</v>
      </c>
      <c r="E6587" s="396" t="s">
        <v>12468</v>
      </c>
      <c r="F6587" s="396" t="s">
        <v>12439</v>
      </c>
    </row>
    <row r="6588">
      <c r="A6588" s="311">
        <v>6587</v>
      </c>
      <c r="B6588" s="396" t="s">
        <v>12488</v>
      </c>
      <c r="C6588" s="396" t="s">
        <v>12489</v>
      </c>
      <c r="D6588" s="396" t="s">
        <v>12467</v>
      </c>
      <c r="E6588" s="396" t="s">
        <v>12468</v>
      </c>
      <c r="F6588" s="396" t="s">
        <v>12439</v>
      </c>
    </row>
    <row r="6589">
      <c r="A6589" s="311">
        <v>6588</v>
      </c>
      <c r="B6589" s="396" t="s">
        <v>12490</v>
      </c>
      <c r="C6589" s="396" t="s">
        <v>12491</v>
      </c>
      <c r="D6589" s="396" t="s">
        <v>12467</v>
      </c>
      <c r="E6589" s="396" t="s">
        <v>12468</v>
      </c>
      <c r="F6589" s="396" t="s">
        <v>12439</v>
      </c>
    </row>
    <row r="6590">
      <c r="A6590" s="311">
        <v>6589</v>
      </c>
      <c r="B6590" s="396" t="s">
        <v>12492</v>
      </c>
      <c r="C6590" s="396" t="s">
        <v>12493</v>
      </c>
      <c r="D6590" s="396" t="s">
        <v>12467</v>
      </c>
      <c r="E6590" s="396" t="s">
        <v>12468</v>
      </c>
      <c r="F6590" s="396" t="s">
        <v>12439</v>
      </c>
    </row>
    <row r="6591">
      <c r="A6591" s="311">
        <v>6590</v>
      </c>
      <c r="B6591" s="396" t="s">
        <v>12494</v>
      </c>
      <c r="C6591" s="396" t="s">
        <v>10064</v>
      </c>
      <c r="D6591" s="396" t="s">
        <v>12467</v>
      </c>
      <c r="E6591" s="396" t="s">
        <v>12468</v>
      </c>
      <c r="F6591" s="396" t="s">
        <v>12439</v>
      </c>
    </row>
    <row r="6592">
      <c r="A6592" s="311">
        <v>6591</v>
      </c>
      <c r="B6592" s="396" t="s">
        <v>12495</v>
      </c>
      <c r="C6592" s="396" t="s">
        <v>10080</v>
      </c>
      <c r="D6592" s="396" t="s">
        <v>12467</v>
      </c>
      <c r="E6592" s="396" t="s">
        <v>12468</v>
      </c>
      <c r="F6592" s="396" t="s">
        <v>12439</v>
      </c>
    </row>
    <row r="6593">
      <c r="A6593" s="311">
        <v>6592</v>
      </c>
      <c r="B6593" s="396" t="s">
        <v>12496</v>
      </c>
      <c r="C6593" s="396" t="s">
        <v>12497</v>
      </c>
      <c r="D6593" s="396" t="s">
        <v>12467</v>
      </c>
      <c r="E6593" s="396" t="s">
        <v>12468</v>
      </c>
      <c r="F6593" s="396" t="s">
        <v>12439</v>
      </c>
    </row>
    <row r="6594">
      <c r="A6594" s="311">
        <v>6593</v>
      </c>
      <c r="B6594" s="396" t="s">
        <v>12498</v>
      </c>
      <c r="C6594" s="396" t="s">
        <v>12499</v>
      </c>
      <c r="D6594" s="396" t="s">
        <v>12467</v>
      </c>
      <c r="E6594" s="396" t="s">
        <v>12468</v>
      </c>
      <c r="F6594" s="396" t="s">
        <v>12439</v>
      </c>
    </row>
    <row r="6595">
      <c r="A6595" s="311">
        <v>6594</v>
      </c>
      <c r="B6595" s="396" t="s">
        <v>12500</v>
      </c>
      <c r="C6595" s="396" t="s">
        <v>6827</v>
      </c>
      <c r="D6595" s="396" t="s">
        <v>12467</v>
      </c>
      <c r="E6595" s="396" t="s">
        <v>12468</v>
      </c>
      <c r="F6595" s="396" t="s">
        <v>12439</v>
      </c>
    </row>
    <row r="6596">
      <c r="A6596" s="311">
        <v>6595</v>
      </c>
      <c r="B6596" s="396" t="s">
        <v>12501</v>
      </c>
      <c r="C6596" s="396" t="s">
        <v>12502</v>
      </c>
      <c r="D6596" s="396" t="s">
        <v>12467</v>
      </c>
      <c r="E6596" s="396" t="s">
        <v>12468</v>
      </c>
      <c r="F6596" s="396" t="s">
        <v>12439</v>
      </c>
    </row>
    <row r="6597">
      <c r="A6597" s="311">
        <v>6596</v>
      </c>
      <c r="B6597" s="396" t="s">
        <v>12503</v>
      </c>
      <c r="C6597" s="396" t="s">
        <v>12504</v>
      </c>
      <c r="D6597" s="396" t="s">
        <v>12467</v>
      </c>
      <c r="E6597" s="396" t="s">
        <v>12468</v>
      </c>
      <c r="F6597" s="396" t="s">
        <v>12439</v>
      </c>
    </row>
    <row r="6598">
      <c r="A6598" s="311">
        <v>6597</v>
      </c>
      <c r="B6598" s="396" t="s">
        <v>12505</v>
      </c>
      <c r="C6598" s="396" t="s">
        <v>12506</v>
      </c>
      <c r="D6598" s="396" t="s">
        <v>12507</v>
      </c>
      <c r="E6598" s="396" t="s">
        <v>12508</v>
      </c>
      <c r="F6598" s="396" t="s">
        <v>12439</v>
      </c>
    </row>
    <row r="6599">
      <c r="A6599" s="311">
        <v>6598</v>
      </c>
      <c r="B6599" s="396" t="s">
        <v>12509</v>
      </c>
      <c r="C6599" s="396" t="s">
        <v>12510</v>
      </c>
      <c r="D6599" s="396" t="s">
        <v>12507</v>
      </c>
      <c r="E6599" s="396" t="s">
        <v>12508</v>
      </c>
      <c r="F6599" s="396" t="s">
        <v>12439</v>
      </c>
    </row>
    <row r="6600">
      <c r="A6600" s="311">
        <v>6599</v>
      </c>
      <c r="B6600" s="396" t="s">
        <v>12511</v>
      </c>
      <c r="C6600" s="396" t="s">
        <v>12512</v>
      </c>
      <c r="D6600" s="396" t="s">
        <v>12507</v>
      </c>
      <c r="E6600" s="396" t="s">
        <v>12508</v>
      </c>
      <c r="F6600" s="396" t="s">
        <v>12439</v>
      </c>
    </row>
    <row r="6601">
      <c r="A6601" s="311">
        <v>6600</v>
      </c>
      <c r="B6601" s="396" t="s">
        <v>12513</v>
      </c>
      <c r="C6601" s="396" t="s">
        <v>12514</v>
      </c>
      <c r="D6601" s="396" t="s">
        <v>12507</v>
      </c>
      <c r="E6601" s="396" t="s">
        <v>12508</v>
      </c>
      <c r="F6601" s="396" t="s">
        <v>12439</v>
      </c>
    </row>
    <row r="6602">
      <c r="A6602" s="311">
        <v>6601</v>
      </c>
      <c r="B6602" s="396" t="s">
        <v>12515</v>
      </c>
      <c r="C6602" s="396" t="s">
        <v>12516</v>
      </c>
      <c r="D6602" s="396" t="s">
        <v>12507</v>
      </c>
      <c r="E6602" s="396" t="s">
        <v>12508</v>
      </c>
      <c r="F6602" s="396" t="s">
        <v>12439</v>
      </c>
    </row>
    <row r="6603">
      <c r="A6603" s="311">
        <v>6602</v>
      </c>
      <c r="B6603" s="396" t="s">
        <v>12517</v>
      </c>
      <c r="C6603" s="396" t="s">
        <v>12518</v>
      </c>
      <c r="D6603" s="396" t="s">
        <v>12507</v>
      </c>
      <c r="E6603" s="396" t="s">
        <v>12508</v>
      </c>
      <c r="F6603" s="396" t="s">
        <v>12439</v>
      </c>
    </row>
    <row r="6604">
      <c r="A6604" s="311">
        <v>6603</v>
      </c>
      <c r="B6604" s="396" t="s">
        <v>12519</v>
      </c>
      <c r="C6604" s="396" t="s">
        <v>12520</v>
      </c>
      <c r="D6604" s="396" t="s">
        <v>12507</v>
      </c>
      <c r="E6604" s="396" t="s">
        <v>12508</v>
      </c>
      <c r="F6604" s="396" t="s">
        <v>12439</v>
      </c>
    </row>
    <row r="6605">
      <c r="A6605" s="311">
        <v>6604</v>
      </c>
      <c r="B6605" s="396" t="s">
        <v>12521</v>
      </c>
      <c r="C6605" s="396" t="s">
        <v>3635</v>
      </c>
      <c r="D6605" s="396" t="s">
        <v>12507</v>
      </c>
      <c r="E6605" s="396" t="s">
        <v>12508</v>
      </c>
      <c r="F6605" s="396" t="s">
        <v>12439</v>
      </c>
    </row>
    <row r="6606">
      <c r="A6606" s="311">
        <v>6605</v>
      </c>
      <c r="B6606" s="396" t="s">
        <v>12522</v>
      </c>
      <c r="C6606" s="396" t="s">
        <v>12523</v>
      </c>
      <c r="D6606" s="396" t="s">
        <v>12507</v>
      </c>
      <c r="E6606" s="396" t="s">
        <v>12508</v>
      </c>
      <c r="F6606" s="396" t="s">
        <v>12439</v>
      </c>
    </row>
    <row r="6607">
      <c r="A6607" s="311">
        <v>6606</v>
      </c>
      <c r="B6607" s="396" t="s">
        <v>12524</v>
      </c>
      <c r="C6607" s="396" t="s">
        <v>1552</v>
      </c>
      <c r="D6607" s="396" t="s">
        <v>12507</v>
      </c>
      <c r="E6607" s="396" t="s">
        <v>12508</v>
      </c>
      <c r="F6607" s="396" t="s">
        <v>12439</v>
      </c>
    </row>
    <row r="6608">
      <c r="A6608" s="311">
        <v>6607</v>
      </c>
      <c r="B6608" s="396" t="s">
        <v>12525</v>
      </c>
      <c r="C6608" s="396" t="s">
        <v>2462</v>
      </c>
      <c r="D6608" s="396" t="s">
        <v>12507</v>
      </c>
      <c r="E6608" s="396" t="s">
        <v>12508</v>
      </c>
      <c r="F6608" s="396" t="s">
        <v>12439</v>
      </c>
    </row>
    <row r="6609">
      <c r="A6609" s="311">
        <v>6608</v>
      </c>
      <c r="B6609" s="396" t="s">
        <v>12526</v>
      </c>
      <c r="C6609" s="396" t="s">
        <v>752</v>
      </c>
      <c r="D6609" s="396" t="s">
        <v>12507</v>
      </c>
      <c r="E6609" s="396" t="s">
        <v>12508</v>
      </c>
      <c r="F6609" s="396" t="s">
        <v>12439</v>
      </c>
    </row>
    <row r="6610">
      <c r="A6610" s="311">
        <v>6609</v>
      </c>
      <c r="B6610" s="396" t="s">
        <v>12527</v>
      </c>
      <c r="C6610" s="396" t="s">
        <v>5068</v>
      </c>
      <c r="D6610" s="396" t="s">
        <v>12507</v>
      </c>
      <c r="E6610" s="396" t="s">
        <v>12508</v>
      </c>
      <c r="F6610" s="396" t="s">
        <v>12439</v>
      </c>
    </row>
    <row r="6611">
      <c r="A6611" s="311">
        <v>6610</v>
      </c>
      <c r="B6611" s="396" t="s">
        <v>12528</v>
      </c>
      <c r="C6611" s="396" t="s">
        <v>12529</v>
      </c>
      <c r="D6611" s="396" t="s">
        <v>12507</v>
      </c>
      <c r="E6611" s="396" t="s">
        <v>12508</v>
      </c>
      <c r="F6611" s="396" t="s">
        <v>12439</v>
      </c>
    </row>
    <row r="6612">
      <c r="A6612" s="311">
        <v>6611</v>
      </c>
      <c r="B6612" s="396" t="s">
        <v>12530</v>
      </c>
      <c r="C6612" s="396" t="s">
        <v>12531</v>
      </c>
      <c r="D6612" s="396" t="s">
        <v>12507</v>
      </c>
      <c r="E6612" s="396" t="s">
        <v>12508</v>
      </c>
      <c r="F6612" s="396" t="s">
        <v>12439</v>
      </c>
    </row>
    <row r="6613">
      <c r="A6613" s="311">
        <v>6612</v>
      </c>
      <c r="B6613" s="396" t="s">
        <v>12532</v>
      </c>
      <c r="C6613" s="396" t="s">
        <v>12533</v>
      </c>
      <c r="D6613" s="396" t="s">
        <v>12507</v>
      </c>
      <c r="E6613" s="396" t="s">
        <v>12508</v>
      </c>
      <c r="F6613" s="396" t="s">
        <v>12439</v>
      </c>
    </row>
    <row r="6614">
      <c r="A6614" s="311">
        <v>6613</v>
      </c>
      <c r="B6614" s="396" t="s">
        <v>12534</v>
      </c>
      <c r="C6614" s="396" t="s">
        <v>12535</v>
      </c>
      <c r="D6614" s="396" t="s">
        <v>12507</v>
      </c>
      <c r="E6614" s="396" t="s">
        <v>12508</v>
      </c>
      <c r="F6614" s="396" t="s">
        <v>12439</v>
      </c>
    </row>
    <row r="6615">
      <c r="A6615" s="311">
        <v>6614</v>
      </c>
      <c r="B6615" s="396" t="s">
        <v>12536</v>
      </c>
      <c r="C6615" s="396" t="s">
        <v>12537</v>
      </c>
      <c r="D6615" s="396" t="s">
        <v>12507</v>
      </c>
      <c r="E6615" s="396" t="s">
        <v>12508</v>
      </c>
      <c r="F6615" s="396" t="s">
        <v>12439</v>
      </c>
    </row>
    <row r="6616">
      <c r="A6616" s="311">
        <v>6615</v>
      </c>
      <c r="B6616" s="396" t="s">
        <v>12538</v>
      </c>
      <c r="C6616" s="396" t="s">
        <v>12539</v>
      </c>
      <c r="D6616" s="396" t="s">
        <v>12507</v>
      </c>
      <c r="E6616" s="396" t="s">
        <v>12508</v>
      </c>
      <c r="F6616" s="396" t="s">
        <v>12439</v>
      </c>
    </row>
    <row r="6617">
      <c r="A6617" s="311">
        <v>6616</v>
      </c>
      <c r="B6617" s="396" t="s">
        <v>12540</v>
      </c>
      <c r="C6617" s="396" t="s">
        <v>12541</v>
      </c>
      <c r="D6617" s="396" t="s">
        <v>12507</v>
      </c>
      <c r="E6617" s="396" t="s">
        <v>12508</v>
      </c>
      <c r="F6617" s="396" t="s">
        <v>12439</v>
      </c>
    </row>
    <row r="6618">
      <c r="A6618" s="311">
        <v>6617</v>
      </c>
      <c r="B6618" s="396" t="s">
        <v>12542</v>
      </c>
      <c r="C6618" s="396" t="s">
        <v>12543</v>
      </c>
      <c r="D6618" s="396" t="s">
        <v>12507</v>
      </c>
      <c r="E6618" s="396" t="s">
        <v>12508</v>
      </c>
      <c r="F6618" s="396" t="s">
        <v>12439</v>
      </c>
    </row>
    <row r="6619">
      <c r="A6619" s="311">
        <v>6618</v>
      </c>
      <c r="B6619" s="396" t="s">
        <v>12544</v>
      </c>
      <c r="C6619" s="396" t="s">
        <v>12545</v>
      </c>
      <c r="D6619" s="396" t="s">
        <v>12507</v>
      </c>
      <c r="E6619" s="396" t="s">
        <v>12508</v>
      </c>
      <c r="F6619" s="396" t="s">
        <v>12439</v>
      </c>
    </row>
    <row r="6620">
      <c r="A6620" s="311">
        <v>6619</v>
      </c>
      <c r="B6620" s="396" t="s">
        <v>12546</v>
      </c>
      <c r="C6620" s="396" t="s">
        <v>12547</v>
      </c>
      <c r="D6620" s="396" t="s">
        <v>12548</v>
      </c>
      <c r="E6620" s="396" t="s">
        <v>12549</v>
      </c>
      <c r="F6620" s="396" t="s">
        <v>12439</v>
      </c>
    </row>
    <row r="6621">
      <c r="A6621" s="311">
        <v>6620</v>
      </c>
      <c r="B6621" s="396" t="s">
        <v>12550</v>
      </c>
      <c r="C6621" s="396" t="s">
        <v>12551</v>
      </c>
      <c r="D6621" s="396" t="s">
        <v>12548</v>
      </c>
      <c r="E6621" s="396" t="s">
        <v>12549</v>
      </c>
      <c r="F6621" s="396" t="s">
        <v>12439</v>
      </c>
    </row>
    <row r="6622">
      <c r="A6622" s="311">
        <v>6621</v>
      </c>
      <c r="B6622" s="396" t="s">
        <v>12552</v>
      </c>
      <c r="C6622" s="396" t="s">
        <v>12553</v>
      </c>
      <c r="D6622" s="396" t="s">
        <v>12548</v>
      </c>
      <c r="E6622" s="396" t="s">
        <v>12549</v>
      </c>
      <c r="F6622" s="396" t="s">
        <v>12439</v>
      </c>
    </row>
    <row r="6623">
      <c r="A6623" s="311">
        <v>6622</v>
      </c>
      <c r="B6623" s="396" t="s">
        <v>12554</v>
      </c>
      <c r="C6623" s="396" t="s">
        <v>12555</v>
      </c>
      <c r="D6623" s="396" t="s">
        <v>12548</v>
      </c>
      <c r="E6623" s="396" t="s">
        <v>12549</v>
      </c>
      <c r="F6623" s="396" t="s">
        <v>12439</v>
      </c>
    </row>
    <row r="6624">
      <c r="A6624" s="311">
        <v>6623</v>
      </c>
      <c r="B6624" s="396" t="s">
        <v>12556</v>
      </c>
      <c r="C6624" s="396" t="s">
        <v>2455</v>
      </c>
      <c r="D6624" s="396" t="s">
        <v>12548</v>
      </c>
      <c r="E6624" s="396" t="s">
        <v>12549</v>
      </c>
      <c r="F6624" s="396" t="s">
        <v>12439</v>
      </c>
    </row>
    <row r="6625">
      <c r="A6625" s="311">
        <v>6624</v>
      </c>
      <c r="B6625" s="396" t="s">
        <v>12557</v>
      </c>
      <c r="C6625" s="396" t="s">
        <v>12558</v>
      </c>
      <c r="D6625" s="396" t="s">
        <v>12548</v>
      </c>
      <c r="E6625" s="396" t="s">
        <v>12549</v>
      </c>
      <c r="F6625" s="396" t="s">
        <v>12439</v>
      </c>
    </row>
    <row r="6626">
      <c r="A6626" s="311">
        <v>6625</v>
      </c>
      <c r="B6626" s="396" t="s">
        <v>12559</v>
      </c>
      <c r="C6626" s="396" t="s">
        <v>12560</v>
      </c>
      <c r="D6626" s="396" t="s">
        <v>12548</v>
      </c>
      <c r="E6626" s="396" t="s">
        <v>12549</v>
      </c>
      <c r="F6626" s="396" t="s">
        <v>12439</v>
      </c>
    </row>
    <row r="6627">
      <c r="A6627" s="311">
        <v>6626</v>
      </c>
      <c r="B6627" s="396" t="s">
        <v>12561</v>
      </c>
      <c r="C6627" s="396" t="s">
        <v>12562</v>
      </c>
      <c r="D6627" s="396" t="s">
        <v>12548</v>
      </c>
      <c r="E6627" s="396" t="s">
        <v>12549</v>
      </c>
      <c r="F6627" s="396" t="s">
        <v>12439</v>
      </c>
    </row>
    <row r="6628">
      <c r="A6628" s="311">
        <v>6627</v>
      </c>
      <c r="B6628" s="396" t="s">
        <v>12563</v>
      </c>
      <c r="C6628" s="396" t="s">
        <v>12564</v>
      </c>
      <c r="D6628" s="396" t="s">
        <v>12548</v>
      </c>
      <c r="E6628" s="396" t="s">
        <v>12549</v>
      </c>
      <c r="F6628" s="396" t="s">
        <v>12439</v>
      </c>
    </row>
    <row r="6629">
      <c r="A6629" s="311">
        <v>6628</v>
      </c>
      <c r="B6629" s="396" t="s">
        <v>12565</v>
      </c>
      <c r="C6629" s="396" t="s">
        <v>12566</v>
      </c>
      <c r="D6629" s="396" t="s">
        <v>12548</v>
      </c>
      <c r="E6629" s="396" t="s">
        <v>12549</v>
      </c>
      <c r="F6629" s="396" t="s">
        <v>12439</v>
      </c>
    </row>
    <row r="6630">
      <c r="A6630" s="311">
        <v>6629</v>
      </c>
      <c r="B6630" s="396" t="s">
        <v>12567</v>
      </c>
      <c r="C6630" s="396" t="s">
        <v>12568</v>
      </c>
      <c r="D6630" s="396" t="s">
        <v>12548</v>
      </c>
      <c r="E6630" s="396" t="s">
        <v>12549</v>
      </c>
      <c r="F6630" s="396" t="s">
        <v>12439</v>
      </c>
    </row>
    <row r="6631">
      <c r="A6631" s="311">
        <v>6630</v>
      </c>
      <c r="B6631" s="396" t="s">
        <v>12569</v>
      </c>
      <c r="C6631" s="396" t="s">
        <v>12570</v>
      </c>
      <c r="D6631" s="396" t="s">
        <v>12548</v>
      </c>
      <c r="E6631" s="396" t="s">
        <v>12549</v>
      </c>
      <c r="F6631" s="396" t="s">
        <v>12439</v>
      </c>
    </row>
    <row r="6632">
      <c r="A6632" s="311">
        <v>6631</v>
      </c>
      <c r="B6632" s="396" t="s">
        <v>12571</v>
      </c>
      <c r="C6632" s="396" t="s">
        <v>12572</v>
      </c>
      <c r="D6632" s="396" t="s">
        <v>12548</v>
      </c>
      <c r="E6632" s="396" t="s">
        <v>12549</v>
      </c>
      <c r="F6632" s="396" t="s">
        <v>12439</v>
      </c>
    </row>
    <row r="6633">
      <c r="A6633" s="311">
        <v>6632</v>
      </c>
      <c r="B6633" s="396" t="s">
        <v>12573</v>
      </c>
      <c r="C6633" s="396" t="s">
        <v>12574</v>
      </c>
      <c r="D6633" s="396" t="s">
        <v>12548</v>
      </c>
      <c r="E6633" s="396" t="s">
        <v>12549</v>
      </c>
      <c r="F6633" s="396" t="s">
        <v>12439</v>
      </c>
    </row>
    <row r="6634">
      <c r="A6634" s="311">
        <v>6633</v>
      </c>
      <c r="B6634" s="396" t="s">
        <v>12575</v>
      </c>
      <c r="C6634" s="396" t="s">
        <v>12576</v>
      </c>
      <c r="D6634" s="396" t="s">
        <v>12548</v>
      </c>
      <c r="E6634" s="396" t="s">
        <v>12549</v>
      </c>
      <c r="F6634" s="396" t="s">
        <v>12439</v>
      </c>
    </row>
    <row r="6635">
      <c r="A6635" s="311">
        <v>6634</v>
      </c>
      <c r="B6635" s="396" t="s">
        <v>12577</v>
      </c>
      <c r="C6635" s="396" t="s">
        <v>12578</v>
      </c>
      <c r="D6635" s="396" t="s">
        <v>12548</v>
      </c>
      <c r="E6635" s="396" t="s">
        <v>12549</v>
      </c>
      <c r="F6635" s="396" t="s">
        <v>12439</v>
      </c>
    </row>
    <row r="6636">
      <c r="A6636" s="311">
        <v>6635</v>
      </c>
      <c r="B6636" s="396" t="s">
        <v>12579</v>
      </c>
      <c r="C6636" s="396" t="s">
        <v>12580</v>
      </c>
      <c r="D6636" s="396" t="s">
        <v>12548</v>
      </c>
      <c r="E6636" s="396" t="s">
        <v>12549</v>
      </c>
      <c r="F6636" s="396" t="s">
        <v>12439</v>
      </c>
    </row>
    <row r="6637">
      <c r="A6637" s="311">
        <v>6636</v>
      </c>
      <c r="B6637" s="396" t="s">
        <v>12581</v>
      </c>
      <c r="C6637" s="396" t="s">
        <v>12582</v>
      </c>
      <c r="D6637" s="396" t="s">
        <v>12548</v>
      </c>
      <c r="E6637" s="396" t="s">
        <v>12549</v>
      </c>
      <c r="F6637" s="396" t="s">
        <v>12439</v>
      </c>
    </row>
    <row r="6638">
      <c r="A6638" s="311">
        <v>6637</v>
      </c>
      <c r="B6638" s="396" t="s">
        <v>12583</v>
      </c>
      <c r="C6638" s="396" t="s">
        <v>12584</v>
      </c>
      <c r="D6638" s="396" t="s">
        <v>12548</v>
      </c>
      <c r="E6638" s="396" t="s">
        <v>12549</v>
      </c>
      <c r="F6638" s="396" t="s">
        <v>12439</v>
      </c>
    </row>
    <row r="6639">
      <c r="A6639" s="311">
        <v>6638</v>
      </c>
      <c r="B6639" s="396" t="s">
        <v>12585</v>
      </c>
      <c r="C6639" s="396" t="s">
        <v>12586</v>
      </c>
      <c r="D6639" s="396" t="s">
        <v>12548</v>
      </c>
      <c r="E6639" s="396" t="s">
        <v>12549</v>
      </c>
      <c r="F6639" s="396" t="s">
        <v>12439</v>
      </c>
    </row>
    <row r="6640">
      <c r="A6640" s="311">
        <v>6639</v>
      </c>
      <c r="B6640" s="396" t="s">
        <v>12587</v>
      </c>
      <c r="C6640" s="396" t="s">
        <v>12588</v>
      </c>
      <c r="D6640" s="396" t="s">
        <v>12548</v>
      </c>
      <c r="E6640" s="396" t="s">
        <v>12549</v>
      </c>
      <c r="F6640" s="396" t="s">
        <v>12439</v>
      </c>
    </row>
    <row r="6641">
      <c r="A6641" s="311">
        <v>6640</v>
      </c>
      <c r="B6641" s="396" t="s">
        <v>12589</v>
      </c>
      <c r="C6641" s="396" t="s">
        <v>12590</v>
      </c>
      <c r="D6641" s="396" t="s">
        <v>12591</v>
      </c>
      <c r="E6641" s="396" t="s">
        <v>12592</v>
      </c>
      <c r="F6641" s="396" t="s">
        <v>12439</v>
      </c>
    </row>
    <row r="6642">
      <c r="A6642" s="311">
        <v>6641</v>
      </c>
      <c r="B6642" s="396" t="s">
        <v>12593</v>
      </c>
      <c r="C6642" s="396" t="s">
        <v>12594</v>
      </c>
      <c r="D6642" s="396" t="s">
        <v>12591</v>
      </c>
      <c r="E6642" s="396" t="s">
        <v>12592</v>
      </c>
      <c r="F6642" s="396" t="s">
        <v>12439</v>
      </c>
    </row>
    <row r="6643">
      <c r="A6643" s="311">
        <v>6642</v>
      </c>
      <c r="B6643" s="396" t="s">
        <v>12595</v>
      </c>
      <c r="C6643" s="396" t="s">
        <v>12596</v>
      </c>
      <c r="D6643" s="396" t="s">
        <v>12591</v>
      </c>
      <c r="E6643" s="396" t="s">
        <v>12592</v>
      </c>
      <c r="F6643" s="396" t="s">
        <v>12439</v>
      </c>
    </row>
    <row r="6644">
      <c r="A6644" s="311">
        <v>6643</v>
      </c>
      <c r="B6644" s="396" t="s">
        <v>12597</v>
      </c>
      <c r="C6644" s="396" t="s">
        <v>12598</v>
      </c>
      <c r="D6644" s="396" t="s">
        <v>12591</v>
      </c>
      <c r="E6644" s="396" t="s">
        <v>12592</v>
      </c>
      <c r="F6644" s="396" t="s">
        <v>12439</v>
      </c>
    </row>
    <row r="6645">
      <c r="A6645" s="311">
        <v>6644</v>
      </c>
      <c r="B6645" s="396" t="s">
        <v>12599</v>
      </c>
      <c r="C6645" s="396" t="s">
        <v>1966</v>
      </c>
      <c r="D6645" s="396" t="s">
        <v>12591</v>
      </c>
      <c r="E6645" s="396" t="s">
        <v>12592</v>
      </c>
      <c r="F6645" s="396" t="s">
        <v>12439</v>
      </c>
    </row>
    <row r="6646">
      <c r="A6646" s="311">
        <v>6645</v>
      </c>
      <c r="B6646" s="396" t="s">
        <v>12600</v>
      </c>
      <c r="C6646" s="396" t="s">
        <v>12601</v>
      </c>
      <c r="D6646" s="396" t="s">
        <v>12591</v>
      </c>
      <c r="E6646" s="396" t="s">
        <v>12592</v>
      </c>
      <c r="F6646" s="396" t="s">
        <v>12439</v>
      </c>
    </row>
    <row r="6647">
      <c r="A6647" s="311">
        <v>6646</v>
      </c>
      <c r="B6647" s="396" t="s">
        <v>12602</v>
      </c>
      <c r="C6647" s="396" t="s">
        <v>9334</v>
      </c>
      <c r="D6647" s="396" t="s">
        <v>12591</v>
      </c>
      <c r="E6647" s="396" t="s">
        <v>12592</v>
      </c>
      <c r="F6647" s="396" t="s">
        <v>12439</v>
      </c>
    </row>
    <row r="6648">
      <c r="A6648" s="311">
        <v>6647</v>
      </c>
      <c r="B6648" s="396" t="s">
        <v>12603</v>
      </c>
      <c r="C6648" s="396" t="s">
        <v>12604</v>
      </c>
      <c r="D6648" s="396" t="s">
        <v>12591</v>
      </c>
      <c r="E6648" s="396" t="s">
        <v>12592</v>
      </c>
      <c r="F6648" s="396" t="s">
        <v>12439</v>
      </c>
    </row>
    <row r="6649">
      <c r="A6649" s="311">
        <v>6648</v>
      </c>
      <c r="B6649" s="396" t="s">
        <v>12605</v>
      </c>
      <c r="C6649" s="396" t="s">
        <v>12606</v>
      </c>
      <c r="D6649" s="396" t="s">
        <v>12591</v>
      </c>
      <c r="E6649" s="396" t="s">
        <v>12592</v>
      </c>
      <c r="F6649" s="396" t="s">
        <v>12439</v>
      </c>
    </row>
    <row r="6650">
      <c r="A6650" s="311">
        <v>6649</v>
      </c>
      <c r="B6650" s="396" t="s">
        <v>12607</v>
      </c>
      <c r="C6650" s="396" t="s">
        <v>12608</v>
      </c>
      <c r="D6650" s="396" t="s">
        <v>12591</v>
      </c>
      <c r="E6650" s="396" t="s">
        <v>12592</v>
      </c>
      <c r="F6650" s="396" t="s">
        <v>12439</v>
      </c>
    </row>
    <row r="6651">
      <c r="A6651" s="311">
        <v>6650</v>
      </c>
      <c r="B6651" s="396" t="s">
        <v>12609</v>
      </c>
      <c r="C6651" s="396" t="s">
        <v>12610</v>
      </c>
      <c r="D6651" s="396" t="s">
        <v>12591</v>
      </c>
      <c r="E6651" s="396" t="s">
        <v>12592</v>
      </c>
      <c r="F6651" s="396" t="s">
        <v>12439</v>
      </c>
    </row>
    <row r="6652">
      <c r="A6652" s="311">
        <v>6651</v>
      </c>
      <c r="B6652" s="396" t="s">
        <v>12611</v>
      </c>
      <c r="C6652" s="396" t="s">
        <v>12612</v>
      </c>
      <c r="D6652" s="396" t="s">
        <v>12591</v>
      </c>
      <c r="E6652" s="396" t="s">
        <v>12592</v>
      </c>
      <c r="F6652" s="396" t="s">
        <v>12439</v>
      </c>
    </row>
    <row r="6653">
      <c r="A6653" s="311">
        <v>6652</v>
      </c>
      <c r="B6653" s="396" t="s">
        <v>12613</v>
      </c>
      <c r="C6653" s="396" t="s">
        <v>12614</v>
      </c>
      <c r="D6653" s="396" t="s">
        <v>12591</v>
      </c>
      <c r="E6653" s="396" t="s">
        <v>12592</v>
      </c>
      <c r="F6653" s="396" t="s">
        <v>12439</v>
      </c>
    </row>
    <row r="6654">
      <c r="A6654" s="311">
        <v>6653</v>
      </c>
      <c r="B6654" s="396" t="s">
        <v>12615</v>
      </c>
      <c r="C6654" s="396" t="s">
        <v>12616</v>
      </c>
      <c r="D6654" s="396" t="s">
        <v>12591</v>
      </c>
      <c r="E6654" s="396" t="s">
        <v>12592</v>
      </c>
      <c r="F6654" s="396" t="s">
        <v>12439</v>
      </c>
    </row>
    <row r="6655">
      <c r="A6655" s="311">
        <v>6654</v>
      </c>
      <c r="B6655" s="396" t="s">
        <v>12617</v>
      </c>
      <c r="C6655" s="396" t="s">
        <v>12618</v>
      </c>
      <c r="D6655" s="396" t="s">
        <v>12619</v>
      </c>
      <c r="E6655" s="396" t="s">
        <v>12620</v>
      </c>
      <c r="F6655" s="396" t="s">
        <v>12439</v>
      </c>
    </row>
    <row r="6656">
      <c r="A6656" s="311">
        <v>6655</v>
      </c>
      <c r="B6656" s="396" t="s">
        <v>12621</v>
      </c>
      <c r="C6656" s="396" t="s">
        <v>12622</v>
      </c>
      <c r="D6656" s="396" t="s">
        <v>12619</v>
      </c>
      <c r="E6656" s="396" t="s">
        <v>12620</v>
      </c>
      <c r="F6656" s="396" t="s">
        <v>12439</v>
      </c>
    </row>
    <row r="6657">
      <c r="A6657" s="311">
        <v>6656</v>
      </c>
      <c r="B6657" s="396" t="s">
        <v>12623</v>
      </c>
      <c r="C6657" s="396" t="s">
        <v>12624</v>
      </c>
      <c r="D6657" s="396" t="s">
        <v>12619</v>
      </c>
      <c r="E6657" s="396" t="s">
        <v>12620</v>
      </c>
      <c r="F6657" s="396" t="s">
        <v>12439</v>
      </c>
    </row>
    <row r="6658">
      <c r="A6658" s="311">
        <v>6657</v>
      </c>
      <c r="B6658" s="396" t="s">
        <v>12625</v>
      </c>
      <c r="C6658" s="396" t="s">
        <v>12374</v>
      </c>
      <c r="D6658" s="396" t="s">
        <v>12619</v>
      </c>
      <c r="E6658" s="396" t="s">
        <v>12620</v>
      </c>
      <c r="F6658" s="396" t="s">
        <v>12439</v>
      </c>
    </row>
    <row r="6659">
      <c r="A6659" s="311">
        <v>6658</v>
      </c>
      <c r="B6659" s="396" t="s">
        <v>12626</v>
      </c>
      <c r="C6659" s="396" t="s">
        <v>12627</v>
      </c>
      <c r="D6659" s="396" t="s">
        <v>12619</v>
      </c>
      <c r="E6659" s="396" t="s">
        <v>12620</v>
      </c>
      <c r="F6659" s="396" t="s">
        <v>12439</v>
      </c>
    </row>
    <row r="6660">
      <c r="A6660" s="311">
        <v>6659</v>
      </c>
      <c r="B6660" s="396" t="s">
        <v>12628</v>
      </c>
      <c r="C6660" s="396" t="s">
        <v>12629</v>
      </c>
      <c r="D6660" s="396" t="s">
        <v>12619</v>
      </c>
      <c r="E6660" s="396" t="s">
        <v>12620</v>
      </c>
      <c r="F6660" s="396" t="s">
        <v>12439</v>
      </c>
    </row>
    <row r="6661">
      <c r="A6661" s="311">
        <v>6660</v>
      </c>
      <c r="B6661" s="396" t="s">
        <v>12630</v>
      </c>
      <c r="C6661" s="396" t="s">
        <v>12631</v>
      </c>
      <c r="D6661" s="396" t="s">
        <v>12619</v>
      </c>
      <c r="E6661" s="396" t="s">
        <v>12620</v>
      </c>
      <c r="F6661" s="396" t="s">
        <v>12439</v>
      </c>
    </row>
    <row r="6662">
      <c r="A6662" s="311">
        <v>6661</v>
      </c>
      <c r="B6662" s="396" t="s">
        <v>12632</v>
      </c>
      <c r="C6662" s="396" t="s">
        <v>12633</v>
      </c>
      <c r="D6662" s="396" t="s">
        <v>12619</v>
      </c>
      <c r="E6662" s="396" t="s">
        <v>12620</v>
      </c>
      <c r="F6662" s="396" t="s">
        <v>12439</v>
      </c>
    </row>
    <row r="6663">
      <c r="A6663" s="311">
        <v>6662</v>
      </c>
      <c r="B6663" s="396" t="s">
        <v>12634</v>
      </c>
      <c r="C6663" s="396" t="s">
        <v>12635</v>
      </c>
      <c r="D6663" s="396" t="s">
        <v>12619</v>
      </c>
      <c r="E6663" s="396" t="s">
        <v>12620</v>
      </c>
      <c r="F6663" s="396" t="s">
        <v>12439</v>
      </c>
    </row>
    <row r="6664">
      <c r="A6664" s="311">
        <v>6663</v>
      </c>
      <c r="B6664" s="396" t="s">
        <v>12636</v>
      </c>
      <c r="C6664" s="396" t="s">
        <v>12637</v>
      </c>
      <c r="D6664" s="396" t="s">
        <v>12638</v>
      </c>
      <c r="E6664" s="396" t="s">
        <v>12639</v>
      </c>
      <c r="F6664" s="396" t="s">
        <v>12439</v>
      </c>
    </row>
    <row r="6665">
      <c r="A6665" s="311">
        <v>6664</v>
      </c>
      <c r="B6665" s="396" t="s">
        <v>12640</v>
      </c>
      <c r="C6665" s="396" t="s">
        <v>12641</v>
      </c>
      <c r="D6665" s="396" t="s">
        <v>12638</v>
      </c>
      <c r="E6665" s="396" t="s">
        <v>12639</v>
      </c>
      <c r="F6665" s="396" t="s">
        <v>12439</v>
      </c>
    </row>
    <row r="6666">
      <c r="A6666" s="311">
        <v>6665</v>
      </c>
      <c r="B6666" s="396" t="s">
        <v>12642</v>
      </c>
      <c r="C6666" s="396" t="s">
        <v>12643</v>
      </c>
      <c r="D6666" s="396" t="s">
        <v>12638</v>
      </c>
      <c r="E6666" s="396" t="s">
        <v>12639</v>
      </c>
      <c r="F6666" s="396" t="s">
        <v>12439</v>
      </c>
    </row>
    <row r="6667">
      <c r="A6667" s="311">
        <v>6666</v>
      </c>
      <c r="B6667" s="396" t="s">
        <v>12644</v>
      </c>
      <c r="C6667" s="396" t="s">
        <v>12645</v>
      </c>
      <c r="D6667" s="396" t="s">
        <v>12638</v>
      </c>
      <c r="E6667" s="396" t="s">
        <v>12639</v>
      </c>
      <c r="F6667" s="396" t="s">
        <v>12439</v>
      </c>
    </row>
    <row r="6668">
      <c r="A6668" s="311">
        <v>6667</v>
      </c>
      <c r="B6668" s="396" t="s">
        <v>12646</v>
      </c>
      <c r="C6668" s="396" t="s">
        <v>12647</v>
      </c>
      <c r="D6668" s="396" t="s">
        <v>12638</v>
      </c>
      <c r="E6668" s="396" t="s">
        <v>12639</v>
      </c>
      <c r="F6668" s="396" t="s">
        <v>12439</v>
      </c>
    </row>
    <row r="6669">
      <c r="A6669" s="311">
        <v>6668</v>
      </c>
      <c r="B6669" s="396" t="s">
        <v>12648</v>
      </c>
      <c r="C6669" s="396" t="s">
        <v>12649</v>
      </c>
      <c r="D6669" s="396" t="s">
        <v>12638</v>
      </c>
      <c r="E6669" s="396" t="s">
        <v>12639</v>
      </c>
      <c r="F6669" s="396" t="s">
        <v>12439</v>
      </c>
    </row>
    <row r="6670">
      <c r="A6670" s="311">
        <v>6669</v>
      </c>
      <c r="B6670" s="396" t="s">
        <v>12650</v>
      </c>
      <c r="C6670" s="396" t="s">
        <v>12651</v>
      </c>
      <c r="D6670" s="396" t="s">
        <v>12638</v>
      </c>
      <c r="E6670" s="396" t="s">
        <v>12639</v>
      </c>
      <c r="F6670" s="396" t="s">
        <v>12439</v>
      </c>
    </row>
    <row r="6671">
      <c r="A6671" s="311">
        <v>6670</v>
      </c>
      <c r="B6671" s="396" t="s">
        <v>12652</v>
      </c>
      <c r="C6671" s="396" t="s">
        <v>12653</v>
      </c>
      <c r="D6671" s="396" t="s">
        <v>12638</v>
      </c>
      <c r="E6671" s="396" t="s">
        <v>12639</v>
      </c>
      <c r="F6671" s="396" t="s">
        <v>12439</v>
      </c>
    </row>
    <row r="6672">
      <c r="A6672" s="311">
        <v>6671</v>
      </c>
      <c r="B6672" s="396" t="s">
        <v>12654</v>
      </c>
      <c r="C6672" s="396" t="s">
        <v>12655</v>
      </c>
      <c r="D6672" s="396" t="s">
        <v>12638</v>
      </c>
      <c r="E6672" s="396" t="s">
        <v>12639</v>
      </c>
      <c r="F6672" s="396" t="s">
        <v>12439</v>
      </c>
    </row>
    <row r="6673">
      <c r="A6673" s="311">
        <v>6672</v>
      </c>
      <c r="B6673" s="396" t="s">
        <v>12656</v>
      </c>
      <c r="C6673" s="396" t="s">
        <v>12657</v>
      </c>
      <c r="D6673" s="396" t="s">
        <v>12638</v>
      </c>
      <c r="E6673" s="396" t="s">
        <v>12639</v>
      </c>
      <c r="F6673" s="396" t="s">
        <v>12439</v>
      </c>
    </row>
    <row r="6674">
      <c r="A6674" s="311">
        <v>6673</v>
      </c>
      <c r="B6674" s="396" t="s">
        <v>12658</v>
      </c>
      <c r="C6674" s="396" t="s">
        <v>12659</v>
      </c>
      <c r="D6674" s="396" t="s">
        <v>12638</v>
      </c>
      <c r="E6674" s="396" t="s">
        <v>12639</v>
      </c>
      <c r="F6674" s="396" t="s">
        <v>12439</v>
      </c>
    </row>
    <row r="6675">
      <c r="A6675" s="311">
        <v>6674</v>
      </c>
      <c r="B6675" s="396" t="s">
        <v>12660</v>
      </c>
      <c r="C6675" s="396" t="s">
        <v>12661</v>
      </c>
      <c r="D6675" s="396" t="s">
        <v>12638</v>
      </c>
      <c r="E6675" s="396" t="s">
        <v>12639</v>
      </c>
      <c r="F6675" s="396" t="s">
        <v>12439</v>
      </c>
    </row>
    <row r="6676">
      <c r="A6676" s="311">
        <v>6675</v>
      </c>
      <c r="B6676" s="396" t="s">
        <v>12662</v>
      </c>
      <c r="C6676" s="396" t="s">
        <v>12663</v>
      </c>
      <c r="D6676" s="396" t="s">
        <v>12638</v>
      </c>
      <c r="E6676" s="396" t="s">
        <v>12639</v>
      </c>
      <c r="F6676" s="396" t="s">
        <v>12439</v>
      </c>
    </row>
    <row r="6677">
      <c r="A6677" s="311">
        <v>6676</v>
      </c>
      <c r="B6677" s="396" t="s">
        <v>12664</v>
      </c>
      <c r="C6677" s="396" t="s">
        <v>12665</v>
      </c>
      <c r="D6677" s="396" t="s">
        <v>12638</v>
      </c>
      <c r="E6677" s="396" t="s">
        <v>12639</v>
      </c>
      <c r="F6677" s="396" t="s">
        <v>12439</v>
      </c>
    </row>
    <row r="6678">
      <c r="A6678" s="311">
        <v>6677</v>
      </c>
      <c r="B6678" s="396" t="s">
        <v>12666</v>
      </c>
      <c r="C6678" s="396" t="s">
        <v>12667</v>
      </c>
      <c r="D6678" s="396" t="s">
        <v>12638</v>
      </c>
      <c r="E6678" s="396" t="s">
        <v>12639</v>
      </c>
      <c r="F6678" s="396" t="s">
        <v>12439</v>
      </c>
    </row>
    <row r="6679">
      <c r="A6679" s="311">
        <v>6678</v>
      </c>
      <c r="B6679" s="396" t="s">
        <v>12668</v>
      </c>
      <c r="C6679" s="396" t="s">
        <v>12669</v>
      </c>
      <c r="D6679" s="396" t="s">
        <v>12638</v>
      </c>
      <c r="E6679" s="396" t="s">
        <v>12639</v>
      </c>
      <c r="F6679" s="396" t="s">
        <v>12439</v>
      </c>
    </row>
    <row r="6680">
      <c r="A6680" s="311">
        <v>6679</v>
      </c>
      <c r="B6680" s="396" t="s">
        <v>12670</v>
      </c>
      <c r="C6680" s="396" t="s">
        <v>12671</v>
      </c>
      <c r="D6680" s="396" t="s">
        <v>12638</v>
      </c>
      <c r="E6680" s="396" t="s">
        <v>12639</v>
      </c>
      <c r="F6680" s="396" t="s">
        <v>12439</v>
      </c>
    </row>
    <row r="6681">
      <c r="A6681" s="311">
        <v>6680</v>
      </c>
      <c r="B6681" s="396" t="s">
        <v>12672</v>
      </c>
      <c r="C6681" s="396" t="s">
        <v>12673</v>
      </c>
      <c r="D6681" s="396" t="s">
        <v>12638</v>
      </c>
      <c r="E6681" s="396" t="s">
        <v>12639</v>
      </c>
      <c r="F6681" s="396" t="s">
        <v>12439</v>
      </c>
    </row>
    <row r="6682">
      <c r="A6682" s="311">
        <v>6681</v>
      </c>
      <c r="B6682" s="396" t="s">
        <v>12674</v>
      </c>
      <c r="C6682" s="396" t="s">
        <v>10244</v>
      </c>
      <c r="D6682" s="396" t="s">
        <v>12638</v>
      </c>
      <c r="E6682" s="396" t="s">
        <v>12639</v>
      </c>
      <c r="F6682" s="396" t="s">
        <v>12439</v>
      </c>
    </row>
    <row r="6683">
      <c r="A6683" s="311">
        <v>6682</v>
      </c>
      <c r="B6683" s="396" t="s">
        <v>12675</v>
      </c>
      <c r="C6683" s="396" t="s">
        <v>12676</v>
      </c>
      <c r="D6683" s="396" t="s">
        <v>12677</v>
      </c>
      <c r="E6683" s="396" t="s">
        <v>12678</v>
      </c>
      <c r="F6683" s="396" t="s">
        <v>12439</v>
      </c>
    </row>
    <row r="6684">
      <c r="A6684" s="311">
        <v>6683</v>
      </c>
      <c r="B6684" s="396" t="s">
        <v>12679</v>
      </c>
      <c r="C6684" s="396" t="s">
        <v>9358</v>
      </c>
      <c r="D6684" s="396" t="s">
        <v>12677</v>
      </c>
      <c r="E6684" s="396" t="s">
        <v>12678</v>
      </c>
      <c r="F6684" s="396" t="s">
        <v>12439</v>
      </c>
    </row>
    <row r="6685">
      <c r="A6685" s="311">
        <v>6684</v>
      </c>
      <c r="B6685" s="396" t="s">
        <v>12680</v>
      </c>
      <c r="C6685" s="396" t="s">
        <v>12681</v>
      </c>
      <c r="D6685" s="396" t="s">
        <v>12677</v>
      </c>
      <c r="E6685" s="396" t="s">
        <v>12678</v>
      </c>
      <c r="F6685" s="396" t="s">
        <v>12439</v>
      </c>
    </row>
    <row r="6686">
      <c r="A6686" s="311">
        <v>6685</v>
      </c>
      <c r="B6686" s="396" t="s">
        <v>12682</v>
      </c>
      <c r="C6686" s="396" t="s">
        <v>5379</v>
      </c>
      <c r="D6686" s="396" t="s">
        <v>12677</v>
      </c>
      <c r="E6686" s="396" t="s">
        <v>12678</v>
      </c>
      <c r="F6686" s="396" t="s">
        <v>12439</v>
      </c>
    </row>
    <row r="6687">
      <c r="A6687" s="311">
        <v>6686</v>
      </c>
      <c r="B6687" s="396" t="s">
        <v>12683</v>
      </c>
      <c r="C6687" s="396" t="s">
        <v>12684</v>
      </c>
      <c r="D6687" s="396" t="s">
        <v>12677</v>
      </c>
      <c r="E6687" s="396" t="s">
        <v>12678</v>
      </c>
      <c r="F6687" s="396" t="s">
        <v>12439</v>
      </c>
    </row>
    <row r="6688">
      <c r="A6688" s="311">
        <v>6687</v>
      </c>
      <c r="B6688" s="396" t="s">
        <v>12685</v>
      </c>
      <c r="C6688" s="396" t="s">
        <v>12686</v>
      </c>
      <c r="D6688" s="396" t="s">
        <v>12677</v>
      </c>
      <c r="E6688" s="396" t="s">
        <v>12678</v>
      </c>
      <c r="F6688" s="396" t="s">
        <v>12439</v>
      </c>
    </row>
    <row r="6689">
      <c r="A6689" s="311">
        <v>6688</v>
      </c>
      <c r="B6689" s="396" t="s">
        <v>12687</v>
      </c>
      <c r="C6689" s="396" t="s">
        <v>12688</v>
      </c>
      <c r="D6689" s="396" t="s">
        <v>12677</v>
      </c>
      <c r="E6689" s="396" t="s">
        <v>12678</v>
      </c>
      <c r="F6689" s="396" t="s">
        <v>12439</v>
      </c>
    </row>
    <row r="6690">
      <c r="A6690" s="311">
        <v>6689</v>
      </c>
      <c r="B6690" s="396" t="s">
        <v>12689</v>
      </c>
      <c r="C6690" s="396" t="s">
        <v>9364</v>
      </c>
      <c r="D6690" s="396" t="s">
        <v>12677</v>
      </c>
      <c r="E6690" s="396" t="s">
        <v>12678</v>
      </c>
      <c r="F6690" s="396" t="s">
        <v>12439</v>
      </c>
    </row>
    <row r="6691">
      <c r="A6691" s="311">
        <v>6690</v>
      </c>
      <c r="B6691" s="396" t="s">
        <v>12690</v>
      </c>
      <c r="C6691" s="396" t="s">
        <v>10785</v>
      </c>
      <c r="D6691" s="396" t="s">
        <v>12677</v>
      </c>
      <c r="E6691" s="396" t="s">
        <v>12678</v>
      </c>
      <c r="F6691" s="396" t="s">
        <v>12439</v>
      </c>
    </row>
    <row r="6692">
      <c r="A6692" s="311">
        <v>6691</v>
      </c>
      <c r="B6692" s="396" t="s">
        <v>12691</v>
      </c>
      <c r="C6692" s="396" t="s">
        <v>12692</v>
      </c>
      <c r="D6692" s="396" t="s">
        <v>12677</v>
      </c>
      <c r="E6692" s="396" t="s">
        <v>12678</v>
      </c>
      <c r="F6692" s="396" t="s">
        <v>12439</v>
      </c>
    </row>
    <row r="6693">
      <c r="A6693" s="311">
        <v>6692</v>
      </c>
      <c r="B6693" s="396" t="s">
        <v>12693</v>
      </c>
      <c r="C6693" s="396" t="s">
        <v>12694</v>
      </c>
      <c r="D6693" s="396" t="s">
        <v>12677</v>
      </c>
      <c r="E6693" s="396" t="s">
        <v>12678</v>
      </c>
      <c r="F6693" s="396" t="s">
        <v>12439</v>
      </c>
    </row>
    <row r="6694">
      <c r="A6694" s="311">
        <v>6693</v>
      </c>
      <c r="B6694" s="396" t="s">
        <v>12695</v>
      </c>
      <c r="C6694" s="396" t="s">
        <v>12696</v>
      </c>
      <c r="D6694" s="396" t="s">
        <v>12677</v>
      </c>
      <c r="E6694" s="396" t="s">
        <v>12678</v>
      </c>
      <c r="F6694" s="396" t="s">
        <v>12439</v>
      </c>
    </row>
    <row r="6695">
      <c r="A6695" s="311">
        <v>6694</v>
      </c>
      <c r="B6695" s="396" t="s">
        <v>12697</v>
      </c>
      <c r="C6695" s="396" t="s">
        <v>12698</v>
      </c>
      <c r="D6695" s="396" t="s">
        <v>12677</v>
      </c>
      <c r="E6695" s="396" t="s">
        <v>12678</v>
      </c>
      <c r="F6695" s="396" t="s">
        <v>12439</v>
      </c>
    </row>
    <row r="6696">
      <c r="A6696" s="311">
        <v>6695</v>
      </c>
      <c r="B6696" s="396" t="s">
        <v>12699</v>
      </c>
      <c r="C6696" s="396" t="s">
        <v>9378</v>
      </c>
      <c r="D6696" s="396" t="s">
        <v>12677</v>
      </c>
      <c r="E6696" s="396" t="s">
        <v>12678</v>
      </c>
      <c r="F6696" s="396" t="s">
        <v>12439</v>
      </c>
    </row>
    <row r="6697">
      <c r="A6697" s="311">
        <v>6696</v>
      </c>
      <c r="B6697" s="396" t="s">
        <v>12700</v>
      </c>
      <c r="C6697" s="396" t="s">
        <v>9352</v>
      </c>
      <c r="D6697" s="396" t="s">
        <v>12677</v>
      </c>
      <c r="E6697" s="396" t="s">
        <v>12678</v>
      </c>
      <c r="F6697" s="396" t="s">
        <v>12439</v>
      </c>
    </row>
    <row r="6698">
      <c r="A6698" s="311">
        <v>6697</v>
      </c>
      <c r="B6698" s="396" t="s">
        <v>12701</v>
      </c>
      <c r="C6698" s="396" t="s">
        <v>12702</v>
      </c>
      <c r="D6698" s="396" t="s">
        <v>12677</v>
      </c>
      <c r="E6698" s="396" t="s">
        <v>12678</v>
      </c>
      <c r="F6698" s="396" t="s">
        <v>12439</v>
      </c>
    </row>
    <row r="6699">
      <c r="A6699" s="311">
        <v>6698</v>
      </c>
      <c r="B6699" s="396" t="s">
        <v>12703</v>
      </c>
      <c r="C6699" s="396" t="s">
        <v>12704</v>
      </c>
      <c r="D6699" s="396" t="s">
        <v>12677</v>
      </c>
      <c r="E6699" s="396" t="s">
        <v>12678</v>
      </c>
      <c r="F6699" s="396" t="s">
        <v>12439</v>
      </c>
    </row>
    <row r="6700">
      <c r="A6700" s="311">
        <v>6699</v>
      </c>
      <c r="B6700" s="396" t="s">
        <v>12705</v>
      </c>
      <c r="C6700" s="396" t="s">
        <v>5366</v>
      </c>
      <c r="D6700" s="396" t="s">
        <v>12677</v>
      </c>
      <c r="E6700" s="396" t="s">
        <v>12678</v>
      </c>
      <c r="F6700" s="396" t="s">
        <v>12439</v>
      </c>
    </row>
    <row r="6701">
      <c r="A6701" s="311">
        <v>6700</v>
      </c>
      <c r="B6701" s="396" t="s">
        <v>12706</v>
      </c>
      <c r="C6701" s="396" t="s">
        <v>12707</v>
      </c>
      <c r="D6701" s="396" t="s">
        <v>12677</v>
      </c>
      <c r="E6701" s="396" t="s">
        <v>12678</v>
      </c>
      <c r="F6701" s="396" t="s">
        <v>12439</v>
      </c>
    </row>
    <row r="6702">
      <c r="A6702" s="311">
        <v>6701</v>
      </c>
      <c r="B6702" s="396" t="s">
        <v>12708</v>
      </c>
      <c r="C6702" s="396" t="s">
        <v>12709</v>
      </c>
      <c r="D6702" s="396" t="s">
        <v>12677</v>
      </c>
      <c r="E6702" s="396" t="s">
        <v>12678</v>
      </c>
      <c r="F6702" s="396" t="s">
        <v>12439</v>
      </c>
    </row>
    <row r="6703">
      <c r="A6703" s="311">
        <v>6702</v>
      </c>
      <c r="B6703" s="396" t="s">
        <v>12710</v>
      </c>
      <c r="C6703" s="396" t="s">
        <v>12711</v>
      </c>
      <c r="D6703" s="396" t="s">
        <v>12712</v>
      </c>
      <c r="E6703" s="396" t="s">
        <v>12713</v>
      </c>
      <c r="F6703" s="396" t="s">
        <v>12714</v>
      </c>
    </row>
    <row r="6704">
      <c r="A6704" s="311">
        <v>6703</v>
      </c>
      <c r="B6704" s="396" t="s">
        <v>12715</v>
      </c>
      <c r="C6704" s="396" t="s">
        <v>12716</v>
      </c>
      <c r="D6704" s="396" t="s">
        <v>12712</v>
      </c>
      <c r="E6704" s="396" t="s">
        <v>12713</v>
      </c>
      <c r="F6704" s="396" t="s">
        <v>12714</v>
      </c>
    </row>
    <row r="6705">
      <c r="A6705" s="311">
        <v>6704</v>
      </c>
      <c r="B6705" s="396" t="s">
        <v>12717</v>
      </c>
      <c r="C6705" s="396" t="s">
        <v>12718</v>
      </c>
      <c r="D6705" s="396" t="s">
        <v>12712</v>
      </c>
      <c r="E6705" s="396" t="s">
        <v>12713</v>
      </c>
      <c r="F6705" s="396" t="s">
        <v>12714</v>
      </c>
    </row>
    <row r="6706">
      <c r="A6706" s="311">
        <v>6705</v>
      </c>
      <c r="B6706" s="396" t="s">
        <v>12719</v>
      </c>
      <c r="C6706" s="396" t="s">
        <v>12720</v>
      </c>
      <c r="D6706" s="396" t="s">
        <v>12712</v>
      </c>
      <c r="E6706" s="396" t="s">
        <v>12713</v>
      </c>
      <c r="F6706" s="396" t="s">
        <v>12714</v>
      </c>
    </row>
    <row r="6707">
      <c r="A6707" s="311">
        <v>6706</v>
      </c>
      <c r="B6707" s="396" t="s">
        <v>12721</v>
      </c>
      <c r="C6707" s="396" t="s">
        <v>12722</v>
      </c>
      <c r="D6707" s="396" t="s">
        <v>12712</v>
      </c>
      <c r="E6707" s="396" t="s">
        <v>12713</v>
      </c>
      <c r="F6707" s="396" t="s">
        <v>12714</v>
      </c>
    </row>
    <row r="6708">
      <c r="A6708" s="311">
        <v>6707</v>
      </c>
      <c r="B6708" s="396" t="s">
        <v>12723</v>
      </c>
      <c r="C6708" s="396" t="s">
        <v>12724</v>
      </c>
      <c r="D6708" s="396" t="s">
        <v>12712</v>
      </c>
      <c r="E6708" s="396" t="s">
        <v>12713</v>
      </c>
      <c r="F6708" s="396" t="s">
        <v>12714</v>
      </c>
    </row>
    <row r="6709">
      <c r="A6709" s="311">
        <v>6708</v>
      </c>
      <c r="B6709" s="396" t="s">
        <v>12725</v>
      </c>
      <c r="C6709" s="396" t="s">
        <v>12726</v>
      </c>
      <c r="D6709" s="396" t="s">
        <v>12712</v>
      </c>
      <c r="E6709" s="396" t="s">
        <v>12713</v>
      </c>
      <c r="F6709" s="396" t="s">
        <v>12714</v>
      </c>
    </row>
    <row r="6710">
      <c r="A6710" s="311">
        <v>6709</v>
      </c>
      <c r="B6710" s="396" t="s">
        <v>12727</v>
      </c>
      <c r="C6710" s="396" t="s">
        <v>12728</v>
      </c>
      <c r="D6710" s="396" t="s">
        <v>12712</v>
      </c>
      <c r="E6710" s="396" t="s">
        <v>12713</v>
      </c>
      <c r="F6710" s="396" t="s">
        <v>12714</v>
      </c>
    </row>
    <row r="6711">
      <c r="A6711" s="311">
        <v>6710</v>
      </c>
      <c r="B6711" s="396" t="s">
        <v>12729</v>
      </c>
      <c r="C6711" s="396" t="s">
        <v>12730</v>
      </c>
      <c r="D6711" s="396" t="s">
        <v>12712</v>
      </c>
      <c r="E6711" s="396" t="s">
        <v>12713</v>
      </c>
      <c r="F6711" s="396" t="s">
        <v>12714</v>
      </c>
    </row>
    <row r="6712">
      <c r="A6712" s="311">
        <v>6711</v>
      </c>
      <c r="B6712" s="396" t="s">
        <v>12731</v>
      </c>
      <c r="C6712" s="396" t="s">
        <v>12732</v>
      </c>
      <c r="D6712" s="396" t="s">
        <v>12712</v>
      </c>
      <c r="E6712" s="396" t="s">
        <v>12713</v>
      </c>
      <c r="F6712" s="396" t="s">
        <v>12714</v>
      </c>
    </row>
    <row r="6713">
      <c r="A6713" s="311">
        <v>6712</v>
      </c>
      <c r="B6713" s="396" t="s">
        <v>12733</v>
      </c>
      <c r="C6713" s="396" t="s">
        <v>12734</v>
      </c>
      <c r="D6713" s="396" t="s">
        <v>12712</v>
      </c>
      <c r="E6713" s="396" t="s">
        <v>12713</v>
      </c>
      <c r="F6713" s="396" t="s">
        <v>12714</v>
      </c>
    </row>
    <row r="6714">
      <c r="A6714" s="311">
        <v>6713</v>
      </c>
      <c r="B6714" s="396" t="s">
        <v>12735</v>
      </c>
      <c r="C6714" s="396" t="s">
        <v>12736</v>
      </c>
      <c r="D6714" s="396" t="s">
        <v>12712</v>
      </c>
      <c r="E6714" s="396" t="s">
        <v>12713</v>
      </c>
      <c r="F6714" s="396" t="s">
        <v>12714</v>
      </c>
    </row>
    <row r="6715">
      <c r="A6715" s="311">
        <v>6714</v>
      </c>
      <c r="B6715" s="396" t="s">
        <v>12737</v>
      </c>
      <c r="C6715" s="396" t="s">
        <v>12738</v>
      </c>
      <c r="D6715" s="396" t="s">
        <v>12712</v>
      </c>
      <c r="E6715" s="396" t="s">
        <v>12713</v>
      </c>
      <c r="F6715" s="396" t="s">
        <v>12714</v>
      </c>
    </row>
    <row r="6716">
      <c r="A6716" s="311">
        <v>6715</v>
      </c>
      <c r="B6716" s="396" t="s">
        <v>12739</v>
      </c>
      <c r="C6716" s="396" t="s">
        <v>12740</v>
      </c>
      <c r="D6716" s="396" t="s">
        <v>12712</v>
      </c>
      <c r="E6716" s="396" t="s">
        <v>12713</v>
      </c>
      <c r="F6716" s="396" t="s">
        <v>12714</v>
      </c>
    </row>
    <row r="6717">
      <c r="A6717" s="311">
        <v>6716</v>
      </c>
      <c r="B6717" s="396" t="s">
        <v>12741</v>
      </c>
      <c r="C6717" s="396" t="s">
        <v>12742</v>
      </c>
      <c r="D6717" s="396" t="s">
        <v>12712</v>
      </c>
      <c r="E6717" s="396" t="s">
        <v>12713</v>
      </c>
      <c r="F6717" s="396" t="s">
        <v>12714</v>
      </c>
    </row>
    <row r="6718">
      <c r="A6718" s="311">
        <v>6717</v>
      </c>
      <c r="B6718" s="396" t="s">
        <v>12743</v>
      </c>
      <c r="C6718" s="396" t="s">
        <v>12744</v>
      </c>
      <c r="D6718" s="396" t="s">
        <v>12712</v>
      </c>
      <c r="E6718" s="396" t="s">
        <v>12713</v>
      </c>
      <c r="F6718" s="396" t="s">
        <v>12714</v>
      </c>
    </row>
    <row r="6719">
      <c r="A6719" s="311">
        <v>6718</v>
      </c>
      <c r="B6719" s="396" t="s">
        <v>12745</v>
      </c>
      <c r="C6719" s="396" t="s">
        <v>12746</v>
      </c>
      <c r="D6719" s="396" t="s">
        <v>12712</v>
      </c>
      <c r="E6719" s="396" t="s">
        <v>12713</v>
      </c>
      <c r="F6719" s="396" t="s">
        <v>12714</v>
      </c>
    </row>
    <row r="6720">
      <c r="A6720" s="311">
        <v>6719</v>
      </c>
      <c r="B6720" s="396" t="s">
        <v>12747</v>
      </c>
      <c r="C6720" s="396" t="s">
        <v>12748</v>
      </c>
      <c r="D6720" s="396" t="s">
        <v>12712</v>
      </c>
      <c r="E6720" s="396" t="s">
        <v>12713</v>
      </c>
      <c r="F6720" s="396" t="s">
        <v>12714</v>
      </c>
    </row>
    <row r="6721">
      <c r="A6721" s="311">
        <v>6720</v>
      </c>
      <c r="B6721" s="396" t="s">
        <v>12749</v>
      </c>
      <c r="C6721" s="396" t="s">
        <v>12750</v>
      </c>
      <c r="D6721" s="396" t="s">
        <v>12712</v>
      </c>
      <c r="E6721" s="396" t="s">
        <v>12713</v>
      </c>
      <c r="F6721" s="396" t="s">
        <v>12714</v>
      </c>
    </row>
    <row r="6722">
      <c r="A6722" s="311">
        <v>6721</v>
      </c>
      <c r="B6722" s="396" t="s">
        <v>12751</v>
      </c>
      <c r="C6722" s="396" t="s">
        <v>12752</v>
      </c>
      <c r="D6722" s="396" t="s">
        <v>12712</v>
      </c>
      <c r="E6722" s="396" t="s">
        <v>12713</v>
      </c>
      <c r="F6722" s="396" t="s">
        <v>12714</v>
      </c>
    </row>
    <row r="6723">
      <c r="A6723" s="311">
        <v>6722</v>
      </c>
      <c r="B6723" s="396" t="s">
        <v>12753</v>
      </c>
      <c r="C6723" s="396" t="s">
        <v>12754</v>
      </c>
      <c r="D6723" s="396" t="s">
        <v>12712</v>
      </c>
      <c r="E6723" s="396" t="s">
        <v>12713</v>
      </c>
      <c r="F6723" s="396" t="s">
        <v>12714</v>
      </c>
    </row>
    <row r="6724">
      <c r="A6724" s="311">
        <v>6723</v>
      </c>
      <c r="B6724" s="396" t="s">
        <v>12755</v>
      </c>
      <c r="C6724" s="396" t="s">
        <v>12756</v>
      </c>
      <c r="D6724" s="396" t="s">
        <v>12712</v>
      </c>
      <c r="E6724" s="396" t="s">
        <v>12713</v>
      </c>
      <c r="F6724" s="396" t="s">
        <v>12714</v>
      </c>
    </row>
    <row r="6725">
      <c r="A6725" s="311">
        <v>6724</v>
      </c>
      <c r="B6725" s="396" t="s">
        <v>12757</v>
      </c>
      <c r="C6725" s="396" t="s">
        <v>12758</v>
      </c>
      <c r="D6725" s="396" t="s">
        <v>12712</v>
      </c>
      <c r="E6725" s="396" t="s">
        <v>12713</v>
      </c>
      <c r="F6725" s="396" t="s">
        <v>12714</v>
      </c>
    </row>
    <row r="6726">
      <c r="A6726" s="311">
        <v>6725</v>
      </c>
      <c r="B6726" s="396" t="s">
        <v>12759</v>
      </c>
      <c r="C6726" s="396" t="s">
        <v>12760</v>
      </c>
      <c r="D6726" s="396" t="s">
        <v>12712</v>
      </c>
      <c r="E6726" s="396" t="s">
        <v>12713</v>
      </c>
      <c r="F6726" s="396" t="s">
        <v>12714</v>
      </c>
    </row>
    <row r="6727">
      <c r="A6727" s="311">
        <v>6726</v>
      </c>
      <c r="B6727" s="396" t="s">
        <v>12761</v>
      </c>
      <c r="C6727" s="396" t="s">
        <v>12762</v>
      </c>
      <c r="D6727" s="396" t="s">
        <v>12712</v>
      </c>
      <c r="E6727" s="396" t="s">
        <v>12713</v>
      </c>
      <c r="F6727" s="396" t="s">
        <v>12714</v>
      </c>
    </row>
    <row r="6728">
      <c r="A6728" s="311">
        <v>6727</v>
      </c>
      <c r="B6728" s="396" t="s">
        <v>12763</v>
      </c>
      <c r="C6728" s="396" t="s">
        <v>12764</v>
      </c>
      <c r="D6728" s="396" t="s">
        <v>12712</v>
      </c>
      <c r="E6728" s="396" t="s">
        <v>12713</v>
      </c>
      <c r="F6728" s="396" t="s">
        <v>12714</v>
      </c>
    </row>
    <row r="6729">
      <c r="A6729" s="311">
        <v>6728</v>
      </c>
      <c r="B6729" s="396" t="s">
        <v>12765</v>
      </c>
      <c r="C6729" s="396" t="s">
        <v>12766</v>
      </c>
      <c r="D6729" s="396" t="s">
        <v>12712</v>
      </c>
      <c r="E6729" s="396" t="s">
        <v>12713</v>
      </c>
      <c r="F6729" s="396" t="s">
        <v>12714</v>
      </c>
    </row>
    <row r="6730">
      <c r="A6730" s="311">
        <v>6729</v>
      </c>
      <c r="B6730" s="396" t="s">
        <v>12767</v>
      </c>
      <c r="C6730" s="396" t="s">
        <v>12768</v>
      </c>
      <c r="D6730" s="396" t="s">
        <v>12769</v>
      </c>
      <c r="E6730" s="396" t="s">
        <v>12770</v>
      </c>
      <c r="F6730" s="396" t="s">
        <v>12714</v>
      </c>
    </row>
    <row r="6731">
      <c r="A6731" s="311">
        <v>6730</v>
      </c>
      <c r="B6731" s="396" t="s">
        <v>12771</v>
      </c>
      <c r="C6731" s="396" t="s">
        <v>12772</v>
      </c>
      <c r="D6731" s="396" t="s">
        <v>12769</v>
      </c>
      <c r="E6731" s="396" t="s">
        <v>12770</v>
      </c>
      <c r="F6731" s="396" t="s">
        <v>12714</v>
      </c>
    </row>
    <row r="6732">
      <c r="A6732" s="311">
        <v>6731</v>
      </c>
      <c r="B6732" s="396" t="s">
        <v>12773</v>
      </c>
      <c r="C6732" s="396" t="s">
        <v>12774</v>
      </c>
      <c r="D6732" s="396" t="s">
        <v>12769</v>
      </c>
      <c r="E6732" s="396" t="s">
        <v>12770</v>
      </c>
      <c r="F6732" s="396" t="s">
        <v>12714</v>
      </c>
    </row>
    <row r="6733">
      <c r="A6733" s="311">
        <v>6732</v>
      </c>
      <c r="B6733" s="396" t="s">
        <v>12775</v>
      </c>
      <c r="C6733" s="396" t="s">
        <v>12776</v>
      </c>
      <c r="D6733" s="396" t="s">
        <v>12769</v>
      </c>
      <c r="E6733" s="396" t="s">
        <v>12770</v>
      </c>
      <c r="F6733" s="396" t="s">
        <v>12714</v>
      </c>
    </row>
    <row r="6734">
      <c r="A6734" s="311">
        <v>6733</v>
      </c>
      <c r="B6734" s="396" t="s">
        <v>12777</v>
      </c>
      <c r="C6734" s="396" t="s">
        <v>12778</v>
      </c>
      <c r="D6734" s="396" t="s">
        <v>12769</v>
      </c>
      <c r="E6734" s="396" t="s">
        <v>12770</v>
      </c>
      <c r="F6734" s="396" t="s">
        <v>12714</v>
      </c>
    </row>
    <row r="6735">
      <c r="A6735" s="311">
        <v>6734</v>
      </c>
      <c r="B6735" s="396" t="s">
        <v>12779</v>
      </c>
      <c r="C6735" s="396" t="s">
        <v>12780</v>
      </c>
      <c r="D6735" s="396" t="s">
        <v>12769</v>
      </c>
      <c r="E6735" s="396" t="s">
        <v>12770</v>
      </c>
      <c r="F6735" s="396" t="s">
        <v>12714</v>
      </c>
    </row>
    <row r="6736">
      <c r="A6736" s="311">
        <v>6735</v>
      </c>
      <c r="B6736" s="396" t="s">
        <v>12781</v>
      </c>
      <c r="C6736" s="396" t="s">
        <v>12782</v>
      </c>
      <c r="D6736" s="396" t="s">
        <v>12769</v>
      </c>
      <c r="E6736" s="396" t="s">
        <v>12770</v>
      </c>
      <c r="F6736" s="396" t="s">
        <v>12714</v>
      </c>
    </row>
    <row r="6737">
      <c r="A6737" s="311">
        <v>6736</v>
      </c>
      <c r="B6737" s="396" t="s">
        <v>12783</v>
      </c>
      <c r="C6737" s="396" t="s">
        <v>12784</v>
      </c>
      <c r="D6737" s="396" t="s">
        <v>12769</v>
      </c>
      <c r="E6737" s="396" t="s">
        <v>12770</v>
      </c>
      <c r="F6737" s="396" t="s">
        <v>12714</v>
      </c>
    </row>
    <row r="6738">
      <c r="A6738" s="311">
        <v>6737</v>
      </c>
      <c r="B6738" s="396" t="s">
        <v>12785</v>
      </c>
      <c r="C6738" s="396" t="s">
        <v>12786</v>
      </c>
      <c r="D6738" s="396" t="s">
        <v>12769</v>
      </c>
      <c r="E6738" s="396" t="s">
        <v>12770</v>
      </c>
      <c r="F6738" s="396" t="s">
        <v>12714</v>
      </c>
    </row>
    <row r="6739">
      <c r="A6739" s="311">
        <v>6738</v>
      </c>
      <c r="B6739" s="396" t="s">
        <v>12787</v>
      </c>
      <c r="C6739" s="396" t="s">
        <v>12788</v>
      </c>
      <c r="D6739" s="396" t="s">
        <v>12769</v>
      </c>
      <c r="E6739" s="396" t="s">
        <v>12770</v>
      </c>
      <c r="F6739" s="396" t="s">
        <v>12714</v>
      </c>
    </row>
    <row r="6740">
      <c r="A6740" s="311">
        <v>6739</v>
      </c>
      <c r="B6740" s="396" t="s">
        <v>12789</v>
      </c>
      <c r="C6740" s="396" t="s">
        <v>12790</v>
      </c>
      <c r="D6740" s="396" t="s">
        <v>12769</v>
      </c>
      <c r="E6740" s="396" t="s">
        <v>12770</v>
      </c>
      <c r="F6740" s="396" t="s">
        <v>12714</v>
      </c>
    </row>
    <row r="6741">
      <c r="A6741" s="311">
        <v>6740</v>
      </c>
      <c r="B6741" s="396" t="s">
        <v>12791</v>
      </c>
      <c r="C6741" s="396" t="s">
        <v>12792</v>
      </c>
      <c r="D6741" s="396" t="s">
        <v>12769</v>
      </c>
      <c r="E6741" s="396" t="s">
        <v>12770</v>
      </c>
      <c r="F6741" s="396" t="s">
        <v>12714</v>
      </c>
    </row>
    <row r="6742">
      <c r="A6742" s="311">
        <v>6741</v>
      </c>
      <c r="B6742" s="396" t="s">
        <v>12793</v>
      </c>
      <c r="C6742" s="396" t="s">
        <v>12794</v>
      </c>
      <c r="D6742" s="396" t="s">
        <v>12769</v>
      </c>
      <c r="E6742" s="396" t="s">
        <v>12770</v>
      </c>
      <c r="F6742" s="396" t="s">
        <v>12714</v>
      </c>
    </row>
    <row r="6743">
      <c r="A6743" s="311">
        <v>6742</v>
      </c>
      <c r="B6743" s="396" t="s">
        <v>12795</v>
      </c>
      <c r="C6743" s="396" t="s">
        <v>12796</v>
      </c>
      <c r="D6743" s="396" t="s">
        <v>12769</v>
      </c>
      <c r="E6743" s="396" t="s">
        <v>12770</v>
      </c>
      <c r="F6743" s="396" t="s">
        <v>12714</v>
      </c>
    </row>
    <row r="6744">
      <c r="A6744" s="311">
        <v>6743</v>
      </c>
      <c r="B6744" s="396" t="s">
        <v>12797</v>
      </c>
      <c r="C6744" s="396" t="s">
        <v>12798</v>
      </c>
      <c r="D6744" s="396" t="s">
        <v>12769</v>
      </c>
      <c r="E6744" s="396" t="s">
        <v>12770</v>
      </c>
      <c r="F6744" s="396" t="s">
        <v>12714</v>
      </c>
    </row>
    <row r="6745">
      <c r="A6745" s="311">
        <v>6744</v>
      </c>
      <c r="B6745" s="396" t="s">
        <v>12799</v>
      </c>
      <c r="C6745" s="396" t="s">
        <v>12800</v>
      </c>
      <c r="D6745" s="396" t="s">
        <v>12769</v>
      </c>
      <c r="E6745" s="396" t="s">
        <v>12770</v>
      </c>
      <c r="F6745" s="396" t="s">
        <v>12714</v>
      </c>
    </row>
    <row r="6746">
      <c r="A6746" s="311">
        <v>6745</v>
      </c>
      <c r="B6746" s="396" t="s">
        <v>12801</v>
      </c>
      <c r="C6746" s="396" t="s">
        <v>12802</v>
      </c>
      <c r="D6746" s="396" t="s">
        <v>12803</v>
      </c>
      <c r="E6746" s="396" t="s">
        <v>12804</v>
      </c>
      <c r="F6746" s="396" t="s">
        <v>12714</v>
      </c>
    </row>
    <row r="6747">
      <c r="A6747" s="311">
        <v>6746</v>
      </c>
      <c r="B6747" s="396" t="s">
        <v>12805</v>
      </c>
      <c r="C6747" s="396" t="s">
        <v>10737</v>
      </c>
      <c r="D6747" s="396" t="s">
        <v>12803</v>
      </c>
      <c r="E6747" s="396" t="s">
        <v>12804</v>
      </c>
      <c r="F6747" s="396" t="s">
        <v>12714</v>
      </c>
    </row>
    <row r="6748">
      <c r="A6748" s="311">
        <v>6747</v>
      </c>
      <c r="B6748" s="396" t="s">
        <v>12806</v>
      </c>
      <c r="C6748" s="396" t="s">
        <v>12807</v>
      </c>
      <c r="D6748" s="396" t="s">
        <v>12803</v>
      </c>
      <c r="E6748" s="396" t="s">
        <v>12804</v>
      </c>
      <c r="F6748" s="396" t="s">
        <v>12714</v>
      </c>
    </row>
    <row r="6749">
      <c r="A6749" s="311">
        <v>6748</v>
      </c>
      <c r="B6749" s="396" t="s">
        <v>12808</v>
      </c>
      <c r="C6749" s="396" t="s">
        <v>5494</v>
      </c>
      <c r="D6749" s="396" t="s">
        <v>12803</v>
      </c>
      <c r="E6749" s="396" t="s">
        <v>12804</v>
      </c>
      <c r="F6749" s="396" t="s">
        <v>12714</v>
      </c>
    </row>
    <row r="6750">
      <c r="A6750" s="311">
        <v>6749</v>
      </c>
      <c r="B6750" s="396" t="s">
        <v>12809</v>
      </c>
      <c r="C6750" s="396" t="s">
        <v>12810</v>
      </c>
      <c r="D6750" s="396" t="s">
        <v>12803</v>
      </c>
      <c r="E6750" s="396" t="s">
        <v>12804</v>
      </c>
      <c r="F6750" s="396" t="s">
        <v>12714</v>
      </c>
    </row>
    <row r="6751">
      <c r="A6751" s="311">
        <v>6750</v>
      </c>
      <c r="B6751" s="396" t="s">
        <v>12811</v>
      </c>
      <c r="C6751" s="396" t="s">
        <v>12812</v>
      </c>
      <c r="D6751" s="396" t="s">
        <v>12803</v>
      </c>
      <c r="E6751" s="396" t="s">
        <v>12804</v>
      </c>
      <c r="F6751" s="396" t="s">
        <v>12714</v>
      </c>
    </row>
    <row r="6752">
      <c r="A6752" s="311">
        <v>6751</v>
      </c>
      <c r="B6752" s="396" t="s">
        <v>12813</v>
      </c>
      <c r="C6752" s="396" t="s">
        <v>12814</v>
      </c>
      <c r="D6752" s="396" t="s">
        <v>12803</v>
      </c>
      <c r="E6752" s="396" t="s">
        <v>12804</v>
      </c>
      <c r="F6752" s="396" t="s">
        <v>12714</v>
      </c>
    </row>
    <row r="6753">
      <c r="A6753" s="311">
        <v>6752</v>
      </c>
      <c r="B6753" s="396" t="s">
        <v>12815</v>
      </c>
      <c r="C6753" s="396" t="s">
        <v>5490</v>
      </c>
      <c r="D6753" s="396" t="s">
        <v>12803</v>
      </c>
      <c r="E6753" s="396" t="s">
        <v>12804</v>
      </c>
      <c r="F6753" s="396" t="s">
        <v>12714</v>
      </c>
    </row>
    <row r="6754">
      <c r="A6754" s="311">
        <v>6753</v>
      </c>
      <c r="B6754" s="396" t="s">
        <v>12816</v>
      </c>
      <c r="C6754" s="396" t="s">
        <v>5513</v>
      </c>
      <c r="D6754" s="396" t="s">
        <v>12803</v>
      </c>
      <c r="E6754" s="396" t="s">
        <v>12804</v>
      </c>
      <c r="F6754" s="396" t="s">
        <v>12714</v>
      </c>
    </row>
    <row r="6755">
      <c r="A6755" s="311">
        <v>6754</v>
      </c>
      <c r="B6755" s="396" t="s">
        <v>12817</v>
      </c>
      <c r="C6755" s="396" t="s">
        <v>12818</v>
      </c>
      <c r="D6755" s="396" t="s">
        <v>12803</v>
      </c>
      <c r="E6755" s="396" t="s">
        <v>12804</v>
      </c>
      <c r="F6755" s="396" t="s">
        <v>12714</v>
      </c>
    </row>
    <row r="6756">
      <c r="A6756" s="311">
        <v>6755</v>
      </c>
      <c r="B6756" s="396" t="s">
        <v>12819</v>
      </c>
      <c r="C6756" s="396" t="s">
        <v>7118</v>
      </c>
      <c r="D6756" s="396" t="s">
        <v>12803</v>
      </c>
      <c r="E6756" s="396" t="s">
        <v>12804</v>
      </c>
      <c r="F6756" s="396" t="s">
        <v>12714</v>
      </c>
    </row>
    <row r="6757">
      <c r="A6757" s="311">
        <v>6756</v>
      </c>
      <c r="B6757" s="396" t="s">
        <v>12820</v>
      </c>
      <c r="C6757" s="396" t="s">
        <v>12821</v>
      </c>
      <c r="D6757" s="396" t="s">
        <v>12822</v>
      </c>
      <c r="E6757" s="396" t="s">
        <v>12823</v>
      </c>
      <c r="F6757" s="396" t="s">
        <v>12714</v>
      </c>
    </row>
    <row r="6758">
      <c r="A6758" s="311">
        <v>6757</v>
      </c>
      <c r="B6758" s="396" t="s">
        <v>12824</v>
      </c>
      <c r="C6758" s="396" t="s">
        <v>12825</v>
      </c>
      <c r="D6758" s="396" t="s">
        <v>12822</v>
      </c>
      <c r="E6758" s="396" t="s">
        <v>12823</v>
      </c>
      <c r="F6758" s="396" t="s">
        <v>12714</v>
      </c>
    </row>
    <row r="6759">
      <c r="A6759" s="311">
        <v>6758</v>
      </c>
      <c r="B6759" s="396" t="s">
        <v>12826</v>
      </c>
      <c r="C6759" s="396" t="s">
        <v>12827</v>
      </c>
      <c r="D6759" s="396" t="s">
        <v>12822</v>
      </c>
      <c r="E6759" s="396" t="s">
        <v>12823</v>
      </c>
      <c r="F6759" s="396" t="s">
        <v>12714</v>
      </c>
    </row>
    <row r="6760">
      <c r="A6760" s="311">
        <v>6759</v>
      </c>
      <c r="B6760" s="396" t="s">
        <v>12828</v>
      </c>
      <c r="C6760" s="396" t="s">
        <v>12829</v>
      </c>
      <c r="D6760" s="396" t="s">
        <v>12822</v>
      </c>
      <c r="E6760" s="396" t="s">
        <v>12823</v>
      </c>
      <c r="F6760" s="396" t="s">
        <v>12714</v>
      </c>
    </row>
    <row r="6761">
      <c r="A6761" s="311">
        <v>6760</v>
      </c>
      <c r="B6761" s="396" t="s">
        <v>12830</v>
      </c>
      <c r="C6761" s="396" t="s">
        <v>12831</v>
      </c>
      <c r="D6761" s="396" t="s">
        <v>12822</v>
      </c>
      <c r="E6761" s="396" t="s">
        <v>12823</v>
      </c>
      <c r="F6761" s="396" t="s">
        <v>12714</v>
      </c>
    </row>
    <row r="6762">
      <c r="A6762" s="311">
        <v>6761</v>
      </c>
      <c r="B6762" s="396" t="s">
        <v>12832</v>
      </c>
      <c r="C6762" s="396" t="s">
        <v>5531</v>
      </c>
      <c r="D6762" s="396" t="s">
        <v>12822</v>
      </c>
      <c r="E6762" s="396" t="s">
        <v>12823</v>
      </c>
      <c r="F6762" s="396" t="s">
        <v>12714</v>
      </c>
    </row>
    <row r="6763">
      <c r="A6763" s="311">
        <v>6762</v>
      </c>
      <c r="B6763" s="396" t="s">
        <v>12833</v>
      </c>
      <c r="C6763" s="396" t="s">
        <v>6770</v>
      </c>
      <c r="D6763" s="396" t="s">
        <v>12822</v>
      </c>
      <c r="E6763" s="396" t="s">
        <v>12823</v>
      </c>
      <c r="F6763" s="396" t="s">
        <v>12714</v>
      </c>
    </row>
    <row r="6764">
      <c r="A6764" s="311">
        <v>6763</v>
      </c>
      <c r="B6764" s="396" t="s">
        <v>12834</v>
      </c>
      <c r="C6764" s="396" t="s">
        <v>12835</v>
      </c>
      <c r="D6764" s="396" t="s">
        <v>12822</v>
      </c>
      <c r="E6764" s="396" t="s">
        <v>12823</v>
      </c>
      <c r="F6764" s="396" t="s">
        <v>12714</v>
      </c>
    </row>
    <row r="6765">
      <c r="A6765" s="311">
        <v>6764</v>
      </c>
      <c r="B6765" s="396" t="s">
        <v>12836</v>
      </c>
      <c r="C6765" s="396" t="s">
        <v>9770</v>
      </c>
      <c r="D6765" s="396" t="s">
        <v>12822</v>
      </c>
      <c r="E6765" s="396" t="s">
        <v>12823</v>
      </c>
      <c r="F6765" s="396" t="s">
        <v>12714</v>
      </c>
    </row>
    <row r="6766">
      <c r="A6766" s="311">
        <v>6765</v>
      </c>
      <c r="B6766" s="396" t="s">
        <v>12837</v>
      </c>
      <c r="C6766" s="396" t="s">
        <v>5078</v>
      </c>
      <c r="D6766" s="396" t="s">
        <v>12822</v>
      </c>
      <c r="E6766" s="396" t="s">
        <v>12823</v>
      </c>
      <c r="F6766" s="396" t="s">
        <v>12714</v>
      </c>
    </row>
    <row r="6767">
      <c r="A6767" s="311">
        <v>6766</v>
      </c>
      <c r="B6767" s="396" t="s">
        <v>12838</v>
      </c>
      <c r="C6767" s="396" t="s">
        <v>4765</v>
      </c>
      <c r="D6767" s="396" t="s">
        <v>12822</v>
      </c>
      <c r="E6767" s="396" t="s">
        <v>12823</v>
      </c>
      <c r="F6767" s="396" t="s">
        <v>12714</v>
      </c>
    </row>
    <row r="6768">
      <c r="A6768" s="311">
        <v>6767</v>
      </c>
      <c r="B6768" s="396" t="s">
        <v>12839</v>
      </c>
      <c r="C6768" s="396" t="s">
        <v>12840</v>
      </c>
      <c r="D6768" s="396" t="s">
        <v>12822</v>
      </c>
      <c r="E6768" s="396" t="s">
        <v>12823</v>
      </c>
      <c r="F6768" s="396" t="s">
        <v>12714</v>
      </c>
    </row>
    <row r="6769">
      <c r="A6769" s="311">
        <v>6768</v>
      </c>
      <c r="B6769" s="396" t="s">
        <v>12841</v>
      </c>
      <c r="C6769" s="396" t="s">
        <v>12842</v>
      </c>
      <c r="D6769" s="396" t="s">
        <v>12822</v>
      </c>
      <c r="E6769" s="396" t="s">
        <v>12823</v>
      </c>
      <c r="F6769" s="396" t="s">
        <v>12714</v>
      </c>
    </row>
    <row r="6770">
      <c r="A6770" s="311">
        <v>6769</v>
      </c>
      <c r="B6770" s="396" t="s">
        <v>12843</v>
      </c>
      <c r="C6770" s="396" t="s">
        <v>2542</v>
      </c>
      <c r="D6770" s="396" t="s">
        <v>12822</v>
      </c>
      <c r="E6770" s="396" t="s">
        <v>12823</v>
      </c>
      <c r="F6770" s="396" t="s">
        <v>12714</v>
      </c>
    </row>
    <row r="6771">
      <c r="A6771" s="311">
        <v>6770</v>
      </c>
      <c r="B6771" s="396" t="s">
        <v>12844</v>
      </c>
      <c r="C6771" s="396" t="s">
        <v>12845</v>
      </c>
      <c r="D6771" s="396" t="s">
        <v>12822</v>
      </c>
      <c r="E6771" s="396" t="s">
        <v>12823</v>
      </c>
      <c r="F6771" s="396" t="s">
        <v>12714</v>
      </c>
    </row>
    <row r="6772">
      <c r="A6772" s="311">
        <v>6771</v>
      </c>
      <c r="B6772" s="396" t="s">
        <v>12846</v>
      </c>
      <c r="C6772" s="396" t="s">
        <v>12847</v>
      </c>
      <c r="D6772" s="396" t="s">
        <v>12822</v>
      </c>
      <c r="E6772" s="396" t="s">
        <v>12823</v>
      </c>
      <c r="F6772" s="396" t="s">
        <v>12714</v>
      </c>
    </row>
    <row r="6773">
      <c r="A6773" s="311">
        <v>6772</v>
      </c>
      <c r="B6773" s="396" t="s">
        <v>12848</v>
      </c>
      <c r="C6773" s="396" t="s">
        <v>12849</v>
      </c>
      <c r="D6773" s="396" t="s">
        <v>12822</v>
      </c>
      <c r="E6773" s="396" t="s">
        <v>12823</v>
      </c>
      <c r="F6773" s="396" t="s">
        <v>12714</v>
      </c>
    </row>
    <row r="6774">
      <c r="A6774" s="311">
        <v>6773</v>
      </c>
      <c r="B6774" s="396" t="s">
        <v>12850</v>
      </c>
      <c r="C6774" s="396" t="s">
        <v>12851</v>
      </c>
      <c r="D6774" s="396" t="s">
        <v>12822</v>
      </c>
      <c r="E6774" s="396" t="s">
        <v>12823</v>
      </c>
      <c r="F6774" s="396" t="s">
        <v>12714</v>
      </c>
    </row>
    <row r="6775">
      <c r="A6775" s="311">
        <v>6774</v>
      </c>
      <c r="B6775" s="396" t="s">
        <v>12852</v>
      </c>
      <c r="C6775" s="396" t="s">
        <v>12853</v>
      </c>
      <c r="D6775" s="396" t="s">
        <v>12822</v>
      </c>
      <c r="E6775" s="396" t="s">
        <v>12823</v>
      </c>
      <c r="F6775" s="396" t="s">
        <v>12714</v>
      </c>
    </row>
    <row r="6776">
      <c r="A6776" s="311">
        <v>6775</v>
      </c>
      <c r="B6776" s="396" t="s">
        <v>12854</v>
      </c>
      <c r="C6776" s="396" t="s">
        <v>12855</v>
      </c>
      <c r="D6776" s="396" t="s">
        <v>12822</v>
      </c>
      <c r="E6776" s="396" t="s">
        <v>12823</v>
      </c>
      <c r="F6776" s="396" t="s">
        <v>12714</v>
      </c>
    </row>
    <row r="6777">
      <c r="A6777" s="311">
        <v>6776</v>
      </c>
      <c r="B6777" s="396" t="s">
        <v>12856</v>
      </c>
      <c r="C6777" s="396" t="s">
        <v>12857</v>
      </c>
      <c r="D6777" s="396" t="s">
        <v>12858</v>
      </c>
      <c r="E6777" s="396" t="s">
        <v>12859</v>
      </c>
      <c r="F6777" s="396" t="s">
        <v>12714</v>
      </c>
    </row>
    <row r="6778">
      <c r="A6778" s="311">
        <v>6777</v>
      </c>
      <c r="B6778" s="396" t="s">
        <v>12860</v>
      </c>
      <c r="C6778" s="396" t="s">
        <v>12861</v>
      </c>
      <c r="D6778" s="396" t="s">
        <v>12858</v>
      </c>
      <c r="E6778" s="396" t="s">
        <v>12859</v>
      </c>
      <c r="F6778" s="396" t="s">
        <v>12714</v>
      </c>
    </row>
    <row r="6779">
      <c r="A6779" s="311">
        <v>6778</v>
      </c>
      <c r="B6779" s="396" t="s">
        <v>12862</v>
      </c>
      <c r="C6779" s="396" t="s">
        <v>12863</v>
      </c>
      <c r="D6779" s="396" t="s">
        <v>12858</v>
      </c>
      <c r="E6779" s="396" t="s">
        <v>12859</v>
      </c>
      <c r="F6779" s="396" t="s">
        <v>12714</v>
      </c>
    </row>
    <row r="6780">
      <c r="A6780" s="311">
        <v>6779</v>
      </c>
      <c r="B6780" s="396" t="s">
        <v>12864</v>
      </c>
      <c r="C6780" s="396" t="s">
        <v>12865</v>
      </c>
      <c r="D6780" s="396" t="s">
        <v>12858</v>
      </c>
      <c r="E6780" s="396" t="s">
        <v>12859</v>
      </c>
      <c r="F6780" s="396" t="s">
        <v>12714</v>
      </c>
    </row>
    <row r="6781">
      <c r="A6781" s="311">
        <v>6780</v>
      </c>
      <c r="B6781" s="396" t="s">
        <v>12866</v>
      </c>
      <c r="C6781" s="396" t="s">
        <v>12867</v>
      </c>
      <c r="D6781" s="396" t="s">
        <v>12858</v>
      </c>
      <c r="E6781" s="396" t="s">
        <v>12859</v>
      </c>
      <c r="F6781" s="396" t="s">
        <v>12714</v>
      </c>
    </row>
    <row r="6782">
      <c r="A6782" s="311">
        <v>6781</v>
      </c>
      <c r="B6782" s="396" t="s">
        <v>12868</v>
      </c>
      <c r="C6782" s="396" t="s">
        <v>12869</v>
      </c>
      <c r="D6782" s="396" t="s">
        <v>12858</v>
      </c>
      <c r="E6782" s="396" t="s">
        <v>12859</v>
      </c>
      <c r="F6782" s="396" t="s">
        <v>12714</v>
      </c>
    </row>
    <row r="6783">
      <c r="A6783" s="311">
        <v>6782</v>
      </c>
      <c r="B6783" s="396" t="s">
        <v>12870</v>
      </c>
      <c r="C6783" s="396" t="s">
        <v>12871</v>
      </c>
      <c r="D6783" s="396" t="s">
        <v>12858</v>
      </c>
      <c r="E6783" s="396" t="s">
        <v>12859</v>
      </c>
      <c r="F6783" s="396" t="s">
        <v>12714</v>
      </c>
    </row>
    <row r="6784">
      <c r="A6784" s="311">
        <v>6783</v>
      </c>
      <c r="B6784" s="396" t="s">
        <v>12872</v>
      </c>
      <c r="C6784" s="396" t="s">
        <v>12873</v>
      </c>
      <c r="D6784" s="396" t="s">
        <v>12858</v>
      </c>
      <c r="E6784" s="396" t="s">
        <v>12859</v>
      </c>
      <c r="F6784" s="396" t="s">
        <v>12714</v>
      </c>
    </row>
    <row r="6785">
      <c r="A6785" s="311">
        <v>6784</v>
      </c>
      <c r="B6785" s="396" t="s">
        <v>12874</v>
      </c>
      <c r="C6785" s="396" t="s">
        <v>12875</v>
      </c>
      <c r="D6785" s="396" t="s">
        <v>12858</v>
      </c>
      <c r="E6785" s="396" t="s">
        <v>12859</v>
      </c>
      <c r="F6785" s="396" t="s">
        <v>12714</v>
      </c>
    </row>
    <row r="6786">
      <c r="A6786" s="311">
        <v>6785</v>
      </c>
      <c r="B6786" s="396" t="s">
        <v>12876</v>
      </c>
      <c r="C6786" s="396" t="s">
        <v>12877</v>
      </c>
      <c r="D6786" s="396" t="s">
        <v>12858</v>
      </c>
      <c r="E6786" s="396" t="s">
        <v>12859</v>
      </c>
      <c r="F6786" s="396" t="s">
        <v>12714</v>
      </c>
    </row>
    <row r="6787">
      <c r="A6787" s="311">
        <v>6786</v>
      </c>
      <c r="B6787" s="396" t="s">
        <v>12878</v>
      </c>
      <c r="C6787" s="396" t="s">
        <v>643</v>
      </c>
      <c r="D6787" s="396" t="s">
        <v>12858</v>
      </c>
      <c r="E6787" s="396" t="s">
        <v>12859</v>
      </c>
      <c r="F6787" s="396" t="s">
        <v>12714</v>
      </c>
    </row>
    <row r="6788">
      <c r="A6788" s="311">
        <v>6787</v>
      </c>
      <c r="B6788" s="396" t="s">
        <v>12879</v>
      </c>
      <c r="C6788" s="396" t="s">
        <v>12880</v>
      </c>
      <c r="D6788" s="396" t="s">
        <v>12858</v>
      </c>
      <c r="E6788" s="396" t="s">
        <v>12859</v>
      </c>
      <c r="F6788" s="396" t="s">
        <v>12714</v>
      </c>
    </row>
    <row r="6789">
      <c r="A6789" s="311">
        <v>6788</v>
      </c>
      <c r="B6789" s="396" t="s">
        <v>12881</v>
      </c>
      <c r="C6789" s="396" t="s">
        <v>12882</v>
      </c>
      <c r="D6789" s="396" t="s">
        <v>12883</v>
      </c>
      <c r="E6789" s="396" t="s">
        <v>12884</v>
      </c>
      <c r="F6789" s="396" t="s">
        <v>12714</v>
      </c>
    </row>
    <row r="6790">
      <c r="A6790" s="311">
        <v>6789</v>
      </c>
      <c r="B6790" s="396" t="s">
        <v>12885</v>
      </c>
      <c r="C6790" s="396" t="s">
        <v>12692</v>
      </c>
      <c r="D6790" s="396" t="s">
        <v>12883</v>
      </c>
      <c r="E6790" s="396" t="s">
        <v>12884</v>
      </c>
      <c r="F6790" s="396" t="s">
        <v>12714</v>
      </c>
    </row>
    <row r="6791">
      <c r="A6791" s="311">
        <v>6790</v>
      </c>
      <c r="B6791" s="396" t="s">
        <v>12886</v>
      </c>
      <c r="C6791" s="396" t="s">
        <v>12887</v>
      </c>
      <c r="D6791" s="396" t="s">
        <v>12883</v>
      </c>
      <c r="E6791" s="396" t="s">
        <v>12884</v>
      </c>
      <c r="F6791" s="396" t="s">
        <v>12714</v>
      </c>
    </row>
    <row r="6792">
      <c r="A6792" s="311">
        <v>6791</v>
      </c>
      <c r="B6792" s="396" t="s">
        <v>12888</v>
      </c>
      <c r="C6792" s="396" t="s">
        <v>12889</v>
      </c>
      <c r="D6792" s="396" t="s">
        <v>12883</v>
      </c>
      <c r="E6792" s="396" t="s">
        <v>12884</v>
      </c>
      <c r="F6792" s="396" t="s">
        <v>12714</v>
      </c>
    </row>
    <row r="6793">
      <c r="A6793" s="311">
        <v>6792</v>
      </c>
      <c r="B6793" s="396" t="s">
        <v>12890</v>
      </c>
      <c r="C6793" s="396" t="s">
        <v>12891</v>
      </c>
      <c r="D6793" s="396" t="s">
        <v>12883</v>
      </c>
      <c r="E6793" s="396" t="s">
        <v>12884</v>
      </c>
      <c r="F6793" s="396" t="s">
        <v>12714</v>
      </c>
    </row>
    <row r="6794">
      <c r="A6794" s="311">
        <v>6793</v>
      </c>
      <c r="B6794" s="396" t="s">
        <v>12892</v>
      </c>
      <c r="C6794" s="396" t="s">
        <v>12893</v>
      </c>
      <c r="D6794" s="396" t="s">
        <v>12883</v>
      </c>
      <c r="E6794" s="396" t="s">
        <v>12884</v>
      </c>
      <c r="F6794" s="396" t="s">
        <v>12714</v>
      </c>
    </row>
    <row r="6795">
      <c r="A6795" s="311">
        <v>6794</v>
      </c>
      <c r="B6795" s="396" t="s">
        <v>12894</v>
      </c>
      <c r="C6795" s="396" t="s">
        <v>12895</v>
      </c>
      <c r="D6795" s="396" t="s">
        <v>12883</v>
      </c>
      <c r="E6795" s="396" t="s">
        <v>12884</v>
      </c>
      <c r="F6795" s="396" t="s">
        <v>12714</v>
      </c>
    </row>
    <row r="6796">
      <c r="A6796" s="311">
        <v>6795</v>
      </c>
      <c r="B6796" s="396" t="s">
        <v>12896</v>
      </c>
      <c r="C6796" s="396" t="s">
        <v>12897</v>
      </c>
      <c r="D6796" s="396" t="s">
        <v>12883</v>
      </c>
      <c r="E6796" s="396" t="s">
        <v>12884</v>
      </c>
      <c r="F6796" s="396" t="s">
        <v>12714</v>
      </c>
    </row>
    <row r="6797">
      <c r="A6797" s="311">
        <v>6796</v>
      </c>
      <c r="B6797" s="396" t="s">
        <v>12898</v>
      </c>
      <c r="C6797" s="396" t="s">
        <v>12899</v>
      </c>
      <c r="D6797" s="396" t="s">
        <v>12883</v>
      </c>
      <c r="E6797" s="396" t="s">
        <v>12884</v>
      </c>
      <c r="F6797" s="396" t="s">
        <v>12714</v>
      </c>
    </row>
    <row r="6798">
      <c r="A6798" s="311">
        <v>6797</v>
      </c>
      <c r="B6798" s="396" t="s">
        <v>12900</v>
      </c>
      <c r="C6798" s="396" t="s">
        <v>12901</v>
      </c>
      <c r="D6798" s="396" t="s">
        <v>12883</v>
      </c>
      <c r="E6798" s="396" t="s">
        <v>12884</v>
      </c>
      <c r="F6798" s="396" t="s">
        <v>12714</v>
      </c>
    </row>
    <row r="6799">
      <c r="A6799" s="311">
        <v>6798</v>
      </c>
      <c r="B6799" s="396" t="s">
        <v>12902</v>
      </c>
      <c r="C6799" s="396" t="s">
        <v>11914</v>
      </c>
      <c r="D6799" s="396" t="s">
        <v>12883</v>
      </c>
      <c r="E6799" s="396" t="s">
        <v>12884</v>
      </c>
      <c r="F6799" s="396" t="s">
        <v>12714</v>
      </c>
    </row>
    <row r="6800">
      <c r="A6800" s="311">
        <v>6799</v>
      </c>
      <c r="B6800" s="396" t="s">
        <v>12903</v>
      </c>
      <c r="C6800" s="396" t="s">
        <v>12904</v>
      </c>
      <c r="D6800" s="396" t="s">
        <v>12883</v>
      </c>
      <c r="E6800" s="396" t="s">
        <v>12884</v>
      </c>
      <c r="F6800" s="396" t="s">
        <v>12714</v>
      </c>
    </row>
    <row r="6801">
      <c r="A6801" s="311">
        <v>6800</v>
      </c>
      <c r="B6801" s="396" t="s">
        <v>12905</v>
      </c>
      <c r="C6801" s="396" t="s">
        <v>11817</v>
      </c>
      <c r="D6801" s="396" t="s">
        <v>12883</v>
      </c>
      <c r="E6801" s="396" t="s">
        <v>12884</v>
      </c>
      <c r="F6801" s="396" t="s">
        <v>12714</v>
      </c>
    </row>
    <row r="6802">
      <c r="A6802" s="311">
        <v>6801</v>
      </c>
      <c r="B6802" s="396" t="s">
        <v>12906</v>
      </c>
      <c r="C6802" s="396" t="s">
        <v>12907</v>
      </c>
      <c r="D6802" s="396" t="s">
        <v>12883</v>
      </c>
      <c r="E6802" s="396" t="s">
        <v>12884</v>
      </c>
      <c r="F6802" s="396" t="s">
        <v>12714</v>
      </c>
    </row>
    <row r="6803">
      <c r="A6803" s="311">
        <v>6802</v>
      </c>
      <c r="B6803" s="396" t="s">
        <v>12908</v>
      </c>
      <c r="C6803" s="396" t="s">
        <v>4851</v>
      </c>
      <c r="D6803" s="396" t="s">
        <v>12883</v>
      </c>
      <c r="E6803" s="396" t="s">
        <v>12884</v>
      </c>
      <c r="F6803" s="396" t="s">
        <v>12714</v>
      </c>
    </row>
    <row r="6804">
      <c r="A6804" s="311">
        <v>6803</v>
      </c>
      <c r="B6804" s="396" t="s">
        <v>12909</v>
      </c>
      <c r="C6804" s="396" t="s">
        <v>4690</v>
      </c>
      <c r="D6804" s="396" t="s">
        <v>12883</v>
      </c>
      <c r="E6804" s="396" t="s">
        <v>12884</v>
      </c>
      <c r="F6804" s="396" t="s">
        <v>12714</v>
      </c>
    </row>
    <row r="6805">
      <c r="A6805" s="311">
        <v>6804</v>
      </c>
      <c r="B6805" s="396" t="s">
        <v>12910</v>
      </c>
      <c r="C6805" s="396" t="s">
        <v>12911</v>
      </c>
      <c r="D6805" s="396" t="s">
        <v>12912</v>
      </c>
      <c r="E6805" s="396" t="s">
        <v>12913</v>
      </c>
      <c r="F6805" s="396" t="s">
        <v>12714</v>
      </c>
    </row>
    <row r="6806">
      <c r="A6806" s="311">
        <v>6805</v>
      </c>
      <c r="B6806" s="396" t="s">
        <v>12914</v>
      </c>
      <c r="C6806" s="396" t="s">
        <v>1020</v>
      </c>
      <c r="D6806" s="396" t="s">
        <v>12912</v>
      </c>
      <c r="E6806" s="396" t="s">
        <v>12913</v>
      </c>
      <c r="F6806" s="396" t="s">
        <v>12714</v>
      </c>
    </row>
    <row r="6807">
      <c r="A6807" s="311">
        <v>6806</v>
      </c>
      <c r="B6807" s="396" t="s">
        <v>12915</v>
      </c>
      <c r="C6807" s="396" t="s">
        <v>12916</v>
      </c>
      <c r="D6807" s="396" t="s">
        <v>12912</v>
      </c>
      <c r="E6807" s="396" t="s">
        <v>12913</v>
      </c>
      <c r="F6807" s="396" t="s">
        <v>12714</v>
      </c>
    </row>
    <row r="6808">
      <c r="A6808" s="311">
        <v>6807</v>
      </c>
      <c r="B6808" s="396" t="s">
        <v>12917</v>
      </c>
      <c r="C6808" s="396" t="s">
        <v>12918</v>
      </c>
      <c r="D6808" s="396" t="s">
        <v>12912</v>
      </c>
      <c r="E6808" s="396" t="s">
        <v>12913</v>
      </c>
      <c r="F6808" s="396" t="s">
        <v>12714</v>
      </c>
    </row>
    <row r="6809">
      <c r="A6809" s="311">
        <v>6808</v>
      </c>
      <c r="B6809" s="396" t="s">
        <v>12919</v>
      </c>
      <c r="C6809" s="396" t="s">
        <v>12920</v>
      </c>
      <c r="D6809" s="396" t="s">
        <v>12912</v>
      </c>
      <c r="E6809" s="396" t="s">
        <v>12913</v>
      </c>
      <c r="F6809" s="396" t="s">
        <v>12714</v>
      </c>
    </row>
    <row r="6810">
      <c r="A6810" s="311">
        <v>6809</v>
      </c>
      <c r="B6810" s="396" t="s">
        <v>12921</v>
      </c>
      <c r="C6810" s="396" t="s">
        <v>12922</v>
      </c>
      <c r="D6810" s="396" t="s">
        <v>12912</v>
      </c>
      <c r="E6810" s="396" t="s">
        <v>12913</v>
      </c>
      <c r="F6810" s="396" t="s">
        <v>12714</v>
      </c>
    </row>
    <row r="6811">
      <c r="A6811" s="311">
        <v>6810</v>
      </c>
      <c r="B6811" s="396" t="s">
        <v>12923</v>
      </c>
      <c r="C6811" s="396" t="s">
        <v>286</v>
      </c>
      <c r="D6811" s="396" t="s">
        <v>12912</v>
      </c>
      <c r="E6811" s="396" t="s">
        <v>12913</v>
      </c>
      <c r="F6811" s="396" t="s">
        <v>12714</v>
      </c>
    </row>
    <row r="6812">
      <c r="A6812" s="311">
        <v>6811</v>
      </c>
      <c r="B6812" s="396" t="s">
        <v>12924</v>
      </c>
      <c r="C6812" s="396" t="s">
        <v>12925</v>
      </c>
      <c r="D6812" s="396" t="s">
        <v>12912</v>
      </c>
      <c r="E6812" s="396" t="s">
        <v>12913</v>
      </c>
      <c r="F6812" s="396" t="s">
        <v>12714</v>
      </c>
    </row>
    <row r="6813">
      <c r="A6813" s="311">
        <v>6812</v>
      </c>
      <c r="B6813" s="396" t="s">
        <v>12926</v>
      </c>
      <c r="C6813" s="396" t="s">
        <v>12616</v>
      </c>
      <c r="D6813" s="396" t="s">
        <v>12912</v>
      </c>
      <c r="E6813" s="396" t="s">
        <v>12913</v>
      </c>
      <c r="F6813" s="396" t="s">
        <v>12714</v>
      </c>
    </row>
    <row r="6814">
      <c r="A6814" s="311">
        <v>6813</v>
      </c>
      <c r="B6814" s="396" t="s">
        <v>12927</v>
      </c>
      <c r="C6814" s="396" t="s">
        <v>4306</v>
      </c>
      <c r="D6814" s="396" t="s">
        <v>12912</v>
      </c>
      <c r="E6814" s="396" t="s">
        <v>12913</v>
      </c>
      <c r="F6814" s="396" t="s">
        <v>12714</v>
      </c>
    </row>
    <row r="6815">
      <c r="A6815" s="311">
        <v>6814</v>
      </c>
      <c r="B6815" s="396" t="s">
        <v>12928</v>
      </c>
      <c r="C6815" s="396" t="s">
        <v>4373</v>
      </c>
      <c r="D6815" s="396" t="s">
        <v>12912</v>
      </c>
      <c r="E6815" s="396" t="s">
        <v>12913</v>
      </c>
      <c r="F6815" s="396" t="s">
        <v>12714</v>
      </c>
    </row>
    <row r="6816">
      <c r="A6816" s="311">
        <v>6815</v>
      </c>
      <c r="B6816" s="396" t="s">
        <v>12929</v>
      </c>
      <c r="C6816" s="396" t="s">
        <v>12930</v>
      </c>
      <c r="D6816" s="396" t="s">
        <v>12912</v>
      </c>
      <c r="E6816" s="396" t="s">
        <v>12913</v>
      </c>
      <c r="F6816" s="396" t="s">
        <v>12714</v>
      </c>
    </row>
    <row r="6817">
      <c r="A6817" s="311">
        <v>6816</v>
      </c>
      <c r="B6817" s="396" t="s">
        <v>12931</v>
      </c>
      <c r="C6817" s="396" t="s">
        <v>12887</v>
      </c>
      <c r="D6817" s="396" t="s">
        <v>12912</v>
      </c>
      <c r="E6817" s="396" t="s">
        <v>12913</v>
      </c>
      <c r="F6817" s="396" t="s">
        <v>12714</v>
      </c>
    </row>
    <row r="6818">
      <c r="A6818" s="311">
        <v>6817</v>
      </c>
      <c r="B6818" s="396" t="s">
        <v>12932</v>
      </c>
      <c r="C6818" s="396" t="s">
        <v>12933</v>
      </c>
      <c r="D6818" s="396" t="s">
        <v>12912</v>
      </c>
      <c r="E6818" s="396" t="s">
        <v>12913</v>
      </c>
      <c r="F6818" s="396" t="s">
        <v>12714</v>
      </c>
    </row>
    <row r="6819">
      <c r="A6819" s="311">
        <v>6818</v>
      </c>
      <c r="B6819" s="396" t="s">
        <v>12934</v>
      </c>
      <c r="C6819" s="396" t="s">
        <v>12935</v>
      </c>
      <c r="D6819" s="396" t="s">
        <v>12912</v>
      </c>
      <c r="E6819" s="396" t="s">
        <v>12913</v>
      </c>
      <c r="F6819" s="396" t="s">
        <v>12714</v>
      </c>
    </row>
    <row r="6820">
      <c r="A6820" s="311">
        <v>6819</v>
      </c>
      <c r="B6820" s="396" t="s">
        <v>12936</v>
      </c>
      <c r="C6820" s="396" t="s">
        <v>1082</v>
      </c>
      <c r="D6820" s="396" t="s">
        <v>12912</v>
      </c>
      <c r="E6820" s="396" t="s">
        <v>12913</v>
      </c>
      <c r="F6820" s="396" t="s">
        <v>12714</v>
      </c>
    </row>
    <row r="6821">
      <c r="A6821" s="311">
        <v>6820</v>
      </c>
      <c r="B6821" s="396" t="s">
        <v>12937</v>
      </c>
      <c r="C6821" s="396" t="s">
        <v>6090</v>
      </c>
      <c r="D6821" s="396" t="s">
        <v>12912</v>
      </c>
      <c r="E6821" s="396" t="s">
        <v>12913</v>
      </c>
      <c r="F6821" s="396" t="s">
        <v>12714</v>
      </c>
    </row>
    <row r="6822">
      <c r="A6822" s="311">
        <v>6821</v>
      </c>
      <c r="B6822" s="396" t="s">
        <v>12938</v>
      </c>
      <c r="C6822" s="396" t="s">
        <v>12939</v>
      </c>
      <c r="D6822" s="396" t="s">
        <v>12912</v>
      </c>
      <c r="E6822" s="396" t="s">
        <v>12913</v>
      </c>
      <c r="F6822" s="396" t="s">
        <v>12714</v>
      </c>
    </row>
    <row r="6823">
      <c r="A6823" s="311">
        <v>6822</v>
      </c>
      <c r="B6823" s="396" t="s">
        <v>12940</v>
      </c>
      <c r="C6823" s="396" t="s">
        <v>902</v>
      </c>
      <c r="D6823" s="396" t="s">
        <v>12912</v>
      </c>
      <c r="E6823" s="396" t="s">
        <v>12913</v>
      </c>
      <c r="F6823" s="396" t="s">
        <v>12714</v>
      </c>
    </row>
    <row r="6824">
      <c r="A6824" s="311">
        <v>6823</v>
      </c>
      <c r="B6824" s="396" t="s">
        <v>12941</v>
      </c>
      <c r="C6824" s="396" t="s">
        <v>12942</v>
      </c>
      <c r="D6824" s="396" t="s">
        <v>12912</v>
      </c>
      <c r="E6824" s="396" t="s">
        <v>12913</v>
      </c>
      <c r="F6824" s="396" t="s">
        <v>12714</v>
      </c>
    </row>
    <row r="6825">
      <c r="A6825" s="311">
        <v>6824</v>
      </c>
      <c r="B6825" s="396" t="s">
        <v>12943</v>
      </c>
      <c r="C6825" s="396" t="s">
        <v>12363</v>
      </c>
      <c r="D6825" s="396" t="s">
        <v>12912</v>
      </c>
      <c r="E6825" s="396" t="s">
        <v>12913</v>
      </c>
      <c r="F6825" s="396" t="s">
        <v>12714</v>
      </c>
    </row>
    <row r="6826">
      <c r="A6826" s="311">
        <v>6825</v>
      </c>
      <c r="B6826" s="396" t="s">
        <v>12944</v>
      </c>
      <c r="C6826" s="396" t="s">
        <v>12945</v>
      </c>
      <c r="D6826" s="396" t="s">
        <v>12946</v>
      </c>
      <c r="E6826" s="396" t="s">
        <v>12947</v>
      </c>
      <c r="F6826" s="396" t="s">
        <v>12714</v>
      </c>
    </row>
    <row r="6827">
      <c r="A6827" s="311">
        <v>6826</v>
      </c>
      <c r="B6827" s="396" t="s">
        <v>12948</v>
      </c>
      <c r="C6827" s="396" t="s">
        <v>12949</v>
      </c>
      <c r="D6827" s="396" t="s">
        <v>12946</v>
      </c>
      <c r="E6827" s="396" t="s">
        <v>12947</v>
      </c>
      <c r="F6827" s="396" t="s">
        <v>12714</v>
      </c>
    </row>
    <row r="6828">
      <c r="A6828" s="311">
        <v>6827</v>
      </c>
      <c r="B6828" s="396" t="s">
        <v>12950</v>
      </c>
      <c r="C6828" s="396" t="s">
        <v>12951</v>
      </c>
      <c r="D6828" s="396" t="s">
        <v>12946</v>
      </c>
      <c r="E6828" s="396" t="s">
        <v>12947</v>
      </c>
      <c r="F6828" s="396" t="s">
        <v>12714</v>
      </c>
    </row>
    <row r="6829">
      <c r="A6829" s="311">
        <v>6828</v>
      </c>
      <c r="B6829" s="396" t="s">
        <v>12952</v>
      </c>
      <c r="C6829" s="396" t="s">
        <v>12953</v>
      </c>
      <c r="D6829" s="396" t="s">
        <v>12946</v>
      </c>
      <c r="E6829" s="396" t="s">
        <v>12947</v>
      </c>
      <c r="F6829" s="396" t="s">
        <v>12714</v>
      </c>
    </row>
    <row r="6830">
      <c r="A6830" s="311">
        <v>6829</v>
      </c>
      <c r="B6830" s="396" t="s">
        <v>12954</v>
      </c>
      <c r="C6830" s="396" t="s">
        <v>12955</v>
      </c>
      <c r="D6830" s="396" t="s">
        <v>12946</v>
      </c>
      <c r="E6830" s="396" t="s">
        <v>12947</v>
      </c>
      <c r="F6830" s="396" t="s">
        <v>12714</v>
      </c>
    </row>
    <row r="6831">
      <c r="A6831" s="311">
        <v>6830</v>
      </c>
      <c r="B6831" s="396" t="s">
        <v>12956</v>
      </c>
      <c r="C6831" s="396" t="s">
        <v>12957</v>
      </c>
      <c r="D6831" s="396" t="s">
        <v>12946</v>
      </c>
      <c r="E6831" s="396" t="s">
        <v>12947</v>
      </c>
      <c r="F6831" s="396" t="s">
        <v>12714</v>
      </c>
    </row>
    <row r="6832">
      <c r="A6832" s="311">
        <v>6831</v>
      </c>
      <c r="B6832" s="396" t="s">
        <v>12958</v>
      </c>
      <c r="C6832" s="396" t="s">
        <v>12959</v>
      </c>
      <c r="D6832" s="396" t="s">
        <v>12946</v>
      </c>
      <c r="E6832" s="396" t="s">
        <v>12947</v>
      </c>
      <c r="F6832" s="396" t="s">
        <v>12714</v>
      </c>
    </row>
    <row r="6833">
      <c r="A6833" s="311">
        <v>6832</v>
      </c>
      <c r="B6833" s="396" t="s">
        <v>12960</v>
      </c>
      <c r="C6833" s="396" t="s">
        <v>12961</v>
      </c>
      <c r="D6833" s="396" t="s">
        <v>12946</v>
      </c>
      <c r="E6833" s="396" t="s">
        <v>12947</v>
      </c>
      <c r="F6833" s="396" t="s">
        <v>12714</v>
      </c>
    </row>
    <row r="6834">
      <c r="A6834" s="311">
        <v>6833</v>
      </c>
      <c r="B6834" s="396" t="s">
        <v>12962</v>
      </c>
      <c r="C6834" s="396" t="s">
        <v>10453</v>
      </c>
      <c r="D6834" s="396" t="s">
        <v>12946</v>
      </c>
      <c r="E6834" s="396" t="s">
        <v>12947</v>
      </c>
      <c r="F6834" s="396" t="s">
        <v>12714</v>
      </c>
    </row>
    <row r="6835">
      <c r="A6835" s="311">
        <v>6834</v>
      </c>
      <c r="B6835" s="396" t="s">
        <v>12963</v>
      </c>
      <c r="C6835" s="396" t="s">
        <v>12964</v>
      </c>
      <c r="D6835" s="396" t="s">
        <v>12946</v>
      </c>
      <c r="E6835" s="396" t="s">
        <v>12947</v>
      </c>
      <c r="F6835" s="396" t="s">
        <v>12714</v>
      </c>
    </row>
    <row r="6836">
      <c r="A6836" s="311">
        <v>6835</v>
      </c>
      <c r="B6836" s="396" t="s">
        <v>12965</v>
      </c>
      <c r="C6836" s="396" t="s">
        <v>12966</v>
      </c>
      <c r="D6836" s="396" t="s">
        <v>12946</v>
      </c>
      <c r="E6836" s="396" t="s">
        <v>12947</v>
      </c>
      <c r="F6836" s="396" t="s">
        <v>12714</v>
      </c>
    </row>
    <row r="6837">
      <c r="A6837" s="311">
        <v>6836</v>
      </c>
      <c r="B6837" s="396" t="s">
        <v>12967</v>
      </c>
      <c r="C6837" s="396" t="s">
        <v>9012</v>
      </c>
      <c r="D6837" s="396" t="s">
        <v>12946</v>
      </c>
      <c r="E6837" s="396" t="s">
        <v>12947</v>
      </c>
      <c r="F6837" s="396" t="s">
        <v>12714</v>
      </c>
    </row>
    <row r="6838">
      <c r="A6838" s="311">
        <v>6837</v>
      </c>
      <c r="B6838" s="396" t="s">
        <v>12968</v>
      </c>
      <c r="C6838" s="396" t="s">
        <v>12969</v>
      </c>
      <c r="D6838" s="396" t="s">
        <v>12946</v>
      </c>
      <c r="E6838" s="396" t="s">
        <v>12947</v>
      </c>
      <c r="F6838" s="396" t="s">
        <v>12714</v>
      </c>
    </row>
    <row r="6839">
      <c r="A6839" s="311">
        <v>6838</v>
      </c>
      <c r="B6839" s="396" t="s">
        <v>12970</v>
      </c>
      <c r="C6839" s="396" t="s">
        <v>12379</v>
      </c>
      <c r="D6839" s="396" t="s">
        <v>12946</v>
      </c>
      <c r="E6839" s="396" t="s">
        <v>12947</v>
      </c>
      <c r="F6839" s="396" t="s">
        <v>12714</v>
      </c>
    </row>
    <row r="6840">
      <c r="A6840" s="311">
        <v>6839</v>
      </c>
      <c r="B6840" s="396" t="s">
        <v>12971</v>
      </c>
      <c r="C6840" s="396" t="s">
        <v>12972</v>
      </c>
      <c r="D6840" s="396" t="s">
        <v>12946</v>
      </c>
      <c r="E6840" s="396" t="s">
        <v>12947</v>
      </c>
      <c r="F6840" s="396" t="s">
        <v>12714</v>
      </c>
    </row>
    <row r="6841">
      <c r="A6841" s="311">
        <v>6840</v>
      </c>
      <c r="B6841" s="396" t="s">
        <v>12973</v>
      </c>
      <c r="C6841" s="396" t="s">
        <v>12974</v>
      </c>
      <c r="D6841" s="396" t="s">
        <v>12946</v>
      </c>
      <c r="E6841" s="396" t="s">
        <v>12947</v>
      </c>
      <c r="F6841" s="396" t="s">
        <v>12714</v>
      </c>
    </row>
    <row r="6842">
      <c r="A6842" s="311">
        <v>6841</v>
      </c>
      <c r="B6842" s="396" t="s">
        <v>12975</v>
      </c>
      <c r="C6842" s="396" t="s">
        <v>9007</v>
      </c>
      <c r="D6842" s="396" t="s">
        <v>12946</v>
      </c>
      <c r="E6842" s="396" t="s">
        <v>12947</v>
      </c>
      <c r="F6842" s="396" t="s">
        <v>12714</v>
      </c>
    </row>
    <row r="6843">
      <c r="A6843" s="311">
        <v>6842</v>
      </c>
      <c r="B6843" s="396" t="s">
        <v>12976</v>
      </c>
      <c r="C6843" s="396" t="s">
        <v>6576</v>
      </c>
      <c r="D6843" s="396" t="s">
        <v>12946</v>
      </c>
      <c r="E6843" s="396" t="s">
        <v>12947</v>
      </c>
      <c r="F6843" s="396" t="s">
        <v>12714</v>
      </c>
    </row>
    <row r="6844">
      <c r="A6844" s="311">
        <v>6843</v>
      </c>
      <c r="B6844" s="396" t="s">
        <v>12977</v>
      </c>
      <c r="C6844" s="396" t="s">
        <v>12978</v>
      </c>
      <c r="D6844" s="396" t="s">
        <v>12979</v>
      </c>
      <c r="E6844" s="396" t="s">
        <v>12980</v>
      </c>
      <c r="F6844" s="396" t="s">
        <v>12714</v>
      </c>
    </row>
    <row r="6845">
      <c r="A6845" s="311">
        <v>6844</v>
      </c>
      <c r="B6845" s="396" t="s">
        <v>12981</v>
      </c>
      <c r="C6845" s="396" t="s">
        <v>12982</v>
      </c>
      <c r="D6845" s="396" t="s">
        <v>12979</v>
      </c>
      <c r="E6845" s="396" t="s">
        <v>12980</v>
      </c>
      <c r="F6845" s="396" t="s">
        <v>12714</v>
      </c>
    </row>
    <row r="6846">
      <c r="A6846" s="311">
        <v>6845</v>
      </c>
      <c r="B6846" s="396" t="s">
        <v>12983</v>
      </c>
      <c r="C6846" s="396" t="s">
        <v>1210</v>
      </c>
      <c r="D6846" s="396" t="s">
        <v>12979</v>
      </c>
      <c r="E6846" s="396" t="s">
        <v>12980</v>
      </c>
      <c r="F6846" s="396" t="s">
        <v>12714</v>
      </c>
    </row>
    <row r="6847">
      <c r="A6847" s="311">
        <v>6846</v>
      </c>
      <c r="B6847" s="396" t="s">
        <v>12984</v>
      </c>
      <c r="C6847" s="396" t="s">
        <v>12985</v>
      </c>
      <c r="D6847" s="396" t="s">
        <v>12979</v>
      </c>
      <c r="E6847" s="396" t="s">
        <v>12980</v>
      </c>
      <c r="F6847" s="396" t="s">
        <v>12714</v>
      </c>
    </row>
    <row r="6848">
      <c r="A6848" s="311">
        <v>6847</v>
      </c>
      <c r="B6848" s="396" t="s">
        <v>12986</v>
      </c>
      <c r="C6848" s="396" t="s">
        <v>12987</v>
      </c>
      <c r="D6848" s="396" t="s">
        <v>12979</v>
      </c>
      <c r="E6848" s="396" t="s">
        <v>12980</v>
      </c>
      <c r="F6848" s="396" t="s">
        <v>12714</v>
      </c>
    </row>
    <row r="6849">
      <c r="A6849" s="311">
        <v>6848</v>
      </c>
      <c r="B6849" s="396" t="s">
        <v>12988</v>
      </c>
      <c r="C6849" s="396" t="s">
        <v>12989</v>
      </c>
      <c r="D6849" s="396" t="s">
        <v>12979</v>
      </c>
      <c r="E6849" s="396" t="s">
        <v>12980</v>
      </c>
      <c r="F6849" s="396" t="s">
        <v>12714</v>
      </c>
    </row>
    <row r="6850">
      <c r="A6850" s="311">
        <v>6849</v>
      </c>
      <c r="B6850" s="396" t="s">
        <v>12990</v>
      </c>
      <c r="C6850" s="396" t="s">
        <v>11911</v>
      </c>
      <c r="D6850" s="396" t="s">
        <v>12979</v>
      </c>
      <c r="E6850" s="396" t="s">
        <v>12980</v>
      </c>
      <c r="F6850" s="396" t="s">
        <v>12714</v>
      </c>
    </row>
    <row r="6851">
      <c r="A6851" s="311">
        <v>6850</v>
      </c>
      <c r="B6851" s="396" t="s">
        <v>12991</v>
      </c>
      <c r="C6851" s="396" t="s">
        <v>12992</v>
      </c>
      <c r="D6851" s="396" t="s">
        <v>12979</v>
      </c>
      <c r="E6851" s="396" t="s">
        <v>12980</v>
      </c>
      <c r="F6851" s="396" t="s">
        <v>12714</v>
      </c>
    </row>
    <row r="6852">
      <c r="A6852" s="311">
        <v>6851</v>
      </c>
      <c r="B6852" s="396" t="s">
        <v>12993</v>
      </c>
      <c r="C6852" s="396" t="s">
        <v>12994</v>
      </c>
      <c r="D6852" s="396" t="s">
        <v>12979</v>
      </c>
      <c r="E6852" s="396" t="s">
        <v>12980</v>
      </c>
      <c r="F6852" s="396" t="s">
        <v>12714</v>
      </c>
    </row>
    <row r="6853">
      <c r="A6853" s="311">
        <v>6852</v>
      </c>
      <c r="B6853" s="396" t="s">
        <v>12995</v>
      </c>
      <c r="C6853" s="396" t="s">
        <v>6393</v>
      </c>
      <c r="D6853" s="396" t="s">
        <v>12979</v>
      </c>
      <c r="E6853" s="396" t="s">
        <v>12980</v>
      </c>
      <c r="F6853" s="396" t="s">
        <v>12714</v>
      </c>
    </row>
    <row r="6854">
      <c r="A6854" s="311">
        <v>6853</v>
      </c>
      <c r="B6854" s="396" t="s">
        <v>12996</v>
      </c>
      <c r="C6854" s="396" t="s">
        <v>12997</v>
      </c>
      <c r="D6854" s="396" t="s">
        <v>12979</v>
      </c>
      <c r="E6854" s="396" t="s">
        <v>12980</v>
      </c>
      <c r="F6854" s="396" t="s">
        <v>12714</v>
      </c>
    </row>
    <row r="6855">
      <c r="A6855" s="311">
        <v>6854</v>
      </c>
      <c r="B6855" s="396" t="s">
        <v>12998</v>
      </c>
      <c r="C6855" s="396" t="s">
        <v>12999</v>
      </c>
      <c r="D6855" s="396" t="s">
        <v>13000</v>
      </c>
      <c r="E6855" s="396" t="s">
        <v>13001</v>
      </c>
      <c r="F6855" s="396" t="s">
        <v>13002</v>
      </c>
    </row>
    <row r="6856">
      <c r="A6856" s="311">
        <v>6855</v>
      </c>
      <c r="B6856" s="396" t="s">
        <v>13003</v>
      </c>
      <c r="C6856" s="396" t="s">
        <v>13004</v>
      </c>
      <c r="D6856" s="396" t="s">
        <v>13000</v>
      </c>
      <c r="E6856" s="396" t="s">
        <v>13001</v>
      </c>
      <c r="F6856" s="396" t="s">
        <v>13002</v>
      </c>
    </row>
    <row r="6857">
      <c r="A6857" s="311">
        <v>6856</v>
      </c>
      <c r="B6857" s="396" t="s">
        <v>13005</v>
      </c>
      <c r="C6857" s="396" t="s">
        <v>13006</v>
      </c>
      <c r="D6857" s="396" t="s">
        <v>13000</v>
      </c>
      <c r="E6857" s="396" t="s">
        <v>13001</v>
      </c>
      <c r="F6857" s="396" t="s">
        <v>13002</v>
      </c>
    </row>
    <row r="6858">
      <c r="A6858" s="311">
        <v>6857</v>
      </c>
      <c r="B6858" s="396" t="s">
        <v>13007</v>
      </c>
      <c r="C6858" s="396" t="s">
        <v>13008</v>
      </c>
      <c r="D6858" s="396" t="s">
        <v>13000</v>
      </c>
      <c r="E6858" s="396" t="s">
        <v>13001</v>
      </c>
      <c r="F6858" s="396" t="s">
        <v>13002</v>
      </c>
    </row>
    <row r="6859">
      <c r="A6859" s="311">
        <v>6858</v>
      </c>
      <c r="B6859" s="396" t="s">
        <v>13009</v>
      </c>
      <c r="C6859" s="396" t="s">
        <v>13010</v>
      </c>
      <c r="D6859" s="396" t="s">
        <v>13000</v>
      </c>
      <c r="E6859" s="396" t="s">
        <v>13001</v>
      </c>
      <c r="F6859" s="396" t="s">
        <v>13002</v>
      </c>
    </row>
    <row r="6860">
      <c r="A6860" s="311">
        <v>6859</v>
      </c>
      <c r="B6860" s="396" t="s">
        <v>13011</v>
      </c>
      <c r="C6860" s="396" t="s">
        <v>13012</v>
      </c>
      <c r="D6860" s="396" t="s">
        <v>13013</v>
      </c>
      <c r="E6860" s="396" t="s">
        <v>13014</v>
      </c>
      <c r="F6860" s="396" t="s">
        <v>13002</v>
      </c>
    </row>
    <row r="6861">
      <c r="A6861" s="311">
        <v>6860</v>
      </c>
      <c r="B6861" s="396" t="s">
        <v>13015</v>
      </c>
      <c r="C6861" s="396" t="s">
        <v>13016</v>
      </c>
      <c r="D6861" s="396" t="s">
        <v>13013</v>
      </c>
      <c r="E6861" s="396" t="s">
        <v>13014</v>
      </c>
      <c r="F6861" s="396" t="s">
        <v>13002</v>
      </c>
    </row>
    <row r="6862">
      <c r="A6862" s="311">
        <v>6861</v>
      </c>
      <c r="B6862" s="396" t="s">
        <v>13017</v>
      </c>
      <c r="C6862" s="396" t="s">
        <v>13018</v>
      </c>
      <c r="D6862" s="396" t="s">
        <v>13013</v>
      </c>
      <c r="E6862" s="396" t="s">
        <v>13014</v>
      </c>
      <c r="F6862" s="396" t="s">
        <v>13002</v>
      </c>
    </row>
    <row r="6863">
      <c r="A6863" s="311">
        <v>6862</v>
      </c>
      <c r="B6863" s="396" t="s">
        <v>13019</v>
      </c>
      <c r="C6863" s="396" t="s">
        <v>13020</v>
      </c>
      <c r="D6863" s="396" t="s">
        <v>13013</v>
      </c>
      <c r="E6863" s="396" t="s">
        <v>13014</v>
      </c>
      <c r="F6863" s="396" t="s">
        <v>13002</v>
      </c>
    </row>
    <row r="6864">
      <c r="A6864" s="311">
        <v>6863</v>
      </c>
      <c r="B6864" s="396" t="s">
        <v>13021</v>
      </c>
      <c r="C6864" s="396" t="s">
        <v>13022</v>
      </c>
      <c r="D6864" s="396" t="s">
        <v>13013</v>
      </c>
      <c r="E6864" s="396" t="s">
        <v>13014</v>
      </c>
      <c r="F6864" s="396" t="s">
        <v>13002</v>
      </c>
    </row>
    <row r="6865">
      <c r="A6865" s="311">
        <v>6864</v>
      </c>
      <c r="B6865" s="396" t="s">
        <v>13023</v>
      </c>
      <c r="C6865" s="396" t="s">
        <v>13024</v>
      </c>
      <c r="D6865" s="396" t="s">
        <v>13013</v>
      </c>
      <c r="E6865" s="396" t="s">
        <v>13014</v>
      </c>
      <c r="F6865" s="396" t="s">
        <v>13002</v>
      </c>
    </row>
    <row r="6866">
      <c r="A6866" s="311">
        <v>6865</v>
      </c>
      <c r="B6866" s="396" t="s">
        <v>13025</v>
      </c>
      <c r="C6866" s="396" t="s">
        <v>13026</v>
      </c>
      <c r="D6866" s="396" t="s">
        <v>13013</v>
      </c>
      <c r="E6866" s="396" t="s">
        <v>13014</v>
      </c>
      <c r="F6866" s="396" t="s">
        <v>13002</v>
      </c>
    </row>
    <row r="6867">
      <c r="A6867" s="311">
        <v>6866</v>
      </c>
      <c r="B6867" s="396" t="s">
        <v>13027</v>
      </c>
      <c r="C6867" s="396" t="s">
        <v>13028</v>
      </c>
      <c r="D6867" s="396" t="s">
        <v>13013</v>
      </c>
      <c r="E6867" s="396" t="s">
        <v>13014</v>
      </c>
      <c r="F6867" s="396" t="s">
        <v>13002</v>
      </c>
    </row>
    <row r="6868">
      <c r="A6868" s="311">
        <v>6867</v>
      </c>
      <c r="B6868" s="396" t="s">
        <v>13029</v>
      </c>
      <c r="C6868" s="396" t="s">
        <v>13030</v>
      </c>
      <c r="D6868" s="396" t="s">
        <v>13013</v>
      </c>
      <c r="E6868" s="396" t="s">
        <v>13014</v>
      </c>
      <c r="F6868" s="396" t="s">
        <v>13002</v>
      </c>
    </row>
    <row r="6869">
      <c r="A6869" s="311">
        <v>6868</v>
      </c>
      <c r="B6869" s="396" t="s">
        <v>13031</v>
      </c>
      <c r="C6869" s="396" t="s">
        <v>13032</v>
      </c>
      <c r="D6869" s="396" t="s">
        <v>13013</v>
      </c>
      <c r="E6869" s="396" t="s">
        <v>13014</v>
      </c>
      <c r="F6869" s="396" t="s">
        <v>13002</v>
      </c>
    </row>
    <row r="6870">
      <c r="A6870" s="311">
        <v>6869</v>
      </c>
      <c r="B6870" s="396" t="s">
        <v>13033</v>
      </c>
      <c r="C6870" s="396" t="s">
        <v>2898</v>
      </c>
      <c r="D6870" s="396" t="s">
        <v>13034</v>
      </c>
      <c r="E6870" s="396" t="s">
        <v>13035</v>
      </c>
      <c r="F6870" s="396" t="s">
        <v>13002</v>
      </c>
    </row>
    <row r="6871">
      <c r="A6871" s="311">
        <v>6870</v>
      </c>
      <c r="B6871" s="396" t="s">
        <v>13036</v>
      </c>
      <c r="C6871" s="396" t="s">
        <v>13037</v>
      </c>
      <c r="D6871" s="396" t="s">
        <v>13034</v>
      </c>
      <c r="E6871" s="396" t="s">
        <v>13035</v>
      </c>
      <c r="F6871" s="396" t="s">
        <v>13002</v>
      </c>
    </row>
    <row r="6872">
      <c r="A6872" s="311">
        <v>6871</v>
      </c>
      <c r="B6872" s="396" t="s">
        <v>13038</v>
      </c>
      <c r="C6872" s="396" t="s">
        <v>13039</v>
      </c>
      <c r="D6872" s="396" t="s">
        <v>13034</v>
      </c>
      <c r="E6872" s="396" t="s">
        <v>13035</v>
      </c>
      <c r="F6872" s="396" t="s">
        <v>13002</v>
      </c>
    </row>
    <row r="6873">
      <c r="A6873" s="311">
        <v>6872</v>
      </c>
      <c r="B6873" s="396" t="s">
        <v>13040</v>
      </c>
      <c r="C6873" s="396" t="s">
        <v>13041</v>
      </c>
      <c r="D6873" s="396" t="s">
        <v>13034</v>
      </c>
      <c r="E6873" s="396" t="s">
        <v>13035</v>
      </c>
      <c r="F6873" s="396" t="s">
        <v>13002</v>
      </c>
    </row>
    <row r="6874">
      <c r="A6874" s="311">
        <v>6873</v>
      </c>
      <c r="B6874" s="396" t="s">
        <v>13042</v>
      </c>
      <c r="C6874" s="396" t="s">
        <v>13043</v>
      </c>
      <c r="D6874" s="396" t="s">
        <v>13034</v>
      </c>
      <c r="E6874" s="396" t="s">
        <v>13035</v>
      </c>
      <c r="F6874" s="396" t="s">
        <v>13002</v>
      </c>
    </row>
    <row r="6875">
      <c r="A6875" s="311">
        <v>6874</v>
      </c>
      <c r="B6875" s="396" t="s">
        <v>13044</v>
      </c>
      <c r="C6875" s="396" t="s">
        <v>13045</v>
      </c>
      <c r="D6875" s="396" t="s">
        <v>13034</v>
      </c>
      <c r="E6875" s="396" t="s">
        <v>13035</v>
      </c>
      <c r="F6875" s="396" t="s">
        <v>13002</v>
      </c>
    </row>
    <row r="6876">
      <c r="A6876" s="311">
        <v>6875</v>
      </c>
      <c r="B6876" s="396" t="s">
        <v>13046</v>
      </c>
      <c r="C6876" s="396" t="s">
        <v>13047</v>
      </c>
      <c r="D6876" s="396" t="s">
        <v>13034</v>
      </c>
      <c r="E6876" s="396" t="s">
        <v>13035</v>
      </c>
      <c r="F6876" s="396" t="s">
        <v>13002</v>
      </c>
    </row>
    <row r="6877">
      <c r="A6877" s="311">
        <v>6876</v>
      </c>
      <c r="B6877" s="396" t="s">
        <v>13048</v>
      </c>
      <c r="C6877" s="396" t="s">
        <v>13049</v>
      </c>
      <c r="D6877" s="396" t="s">
        <v>13034</v>
      </c>
      <c r="E6877" s="396" t="s">
        <v>13035</v>
      </c>
      <c r="F6877" s="396" t="s">
        <v>13002</v>
      </c>
    </row>
    <row r="6878">
      <c r="A6878" s="311">
        <v>6877</v>
      </c>
      <c r="B6878" s="396" t="s">
        <v>13050</v>
      </c>
      <c r="C6878" s="396" t="s">
        <v>13051</v>
      </c>
      <c r="D6878" s="396" t="s">
        <v>13034</v>
      </c>
      <c r="E6878" s="396" t="s">
        <v>13035</v>
      </c>
      <c r="F6878" s="396" t="s">
        <v>13002</v>
      </c>
    </row>
    <row r="6879">
      <c r="A6879" s="311">
        <v>6878</v>
      </c>
      <c r="B6879" s="396" t="s">
        <v>13052</v>
      </c>
      <c r="C6879" s="396" t="s">
        <v>13053</v>
      </c>
      <c r="D6879" s="396" t="s">
        <v>13034</v>
      </c>
      <c r="E6879" s="396" t="s">
        <v>13035</v>
      </c>
      <c r="F6879" s="396" t="s">
        <v>13002</v>
      </c>
    </row>
    <row r="6880">
      <c r="A6880" s="311">
        <v>6879</v>
      </c>
      <c r="B6880" s="396" t="s">
        <v>13054</v>
      </c>
      <c r="C6880" s="396" t="s">
        <v>13055</v>
      </c>
      <c r="D6880" s="396" t="s">
        <v>13034</v>
      </c>
      <c r="E6880" s="396" t="s">
        <v>13035</v>
      </c>
      <c r="F6880" s="396" t="s">
        <v>13002</v>
      </c>
    </row>
    <row r="6881">
      <c r="A6881" s="311">
        <v>6880</v>
      </c>
      <c r="B6881" s="396" t="s">
        <v>13056</v>
      </c>
      <c r="C6881" s="396" t="s">
        <v>13057</v>
      </c>
      <c r="D6881" s="396" t="s">
        <v>13034</v>
      </c>
      <c r="E6881" s="396" t="s">
        <v>13035</v>
      </c>
      <c r="F6881" s="396" t="s">
        <v>13002</v>
      </c>
    </row>
    <row r="6882">
      <c r="A6882" s="311">
        <v>6881</v>
      </c>
      <c r="B6882" s="396" t="s">
        <v>13058</v>
      </c>
      <c r="C6882" s="396" t="s">
        <v>13059</v>
      </c>
      <c r="D6882" s="396" t="s">
        <v>13034</v>
      </c>
      <c r="E6882" s="396" t="s">
        <v>13035</v>
      </c>
      <c r="F6882" s="396" t="s">
        <v>13002</v>
      </c>
    </row>
    <row r="6883">
      <c r="A6883" s="311">
        <v>6882</v>
      </c>
      <c r="B6883" s="396" t="s">
        <v>13060</v>
      </c>
      <c r="C6883" s="396" t="s">
        <v>13061</v>
      </c>
      <c r="D6883" s="396" t="s">
        <v>13062</v>
      </c>
      <c r="E6883" s="396" t="s">
        <v>13063</v>
      </c>
      <c r="F6883" s="396" t="s">
        <v>13002</v>
      </c>
    </row>
    <row r="6884">
      <c r="A6884" s="311">
        <v>6883</v>
      </c>
      <c r="B6884" s="396" t="s">
        <v>13064</v>
      </c>
      <c r="C6884" s="396" t="s">
        <v>13065</v>
      </c>
      <c r="D6884" s="396" t="s">
        <v>13062</v>
      </c>
      <c r="E6884" s="396" t="s">
        <v>13063</v>
      </c>
      <c r="F6884" s="396" t="s">
        <v>13002</v>
      </c>
    </row>
    <row r="6885">
      <c r="A6885" s="311">
        <v>6884</v>
      </c>
      <c r="B6885" s="396" t="s">
        <v>13066</v>
      </c>
      <c r="C6885" s="396" t="s">
        <v>13067</v>
      </c>
      <c r="D6885" s="396" t="s">
        <v>13062</v>
      </c>
      <c r="E6885" s="396" t="s">
        <v>13063</v>
      </c>
      <c r="F6885" s="396" t="s">
        <v>13002</v>
      </c>
    </row>
    <row r="6886">
      <c r="A6886" s="311">
        <v>6885</v>
      </c>
      <c r="B6886" s="396" t="s">
        <v>13068</v>
      </c>
      <c r="C6886" s="396" t="s">
        <v>13069</v>
      </c>
      <c r="D6886" s="396" t="s">
        <v>13062</v>
      </c>
      <c r="E6886" s="396" t="s">
        <v>13063</v>
      </c>
      <c r="F6886" s="396" t="s">
        <v>13002</v>
      </c>
    </row>
    <row r="6887">
      <c r="A6887" s="311">
        <v>6886</v>
      </c>
      <c r="B6887" s="396" t="s">
        <v>13070</v>
      </c>
      <c r="C6887" s="396" t="s">
        <v>13071</v>
      </c>
      <c r="D6887" s="396" t="s">
        <v>13062</v>
      </c>
      <c r="E6887" s="396" t="s">
        <v>13063</v>
      </c>
      <c r="F6887" s="396" t="s">
        <v>13002</v>
      </c>
    </row>
    <row r="6888">
      <c r="A6888" s="311">
        <v>6887</v>
      </c>
      <c r="B6888" s="396" t="s">
        <v>13072</v>
      </c>
      <c r="C6888" s="396" t="s">
        <v>13073</v>
      </c>
      <c r="D6888" s="396" t="s">
        <v>13062</v>
      </c>
      <c r="E6888" s="396" t="s">
        <v>13063</v>
      </c>
      <c r="F6888" s="396" t="s">
        <v>13002</v>
      </c>
    </row>
    <row r="6889">
      <c r="A6889" s="311">
        <v>6888</v>
      </c>
      <c r="B6889" s="396" t="s">
        <v>13074</v>
      </c>
      <c r="C6889" s="396" t="s">
        <v>13075</v>
      </c>
      <c r="D6889" s="396" t="s">
        <v>13062</v>
      </c>
      <c r="E6889" s="396" t="s">
        <v>13063</v>
      </c>
      <c r="F6889" s="396" t="s">
        <v>13002</v>
      </c>
    </row>
    <row r="6890">
      <c r="A6890" s="311">
        <v>6889</v>
      </c>
      <c r="B6890" s="396" t="s">
        <v>13076</v>
      </c>
      <c r="C6890" s="396" t="s">
        <v>13077</v>
      </c>
      <c r="D6890" s="396" t="s">
        <v>13078</v>
      </c>
      <c r="E6890" s="396" t="s">
        <v>13079</v>
      </c>
      <c r="F6890" s="396" t="s">
        <v>13002</v>
      </c>
    </row>
    <row r="6891">
      <c r="A6891" s="311">
        <v>6890</v>
      </c>
      <c r="B6891" s="396" t="s">
        <v>13080</v>
      </c>
      <c r="C6891" s="396" t="s">
        <v>13081</v>
      </c>
      <c r="D6891" s="396" t="s">
        <v>13078</v>
      </c>
      <c r="E6891" s="396" t="s">
        <v>13079</v>
      </c>
      <c r="F6891" s="396" t="s">
        <v>13002</v>
      </c>
    </row>
    <row r="6892">
      <c r="A6892" s="311">
        <v>6891</v>
      </c>
      <c r="B6892" s="396" t="s">
        <v>13082</v>
      </c>
      <c r="C6892" s="396" t="s">
        <v>13083</v>
      </c>
      <c r="D6892" s="396" t="s">
        <v>13078</v>
      </c>
      <c r="E6892" s="396" t="s">
        <v>13079</v>
      </c>
      <c r="F6892" s="396" t="s">
        <v>13002</v>
      </c>
    </row>
    <row r="6893">
      <c r="A6893" s="311">
        <v>6892</v>
      </c>
      <c r="B6893" s="396" t="s">
        <v>13084</v>
      </c>
      <c r="C6893" s="396" t="s">
        <v>13085</v>
      </c>
      <c r="D6893" s="396" t="s">
        <v>13078</v>
      </c>
      <c r="E6893" s="396" t="s">
        <v>13079</v>
      </c>
      <c r="F6893" s="396" t="s">
        <v>13002</v>
      </c>
    </row>
    <row r="6894">
      <c r="A6894" s="311">
        <v>6893</v>
      </c>
      <c r="B6894" s="396" t="s">
        <v>13086</v>
      </c>
      <c r="C6894" s="396" t="s">
        <v>13087</v>
      </c>
      <c r="D6894" s="396" t="s">
        <v>13088</v>
      </c>
      <c r="E6894" s="396" t="s">
        <v>13089</v>
      </c>
      <c r="F6894" s="396" t="s">
        <v>13002</v>
      </c>
    </row>
    <row r="6895">
      <c r="A6895" s="311">
        <v>6894</v>
      </c>
      <c r="B6895" s="396" t="s">
        <v>13090</v>
      </c>
      <c r="C6895" s="396" t="s">
        <v>13091</v>
      </c>
      <c r="D6895" s="396" t="s">
        <v>13088</v>
      </c>
      <c r="E6895" s="396" t="s">
        <v>13089</v>
      </c>
      <c r="F6895" s="396" t="s">
        <v>13002</v>
      </c>
    </row>
    <row r="6896">
      <c r="A6896" s="311">
        <v>6895</v>
      </c>
      <c r="B6896" s="396" t="s">
        <v>13092</v>
      </c>
      <c r="C6896" s="396" t="s">
        <v>13093</v>
      </c>
      <c r="D6896" s="396" t="s">
        <v>13088</v>
      </c>
      <c r="E6896" s="396" t="s">
        <v>13089</v>
      </c>
      <c r="F6896" s="396" t="s">
        <v>13002</v>
      </c>
    </row>
    <row r="6897">
      <c r="A6897" s="311">
        <v>6896</v>
      </c>
      <c r="B6897" s="396" t="s">
        <v>13094</v>
      </c>
      <c r="C6897" s="396" t="s">
        <v>13095</v>
      </c>
      <c r="D6897" s="396" t="s">
        <v>13088</v>
      </c>
      <c r="E6897" s="396" t="s">
        <v>13089</v>
      </c>
      <c r="F6897" s="396" t="s">
        <v>13002</v>
      </c>
    </row>
    <row r="6898">
      <c r="A6898" s="311">
        <v>6897</v>
      </c>
      <c r="B6898" s="396" t="s">
        <v>13096</v>
      </c>
      <c r="C6898" s="396" t="s">
        <v>13097</v>
      </c>
      <c r="D6898" s="396" t="s">
        <v>13088</v>
      </c>
      <c r="E6898" s="396" t="s">
        <v>13089</v>
      </c>
      <c r="F6898" s="396" t="s">
        <v>13002</v>
      </c>
    </row>
    <row r="6899">
      <c r="A6899" s="311">
        <v>6898</v>
      </c>
      <c r="B6899" s="396" t="s">
        <v>13098</v>
      </c>
      <c r="C6899" s="396" t="s">
        <v>13099</v>
      </c>
      <c r="D6899" s="396" t="s">
        <v>13088</v>
      </c>
      <c r="E6899" s="396" t="s">
        <v>13089</v>
      </c>
      <c r="F6899" s="396" t="s">
        <v>13002</v>
      </c>
    </row>
    <row r="6900">
      <c r="A6900" s="311">
        <v>6899</v>
      </c>
      <c r="B6900" s="396" t="s">
        <v>13100</v>
      </c>
      <c r="C6900" s="396" t="s">
        <v>13101</v>
      </c>
      <c r="D6900" s="396" t="s">
        <v>13102</v>
      </c>
      <c r="E6900" s="396" t="s">
        <v>13103</v>
      </c>
      <c r="F6900" s="396" t="s">
        <v>13002</v>
      </c>
    </row>
    <row r="6901">
      <c r="A6901" s="311">
        <v>6900</v>
      </c>
      <c r="B6901" s="396" t="s">
        <v>13104</v>
      </c>
      <c r="C6901" s="396" t="s">
        <v>13105</v>
      </c>
      <c r="D6901" s="396" t="s">
        <v>13102</v>
      </c>
      <c r="E6901" s="396" t="s">
        <v>13103</v>
      </c>
      <c r="F6901" s="396" t="s">
        <v>13002</v>
      </c>
    </row>
    <row r="6902">
      <c r="A6902" s="311">
        <v>6901</v>
      </c>
      <c r="B6902" s="396" t="s">
        <v>13106</v>
      </c>
      <c r="C6902" s="396" t="s">
        <v>13107</v>
      </c>
      <c r="D6902" s="396" t="s">
        <v>13102</v>
      </c>
      <c r="E6902" s="396" t="s">
        <v>13103</v>
      </c>
      <c r="F6902" s="396" t="s">
        <v>13002</v>
      </c>
    </row>
    <row r="6903">
      <c r="A6903" s="311">
        <v>6902</v>
      </c>
      <c r="B6903" s="396" t="s">
        <v>13108</v>
      </c>
      <c r="C6903" s="396" t="s">
        <v>4260</v>
      </c>
      <c r="D6903" s="396" t="s">
        <v>13102</v>
      </c>
      <c r="E6903" s="396" t="s">
        <v>13103</v>
      </c>
      <c r="F6903" s="396" t="s">
        <v>13002</v>
      </c>
    </row>
    <row r="6904">
      <c r="A6904" s="311">
        <v>6903</v>
      </c>
      <c r="B6904" s="396" t="s">
        <v>13109</v>
      </c>
      <c r="C6904" s="396" t="s">
        <v>13110</v>
      </c>
      <c r="D6904" s="396" t="s">
        <v>13102</v>
      </c>
      <c r="E6904" s="396" t="s">
        <v>13103</v>
      </c>
      <c r="F6904" s="396" t="s">
        <v>13002</v>
      </c>
    </row>
    <row r="6905">
      <c r="A6905" s="311">
        <v>6904</v>
      </c>
      <c r="B6905" s="396" t="s">
        <v>13111</v>
      </c>
      <c r="C6905" s="396" t="s">
        <v>1161</v>
      </c>
      <c r="D6905" s="396" t="s">
        <v>13102</v>
      </c>
      <c r="E6905" s="396" t="s">
        <v>13103</v>
      </c>
      <c r="F6905" s="396" t="s">
        <v>13002</v>
      </c>
    </row>
    <row r="6906">
      <c r="A6906" s="311">
        <v>6905</v>
      </c>
      <c r="B6906" s="396" t="s">
        <v>13112</v>
      </c>
      <c r="C6906" s="396" t="s">
        <v>8100</v>
      </c>
      <c r="D6906" s="396" t="s">
        <v>13102</v>
      </c>
      <c r="E6906" s="396" t="s">
        <v>13103</v>
      </c>
      <c r="F6906" s="396" t="s">
        <v>13002</v>
      </c>
    </row>
    <row r="6907">
      <c r="A6907" s="311">
        <v>6906</v>
      </c>
      <c r="B6907" s="396" t="s">
        <v>13113</v>
      </c>
      <c r="C6907" s="396" t="s">
        <v>13114</v>
      </c>
      <c r="D6907" s="396" t="s">
        <v>13102</v>
      </c>
      <c r="E6907" s="396" t="s">
        <v>13103</v>
      </c>
      <c r="F6907" s="396" t="s">
        <v>13002</v>
      </c>
    </row>
    <row r="6908">
      <c r="A6908" s="311">
        <v>6907</v>
      </c>
      <c r="B6908" s="396" t="s">
        <v>13115</v>
      </c>
      <c r="C6908" s="396" t="s">
        <v>6940</v>
      </c>
      <c r="D6908" s="396" t="s">
        <v>13102</v>
      </c>
      <c r="E6908" s="396" t="s">
        <v>13103</v>
      </c>
      <c r="F6908" s="396" t="s">
        <v>13002</v>
      </c>
    </row>
    <row r="6909">
      <c r="A6909" s="311">
        <v>6908</v>
      </c>
      <c r="B6909" s="396" t="s">
        <v>13116</v>
      </c>
      <c r="C6909" s="396" t="s">
        <v>13117</v>
      </c>
      <c r="D6909" s="396" t="s">
        <v>13102</v>
      </c>
      <c r="E6909" s="396" t="s">
        <v>13103</v>
      </c>
      <c r="F6909" s="396" t="s">
        <v>13002</v>
      </c>
    </row>
    <row r="6910">
      <c r="A6910" s="311">
        <v>6909</v>
      </c>
      <c r="B6910" s="396" t="s">
        <v>13118</v>
      </c>
      <c r="C6910" s="396" t="s">
        <v>13119</v>
      </c>
      <c r="D6910" s="396" t="s">
        <v>13102</v>
      </c>
      <c r="E6910" s="396" t="s">
        <v>13103</v>
      </c>
      <c r="F6910" s="396" t="s">
        <v>13002</v>
      </c>
    </row>
    <row r="6911">
      <c r="A6911" s="311">
        <v>6910</v>
      </c>
      <c r="B6911" s="396" t="s">
        <v>13120</v>
      </c>
      <c r="C6911" s="396" t="s">
        <v>13121</v>
      </c>
      <c r="D6911" s="396" t="s">
        <v>13122</v>
      </c>
      <c r="E6911" s="396" t="s">
        <v>13123</v>
      </c>
      <c r="F6911" s="396" t="s">
        <v>13124</v>
      </c>
    </row>
    <row r="6912">
      <c r="A6912" s="311">
        <v>6911</v>
      </c>
      <c r="B6912" s="396" t="s">
        <v>13125</v>
      </c>
      <c r="C6912" s="396" t="s">
        <v>13126</v>
      </c>
      <c r="D6912" s="396" t="s">
        <v>13122</v>
      </c>
      <c r="E6912" s="396" t="s">
        <v>13123</v>
      </c>
      <c r="F6912" s="396" t="s">
        <v>13124</v>
      </c>
    </row>
    <row r="6913">
      <c r="A6913" s="311">
        <v>6912</v>
      </c>
      <c r="B6913" s="396" t="s">
        <v>13127</v>
      </c>
      <c r="C6913" s="396" t="s">
        <v>13128</v>
      </c>
      <c r="D6913" s="396" t="s">
        <v>13122</v>
      </c>
      <c r="E6913" s="396" t="s">
        <v>13123</v>
      </c>
      <c r="F6913" s="396" t="s">
        <v>13124</v>
      </c>
    </row>
    <row r="6914">
      <c r="A6914" s="311">
        <v>6913</v>
      </c>
      <c r="B6914" s="396" t="s">
        <v>13129</v>
      </c>
      <c r="C6914" s="396" t="s">
        <v>13130</v>
      </c>
      <c r="D6914" s="396" t="s">
        <v>13122</v>
      </c>
      <c r="E6914" s="396" t="s">
        <v>13123</v>
      </c>
      <c r="F6914" s="396" t="s">
        <v>13124</v>
      </c>
    </row>
    <row r="6915">
      <c r="A6915" s="311">
        <v>6914</v>
      </c>
      <c r="B6915" s="396" t="s">
        <v>13131</v>
      </c>
      <c r="C6915" s="396" t="s">
        <v>13132</v>
      </c>
      <c r="D6915" s="396" t="s">
        <v>13122</v>
      </c>
      <c r="E6915" s="396" t="s">
        <v>13123</v>
      </c>
      <c r="F6915" s="396" t="s">
        <v>13124</v>
      </c>
    </row>
    <row r="6916">
      <c r="A6916" s="311">
        <v>6915</v>
      </c>
      <c r="B6916" s="396" t="s">
        <v>13133</v>
      </c>
      <c r="C6916" s="396" t="s">
        <v>13134</v>
      </c>
      <c r="D6916" s="396" t="s">
        <v>13122</v>
      </c>
      <c r="E6916" s="396" t="s">
        <v>13123</v>
      </c>
      <c r="F6916" s="396" t="s">
        <v>13124</v>
      </c>
    </row>
    <row r="6917">
      <c r="A6917" s="311">
        <v>6916</v>
      </c>
      <c r="B6917" s="396" t="s">
        <v>13135</v>
      </c>
      <c r="C6917" s="396" t="s">
        <v>13136</v>
      </c>
      <c r="D6917" s="396" t="s">
        <v>13122</v>
      </c>
      <c r="E6917" s="396" t="s">
        <v>13123</v>
      </c>
      <c r="F6917" s="396" t="s">
        <v>13124</v>
      </c>
    </row>
    <row r="6918">
      <c r="A6918" s="311">
        <v>6917</v>
      </c>
      <c r="B6918" s="396" t="s">
        <v>13137</v>
      </c>
      <c r="C6918" s="396" t="s">
        <v>13138</v>
      </c>
      <c r="D6918" s="396" t="s">
        <v>13122</v>
      </c>
      <c r="E6918" s="396" t="s">
        <v>13123</v>
      </c>
      <c r="F6918" s="396" t="s">
        <v>13124</v>
      </c>
    </row>
    <row r="6919">
      <c r="A6919" s="311">
        <v>6918</v>
      </c>
      <c r="B6919" s="396" t="s">
        <v>13139</v>
      </c>
      <c r="C6919" s="396" t="s">
        <v>6628</v>
      </c>
      <c r="D6919" s="396" t="s">
        <v>13122</v>
      </c>
      <c r="E6919" s="396" t="s">
        <v>13123</v>
      </c>
      <c r="F6919" s="396" t="s">
        <v>13124</v>
      </c>
    </row>
    <row r="6920">
      <c r="A6920" s="311">
        <v>6919</v>
      </c>
      <c r="B6920" s="396" t="s">
        <v>13140</v>
      </c>
      <c r="C6920" s="396" t="s">
        <v>13141</v>
      </c>
      <c r="D6920" s="396" t="s">
        <v>13122</v>
      </c>
      <c r="E6920" s="396" t="s">
        <v>13123</v>
      </c>
      <c r="F6920" s="396" t="s">
        <v>13124</v>
      </c>
    </row>
    <row r="6921">
      <c r="A6921" s="311">
        <v>6920</v>
      </c>
      <c r="B6921" s="396" t="s">
        <v>13142</v>
      </c>
      <c r="C6921" s="396" t="s">
        <v>13143</v>
      </c>
      <c r="D6921" s="396" t="s">
        <v>13122</v>
      </c>
      <c r="E6921" s="396" t="s">
        <v>13123</v>
      </c>
      <c r="F6921" s="396" t="s">
        <v>13124</v>
      </c>
    </row>
    <row r="6922">
      <c r="A6922" s="311">
        <v>6921</v>
      </c>
      <c r="B6922" s="396" t="s">
        <v>13144</v>
      </c>
      <c r="C6922" s="396" t="s">
        <v>13145</v>
      </c>
      <c r="D6922" s="396" t="s">
        <v>13122</v>
      </c>
      <c r="E6922" s="396" t="s">
        <v>13123</v>
      </c>
      <c r="F6922" s="396" t="s">
        <v>13124</v>
      </c>
    </row>
    <row r="6923">
      <c r="A6923" s="311">
        <v>6922</v>
      </c>
      <c r="B6923" s="396" t="s">
        <v>13146</v>
      </c>
      <c r="C6923" s="396" t="s">
        <v>13147</v>
      </c>
      <c r="D6923" s="396" t="s">
        <v>13122</v>
      </c>
      <c r="E6923" s="396" t="s">
        <v>13123</v>
      </c>
      <c r="F6923" s="396" t="s">
        <v>13124</v>
      </c>
    </row>
    <row r="6924">
      <c r="A6924" s="311">
        <v>6923</v>
      </c>
      <c r="B6924" s="396" t="s">
        <v>13148</v>
      </c>
      <c r="C6924" s="396" t="s">
        <v>13149</v>
      </c>
      <c r="D6924" s="396" t="s">
        <v>13150</v>
      </c>
      <c r="E6924" s="396" t="s">
        <v>13151</v>
      </c>
      <c r="F6924" s="396" t="s">
        <v>13124</v>
      </c>
    </row>
    <row r="6925">
      <c r="A6925" s="311">
        <v>6924</v>
      </c>
      <c r="B6925" s="396" t="s">
        <v>13152</v>
      </c>
      <c r="C6925" s="396" t="s">
        <v>3855</v>
      </c>
      <c r="D6925" s="396" t="s">
        <v>13150</v>
      </c>
      <c r="E6925" s="396" t="s">
        <v>13151</v>
      </c>
      <c r="F6925" s="396" t="s">
        <v>13124</v>
      </c>
    </row>
    <row r="6926">
      <c r="A6926" s="311">
        <v>6925</v>
      </c>
      <c r="B6926" s="396" t="s">
        <v>13153</v>
      </c>
      <c r="C6926" s="396" t="s">
        <v>13154</v>
      </c>
      <c r="D6926" s="396" t="s">
        <v>13150</v>
      </c>
      <c r="E6926" s="396" t="s">
        <v>13151</v>
      </c>
      <c r="F6926" s="396" t="s">
        <v>13124</v>
      </c>
    </row>
    <row r="6927">
      <c r="A6927" s="311">
        <v>6926</v>
      </c>
      <c r="B6927" s="396" t="s">
        <v>13155</v>
      </c>
      <c r="C6927" s="396" t="s">
        <v>13156</v>
      </c>
      <c r="D6927" s="396" t="s">
        <v>13150</v>
      </c>
      <c r="E6927" s="396" t="s">
        <v>13151</v>
      </c>
      <c r="F6927" s="396" t="s">
        <v>13124</v>
      </c>
    </row>
    <row r="6928">
      <c r="A6928" s="311">
        <v>6927</v>
      </c>
      <c r="B6928" s="396" t="s">
        <v>13157</v>
      </c>
      <c r="C6928" s="396" t="s">
        <v>13158</v>
      </c>
      <c r="D6928" s="396" t="s">
        <v>13150</v>
      </c>
      <c r="E6928" s="396" t="s">
        <v>13151</v>
      </c>
      <c r="F6928" s="396" t="s">
        <v>13124</v>
      </c>
    </row>
    <row r="6929">
      <c r="A6929" s="311">
        <v>6928</v>
      </c>
      <c r="B6929" s="396" t="s">
        <v>13159</v>
      </c>
      <c r="C6929" s="396" t="s">
        <v>13160</v>
      </c>
      <c r="D6929" s="396" t="s">
        <v>13150</v>
      </c>
      <c r="E6929" s="396" t="s">
        <v>13151</v>
      </c>
      <c r="F6929" s="396" t="s">
        <v>13124</v>
      </c>
    </row>
    <row r="6930">
      <c r="A6930" s="311">
        <v>6929</v>
      </c>
      <c r="B6930" s="396" t="s">
        <v>13161</v>
      </c>
      <c r="C6930" s="396" t="s">
        <v>13162</v>
      </c>
      <c r="D6930" s="396" t="s">
        <v>13150</v>
      </c>
      <c r="E6930" s="396" t="s">
        <v>13151</v>
      </c>
      <c r="F6930" s="396" t="s">
        <v>13124</v>
      </c>
    </row>
    <row r="6931">
      <c r="A6931" s="311">
        <v>6930</v>
      </c>
      <c r="B6931" s="396" t="s">
        <v>13163</v>
      </c>
      <c r="C6931" s="396" t="s">
        <v>13164</v>
      </c>
      <c r="D6931" s="396" t="s">
        <v>13150</v>
      </c>
      <c r="E6931" s="396" t="s">
        <v>13151</v>
      </c>
      <c r="F6931" s="396" t="s">
        <v>13124</v>
      </c>
    </row>
    <row r="6932">
      <c r="A6932" s="311">
        <v>6931</v>
      </c>
      <c r="B6932" s="396" t="s">
        <v>13165</v>
      </c>
      <c r="C6932" s="396" t="s">
        <v>12028</v>
      </c>
      <c r="D6932" s="396" t="s">
        <v>13150</v>
      </c>
      <c r="E6932" s="396" t="s">
        <v>13151</v>
      </c>
      <c r="F6932" s="396" t="s">
        <v>13124</v>
      </c>
    </row>
    <row r="6933">
      <c r="A6933" s="311">
        <v>6932</v>
      </c>
      <c r="B6933" s="396" t="s">
        <v>13166</v>
      </c>
      <c r="C6933" s="396" t="s">
        <v>13167</v>
      </c>
      <c r="D6933" s="396" t="s">
        <v>13150</v>
      </c>
      <c r="E6933" s="396" t="s">
        <v>13151</v>
      </c>
      <c r="F6933" s="396" t="s">
        <v>13124</v>
      </c>
    </row>
    <row r="6934">
      <c r="A6934" s="311">
        <v>6933</v>
      </c>
      <c r="B6934" s="396" t="s">
        <v>13168</v>
      </c>
      <c r="C6934" s="396" t="s">
        <v>13169</v>
      </c>
      <c r="D6934" s="396" t="s">
        <v>13150</v>
      </c>
      <c r="E6934" s="396" t="s">
        <v>13151</v>
      </c>
      <c r="F6934" s="396" t="s">
        <v>13124</v>
      </c>
    </row>
    <row r="6935">
      <c r="A6935" s="311">
        <v>6934</v>
      </c>
      <c r="B6935" s="396" t="s">
        <v>13170</v>
      </c>
      <c r="C6935" s="396" t="s">
        <v>13171</v>
      </c>
      <c r="D6935" s="396" t="s">
        <v>13150</v>
      </c>
      <c r="E6935" s="396" t="s">
        <v>13151</v>
      </c>
      <c r="F6935" s="396" t="s">
        <v>13124</v>
      </c>
    </row>
    <row r="6936">
      <c r="A6936" s="311">
        <v>6935</v>
      </c>
      <c r="B6936" s="396" t="s">
        <v>13172</v>
      </c>
      <c r="C6936" s="396" t="s">
        <v>5732</v>
      </c>
      <c r="D6936" s="396" t="s">
        <v>13150</v>
      </c>
      <c r="E6936" s="396" t="s">
        <v>13151</v>
      </c>
      <c r="F6936" s="396" t="s">
        <v>13124</v>
      </c>
    </row>
    <row r="6937">
      <c r="A6937" s="311">
        <v>6936</v>
      </c>
      <c r="B6937" s="396" t="s">
        <v>13173</v>
      </c>
      <c r="C6937" s="396" t="s">
        <v>13174</v>
      </c>
      <c r="D6937" s="396" t="s">
        <v>13175</v>
      </c>
      <c r="E6937" s="396" t="s">
        <v>13176</v>
      </c>
      <c r="F6937" s="396" t="s">
        <v>13124</v>
      </c>
    </row>
    <row r="6938">
      <c r="A6938" s="311">
        <v>6937</v>
      </c>
      <c r="B6938" s="396" t="s">
        <v>13177</v>
      </c>
      <c r="C6938" s="396" t="s">
        <v>13178</v>
      </c>
      <c r="D6938" s="396" t="s">
        <v>13175</v>
      </c>
      <c r="E6938" s="396" t="s">
        <v>13176</v>
      </c>
      <c r="F6938" s="396" t="s">
        <v>13124</v>
      </c>
    </row>
    <row r="6939">
      <c r="A6939" s="311">
        <v>6938</v>
      </c>
      <c r="B6939" s="396" t="s">
        <v>13179</v>
      </c>
      <c r="C6939" s="396" t="s">
        <v>13180</v>
      </c>
      <c r="D6939" s="396" t="s">
        <v>13175</v>
      </c>
      <c r="E6939" s="396" t="s">
        <v>13176</v>
      </c>
      <c r="F6939" s="396" t="s">
        <v>13124</v>
      </c>
    </row>
    <row r="6940">
      <c r="A6940" s="311">
        <v>6939</v>
      </c>
      <c r="B6940" s="396" t="s">
        <v>13181</v>
      </c>
      <c r="C6940" s="396" t="s">
        <v>13182</v>
      </c>
      <c r="D6940" s="396" t="s">
        <v>13175</v>
      </c>
      <c r="E6940" s="396" t="s">
        <v>13176</v>
      </c>
      <c r="F6940" s="396" t="s">
        <v>13124</v>
      </c>
    </row>
    <row r="6941">
      <c r="A6941" s="311">
        <v>6940</v>
      </c>
      <c r="B6941" s="396" t="s">
        <v>13183</v>
      </c>
      <c r="C6941" s="396" t="s">
        <v>13184</v>
      </c>
      <c r="D6941" s="396" t="s">
        <v>13175</v>
      </c>
      <c r="E6941" s="396" t="s">
        <v>13176</v>
      </c>
      <c r="F6941" s="396" t="s">
        <v>13124</v>
      </c>
    </row>
    <row r="6942">
      <c r="A6942" s="311">
        <v>6941</v>
      </c>
      <c r="B6942" s="396" t="s">
        <v>13185</v>
      </c>
      <c r="C6942" s="396" t="s">
        <v>13186</v>
      </c>
      <c r="D6942" s="396" t="s">
        <v>13175</v>
      </c>
      <c r="E6942" s="396" t="s">
        <v>13176</v>
      </c>
      <c r="F6942" s="396" t="s">
        <v>13124</v>
      </c>
    </row>
    <row r="6943">
      <c r="A6943" s="311">
        <v>6942</v>
      </c>
      <c r="B6943" s="396" t="s">
        <v>13187</v>
      </c>
      <c r="C6943" s="396" t="s">
        <v>13188</v>
      </c>
      <c r="D6943" s="396" t="s">
        <v>13175</v>
      </c>
      <c r="E6943" s="396" t="s">
        <v>13176</v>
      </c>
      <c r="F6943" s="396" t="s">
        <v>13124</v>
      </c>
    </row>
    <row r="6944">
      <c r="A6944" s="311">
        <v>6943</v>
      </c>
      <c r="B6944" s="396" t="s">
        <v>13189</v>
      </c>
      <c r="C6944" s="396" t="s">
        <v>13190</v>
      </c>
      <c r="D6944" s="396" t="s">
        <v>13175</v>
      </c>
      <c r="E6944" s="396" t="s">
        <v>13176</v>
      </c>
      <c r="F6944" s="396" t="s">
        <v>13124</v>
      </c>
    </row>
    <row r="6945">
      <c r="A6945" s="311">
        <v>6944</v>
      </c>
      <c r="B6945" s="396" t="s">
        <v>13191</v>
      </c>
      <c r="C6945" s="396" t="s">
        <v>13192</v>
      </c>
      <c r="D6945" s="396" t="s">
        <v>13175</v>
      </c>
      <c r="E6945" s="396" t="s">
        <v>13176</v>
      </c>
      <c r="F6945" s="396" t="s">
        <v>13124</v>
      </c>
    </row>
    <row r="6946">
      <c r="A6946" s="311">
        <v>6945</v>
      </c>
      <c r="B6946" s="396" t="s">
        <v>13193</v>
      </c>
      <c r="C6946" s="396" t="s">
        <v>13194</v>
      </c>
      <c r="D6946" s="396" t="s">
        <v>13175</v>
      </c>
      <c r="E6946" s="396" t="s">
        <v>13176</v>
      </c>
      <c r="F6946" s="396" t="s">
        <v>13124</v>
      </c>
    </row>
    <row r="6947">
      <c r="A6947" s="311">
        <v>6946</v>
      </c>
      <c r="B6947" s="396" t="s">
        <v>13195</v>
      </c>
      <c r="C6947" s="396" t="s">
        <v>13196</v>
      </c>
      <c r="D6947" s="396" t="s">
        <v>13197</v>
      </c>
      <c r="E6947" s="396" t="s">
        <v>13198</v>
      </c>
      <c r="F6947" s="396" t="s">
        <v>13124</v>
      </c>
    </row>
    <row r="6948">
      <c r="A6948" s="311">
        <v>6947</v>
      </c>
      <c r="B6948" s="396" t="s">
        <v>13199</v>
      </c>
      <c r="C6948" s="396" t="s">
        <v>13200</v>
      </c>
      <c r="D6948" s="396" t="s">
        <v>13197</v>
      </c>
      <c r="E6948" s="396" t="s">
        <v>13198</v>
      </c>
      <c r="F6948" s="396" t="s">
        <v>13124</v>
      </c>
    </row>
    <row r="6949">
      <c r="A6949" s="311">
        <v>6948</v>
      </c>
      <c r="B6949" s="396" t="s">
        <v>13201</v>
      </c>
      <c r="C6949" s="396" t="s">
        <v>13202</v>
      </c>
      <c r="D6949" s="396" t="s">
        <v>13197</v>
      </c>
      <c r="E6949" s="396" t="s">
        <v>13198</v>
      </c>
      <c r="F6949" s="396" t="s">
        <v>13124</v>
      </c>
    </row>
    <row r="6950">
      <c r="A6950" s="311">
        <v>6949</v>
      </c>
      <c r="B6950" s="396" t="s">
        <v>13203</v>
      </c>
      <c r="C6950" s="396" t="s">
        <v>13204</v>
      </c>
      <c r="D6950" s="396" t="s">
        <v>13197</v>
      </c>
      <c r="E6950" s="396" t="s">
        <v>13198</v>
      </c>
      <c r="F6950" s="396" t="s">
        <v>13124</v>
      </c>
    </row>
    <row r="6951">
      <c r="A6951" s="311">
        <v>6950</v>
      </c>
      <c r="B6951" s="396" t="s">
        <v>13205</v>
      </c>
      <c r="C6951" s="396" t="s">
        <v>13206</v>
      </c>
      <c r="D6951" s="396" t="s">
        <v>13197</v>
      </c>
      <c r="E6951" s="396" t="s">
        <v>13198</v>
      </c>
      <c r="F6951" s="396" t="s">
        <v>13124</v>
      </c>
    </row>
    <row r="6952">
      <c r="A6952" s="311">
        <v>6951</v>
      </c>
      <c r="B6952" s="396" t="s">
        <v>13207</v>
      </c>
      <c r="C6952" s="396" t="s">
        <v>13208</v>
      </c>
      <c r="D6952" s="396" t="s">
        <v>13197</v>
      </c>
      <c r="E6952" s="396" t="s">
        <v>13198</v>
      </c>
      <c r="F6952" s="396" t="s">
        <v>13124</v>
      </c>
    </row>
    <row r="6953">
      <c r="A6953" s="311">
        <v>6952</v>
      </c>
      <c r="B6953" s="396" t="s">
        <v>13209</v>
      </c>
      <c r="C6953" s="396" t="s">
        <v>13210</v>
      </c>
      <c r="D6953" s="396" t="s">
        <v>13197</v>
      </c>
      <c r="E6953" s="396" t="s">
        <v>13198</v>
      </c>
      <c r="F6953" s="396" t="s">
        <v>13124</v>
      </c>
    </row>
    <row r="6954">
      <c r="A6954" s="311">
        <v>6953</v>
      </c>
      <c r="B6954" s="396" t="s">
        <v>13211</v>
      </c>
      <c r="C6954" s="396" t="s">
        <v>13212</v>
      </c>
      <c r="D6954" s="396" t="s">
        <v>13197</v>
      </c>
      <c r="E6954" s="396" t="s">
        <v>13198</v>
      </c>
      <c r="F6954" s="396" t="s">
        <v>13124</v>
      </c>
    </row>
    <row r="6955">
      <c r="A6955" s="311">
        <v>6954</v>
      </c>
      <c r="B6955" s="396" t="s">
        <v>13213</v>
      </c>
      <c r="C6955" s="396" t="s">
        <v>13214</v>
      </c>
      <c r="D6955" s="396" t="s">
        <v>13197</v>
      </c>
      <c r="E6955" s="396" t="s">
        <v>13198</v>
      </c>
      <c r="F6955" s="396" t="s">
        <v>13124</v>
      </c>
    </row>
    <row r="6956">
      <c r="A6956" s="311">
        <v>6955</v>
      </c>
      <c r="B6956" s="396" t="s">
        <v>13215</v>
      </c>
      <c r="C6956" s="396" t="s">
        <v>13216</v>
      </c>
      <c r="D6956" s="396" t="s">
        <v>13197</v>
      </c>
      <c r="E6956" s="396" t="s">
        <v>13198</v>
      </c>
      <c r="F6956" s="396" t="s">
        <v>13124</v>
      </c>
    </row>
    <row r="6957">
      <c r="A6957" s="311">
        <v>6956</v>
      </c>
      <c r="B6957" s="396" t="s">
        <v>13217</v>
      </c>
      <c r="C6957" s="396" t="s">
        <v>13218</v>
      </c>
      <c r="D6957" s="396" t="s">
        <v>13197</v>
      </c>
      <c r="E6957" s="396" t="s">
        <v>13198</v>
      </c>
      <c r="F6957" s="396" t="s">
        <v>13124</v>
      </c>
    </row>
    <row r="6958">
      <c r="A6958" s="311">
        <v>6957</v>
      </c>
      <c r="B6958" s="396" t="s">
        <v>13219</v>
      </c>
      <c r="C6958" s="396" t="s">
        <v>13220</v>
      </c>
      <c r="D6958" s="396" t="s">
        <v>13221</v>
      </c>
      <c r="E6958" s="396" t="s">
        <v>13222</v>
      </c>
      <c r="F6958" s="396" t="s">
        <v>13124</v>
      </c>
    </row>
    <row r="6959">
      <c r="A6959" s="311">
        <v>6958</v>
      </c>
      <c r="B6959" s="396" t="s">
        <v>13223</v>
      </c>
      <c r="C6959" s="396" t="s">
        <v>1907</v>
      </c>
      <c r="D6959" s="396" t="s">
        <v>13221</v>
      </c>
      <c r="E6959" s="396" t="s">
        <v>13222</v>
      </c>
      <c r="F6959" s="396" t="s">
        <v>13124</v>
      </c>
    </row>
    <row r="6960">
      <c r="A6960" s="311">
        <v>6959</v>
      </c>
      <c r="B6960" s="396" t="s">
        <v>13224</v>
      </c>
      <c r="C6960" s="396" t="s">
        <v>13225</v>
      </c>
      <c r="D6960" s="396" t="s">
        <v>13221</v>
      </c>
      <c r="E6960" s="396" t="s">
        <v>13222</v>
      </c>
      <c r="F6960" s="396" t="s">
        <v>13124</v>
      </c>
    </row>
    <row r="6961">
      <c r="A6961" s="311">
        <v>6960</v>
      </c>
      <c r="B6961" s="396" t="s">
        <v>13226</v>
      </c>
      <c r="C6961" s="396" t="s">
        <v>1204</v>
      </c>
      <c r="D6961" s="396" t="s">
        <v>13221</v>
      </c>
      <c r="E6961" s="396" t="s">
        <v>13222</v>
      </c>
      <c r="F6961" s="396" t="s">
        <v>13124</v>
      </c>
    </row>
    <row r="6962">
      <c r="A6962" s="311">
        <v>6961</v>
      </c>
      <c r="B6962" s="396" t="s">
        <v>13227</v>
      </c>
      <c r="C6962" s="396" t="s">
        <v>13228</v>
      </c>
      <c r="D6962" s="396" t="s">
        <v>13221</v>
      </c>
      <c r="E6962" s="396" t="s">
        <v>13222</v>
      </c>
      <c r="F6962" s="396" t="s">
        <v>13124</v>
      </c>
    </row>
    <row r="6963">
      <c r="A6963" s="311">
        <v>6962</v>
      </c>
      <c r="B6963" s="396" t="s">
        <v>13229</v>
      </c>
      <c r="C6963" s="396" t="s">
        <v>854</v>
      </c>
      <c r="D6963" s="396" t="s">
        <v>13221</v>
      </c>
      <c r="E6963" s="396" t="s">
        <v>13222</v>
      </c>
      <c r="F6963" s="396" t="s">
        <v>13124</v>
      </c>
    </row>
    <row r="6964">
      <c r="A6964" s="311">
        <v>6963</v>
      </c>
      <c r="B6964" s="396" t="s">
        <v>13230</v>
      </c>
      <c r="C6964" s="396" t="s">
        <v>13231</v>
      </c>
      <c r="D6964" s="396" t="s">
        <v>13221</v>
      </c>
      <c r="E6964" s="396" t="s">
        <v>13222</v>
      </c>
      <c r="F6964" s="396" t="s">
        <v>13124</v>
      </c>
    </row>
    <row r="6965">
      <c r="A6965" s="311">
        <v>6964</v>
      </c>
      <c r="B6965" s="396" t="s">
        <v>13232</v>
      </c>
      <c r="C6965" s="396" t="s">
        <v>6194</v>
      </c>
      <c r="D6965" s="396" t="s">
        <v>13221</v>
      </c>
      <c r="E6965" s="396" t="s">
        <v>13222</v>
      </c>
      <c r="F6965" s="396" t="s">
        <v>13124</v>
      </c>
    </row>
    <row r="6966">
      <c r="A6966" s="311">
        <v>6965</v>
      </c>
      <c r="B6966" s="396" t="s">
        <v>13233</v>
      </c>
      <c r="C6966" s="396" t="s">
        <v>13234</v>
      </c>
      <c r="D6966" s="396" t="s">
        <v>13221</v>
      </c>
      <c r="E6966" s="396" t="s">
        <v>13222</v>
      </c>
      <c r="F6966" s="396" t="s">
        <v>13124</v>
      </c>
    </row>
    <row r="6967">
      <c r="A6967" s="311">
        <v>6966</v>
      </c>
      <c r="B6967" s="396" t="s">
        <v>13235</v>
      </c>
      <c r="C6967" s="396" t="s">
        <v>13236</v>
      </c>
      <c r="D6967" s="396" t="s">
        <v>13221</v>
      </c>
      <c r="E6967" s="396" t="s">
        <v>13222</v>
      </c>
      <c r="F6967" s="396" t="s">
        <v>13124</v>
      </c>
    </row>
    <row r="6968">
      <c r="A6968" s="311">
        <v>6967</v>
      </c>
      <c r="B6968" s="396" t="s">
        <v>13237</v>
      </c>
      <c r="C6968" s="396" t="s">
        <v>13238</v>
      </c>
      <c r="D6968" s="396" t="s">
        <v>13221</v>
      </c>
      <c r="E6968" s="396" t="s">
        <v>13222</v>
      </c>
      <c r="F6968" s="396" t="s">
        <v>13124</v>
      </c>
    </row>
    <row r="6969">
      <c r="A6969" s="311">
        <v>6968</v>
      </c>
      <c r="B6969" s="396" t="s">
        <v>13239</v>
      </c>
      <c r="C6969" s="396" t="s">
        <v>13240</v>
      </c>
      <c r="D6969" s="396" t="s">
        <v>13221</v>
      </c>
      <c r="E6969" s="396" t="s">
        <v>13222</v>
      </c>
      <c r="F6969" s="396" t="s">
        <v>13124</v>
      </c>
    </row>
    <row r="6970">
      <c r="A6970" s="311">
        <v>6969</v>
      </c>
      <c r="B6970" s="396" t="s">
        <v>13241</v>
      </c>
      <c r="C6970" s="396" t="s">
        <v>13242</v>
      </c>
      <c r="D6970" s="396" t="s">
        <v>13221</v>
      </c>
      <c r="E6970" s="396" t="s">
        <v>13222</v>
      </c>
      <c r="F6970" s="396" t="s">
        <v>13124</v>
      </c>
    </row>
    <row r="6971">
      <c r="A6971" s="311">
        <v>6970</v>
      </c>
      <c r="B6971" s="396" t="s">
        <v>13243</v>
      </c>
      <c r="C6971" s="396" t="s">
        <v>4168</v>
      </c>
      <c r="D6971" s="396" t="s">
        <v>13221</v>
      </c>
      <c r="E6971" s="396" t="s">
        <v>13222</v>
      </c>
      <c r="F6971" s="396" t="s">
        <v>13124</v>
      </c>
    </row>
    <row r="6972">
      <c r="A6972" s="311">
        <v>6971</v>
      </c>
      <c r="B6972" s="396" t="s">
        <v>13244</v>
      </c>
      <c r="C6972" s="396" t="s">
        <v>1076</v>
      </c>
      <c r="D6972" s="396" t="s">
        <v>13221</v>
      </c>
      <c r="E6972" s="396" t="s">
        <v>13222</v>
      </c>
      <c r="F6972" s="396" t="s">
        <v>13124</v>
      </c>
    </row>
    <row r="6973">
      <c r="A6973" s="311">
        <v>6972</v>
      </c>
      <c r="B6973" s="396" t="s">
        <v>13245</v>
      </c>
      <c r="C6973" s="396" t="s">
        <v>1171</v>
      </c>
      <c r="D6973" s="396" t="s">
        <v>13221</v>
      </c>
      <c r="E6973" s="396" t="s">
        <v>13222</v>
      </c>
      <c r="F6973" s="396" t="s">
        <v>13124</v>
      </c>
    </row>
    <row r="6974">
      <c r="A6974" s="311">
        <v>6973</v>
      </c>
      <c r="B6974" s="396" t="s">
        <v>13246</v>
      </c>
      <c r="C6974" s="396" t="s">
        <v>5093</v>
      </c>
      <c r="D6974" s="396" t="s">
        <v>13221</v>
      </c>
      <c r="E6974" s="396" t="s">
        <v>13222</v>
      </c>
      <c r="F6974" s="396" t="s">
        <v>13124</v>
      </c>
    </row>
    <row r="6975">
      <c r="A6975" s="311">
        <v>6974</v>
      </c>
      <c r="B6975" s="396" t="s">
        <v>13247</v>
      </c>
      <c r="C6975" s="396" t="s">
        <v>13248</v>
      </c>
      <c r="D6975" s="396" t="s">
        <v>13221</v>
      </c>
      <c r="E6975" s="396" t="s">
        <v>13222</v>
      </c>
      <c r="F6975" s="396" t="s">
        <v>13124</v>
      </c>
    </row>
    <row r="6976">
      <c r="A6976" s="311">
        <v>6975</v>
      </c>
      <c r="B6976" s="396" t="s">
        <v>13249</v>
      </c>
      <c r="C6976" s="396" t="s">
        <v>13250</v>
      </c>
      <c r="D6976" s="396" t="s">
        <v>13251</v>
      </c>
      <c r="E6976" s="396" t="s">
        <v>13252</v>
      </c>
      <c r="F6976" s="396" t="s">
        <v>13124</v>
      </c>
    </row>
    <row r="6977">
      <c r="A6977" s="311">
        <v>6976</v>
      </c>
      <c r="B6977" s="396" t="s">
        <v>13253</v>
      </c>
      <c r="C6977" s="396" t="s">
        <v>13254</v>
      </c>
      <c r="D6977" s="396" t="s">
        <v>13251</v>
      </c>
      <c r="E6977" s="396" t="s">
        <v>13252</v>
      </c>
      <c r="F6977" s="396" t="s">
        <v>13124</v>
      </c>
    </row>
    <row r="6978">
      <c r="A6978" s="311">
        <v>6977</v>
      </c>
      <c r="B6978" s="396" t="s">
        <v>13255</v>
      </c>
      <c r="C6978" s="396" t="s">
        <v>13256</v>
      </c>
      <c r="D6978" s="396" t="s">
        <v>13251</v>
      </c>
      <c r="E6978" s="396" t="s">
        <v>13252</v>
      </c>
      <c r="F6978" s="396" t="s">
        <v>13124</v>
      </c>
    </row>
    <row r="6979">
      <c r="A6979" s="311">
        <v>6978</v>
      </c>
      <c r="B6979" s="396" t="s">
        <v>13257</v>
      </c>
      <c r="C6979" s="396" t="s">
        <v>13258</v>
      </c>
      <c r="D6979" s="396" t="s">
        <v>13251</v>
      </c>
      <c r="E6979" s="396" t="s">
        <v>13252</v>
      </c>
      <c r="F6979" s="396" t="s">
        <v>13124</v>
      </c>
    </row>
    <row r="6980">
      <c r="A6980" s="311">
        <v>6979</v>
      </c>
      <c r="B6980" s="396" t="s">
        <v>13259</v>
      </c>
      <c r="C6980" s="396" t="s">
        <v>13260</v>
      </c>
      <c r="D6980" s="396" t="s">
        <v>13251</v>
      </c>
      <c r="E6980" s="396" t="s">
        <v>13252</v>
      </c>
      <c r="F6980" s="396" t="s">
        <v>13124</v>
      </c>
    </row>
    <row r="6981">
      <c r="A6981" s="311">
        <v>6980</v>
      </c>
      <c r="B6981" s="396" t="s">
        <v>13261</v>
      </c>
      <c r="C6981" s="396" t="s">
        <v>13262</v>
      </c>
      <c r="D6981" s="396" t="s">
        <v>13251</v>
      </c>
      <c r="E6981" s="396" t="s">
        <v>13252</v>
      </c>
      <c r="F6981" s="396" t="s">
        <v>13124</v>
      </c>
    </row>
    <row r="6982">
      <c r="A6982" s="311">
        <v>6981</v>
      </c>
      <c r="B6982" s="396" t="s">
        <v>13263</v>
      </c>
      <c r="C6982" s="396" t="s">
        <v>13264</v>
      </c>
      <c r="D6982" s="396" t="s">
        <v>13251</v>
      </c>
      <c r="E6982" s="396" t="s">
        <v>13252</v>
      </c>
      <c r="F6982" s="396" t="s">
        <v>13124</v>
      </c>
    </row>
    <row r="6983">
      <c r="A6983" s="311">
        <v>6982</v>
      </c>
      <c r="B6983" s="396" t="s">
        <v>13265</v>
      </c>
      <c r="C6983" s="396" t="s">
        <v>13266</v>
      </c>
      <c r="D6983" s="396" t="s">
        <v>13251</v>
      </c>
      <c r="E6983" s="396" t="s">
        <v>13252</v>
      </c>
      <c r="F6983" s="396" t="s">
        <v>13124</v>
      </c>
    </row>
    <row r="6984">
      <c r="A6984" s="311">
        <v>6983</v>
      </c>
      <c r="B6984" s="396" t="s">
        <v>13267</v>
      </c>
      <c r="C6984" s="396" t="s">
        <v>13268</v>
      </c>
      <c r="D6984" s="396" t="s">
        <v>13251</v>
      </c>
      <c r="E6984" s="396" t="s">
        <v>13252</v>
      </c>
      <c r="F6984" s="396" t="s">
        <v>13124</v>
      </c>
    </row>
    <row r="6985">
      <c r="A6985" s="311">
        <v>6984</v>
      </c>
      <c r="B6985" s="396" t="s">
        <v>13269</v>
      </c>
      <c r="C6985" s="396" t="s">
        <v>13270</v>
      </c>
      <c r="D6985" s="396" t="s">
        <v>13251</v>
      </c>
      <c r="E6985" s="396" t="s">
        <v>13252</v>
      </c>
      <c r="F6985" s="396" t="s">
        <v>13124</v>
      </c>
    </row>
    <row r="6986">
      <c r="A6986" s="311">
        <v>6985</v>
      </c>
      <c r="B6986" s="396" t="s">
        <v>13271</v>
      </c>
      <c r="C6986" s="396" t="s">
        <v>13272</v>
      </c>
      <c r="D6986" s="396" t="s">
        <v>13251</v>
      </c>
      <c r="E6986" s="396" t="s">
        <v>13252</v>
      </c>
      <c r="F6986" s="396" t="s">
        <v>13124</v>
      </c>
    </row>
    <row r="6987">
      <c r="A6987" s="311">
        <v>6986</v>
      </c>
      <c r="B6987" s="396" t="s">
        <v>13273</v>
      </c>
      <c r="C6987" s="396" t="s">
        <v>13274</v>
      </c>
      <c r="D6987" s="396" t="s">
        <v>13251</v>
      </c>
      <c r="E6987" s="396" t="s">
        <v>13252</v>
      </c>
      <c r="F6987" s="396" t="s">
        <v>13124</v>
      </c>
    </row>
    <row r="6988">
      <c r="A6988" s="311">
        <v>6987</v>
      </c>
      <c r="B6988" s="396" t="s">
        <v>13275</v>
      </c>
      <c r="C6988" s="396" t="s">
        <v>13276</v>
      </c>
      <c r="D6988" s="396" t="s">
        <v>13251</v>
      </c>
      <c r="E6988" s="396" t="s">
        <v>13252</v>
      </c>
      <c r="F6988" s="396" t="s">
        <v>13124</v>
      </c>
    </row>
    <row r="6989">
      <c r="A6989" s="311">
        <v>6988</v>
      </c>
      <c r="B6989" s="396" t="s">
        <v>13277</v>
      </c>
      <c r="C6989" s="396" t="s">
        <v>13278</v>
      </c>
      <c r="D6989" s="396" t="s">
        <v>13251</v>
      </c>
      <c r="E6989" s="396" t="s">
        <v>13252</v>
      </c>
      <c r="F6989" s="396" t="s">
        <v>13124</v>
      </c>
    </row>
    <row r="6990">
      <c r="A6990" s="311">
        <v>6989</v>
      </c>
      <c r="B6990" s="396" t="s">
        <v>13279</v>
      </c>
      <c r="C6990" s="396" t="s">
        <v>13280</v>
      </c>
      <c r="D6990" s="396" t="s">
        <v>13251</v>
      </c>
      <c r="E6990" s="396" t="s">
        <v>13252</v>
      </c>
      <c r="F6990" s="396" t="s">
        <v>13124</v>
      </c>
    </row>
    <row r="6991">
      <c r="A6991" s="311">
        <v>6990</v>
      </c>
      <c r="B6991" s="396" t="s">
        <v>13281</v>
      </c>
      <c r="C6991" s="396" t="s">
        <v>13282</v>
      </c>
      <c r="D6991" s="396" t="s">
        <v>13251</v>
      </c>
      <c r="E6991" s="396" t="s">
        <v>13252</v>
      </c>
      <c r="F6991" s="396" t="s">
        <v>13124</v>
      </c>
    </row>
    <row r="6992">
      <c r="A6992" s="311">
        <v>6991</v>
      </c>
      <c r="B6992" s="396" t="s">
        <v>13283</v>
      </c>
      <c r="C6992" s="396" t="s">
        <v>13284</v>
      </c>
      <c r="D6992" s="396" t="s">
        <v>13251</v>
      </c>
      <c r="E6992" s="396" t="s">
        <v>13252</v>
      </c>
      <c r="F6992" s="396" t="s">
        <v>13124</v>
      </c>
    </row>
    <row r="6993">
      <c r="A6993" s="311">
        <v>6992</v>
      </c>
      <c r="B6993" s="396" t="s">
        <v>13285</v>
      </c>
      <c r="C6993" s="396" t="s">
        <v>13286</v>
      </c>
      <c r="D6993" s="396" t="s">
        <v>13251</v>
      </c>
      <c r="E6993" s="396" t="s">
        <v>13252</v>
      </c>
      <c r="F6993" s="396" t="s">
        <v>13124</v>
      </c>
    </row>
    <row r="6994">
      <c r="A6994" s="311">
        <v>6993</v>
      </c>
      <c r="B6994" s="396" t="s">
        <v>13287</v>
      </c>
      <c r="C6994" s="396" t="s">
        <v>13288</v>
      </c>
      <c r="D6994" s="396" t="s">
        <v>13251</v>
      </c>
      <c r="E6994" s="396" t="s">
        <v>13252</v>
      </c>
      <c r="F6994" s="396" t="s">
        <v>13124</v>
      </c>
    </row>
    <row r="6995">
      <c r="A6995" s="311">
        <v>6994</v>
      </c>
      <c r="B6995" s="396" t="s">
        <v>13289</v>
      </c>
      <c r="C6995" s="396" t="s">
        <v>13290</v>
      </c>
      <c r="D6995" s="396" t="s">
        <v>13251</v>
      </c>
      <c r="E6995" s="396" t="s">
        <v>13252</v>
      </c>
      <c r="F6995" s="396" t="s">
        <v>13124</v>
      </c>
    </row>
    <row r="6996">
      <c r="A6996" s="311">
        <v>6995</v>
      </c>
      <c r="B6996" s="396" t="s">
        <v>13291</v>
      </c>
      <c r="C6996" s="396" t="s">
        <v>13292</v>
      </c>
      <c r="D6996" s="396" t="s">
        <v>13293</v>
      </c>
      <c r="E6996" s="396" t="s">
        <v>13294</v>
      </c>
      <c r="F6996" s="396" t="s">
        <v>13124</v>
      </c>
    </row>
    <row r="6997">
      <c r="A6997" s="311">
        <v>6996</v>
      </c>
      <c r="B6997" s="396" t="s">
        <v>13295</v>
      </c>
      <c r="C6997" s="396" t="s">
        <v>13296</v>
      </c>
      <c r="D6997" s="396" t="s">
        <v>13293</v>
      </c>
      <c r="E6997" s="396" t="s">
        <v>13294</v>
      </c>
      <c r="F6997" s="396" t="s">
        <v>13124</v>
      </c>
    </row>
    <row r="6998">
      <c r="A6998" s="311">
        <v>6997</v>
      </c>
      <c r="B6998" s="396" t="s">
        <v>13297</v>
      </c>
      <c r="C6998" s="396" t="s">
        <v>13298</v>
      </c>
      <c r="D6998" s="396" t="s">
        <v>13293</v>
      </c>
      <c r="E6998" s="396" t="s">
        <v>13294</v>
      </c>
      <c r="F6998" s="396" t="s">
        <v>13124</v>
      </c>
    </row>
    <row r="6999">
      <c r="A6999" s="311">
        <v>6998</v>
      </c>
      <c r="B6999" s="396" t="s">
        <v>13299</v>
      </c>
      <c r="C6999" s="396" t="s">
        <v>7251</v>
      </c>
      <c r="D6999" s="396" t="s">
        <v>13293</v>
      </c>
      <c r="E6999" s="396" t="s">
        <v>13294</v>
      </c>
      <c r="F6999" s="396" t="s">
        <v>13124</v>
      </c>
    </row>
    <row r="7000">
      <c r="A7000" s="311">
        <v>6999</v>
      </c>
      <c r="B7000" s="396" t="s">
        <v>13300</v>
      </c>
      <c r="C7000" s="396" t="s">
        <v>13301</v>
      </c>
      <c r="D7000" s="396" t="s">
        <v>13293</v>
      </c>
      <c r="E7000" s="396" t="s">
        <v>13294</v>
      </c>
      <c r="F7000" s="396" t="s">
        <v>13124</v>
      </c>
    </row>
    <row r="7001">
      <c r="A7001" s="311">
        <v>7000</v>
      </c>
      <c r="B7001" s="396" t="s">
        <v>13302</v>
      </c>
      <c r="C7001" s="396" t="s">
        <v>13303</v>
      </c>
      <c r="D7001" s="396" t="s">
        <v>13293</v>
      </c>
      <c r="E7001" s="396" t="s">
        <v>13294</v>
      </c>
      <c r="F7001" s="396" t="s">
        <v>13124</v>
      </c>
    </row>
    <row r="7002">
      <c r="A7002" s="311">
        <v>7001</v>
      </c>
      <c r="B7002" s="396" t="s">
        <v>13304</v>
      </c>
      <c r="C7002" s="396" t="s">
        <v>13305</v>
      </c>
      <c r="D7002" s="396" t="s">
        <v>13293</v>
      </c>
      <c r="E7002" s="396" t="s">
        <v>13294</v>
      </c>
      <c r="F7002" s="396" t="s">
        <v>13124</v>
      </c>
    </row>
    <row r="7003">
      <c r="A7003" s="311">
        <v>7002</v>
      </c>
      <c r="B7003" s="396" t="s">
        <v>13306</v>
      </c>
      <c r="C7003" s="396" t="s">
        <v>13307</v>
      </c>
      <c r="D7003" s="396" t="s">
        <v>13293</v>
      </c>
      <c r="E7003" s="396" t="s">
        <v>13294</v>
      </c>
      <c r="F7003" s="396" t="s">
        <v>13124</v>
      </c>
    </row>
    <row r="7004">
      <c r="A7004" s="311">
        <v>7003</v>
      </c>
      <c r="B7004" s="396" t="s">
        <v>13308</v>
      </c>
      <c r="C7004" s="396" t="s">
        <v>13309</v>
      </c>
      <c r="D7004" s="396" t="s">
        <v>13293</v>
      </c>
      <c r="E7004" s="396" t="s">
        <v>13294</v>
      </c>
      <c r="F7004" s="396" t="s">
        <v>13124</v>
      </c>
    </row>
    <row r="7005">
      <c r="A7005" s="311">
        <v>7004</v>
      </c>
      <c r="B7005" s="396" t="s">
        <v>13310</v>
      </c>
      <c r="C7005" s="396" t="s">
        <v>13311</v>
      </c>
      <c r="D7005" s="396" t="s">
        <v>13293</v>
      </c>
      <c r="E7005" s="396" t="s">
        <v>13294</v>
      </c>
      <c r="F7005" s="396" t="s">
        <v>13124</v>
      </c>
    </row>
    <row r="7006">
      <c r="A7006" s="311">
        <v>7005</v>
      </c>
      <c r="B7006" s="396" t="s">
        <v>13312</v>
      </c>
      <c r="C7006" s="396" t="s">
        <v>13313</v>
      </c>
      <c r="D7006" s="396" t="s">
        <v>13293</v>
      </c>
      <c r="E7006" s="396" t="s">
        <v>13294</v>
      </c>
      <c r="F7006" s="396" t="s">
        <v>13124</v>
      </c>
    </row>
    <row r="7007">
      <c r="A7007" s="311">
        <v>7006</v>
      </c>
      <c r="B7007" s="396" t="s">
        <v>13314</v>
      </c>
      <c r="C7007" s="396" t="s">
        <v>13315</v>
      </c>
      <c r="D7007" s="396" t="s">
        <v>13293</v>
      </c>
      <c r="E7007" s="396" t="s">
        <v>13294</v>
      </c>
      <c r="F7007" s="396" t="s">
        <v>13124</v>
      </c>
    </row>
    <row r="7008">
      <c r="A7008" s="311">
        <v>7007</v>
      </c>
      <c r="B7008" s="396" t="s">
        <v>13316</v>
      </c>
      <c r="C7008" s="396" t="s">
        <v>13317</v>
      </c>
      <c r="D7008" s="396" t="s">
        <v>13293</v>
      </c>
      <c r="E7008" s="396" t="s">
        <v>13294</v>
      </c>
      <c r="F7008" s="396" t="s">
        <v>13124</v>
      </c>
    </row>
    <row r="7009">
      <c r="A7009" s="311">
        <v>7008</v>
      </c>
      <c r="B7009" s="396" t="s">
        <v>13318</v>
      </c>
      <c r="C7009" s="396" t="s">
        <v>8810</v>
      </c>
      <c r="D7009" s="396" t="s">
        <v>13293</v>
      </c>
      <c r="E7009" s="396" t="s">
        <v>13294</v>
      </c>
      <c r="F7009" s="396" t="s">
        <v>13124</v>
      </c>
    </row>
    <row r="7010">
      <c r="A7010" s="311">
        <v>7009</v>
      </c>
      <c r="B7010" s="396" t="s">
        <v>13319</v>
      </c>
      <c r="C7010" s="396" t="s">
        <v>13320</v>
      </c>
      <c r="D7010" s="396" t="s">
        <v>13321</v>
      </c>
      <c r="E7010" s="396" t="s">
        <v>13322</v>
      </c>
      <c r="F7010" s="396" t="s">
        <v>13124</v>
      </c>
    </row>
    <row r="7011">
      <c r="A7011" s="311">
        <v>7010</v>
      </c>
      <c r="B7011" s="396" t="s">
        <v>13323</v>
      </c>
      <c r="C7011" s="396" t="s">
        <v>13324</v>
      </c>
      <c r="D7011" s="396" t="s">
        <v>13321</v>
      </c>
      <c r="E7011" s="396" t="s">
        <v>13322</v>
      </c>
      <c r="F7011" s="396" t="s">
        <v>13124</v>
      </c>
    </row>
    <row r="7012">
      <c r="A7012" s="311">
        <v>7011</v>
      </c>
      <c r="B7012" s="396" t="s">
        <v>13325</v>
      </c>
      <c r="C7012" s="396" t="s">
        <v>13326</v>
      </c>
      <c r="D7012" s="396" t="s">
        <v>13321</v>
      </c>
      <c r="E7012" s="396" t="s">
        <v>13322</v>
      </c>
      <c r="F7012" s="396" t="s">
        <v>13124</v>
      </c>
    </row>
    <row r="7013">
      <c r="A7013" s="311">
        <v>7012</v>
      </c>
      <c r="B7013" s="396" t="s">
        <v>13327</v>
      </c>
      <c r="C7013" s="396" t="s">
        <v>13328</v>
      </c>
      <c r="D7013" s="396" t="s">
        <v>13321</v>
      </c>
      <c r="E7013" s="396" t="s">
        <v>13322</v>
      </c>
      <c r="F7013" s="396" t="s">
        <v>13124</v>
      </c>
    </row>
    <row r="7014">
      <c r="A7014" s="311">
        <v>7013</v>
      </c>
      <c r="B7014" s="396" t="s">
        <v>13329</v>
      </c>
      <c r="C7014" s="396" t="s">
        <v>13330</v>
      </c>
      <c r="D7014" s="396" t="s">
        <v>13321</v>
      </c>
      <c r="E7014" s="396" t="s">
        <v>13322</v>
      </c>
      <c r="F7014" s="396" t="s">
        <v>13124</v>
      </c>
    </row>
    <row r="7015">
      <c r="A7015" s="311">
        <v>7014</v>
      </c>
      <c r="B7015" s="396" t="s">
        <v>13331</v>
      </c>
      <c r="C7015" s="396" t="s">
        <v>13332</v>
      </c>
      <c r="D7015" s="396" t="s">
        <v>13321</v>
      </c>
      <c r="E7015" s="396" t="s">
        <v>13322</v>
      </c>
      <c r="F7015" s="396" t="s">
        <v>13124</v>
      </c>
    </row>
    <row r="7016">
      <c r="A7016" s="311">
        <v>7015</v>
      </c>
      <c r="B7016" s="396" t="s">
        <v>13333</v>
      </c>
      <c r="C7016" s="396" t="s">
        <v>13334</v>
      </c>
      <c r="D7016" s="396" t="s">
        <v>13321</v>
      </c>
      <c r="E7016" s="396" t="s">
        <v>13322</v>
      </c>
      <c r="F7016" s="396" t="s">
        <v>13124</v>
      </c>
    </row>
    <row r="7017">
      <c r="A7017" s="311">
        <v>7016</v>
      </c>
      <c r="B7017" s="396" t="s">
        <v>13335</v>
      </c>
      <c r="C7017" s="396" t="s">
        <v>13336</v>
      </c>
      <c r="D7017" s="396" t="s">
        <v>13321</v>
      </c>
      <c r="E7017" s="396" t="s">
        <v>13322</v>
      </c>
      <c r="F7017" s="396" t="s">
        <v>13124</v>
      </c>
    </row>
    <row r="7018">
      <c r="A7018" s="311">
        <v>7017</v>
      </c>
      <c r="B7018" s="396" t="s">
        <v>13337</v>
      </c>
      <c r="C7018" s="396" t="s">
        <v>13338</v>
      </c>
      <c r="D7018" s="396" t="s">
        <v>13321</v>
      </c>
      <c r="E7018" s="396" t="s">
        <v>13322</v>
      </c>
      <c r="F7018" s="396" t="s">
        <v>13124</v>
      </c>
    </row>
    <row r="7019">
      <c r="A7019" s="311">
        <v>7018</v>
      </c>
      <c r="B7019" s="396" t="s">
        <v>13339</v>
      </c>
      <c r="C7019" s="396" t="s">
        <v>13340</v>
      </c>
      <c r="D7019" s="396" t="s">
        <v>13321</v>
      </c>
      <c r="E7019" s="396" t="s">
        <v>13322</v>
      </c>
      <c r="F7019" s="396" t="s">
        <v>13124</v>
      </c>
    </row>
    <row r="7020">
      <c r="A7020" s="311">
        <v>7019</v>
      </c>
      <c r="B7020" s="396" t="s">
        <v>13341</v>
      </c>
      <c r="C7020" s="396" t="s">
        <v>13342</v>
      </c>
      <c r="D7020" s="396" t="s">
        <v>13321</v>
      </c>
      <c r="E7020" s="396" t="s">
        <v>13322</v>
      </c>
      <c r="F7020" s="396" t="s">
        <v>13124</v>
      </c>
    </row>
    <row r="7021">
      <c r="A7021" s="311">
        <v>7020</v>
      </c>
      <c r="B7021" s="396" t="s">
        <v>13343</v>
      </c>
      <c r="C7021" s="396" t="s">
        <v>13344</v>
      </c>
      <c r="D7021" s="396" t="s">
        <v>13321</v>
      </c>
      <c r="E7021" s="396" t="s">
        <v>13322</v>
      </c>
      <c r="F7021" s="396" t="s">
        <v>13124</v>
      </c>
    </row>
    <row r="7022">
      <c r="A7022" s="311">
        <v>7021</v>
      </c>
      <c r="B7022" s="396" t="s">
        <v>13345</v>
      </c>
      <c r="C7022" s="396" t="s">
        <v>13346</v>
      </c>
      <c r="D7022" s="396" t="s">
        <v>13321</v>
      </c>
      <c r="E7022" s="396" t="s">
        <v>13322</v>
      </c>
      <c r="F7022" s="396" t="s">
        <v>13124</v>
      </c>
    </row>
    <row r="7023">
      <c r="A7023" s="311">
        <v>7022</v>
      </c>
      <c r="B7023" s="396" t="s">
        <v>13347</v>
      </c>
      <c r="C7023" s="396" t="s">
        <v>13348</v>
      </c>
      <c r="D7023" s="396" t="s">
        <v>13321</v>
      </c>
      <c r="E7023" s="396" t="s">
        <v>13322</v>
      </c>
      <c r="F7023" s="396" t="s">
        <v>13124</v>
      </c>
    </row>
    <row r="7024">
      <c r="A7024" s="311">
        <v>7023</v>
      </c>
      <c r="B7024" s="396" t="s">
        <v>13349</v>
      </c>
      <c r="C7024" s="396" t="s">
        <v>13350</v>
      </c>
      <c r="D7024" s="396" t="s">
        <v>13351</v>
      </c>
      <c r="E7024" s="396" t="s">
        <v>13352</v>
      </c>
      <c r="F7024" s="396" t="s">
        <v>13124</v>
      </c>
    </row>
    <row r="7025">
      <c r="A7025" s="311">
        <v>7024</v>
      </c>
      <c r="B7025" s="396" t="s">
        <v>13353</v>
      </c>
      <c r="C7025" s="396" t="s">
        <v>13354</v>
      </c>
      <c r="D7025" s="396" t="s">
        <v>13351</v>
      </c>
      <c r="E7025" s="396" t="s">
        <v>13352</v>
      </c>
      <c r="F7025" s="396" t="s">
        <v>13124</v>
      </c>
    </row>
    <row r="7026">
      <c r="A7026" s="311">
        <v>7025</v>
      </c>
      <c r="B7026" s="396" t="s">
        <v>13355</v>
      </c>
      <c r="C7026" s="396" t="s">
        <v>13356</v>
      </c>
      <c r="D7026" s="396" t="s">
        <v>13351</v>
      </c>
      <c r="E7026" s="396" t="s">
        <v>13352</v>
      </c>
      <c r="F7026" s="396" t="s">
        <v>13124</v>
      </c>
    </row>
    <row r="7027">
      <c r="A7027" s="311">
        <v>7026</v>
      </c>
      <c r="B7027" s="396" t="s">
        <v>13357</v>
      </c>
      <c r="C7027" s="396" t="s">
        <v>13358</v>
      </c>
      <c r="D7027" s="396" t="s">
        <v>13351</v>
      </c>
      <c r="E7027" s="396" t="s">
        <v>13352</v>
      </c>
      <c r="F7027" s="396" t="s">
        <v>13124</v>
      </c>
    </row>
    <row r="7028">
      <c r="A7028" s="311">
        <v>7027</v>
      </c>
      <c r="B7028" s="396" t="s">
        <v>13359</v>
      </c>
      <c r="C7028" s="396" t="s">
        <v>13360</v>
      </c>
      <c r="D7028" s="396" t="s">
        <v>13351</v>
      </c>
      <c r="E7028" s="396" t="s">
        <v>13352</v>
      </c>
      <c r="F7028" s="396" t="s">
        <v>13124</v>
      </c>
    </row>
    <row r="7029">
      <c r="A7029" s="311">
        <v>7028</v>
      </c>
      <c r="B7029" s="396" t="s">
        <v>13361</v>
      </c>
      <c r="C7029" s="396" t="s">
        <v>13362</v>
      </c>
      <c r="D7029" s="396" t="s">
        <v>13351</v>
      </c>
      <c r="E7029" s="396" t="s">
        <v>13352</v>
      </c>
      <c r="F7029" s="396" t="s">
        <v>13124</v>
      </c>
    </row>
    <row r="7030">
      <c r="A7030" s="311">
        <v>7029</v>
      </c>
      <c r="B7030" s="396" t="s">
        <v>13363</v>
      </c>
      <c r="C7030" s="396" t="s">
        <v>13364</v>
      </c>
      <c r="D7030" s="396" t="s">
        <v>13351</v>
      </c>
      <c r="E7030" s="396" t="s">
        <v>13352</v>
      </c>
      <c r="F7030" s="396" t="s">
        <v>13124</v>
      </c>
    </row>
    <row r="7031">
      <c r="A7031" s="311">
        <v>7030</v>
      </c>
      <c r="B7031" s="396" t="s">
        <v>13365</v>
      </c>
      <c r="C7031" s="396" t="s">
        <v>13366</v>
      </c>
      <c r="D7031" s="396" t="s">
        <v>13351</v>
      </c>
      <c r="E7031" s="396" t="s">
        <v>13352</v>
      </c>
      <c r="F7031" s="396" t="s">
        <v>13124</v>
      </c>
    </row>
    <row r="7032">
      <c r="A7032" s="311">
        <v>7031</v>
      </c>
      <c r="B7032" s="396" t="s">
        <v>13367</v>
      </c>
      <c r="C7032" s="396" t="s">
        <v>13368</v>
      </c>
      <c r="D7032" s="396" t="s">
        <v>13351</v>
      </c>
      <c r="E7032" s="396" t="s">
        <v>13352</v>
      </c>
      <c r="F7032" s="396" t="s">
        <v>13124</v>
      </c>
    </row>
    <row r="7033">
      <c r="A7033" s="311">
        <v>7032</v>
      </c>
      <c r="B7033" s="396" t="s">
        <v>13369</v>
      </c>
      <c r="C7033" s="396" t="s">
        <v>13370</v>
      </c>
      <c r="D7033" s="396" t="s">
        <v>13351</v>
      </c>
      <c r="E7033" s="396" t="s">
        <v>13352</v>
      </c>
      <c r="F7033" s="396" t="s">
        <v>13124</v>
      </c>
    </row>
    <row r="7034">
      <c r="A7034" s="311">
        <v>7033</v>
      </c>
      <c r="B7034" s="396" t="s">
        <v>13371</v>
      </c>
      <c r="C7034" s="396" t="s">
        <v>13372</v>
      </c>
      <c r="D7034" s="396" t="s">
        <v>13351</v>
      </c>
      <c r="E7034" s="396" t="s">
        <v>13352</v>
      </c>
      <c r="F7034" s="396" t="s">
        <v>13124</v>
      </c>
    </row>
    <row r="7035">
      <c r="A7035" s="311">
        <v>7034</v>
      </c>
      <c r="B7035" s="396" t="s">
        <v>13373</v>
      </c>
      <c r="C7035" s="396" t="s">
        <v>13374</v>
      </c>
      <c r="D7035" s="396" t="s">
        <v>13351</v>
      </c>
      <c r="E7035" s="396" t="s">
        <v>13352</v>
      </c>
      <c r="F7035" s="396" t="s">
        <v>13124</v>
      </c>
    </row>
    <row r="7036">
      <c r="A7036" s="311">
        <v>7035</v>
      </c>
      <c r="B7036" s="396" t="s">
        <v>13375</v>
      </c>
      <c r="C7036" s="396" t="s">
        <v>13376</v>
      </c>
      <c r="D7036" s="396" t="s">
        <v>13377</v>
      </c>
      <c r="E7036" s="396" t="s">
        <v>13378</v>
      </c>
      <c r="F7036" s="396" t="s">
        <v>13124</v>
      </c>
    </row>
    <row r="7037">
      <c r="A7037" s="311">
        <v>7036</v>
      </c>
      <c r="B7037" s="396" t="s">
        <v>13379</v>
      </c>
      <c r="C7037" s="396" t="s">
        <v>13380</v>
      </c>
      <c r="D7037" s="396" t="s">
        <v>13377</v>
      </c>
      <c r="E7037" s="396" t="s">
        <v>13378</v>
      </c>
      <c r="F7037" s="396" t="s">
        <v>13124</v>
      </c>
    </row>
    <row r="7038">
      <c r="A7038" s="311">
        <v>7037</v>
      </c>
      <c r="B7038" s="396" t="s">
        <v>13381</v>
      </c>
      <c r="C7038" s="396" t="s">
        <v>13382</v>
      </c>
      <c r="D7038" s="396" t="s">
        <v>13377</v>
      </c>
      <c r="E7038" s="396" t="s">
        <v>13378</v>
      </c>
      <c r="F7038" s="396" t="s">
        <v>13124</v>
      </c>
    </row>
    <row r="7039">
      <c r="A7039" s="311">
        <v>7038</v>
      </c>
      <c r="B7039" s="396" t="s">
        <v>13383</v>
      </c>
      <c r="C7039" s="396" t="s">
        <v>13384</v>
      </c>
      <c r="D7039" s="396" t="s">
        <v>13377</v>
      </c>
      <c r="E7039" s="396" t="s">
        <v>13378</v>
      </c>
      <c r="F7039" s="396" t="s">
        <v>13124</v>
      </c>
    </row>
    <row r="7040">
      <c r="A7040" s="311">
        <v>7039</v>
      </c>
      <c r="B7040" s="396" t="s">
        <v>13385</v>
      </c>
      <c r="C7040" s="396" t="s">
        <v>13386</v>
      </c>
      <c r="D7040" s="396" t="s">
        <v>13377</v>
      </c>
      <c r="E7040" s="396" t="s">
        <v>13378</v>
      </c>
      <c r="F7040" s="396" t="s">
        <v>13124</v>
      </c>
    </row>
    <row r="7041">
      <c r="A7041" s="311">
        <v>7040</v>
      </c>
      <c r="B7041" s="396" t="s">
        <v>13387</v>
      </c>
      <c r="C7041" s="396" t="s">
        <v>13388</v>
      </c>
      <c r="D7041" s="396" t="s">
        <v>13377</v>
      </c>
      <c r="E7041" s="396" t="s">
        <v>13378</v>
      </c>
      <c r="F7041" s="396" t="s">
        <v>13124</v>
      </c>
    </row>
    <row r="7042">
      <c r="A7042" s="311">
        <v>7041</v>
      </c>
      <c r="B7042" s="396" t="s">
        <v>13389</v>
      </c>
      <c r="C7042" s="396" t="s">
        <v>13390</v>
      </c>
      <c r="D7042" s="396" t="s">
        <v>13377</v>
      </c>
      <c r="E7042" s="396" t="s">
        <v>13378</v>
      </c>
      <c r="F7042" s="396" t="s">
        <v>13124</v>
      </c>
    </row>
    <row r="7043">
      <c r="A7043" s="311">
        <v>7042</v>
      </c>
      <c r="B7043" s="396" t="s">
        <v>13391</v>
      </c>
      <c r="C7043" s="396" t="s">
        <v>13392</v>
      </c>
      <c r="D7043" s="396" t="s">
        <v>13377</v>
      </c>
      <c r="E7043" s="396" t="s">
        <v>13378</v>
      </c>
      <c r="F7043" s="396" t="s">
        <v>13124</v>
      </c>
    </row>
    <row r="7044">
      <c r="A7044" s="311">
        <v>7043</v>
      </c>
      <c r="B7044" s="396" t="s">
        <v>13393</v>
      </c>
      <c r="C7044" s="396" t="s">
        <v>13394</v>
      </c>
      <c r="D7044" s="396" t="s">
        <v>13377</v>
      </c>
      <c r="E7044" s="396" t="s">
        <v>13378</v>
      </c>
      <c r="F7044" s="396" t="s">
        <v>13124</v>
      </c>
    </row>
    <row r="7045">
      <c r="A7045" s="311">
        <v>7044</v>
      </c>
      <c r="B7045" s="396" t="s">
        <v>13395</v>
      </c>
      <c r="C7045" s="396" t="s">
        <v>13396</v>
      </c>
      <c r="D7045" s="396" t="s">
        <v>13377</v>
      </c>
      <c r="E7045" s="396" t="s">
        <v>13378</v>
      </c>
      <c r="F7045" s="396" t="s">
        <v>13124</v>
      </c>
    </row>
    <row r="7046">
      <c r="A7046" s="311">
        <v>7045</v>
      </c>
      <c r="B7046" s="396" t="s">
        <v>13397</v>
      </c>
      <c r="C7046" s="396" t="s">
        <v>13398</v>
      </c>
      <c r="D7046" s="396" t="s">
        <v>13377</v>
      </c>
      <c r="E7046" s="396" t="s">
        <v>13378</v>
      </c>
      <c r="F7046" s="396" t="s">
        <v>13124</v>
      </c>
    </row>
    <row r="7047">
      <c r="A7047" s="311">
        <v>7046</v>
      </c>
      <c r="B7047" s="396" t="s">
        <v>13399</v>
      </c>
      <c r="C7047" s="396" t="s">
        <v>13400</v>
      </c>
      <c r="D7047" s="396" t="s">
        <v>13377</v>
      </c>
      <c r="E7047" s="396" t="s">
        <v>13378</v>
      </c>
      <c r="F7047" s="396" t="s">
        <v>13124</v>
      </c>
    </row>
    <row r="7048">
      <c r="A7048" s="311">
        <v>7047</v>
      </c>
      <c r="B7048" s="396" t="s">
        <v>13401</v>
      </c>
      <c r="C7048" s="396" t="s">
        <v>13402</v>
      </c>
      <c r="D7048" s="396" t="s">
        <v>13403</v>
      </c>
      <c r="E7048" s="396" t="s">
        <v>13404</v>
      </c>
      <c r="F7048" s="396" t="s">
        <v>13124</v>
      </c>
    </row>
    <row r="7049">
      <c r="A7049" s="311">
        <v>7048</v>
      </c>
      <c r="B7049" s="396" t="s">
        <v>13405</v>
      </c>
      <c r="C7049" s="396" t="s">
        <v>5648</v>
      </c>
      <c r="D7049" s="396" t="s">
        <v>13403</v>
      </c>
      <c r="E7049" s="396" t="s">
        <v>13404</v>
      </c>
      <c r="F7049" s="396" t="s">
        <v>13124</v>
      </c>
    </row>
    <row r="7050">
      <c r="A7050" s="311">
        <v>7049</v>
      </c>
      <c r="B7050" s="396" t="s">
        <v>13406</v>
      </c>
      <c r="C7050" s="396" t="s">
        <v>723</v>
      </c>
      <c r="D7050" s="396" t="s">
        <v>13403</v>
      </c>
      <c r="E7050" s="396" t="s">
        <v>13404</v>
      </c>
      <c r="F7050" s="396" t="s">
        <v>13124</v>
      </c>
    </row>
    <row r="7051">
      <c r="A7051" s="311">
        <v>7050</v>
      </c>
      <c r="B7051" s="396" t="s">
        <v>13407</v>
      </c>
      <c r="C7051" s="396" t="s">
        <v>13408</v>
      </c>
      <c r="D7051" s="396" t="s">
        <v>13403</v>
      </c>
      <c r="E7051" s="396" t="s">
        <v>13404</v>
      </c>
      <c r="F7051" s="396" t="s">
        <v>13124</v>
      </c>
    </row>
    <row r="7052">
      <c r="A7052" s="311">
        <v>7051</v>
      </c>
      <c r="B7052" s="396" t="s">
        <v>13409</v>
      </c>
      <c r="C7052" s="396" t="s">
        <v>13410</v>
      </c>
      <c r="D7052" s="396" t="s">
        <v>13403</v>
      </c>
      <c r="E7052" s="396" t="s">
        <v>13404</v>
      </c>
      <c r="F7052" s="396" t="s">
        <v>13124</v>
      </c>
    </row>
    <row r="7053">
      <c r="A7053" s="311">
        <v>7052</v>
      </c>
      <c r="B7053" s="396" t="s">
        <v>13411</v>
      </c>
      <c r="C7053" s="396" t="s">
        <v>13412</v>
      </c>
      <c r="D7053" s="396" t="s">
        <v>13403</v>
      </c>
      <c r="E7053" s="396" t="s">
        <v>13404</v>
      </c>
      <c r="F7053" s="396" t="s">
        <v>13124</v>
      </c>
    </row>
    <row r="7054">
      <c r="A7054" s="311">
        <v>7053</v>
      </c>
      <c r="B7054" s="396" t="s">
        <v>13413</v>
      </c>
      <c r="C7054" s="396" t="s">
        <v>13414</v>
      </c>
      <c r="D7054" s="396" t="s">
        <v>13403</v>
      </c>
      <c r="E7054" s="396" t="s">
        <v>13404</v>
      </c>
      <c r="F7054" s="396" t="s">
        <v>13124</v>
      </c>
    </row>
    <row r="7055">
      <c r="A7055" s="311">
        <v>7054</v>
      </c>
      <c r="B7055" s="396" t="s">
        <v>13415</v>
      </c>
      <c r="C7055" s="396" t="s">
        <v>13416</v>
      </c>
      <c r="D7055" s="396" t="s">
        <v>13403</v>
      </c>
      <c r="E7055" s="396" t="s">
        <v>13404</v>
      </c>
      <c r="F7055" s="396" t="s">
        <v>13124</v>
      </c>
    </row>
    <row r="7056">
      <c r="A7056" s="311">
        <v>7055</v>
      </c>
      <c r="B7056" s="396" t="s">
        <v>13417</v>
      </c>
      <c r="C7056" s="396" t="s">
        <v>13418</v>
      </c>
      <c r="D7056" s="396" t="s">
        <v>13403</v>
      </c>
      <c r="E7056" s="396" t="s">
        <v>13404</v>
      </c>
      <c r="F7056" s="396" t="s">
        <v>13124</v>
      </c>
    </row>
    <row r="7057">
      <c r="A7057" s="311">
        <v>7056</v>
      </c>
      <c r="B7057" s="396" t="s">
        <v>13419</v>
      </c>
      <c r="C7057" s="396" t="s">
        <v>13420</v>
      </c>
      <c r="D7057" s="396" t="s">
        <v>13403</v>
      </c>
      <c r="E7057" s="396" t="s">
        <v>13404</v>
      </c>
      <c r="F7057" s="396" t="s">
        <v>13124</v>
      </c>
    </row>
    <row r="7058">
      <c r="A7058" s="311">
        <v>7057</v>
      </c>
      <c r="B7058" s="396" t="s">
        <v>13421</v>
      </c>
      <c r="C7058" s="396" t="s">
        <v>13422</v>
      </c>
      <c r="D7058" s="396" t="s">
        <v>13403</v>
      </c>
      <c r="E7058" s="396" t="s">
        <v>13404</v>
      </c>
      <c r="F7058" s="396" t="s">
        <v>13124</v>
      </c>
    </row>
    <row r="7059">
      <c r="A7059" s="311">
        <v>7058</v>
      </c>
      <c r="B7059" s="396" t="s">
        <v>13423</v>
      </c>
      <c r="C7059" s="396" t="s">
        <v>4297</v>
      </c>
      <c r="D7059" s="396" t="s">
        <v>13403</v>
      </c>
      <c r="E7059" s="396" t="s">
        <v>13404</v>
      </c>
      <c r="F7059" s="396" t="s">
        <v>13124</v>
      </c>
    </row>
    <row r="7060">
      <c r="A7060" s="311">
        <v>7059</v>
      </c>
      <c r="B7060" s="396" t="s">
        <v>13424</v>
      </c>
      <c r="C7060" s="396" t="s">
        <v>13425</v>
      </c>
      <c r="D7060" s="396" t="s">
        <v>13426</v>
      </c>
      <c r="E7060" s="396" t="s">
        <v>13427</v>
      </c>
      <c r="F7060" s="396" t="s">
        <v>13124</v>
      </c>
    </row>
    <row r="7061">
      <c r="A7061" s="311">
        <v>7060</v>
      </c>
      <c r="B7061" s="396" t="s">
        <v>13428</v>
      </c>
      <c r="C7061" s="396" t="s">
        <v>1950</v>
      </c>
      <c r="D7061" s="396" t="s">
        <v>13426</v>
      </c>
      <c r="E7061" s="396" t="s">
        <v>13427</v>
      </c>
      <c r="F7061" s="396" t="s">
        <v>13124</v>
      </c>
    </row>
    <row r="7062">
      <c r="A7062" s="311">
        <v>7061</v>
      </c>
      <c r="B7062" s="396" t="s">
        <v>13429</v>
      </c>
      <c r="C7062" s="396" t="s">
        <v>13430</v>
      </c>
      <c r="D7062" s="396" t="s">
        <v>13426</v>
      </c>
      <c r="E7062" s="396" t="s">
        <v>13427</v>
      </c>
      <c r="F7062" s="396" t="s">
        <v>13124</v>
      </c>
    </row>
    <row r="7063">
      <c r="A7063" s="311">
        <v>7062</v>
      </c>
      <c r="B7063" s="396" t="s">
        <v>13431</v>
      </c>
      <c r="C7063" s="396" t="s">
        <v>8659</v>
      </c>
      <c r="D7063" s="396" t="s">
        <v>13426</v>
      </c>
      <c r="E7063" s="396" t="s">
        <v>13427</v>
      </c>
      <c r="F7063" s="396" t="s">
        <v>13124</v>
      </c>
    </row>
    <row r="7064">
      <c r="A7064" s="311">
        <v>7063</v>
      </c>
      <c r="B7064" s="396" t="s">
        <v>13432</v>
      </c>
      <c r="C7064" s="396" t="s">
        <v>13433</v>
      </c>
      <c r="D7064" s="396" t="s">
        <v>13426</v>
      </c>
      <c r="E7064" s="396" t="s">
        <v>13427</v>
      </c>
      <c r="F7064" s="396" t="s">
        <v>13124</v>
      </c>
    </row>
    <row r="7065">
      <c r="A7065" s="311">
        <v>7064</v>
      </c>
      <c r="B7065" s="396" t="s">
        <v>13434</v>
      </c>
      <c r="C7065" s="396" t="s">
        <v>13435</v>
      </c>
      <c r="D7065" s="396" t="s">
        <v>13426</v>
      </c>
      <c r="E7065" s="396" t="s">
        <v>13427</v>
      </c>
      <c r="F7065" s="396" t="s">
        <v>13124</v>
      </c>
    </row>
    <row r="7066">
      <c r="A7066" s="311">
        <v>7065</v>
      </c>
      <c r="B7066" s="396" t="s">
        <v>13436</v>
      </c>
      <c r="C7066" s="396" t="s">
        <v>13437</v>
      </c>
      <c r="D7066" s="396" t="s">
        <v>13426</v>
      </c>
      <c r="E7066" s="396" t="s">
        <v>13427</v>
      </c>
      <c r="F7066" s="396" t="s">
        <v>13124</v>
      </c>
    </row>
    <row r="7067">
      <c r="A7067" s="311">
        <v>7066</v>
      </c>
      <c r="B7067" s="396" t="s">
        <v>13438</v>
      </c>
      <c r="C7067" s="396" t="s">
        <v>970</v>
      </c>
      <c r="D7067" s="396" t="s">
        <v>13426</v>
      </c>
      <c r="E7067" s="396" t="s">
        <v>13427</v>
      </c>
      <c r="F7067" s="396" t="s">
        <v>13124</v>
      </c>
    </row>
    <row r="7068">
      <c r="A7068" s="311">
        <v>7067</v>
      </c>
      <c r="B7068" s="396" t="s">
        <v>13439</v>
      </c>
      <c r="C7068" s="396" t="s">
        <v>13440</v>
      </c>
      <c r="D7068" s="396" t="s">
        <v>13426</v>
      </c>
      <c r="E7068" s="396" t="s">
        <v>13427</v>
      </c>
      <c r="F7068" s="396" t="s">
        <v>13124</v>
      </c>
    </row>
    <row r="7069">
      <c r="A7069" s="311">
        <v>7068</v>
      </c>
      <c r="B7069" s="396" t="s">
        <v>13441</v>
      </c>
      <c r="C7069" s="396" t="s">
        <v>13442</v>
      </c>
      <c r="D7069" s="396" t="s">
        <v>13426</v>
      </c>
      <c r="E7069" s="396" t="s">
        <v>13427</v>
      </c>
      <c r="F7069" s="396" t="s">
        <v>13124</v>
      </c>
    </row>
    <row r="7070">
      <c r="A7070" s="311">
        <v>7069</v>
      </c>
      <c r="B7070" s="396" t="s">
        <v>13443</v>
      </c>
      <c r="C7070" s="396" t="s">
        <v>13444</v>
      </c>
      <c r="D7070" s="396" t="s">
        <v>13426</v>
      </c>
      <c r="E7070" s="396" t="s">
        <v>13427</v>
      </c>
      <c r="F7070" s="396" t="s">
        <v>13124</v>
      </c>
    </row>
    <row r="7071">
      <c r="A7071" s="311">
        <v>7070</v>
      </c>
      <c r="B7071" s="396" t="s">
        <v>13445</v>
      </c>
      <c r="C7071" s="396" t="s">
        <v>13446</v>
      </c>
      <c r="D7071" s="396" t="s">
        <v>13426</v>
      </c>
      <c r="E7071" s="396" t="s">
        <v>13427</v>
      </c>
      <c r="F7071" s="396" t="s">
        <v>13124</v>
      </c>
    </row>
    <row r="7072">
      <c r="A7072" s="311">
        <v>7071</v>
      </c>
      <c r="B7072" s="396" t="s">
        <v>13447</v>
      </c>
      <c r="C7072" s="396" t="s">
        <v>13448</v>
      </c>
      <c r="D7072" s="396" t="s">
        <v>13426</v>
      </c>
      <c r="E7072" s="396" t="s">
        <v>13427</v>
      </c>
      <c r="F7072" s="396" t="s">
        <v>13124</v>
      </c>
    </row>
    <row r="7073">
      <c r="A7073" s="311">
        <v>7072</v>
      </c>
      <c r="B7073" s="396" t="s">
        <v>13449</v>
      </c>
      <c r="C7073" s="396" t="s">
        <v>886</v>
      </c>
      <c r="D7073" s="396" t="s">
        <v>13426</v>
      </c>
      <c r="E7073" s="396" t="s">
        <v>13427</v>
      </c>
      <c r="F7073" s="396" t="s">
        <v>13124</v>
      </c>
    </row>
    <row r="7074">
      <c r="A7074" s="311">
        <v>7073</v>
      </c>
      <c r="B7074" s="396" t="s">
        <v>13450</v>
      </c>
      <c r="C7074" s="396" t="s">
        <v>13451</v>
      </c>
      <c r="D7074" s="396" t="s">
        <v>13426</v>
      </c>
      <c r="E7074" s="396" t="s">
        <v>13427</v>
      </c>
      <c r="F7074" s="396" t="s">
        <v>13124</v>
      </c>
    </row>
    <row r="7075">
      <c r="A7075" s="311">
        <v>7074</v>
      </c>
      <c r="B7075" s="396" t="s">
        <v>13452</v>
      </c>
      <c r="C7075" s="396" t="s">
        <v>13453</v>
      </c>
      <c r="D7075" s="396" t="s">
        <v>13426</v>
      </c>
      <c r="E7075" s="396" t="s">
        <v>13427</v>
      </c>
      <c r="F7075" s="396" t="s">
        <v>13124</v>
      </c>
    </row>
    <row r="7076">
      <c r="A7076" s="311">
        <v>7075</v>
      </c>
      <c r="B7076" s="396" t="s">
        <v>13454</v>
      </c>
      <c r="C7076" s="396" t="s">
        <v>13455</v>
      </c>
      <c r="D7076" s="396" t="s">
        <v>13426</v>
      </c>
      <c r="E7076" s="396" t="s">
        <v>13427</v>
      </c>
      <c r="F7076" s="396" t="s">
        <v>13124</v>
      </c>
    </row>
    <row r="7077">
      <c r="A7077" s="311">
        <v>7076</v>
      </c>
      <c r="B7077" s="396" t="s">
        <v>13456</v>
      </c>
      <c r="C7077" s="396" t="s">
        <v>13457</v>
      </c>
      <c r="D7077" s="396" t="s">
        <v>13426</v>
      </c>
      <c r="E7077" s="396" t="s">
        <v>13427</v>
      </c>
      <c r="F7077" s="396" t="s">
        <v>13124</v>
      </c>
    </row>
    <row r="7078">
      <c r="A7078" s="311">
        <v>7077</v>
      </c>
      <c r="B7078" s="396" t="s">
        <v>13458</v>
      </c>
      <c r="C7078" s="396" t="s">
        <v>13459</v>
      </c>
      <c r="D7078" s="396" t="s">
        <v>13426</v>
      </c>
      <c r="E7078" s="396" t="s">
        <v>13427</v>
      </c>
      <c r="F7078" s="396" t="s">
        <v>13124</v>
      </c>
    </row>
    <row r="7079">
      <c r="A7079" s="311">
        <v>7078</v>
      </c>
      <c r="B7079" s="396" t="s">
        <v>13460</v>
      </c>
      <c r="C7079" s="396" t="s">
        <v>2319</v>
      </c>
      <c r="D7079" s="396" t="s">
        <v>13426</v>
      </c>
      <c r="E7079" s="396" t="s">
        <v>13427</v>
      </c>
      <c r="F7079" s="396" t="s">
        <v>13124</v>
      </c>
    </row>
    <row r="7080">
      <c r="A7080" s="311">
        <v>7079</v>
      </c>
      <c r="B7080" s="396" t="s">
        <v>13461</v>
      </c>
      <c r="C7080" s="396" t="s">
        <v>2198</v>
      </c>
      <c r="D7080" s="396" t="s">
        <v>13426</v>
      </c>
      <c r="E7080" s="396" t="s">
        <v>13427</v>
      </c>
      <c r="F7080" s="396" t="s">
        <v>13124</v>
      </c>
    </row>
    <row r="7081">
      <c r="A7081" s="311">
        <v>7080</v>
      </c>
      <c r="B7081" s="396" t="s">
        <v>13462</v>
      </c>
      <c r="C7081" s="396" t="s">
        <v>13463</v>
      </c>
      <c r="D7081" s="396" t="s">
        <v>13426</v>
      </c>
      <c r="E7081" s="396" t="s">
        <v>13427</v>
      </c>
      <c r="F7081" s="396" t="s">
        <v>13124</v>
      </c>
    </row>
    <row r="7082">
      <c r="A7082" s="311">
        <v>7081</v>
      </c>
      <c r="B7082" s="396" t="s">
        <v>13464</v>
      </c>
      <c r="C7082" s="396" t="s">
        <v>13465</v>
      </c>
      <c r="D7082" s="396" t="s">
        <v>13466</v>
      </c>
      <c r="E7082" s="396" t="s">
        <v>13467</v>
      </c>
      <c r="F7082" s="396" t="s">
        <v>13124</v>
      </c>
    </row>
    <row r="7083">
      <c r="A7083" s="311">
        <v>7082</v>
      </c>
      <c r="B7083" s="396" t="s">
        <v>13468</v>
      </c>
      <c r="C7083" s="396" t="s">
        <v>6039</v>
      </c>
      <c r="D7083" s="396" t="s">
        <v>13466</v>
      </c>
      <c r="E7083" s="396" t="s">
        <v>13467</v>
      </c>
      <c r="F7083" s="396" t="s">
        <v>13124</v>
      </c>
    </row>
    <row r="7084">
      <c r="A7084" s="311">
        <v>7083</v>
      </c>
      <c r="B7084" s="396" t="s">
        <v>13469</v>
      </c>
      <c r="C7084" s="396" t="s">
        <v>13470</v>
      </c>
      <c r="D7084" s="396" t="s">
        <v>13466</v>
      </c>
      <c r="E7084" s="396" t="s">
        <v>13467</v>
      </c>
      <c r="F7084" s="396" t="s">
        <v>13124</v>
      </c>
    </row>
    <row r="7085">
      <c r="A7085" s="311">
        <v>7084</v>
      </c>
      <c r="B7085" s="396" t="s">
        <v>13471</v>
      </c>
      <c r="C7085" s="396" t="s">
        <v>13472</v>
      </c>
      <c r="D7085" s="396" t="s">
        <v>13466</v>
      </c>
      <c r="E7085" s="396" t="s">
        <v>13467</v>
      </c>
      <c r="F7085" s="396" t="s">
        <v>13124</v>
      </c>
    </row>
    <row r="7086">
      <c r="A7086" s="311">
        <v>7085</v>
      </c>
      <c r="B7086" s="396" t="s">
        <v>13473</v>
      </c>
      <c r="C7086" s="396" t="s">
        <v>13474</v>
      </c>
      <c r="D7086" s="396" t="s">
        <v>13466</v>
      </c>
      <c r="E7086" s="396" t="s">
        <v>13467</v>
      </c>
      <c r="F7086" s="396" t="s">
        <v>13124</v>
      </c>
    </row>
    <row r="7087">
      <c r="A7087" s="311">
        <v>7086</v>
      </c>
      <c r="B7087" s="396" t="s">
        <v>13475</v>
      </c>
      <c r="C7087" s="396" t="s">
        <v>13476</v>
      </c>
      <c r="D7087" s="396" t="s">
        <v>13466</v>
      </c>
      <c r="E7087" s="396" t="s">
        <v>13467</v>
      </c>
      <c r="F7087" s="396" t="s">
        <v>13124</v>
      </c>
    </row>
    <row r="7088">
      <c r="A7088" s="311">
        <v>7087</v>
      </c>
      <c r="B7088" s="396" t="s">
        <v>13477</v>
      </c>
      <c r="C7088" s="396" t="s">
        <v>13478</v>
      </c>
      <c r="D7088" s="396" t="s">
        <v>13466</v>
      </c>
      <c r="E7088" s="396" t="s">
        <v>13467</v>
      </c>
      <c r="F7088" s="396" t="s">
        <v>13124</v>
      </c>
    </row>
    <row r="7089">
      <c r="A7089" s="311">
        <v>7088</v>
      </c>
      <c r="B7089" s="396" t="s">
        <v>13479</v>
      </c>
      <c r="C7089" s="396" t="s">
        <v>8780</v>
      </c>
      <c r="D7089" s="396" t="s">
        <v>13466</v>
      </c>
      <c r="E7089" s="396" t="s">
        <v>13467</v>
      </c>
      <c r="F7089" s="396" t="s">
        <v>13124</v>
      </c>
    </row>
    <row r="7090">
      <c r="A7090" s="311">
        <v>7089</v>
      </c>
      <c r="B7090" s="396" t="s">
        <v>13480</v>
      </c>
      <c r="C7090" s="396" t="s">
        <v>13481</v>
      </c>
      <c r="D7090" s="396" t="s">
        <v>13466</v>
      </c>
      <c r="E7090" s="396" t="s">
        <v>13467</v>
      </c>
      <c r="F7090" s="396" t="s">
        <v>13124</v>
      </c>
    </row>
    <row r="7091">
      <c r="A7091" s="311">
        <v>7090</v>
      </c>
      <c r="B7091" s="396" t="s">
        <v>13482</v>
      </c>
      <c r="C7091" s="396" t="s">
        <v>13483</v>
      </c>
      <c r="D7091" s="396" t="s">
        <v>13466</v>
      </c>
      <c r="E7091" s="396" t="s">
        <v>13467</v>
      </c>
      <c r="F7091" s="396" t="s">
        <v>13124</v>
      </c>
    </row>
    <row r="7092">
      <c r="A7092" s="311">
        <v>7091</v>
      </c>
      <c r="B7092" s="396" t="s">
        <v>13484</v>
      </c>
      <c r="C7092" s="396" t="s">
        <v>659</v>
      </c>
      <c r="D7092" s="396" t="s">
        <v>13466</v>
      </c>
      <c r="E7092" s="396" t="s">
        <v>13467</v>
      </c>
      <c r="F7092" s="396" t="s">
        <v>13124</v>
      </c>
    </row>
    <row r="7093">
      <c r="A7093" s="311">
        <v>7092</v>
      </c>
      <c r="B7093" s="396" t="s">
        <v>13485</v>
      </c>
      <c r="C7093" s="396" t="s">
        <v>13486</v>
      </c>
      <c r="D7093" s="396" t="s">
        <v>13466</v>
      </c>
      <c r="E7093" s="396" t="s">
        <v>13467</v>
      </c>
      <c r="F7093" s="396" t="s">
        <v>13124</v>
      </c>
    </row>
    <row r="7094">
      <c r="A7094" s="311">
        <v>7093</v>
      </c>
      <c r="B7094" s="396" t="s">
        <v>13487</v>
      </c>
      <c r="C7094" s="396" t="s">
        <v>13488</v>
      </c>
      <c r="D7094" s="396" t="s">
        <v>13466</v>
      </c>
      <c r="E7094" s="396" t="s">
        <v>13467</v>
      </c>
      <c r="F7094" s="396" t="s">
        <v>13124</v>
      </c>
    </row>
    <row r="7095">
      <c r="A7095" s="311">
        <v>7094</v>
      </c>
      <c r="B7095" s="396" t="s">
        <v>13489</v>
      </c>
      <c r="C7095" s="396" t="s">
        <v>13490</v>
      </c>
      <c r="D7095" s="396" t="s">
        <v>13466</v>
      </c>
      <c r="E7095" s="396" t="s">
        <v>13467</v>
      </c>
      <c r="F7095" s="396" t="s">
        <v>13124</v>
      </c>
    </row>
    <row r="7096">
      <c r="A7096" s="311">
        <v>7095</v>
      </c>
      <c r="B7096" s="396" t="s">
        <v>13491</v>
      </c>
      <c r="C7096" s="396" t="s">
        <v>13492</v>
      </c>
      <c r="D7096" s="396" t="s">
        <v>13466</v>
      </c>
      <c r="E7096" s="396" t="s">
        <v>13467</v>
      </c>
      <c r="F7096" s="396" t="s">
        <v>13124</v>
      </c>
    </row>
    <row r="7097">
      <c r="A7097" s="311">
        <v>7096</v>
      </c>
      <c r="B7097" s="396" t="s">
        <v>13493</v>
      </c>
      <c r="C7097" s="396" t="s">
        <v>13494</v>
      </c>
      <c r="D7097" s="396" t="s">
        <v>13495</v>
      </c>
      <c r="E7097" s="396" t="s">
        <v>13496</v>
      </c>
      <c r="F7097" s="396" t="s">
        <v>13124</v>
      </c>
    </row>
    <row r="7098">
      <c r="A7098" s="311">
        <v>7097</v>
      </c>
      <c r="B7098" s="396" t="s">
        <v>13497</v>
      </c>
      <c r="C7098" s="396" t="s">
        <v>13498</v>
      </c>
      <c r="D7098" s="396" t="s">
        <v>13495</v>
      </c>
      <c r="E7098" s="396" t="s">
        <v>13496</v>
      </c>
      <c r="F7098" s="396" t="s">
        <v>13124</v>
      </c>
    </row>
    <row r="7099">
      <c r="A7099" s="311">
        <v>7098</v>
      </c>
      <c r="B7099" s="396" t="s">
        <v>13499</v>
      </c>
      <c r="C7099" s="396" t="s">
        <v>13500</v>
      </c>
      <c r="D7099" s="396" t="s">
        <v>13495</v>
      </c>
      <c r="E7099" s="396" t="s">
        <v>13496</v>
      </c>
      <c r="F7099" s="396" t="s">
        <v>13124</v>
      </c>
    </row>
    <row r="7100">
      <c r="A7100" s="311">
        <v>7099</v>
      </c>
      <c r="B7100" s="396" t="s">
        <v>13501</v>
      </c>
      <c r="C7100" s="396" t="s">
        <v>13502</v>
      </c>
      <c r="D7100" s="396" t="s">
        <v>13495</v>
      </c>
      <c r="E7100" s="396" t="s">
        <v>13496</v>
      </c>
      <c r="F7100" s="396" t="s">
        <v>13124</v>
      </c>
    </row>
    <row r="7101">
      <c r="A7101" s="311">
        <v>7100</v>
      </c>
      <c r="B7101" s="396" t="s">
        <v>13503</v>
      </c>
      <c r="C7101" s="396" t="s">
        <v>13504</v>
      </c>
      <c r="D7101" s="396" t="s">
        <v>13495</v>
      </c>
      <c r="E7101" s="396" t="s">
        <v>13496</v>
      </c>
      <c r="F7101" s="396" t="s">
        <v>13124</v>
      </c>
    </row>
    <row r="7102">
      <c r="A7102" s="311">
        <v>7101</v>
      </c>
      <c r="B7102" s="396" t="s">
        <v>13505</v>
      </c>
      <c r="C7102" s="396" t="s">
        <v>13506</v>
      </c>
      <c r="D7102" s="396" t="s">
        <v>13495</v>
      </c>
      <c r="E7102" s="396" t="s">
        <v>13496</v>
      </c>
      <c r="F7102" s="396" t="s">
        <v>13124</v>
      </c>
    </row>
    <row r="7103">
      <c r="A7103" s="311">
        <v>7102</v>
      </c>
      <c r="B7103" s="396" t="s">
        <v>13507</v>
      </c>
      <c r="C7103" s="396" t="s">
        <v>8652</v>
      </c>
      <c r="D7103" s="396" t="s">
        <v>13495</v>
      </c>
      <c r="E7103" s="396" t="s">
        <v>13496</v>
      </c>
      <c r="F7103" s="396" t="s">
        <v>13124</v>
      </c>
    </row>
    <row r="7104">
      <c r="A7104" s="311">
        <v>7103</v>
      </c>
      <c r="B7104" s="396" t="s">
        <v>13508</v>
      </c>
      <c r="C7104" s="396" t="s">
        <v>13509</v>
      </c>
      <c r="D7104" s="396" t="s">
        <v>13495</v>
      </c>
      <c r="E7104" s="396" t="s">
        <v>13496</v>
      </c>
      <c r="F7104" s="396" t="s">
        <v>13124</v>
      </c>
    </row>
    <row r="7105">
      <c r="A7105" s="311">
        <v>7104</v>
      </c>
      <c r="B7105" s="396" t="s">
        <v>13510</v>
      </c>
      <c r="C7105" s="396" t="s">
        <v>13511</v>
      </c>
      <c r="D7105" s="396" t="s">
        <v>13495</v>
      </c>
      <c r="E7105" s="396" t="s">
        <v>13496</v>
      </c>
      <c r="F7105" s="396" t="s">
        <v>13124</v>
      </c>
    </row>
    <row r="7106">
      <c r="A7106" s="311">
        <v>7105</v>
      </c>
      <c r="B7106" s="396" t="s">
        <v>13512</v>
      </c>
      <c r="C7106" s="396" t="s">
        <v>13513</v>
      </c>
      <c r="D7106" s="396" t="s">
        <v>13495</v>
      </c>
      <c r="E7106" s="396" t="s">
        <v>13496</v>
      </c>
      <c r="F7106" s="396" t="s">
        <v>13124</v>
      </c>
    </row>
    <row r="7107">
      <c r="A7107" s="311">
        <v>7106</v>
      </c>
      <c r="B7107" s="396" t="s">
        <v>13514</v>
      </c>
      <c r="C7107" s="396" t="s">
        <v>13515</v>
      </c>
      <c r="D7107" s="396" t="s">
        <v>13495</v>
      </c>
      <c r="E7107" s="396" t="s">
        <v>13496</v>
      </c>
      <c r="F7107" s="396" t="s">
        <v>13124</v>
      </c>
    </row>
    <row r="7108">
      <c r="A7108" s="311">
        <v>7107</v>
      </c>
      <c r="B7108" s="396" t="s">
        <v>13516</v>
      </c>
      <c r="C7108" s="396" t="s">
        <v>13517</v>
      </c>
      <c r="D7108" s="396" t="s">
        <v>13495</v>
      </c>
      <c r="E7108" s="396" t="s">
        <v>13496</v>
      </c>
      <c r="F7108" s="396" t="s">
        <v>13124</v>
      </c>
    </row>
    <row r="7109">
      <c r="A7109" s="311">
        <v>7108</v>
      </c>
      <c r="B7109" s="396" t="s">
        <v>13518</v>
      </c>
      <c r="C7109" s="396" t="s">
        <v>13519</v>
      </c>
      <c r="D7109" s="396" t="s">
        <v>13495</v>
      </c>
      <c r="E7109" s="396" t="s">
        <v>13496</v>
      </c>
      <c r="F7109" s="396" t="s">
        <v>13124</v>
      </c>
    </row>
    <row r="7110">
      <c r="A7110" s="311">
        <v>7109</v>
      </c>
      <c r="B7110" s="396" t="s">
        <v>13520</v>
      </c>
      <c r="C7110" s="396" t="s">
        <v>13521</v>
      </c>
      <c r="D7110" s="396" t="s">
        <v>13522</v>
      </c>
      <c r="E7110" s="396" t="s">
        <v>13523</v>
      </c>
      <c r="F7110" s="396" t="s">
        <v>13124</v>
      </c>
    </row>
    <row r="7111">
      <c r="A7111" s="311">
        <v>7110</v>
      </c>
      <c r="B7111" s="396" t="s">
        <v>13524</v>
      </c>
      <c r="C7111" s="396" t="s">
        <v>13525</v>
      </c>
      <c r="D7111" s="396" t="s">
        <v>13522</v>
      </c>
      <c r="E7111" s="396" t="s">
        <v>13523</v>
      </c>
      <c r="F7111" s="396" t="s">
        <v>13124</v>
      </c>
    </row>
    <row r="7112">
      <c r="A7112" s="311">
        <v>7111</v>
      </c>
      <c r="B7112" s="396" t="s">
        <v>13526</v>
      </c>
      <c r="C7112" s="396" t="s">
        <v>13527</v>
      </c>
      <c r="D7112" s="396" t="s">
        <v>13522</v>
      </c>
      <c r="E7112" s="396" t="s">
        <v>13523</v>
      </c>
      <c r="F7112" s="396" t="s">
        <v>13124</v>
      </c>
    </row>
    <row r="7113">
      <c r="A7113" s="311">
        <v>7112</v>
      </c>
      <c r="B7113" s="396" t="s">
        <v>13528</v>
      </c>
      <c r="C7113" s="396" t="s">
        <v>13529</v>
      </c>
      <c r="D7113" s="396" t="s">
        <v>13522</v>
      </c>
      <c r="E7113" s="396" t="s">
        <v>13523</v>
      </c>
      <c r="F7113" s="396" t="s">
        <v>13124</v>
      </c>
    </row>
    <row r="7114">
      <c r="A7114" s="311">
        <v>7113</v>
      </c>
      <c r="B7114" s="396" t="s">
        <v>13530</v>
      </c>
      <c r="C7114" s="396" t="s">
        <v>13531</v>
      </c>
      <c r="D7114" s="396" t="s">
        <v>13522</v>
      </c>
      <c r="E7114" s="396" t="s">
        <v>13523</v>
      </c>
      <c r="F7114" s="396" t="s">
        <v>13124</v>
      </c>
    </row>
    <row r="7115">
      <c r="A7115" s="311">
        <v>7114</v>
      </c>
      <c r="B7115" s="396" t="s">
        <v>13532</v>
      </c>
      <c r="C7115" s="396" t="s">
        <v>13533</v>
      </c>
      <c r="D7115" s="396" t="s">
        <v>13522</v>
      </c>
      <c r="E7115" s="396" t="s">
        <v>13523</v>
      </c>
      <c r="F7115" s="396" t="s">
        <v>13124</v>
      </c>
    </row>
    <row r="7116">
      <c r="A7116" s="311">
        <v>7115</v>
      </c>
      <c r="B7116" s="396" t="s">
        <v>13534</v>
      </c>
      <c r="C7116" s="396" t="s">
        <v>13535</v>
      </c>
      <c r="D7116" s="396" t="s">
        <v>13522</v>
      </c>
      <c r="E7116" s="396" t="s">
        <v>13523</v>
      </c>
      <c r="F7116" s="396" t="s">
        <v>13124</v>
      </c>
    </row>
    <row r="7117">
      <c r="A7117" s="311">
        <v>7116</v>
      </c>
      <c r="B7117" s="396" t="s">
        <v>13536</v>
      </c>
      <c r="C7117" s="396" t="s">
        <v>13537</v>
      </c>
      <c r="D7117" s="396" t="s">
        <v>13522</v>
      </c>
      <c r="E7117" s="396" t="s">
        <v>13523</v>
      </c>
      <c r="F7117" s="396" t="s">
        <v>13124</v>
      </c>
    </row>
    <row r="7118">
      <c r="A7118" s="311">
        <v>7117</v>
      </c>
      <c r="B7118" s="396" t="s">
        <v>13538</v>
      </c>
      <c r="C7118" s="396" t="s">
        <v>13539</v>
      </c>
      <c r="D7118" s="396" t="s">
        <v>13522</v>
      </c>
      <c r="E7118" s="396" t="s">
        <v>13523</v>
      </c>
      <c r="F7118" s="396" t="s">
        <v>13124</v>
      </c>
    </row>
    <row r="7119">
      <c r="A7119" s="311">
        <v>7118</v>
      </c>
      <c r="B7119" s="396" t="s">
        <v>13540</v>
      </c>
      <c r="C7119" s="396" t="s">
        <v>13541</v>
      </c>
      <c r="D7119" s="396" t="s">
        <v>13522</v>
      </c>
      <c r="E7119" s="396" t="s">
        <v>13523</v>
      </c>
      <c r="F7119" s="396" t="s">
        <v>13124</v>
      </c>
    </row>
    <row r="7120">
      <c r="A7120" s="311">
        <v>7119</v>
      </c>
      <c r="B7120" s="396" t="s">
        <v>13542</v>
      </c>
      <c r="C7120" s="396" t="s">
        <v>13543</v>
      </c>
      <c r="D7120" s="396" t="s">
        <v>13544</v>
      </c>
      <c r="E7120" s="396" t="s">
        <v>13545</v>
      </c>
      <c r="F7120" s="396" t="s">
        <v>13124</v>
      </c>
    </row>
    <row r="7121">
      <c r="A7121" s="311">
        <v>7120</v>
      </c>
      <c r="B7121" s="396" t="s">
        <v>13546</v>
      </c>
      <c r="C7121" s="396" t="s">
        <v>13547</v>
      </c>
      <c r="D7121" s="396" t="s">
        <v>13544</v>
      </c>
      <c r="E7121" s="396" t="s">
        <v>13545</v>
      </c>
      <c r="F7121" s="396" t="s">
        <v>13124</v>
      </c>
    </row>
    <row r="7122">
      <c r="A7122" s="311">
        <v>7121</v>
      </c>
      <c r="B7122" s="396" t="s">
        <v>13548</v>
      </c>
      <c r="C7122" s="396" t="s">
        <v>13549</v>
      </c>
      <c r="D7122" s="396" t="s">
        <v>13544</v>
      </c>
      <c r="E7122" s="396" t="s">
        <v>13545</v>
      </c>
      <c r="F7122" s="396" t="s">
        <v>13124</v>
      </c>
    </row>
    <row r="7123">
      <c r="A7123" s="311">
        <v>7122</v>
      </c>
      <c r="B7123" s="396" t="s">
        <v>13550</v>
      </c>
      <c r="C7123" s="396" t="s">
        <v>5720</v>
      </c>
      <c r="D7123" s="396" t="s">
        <v>13544</v>
      </c>
      <c r="E7123" s="396" t="s">
        <v>13545</v>
      </c>
      <c r="F7123" s="396" t="s">
        <v>13124</v>
      </c>
    </row>
    <row r="7124">
      <c r="A7124" s="311">
        <v>7123</v>
      </c>
      <c r="B7124" s="396" t="s">
        <v>13551</v>
      </c>
      <c r="C7124" s="396" t="s">
        <v>6427</v>
      </c>
      <c r="D7124" s="396" t="s">
        <v>13544</v>
      </c>
      <c r="E7124" s="396" t="s">
        <v>13545</v>
      </c>
      <c r="F7124" s="396" t="s">
        <v>13124</v>
      </c>
    </row>
    <row r="7125">
      <c r="A7125" s="311">
        <v>7124</v>
      </c>
      <c r="B7125" s="396" t="s">
        <v>13552</v>
      </c>
      <c r="C7125" s="396" t="s">
        <v>13553</v>
      </c>
      <c r="D7125" s="396" t="s">
        <v>13544</v>
      </c>
      <c r="E7125" s="396" t="s">
        <v>13545</v>
      </c>
      <c r="F7125" s="396" t="s">
        <v>13124</v>
      </c>
    </row>
    <row r="7126">
      <c r="A7126" s="311">
        <v>7125</v>
      </c>
      <c r="B7126" s="396" t="s">
        <v>13554</v>
      </c>
      <c r="C7126" s="396" t="s">
        <v>13555</v>
      </c>
      <c r="D7126" s="396" t="s">
        <v>13544</v>
      </c>
      <c r="E7126" s="396" t="s">
        <v>13545</v>
      </c>
      <c r="F7126" s="396" t="s">
        <v>13124</v>
      </c>
    </row>
    <row r="7127">
      <c r="A7127" s="311">
        <v>7126</v>
      </c>
      <c r="B7127" s="396" t="s">
        <v>13556</v>
      </c>
      <c r="C7127" s="396" t="s">
        <v>13557</v>
      </c>
      <c r="D7127" s="396" t="s">
        <v>13544</v>
      </c>
      <c r="E7127" s="396" t="s">
        <v>13545</v>
      </c>
      <c r="F7127" s="396" t="s">
        <v>13124</v>
      </c>
    </row>
    <row r="7128">
      <c r="A7128" s="311">
        <v>7127</v>
      </c>
      <c r="B7128" s="396" t="s">
        <v>13558</v>
      </c>
      <c r="C7128" s="396" t="s">
        <v>13559</v>
      </c>
      <c r="D7128" s="396" t="s">
        <v>13544</v>
      </c>
      <c r="E7128" s="396" t="s">
        <v>13545</v>
      </c>
      <c r="F7128" s="396" t="s">
        <v>13124</v>
      </c>
    </row>
    <row r="7129">
      <c r="A7129" s="311">
        <v>7128</v>
      </c>
      <c r="B7129" s="396" t="s">
        <v>13560</v>
      </c>
      <c r="C7129" s="396" t="s">
        <v>466</v>
      </c>
      <c r="D7129" s="396" t="s">
        <v>13544</v>
      </c>
      <c r="E7129" s="396" t="s">
        <v>13545</v>
      </c>
      <c r="F7129" s="396" t="s">
        <v>13124</v>
      </c>
    </row>
    <row r="7130">
      <c r="A7130" s="311">
        <v>7129</v>
      </c>
      <c r="B7130" s="396" t="s">
        <v>13561</v>
      </c>
      <c r="C7130" s="396" t="s">
        <v>13562</v>
      </c>
      <c r="D7130" s="396" t="s">
        <v>13544</v>
      </c>
      <c r="E7130" s="396" t="s">
        <v>13545</v>
      </c>
      <c r="F7130" s="396" t="s">
        <v>13124</v>
      </c>
    </row>
    <row r="7131">
      <c r="A7131" s="311">
        <v>7130</v>
      </c>
      <c r="B7131" s="396" t="s">
        <v>13563</v>
      </c>
      <c r="C7131" s="396" t="s">
        <v>6935</v>
      </c>
      <c r="D7131" s="396" t="s">
        <v>13544</v>
      </c>
      <c r="E7131" s="396" t="s">
        <v>13545</v>
      </c>
      <c r="F7131" s="396" t="s">
        <v>13124</v>
      </c>
    </row>
    <row r="7132">
      <c r="A7132" s="311">
        <v>7131</v>
      </c>
      <c r="B7132" s="396" t="s">
        <v>13564</v>
      </c>
      <c r="C7132" s="396" t="s">
        <v>8728</v>
      </c>
      <c r="D7132" s="396" t="s">
        <v>13544</v>
      </c>
      <c r="E7132" s="396" t="s">
        <v>13545</v>
      </c>
      <c r="F7132" s="396" t="s">
        <v>13124</v>
      </c>
    </row>
    <row r="7133">
      <c r="A7133" s="311">
        <v>7132</v>
      </c>
      <c r="B7133" s="396" t="s">
        <v>13565</v>
      </c>
      <c r="C7133" s="396" t="s">
        <v>13566</v>
      </c>
      <c r="D7133" s="396" t="s">
        <v>13544</v>
      </c>
      <c r="E7133" s="396" t="s">
        <v>13545</v>
      </c>
      <c r="F7133" s="396" t="s">
        <v>13124</v>
      </c>
    </row>
    <row r="7134">
      <c r="A7134" s="311">
        <v>7133</v>
      </c>
      <c r="B7134" s="396" t="s">
        <v>13567</v>
      </c>
      <c r="C7134" s="396" t="s">
        <v>13568</v>
      </c>
      <c r="D7134" s="396" t="s">
        <v>13544</v>
      </c>
      <c r="E7134" s="396" t="s">
        <v>13545</v>
      </c>
      <c r="F7134" s="396" t="s">
        <v>13124</v>
      </c>
    </row>
    <row r="7135">
      <c r="A7135" s="311">
        <v>7134</v>
      </c>
      <c r="B7135" s="396" t="s">
        <v>13569</v>
      </c>
      <c r="C7135" s="396" t="s">
        <v>13570</v>
      </c>
      <c r="D7135" s="396" t="s">
        <v>13544</v>
      </c>
      <c r="E7135" s="396" t="s">
        <v>13545</v>
      </c>
      <c r="F7135" s="396" t="s">
        <v>13124</v>
      </c>
    </row>
    <row r="7136">
      <c r="A7136" s="311">
        <v>7135</v>
      </c>
      <c r="B7136" s="396" t="s">
        <v>13571</v>
      </c>
      <c r="C7136" s="396" t="s">
        <v>13572</v>
      </c>
      <c r="D7136" s="396" t="s">
        <v>13544</v>
      </c>
      <c r="E7136" s="396" t="s">
        <v>13545</v>
      </c>
      <c r="F7136" s="396" t="s">
        <v>13124</v>
      </c>
    </row>
    <row r="7137">
      <c r="A7137" s="311">
        <v>7136</v>
      </c>
      <c r="B7137" s="396" t="s">
        <v>13573</v>
      </c>
      <c r="C7137" s="396" t="s">
        <v>13574</v>
      </c>
      <c r="D7137" s="396" t="s">
        <v>13575</v>
      </c>
      <c r="E7137" s="396" t="s">
        <v>13576</v>
      </c>
      <c r="F7137" s="396" t="s">
        <v>13124</v>
      </c>
    </row>
    <row r="7138">
      <c r="A7138" s="311">
        <v>7137</v>
      </c>
      <c r="B7138" s="396" t="s">
        <v>13577</v>
      </c>
      <c r="C7138" s="396" t="s">
        <v>13578</v>
      </c>
      <c r="D7138" s="396" t="s">
        <v>13575</v>
      </c>
      <c r="E7138" s="396" t="s">
        <v>13576</v>
      </c>
      <c r="F7138" s="396" t="s">
        <v>13124</v>
      </c>
    </row>
    <row r="7139">
      <c r="A7139" s="311">
        <v>7138</v>
      </c>
      <c r="B7139" s="396" t="s">
        <v>13579</v>
      </c>
      <c r="C7139" s="396" t="s">
        <v>13580</v>
      </c>
      <c r="D7139" s="396" t="s">
        <v>13575</v>
      </c>
      <c r="E7139" s="396" t="s">
        <v>13576</v>
      </c>
      <c r="F7139" s="396" t="s">
        <v>13124</v>
      </c>
    </row>
    <row r="7140">
      <c r="A7140" s="311">
        <v>7139</v>
      </c>
      <c r="B7140" s="396" t="s">
        <v>13581</v>
      </c>
      <c r="C7140" s="396" t="s">
        <v>13582</v>
      </c>
      <c r="D7140" s="396" t="s">
        <v>13575</v>
      </c>
      <c r="E7140" s="396" t="s">
        <v>13576</v>
      </c>
      <c r="F7140" s="396" t="s">
        <v>13124</v>
      </c>
    </row>
    <row r="7141">
      <c r="A7141" s="311">
        <v>7140</v>
      </c>
      <c r="B7141" s="396" t="s">
        <v>13583</v>
      </c>
      <c r="C7141" s="396" t="s">
        <v>13584</v>
      </c>
      <c r="D7141" s="396" t="s">
        <v>13575</v>
      </c>
      <c r="E7141" s="396" t="s">
        <v>13576</v>
      </c>
      <c r="F7141" s="396" t="s">
        <v>13124</v>
      </c>
    </row>
    <row r="7142">
      <c r="A7142" s="311">
        <v>7141</v>
      </c>
      <c r="B7142" s="396" t="s">
        <v>13585</v>
      </c>
      <c r="C7142" s="396" t="s">
        <v>13586</v>
      </c>
      <c r="D7142" s="396" t="s">
        <v>13575</v>
      </c>
      <c r="E7142" s="396" t="s">
        <v>13576</v>
      </c>
      <c r="F7142" s="396" t="s">
        <v>13124</v>
      </c>
    </row>
    <row r="7143">
      <c r="A7143" s="311">
        <v>7142</v>
      </c>
      <c r="B7143" s="396" t="s">
        <v>13587</v>
      </c>
      <c r="C7143" s="396" t="s">
        <v>13588</v>
      </c>
      <c r="D7143" s="396" t="s">
        <v>13575</v>
      </c>
      <c r="E7143" s="396" t="s">
        <v>13576</v>
      </c>
      <c r="F7143" s="396" t="s">
        <v>13124</v>
      </c>
    </row>
    <row r="7144">
      <c r="A7144" s="311">
        <v>7143</v>
      </c>
      <c r="B7144" s="396" t="s">
        <v>13589</v>
      </c>
      <c r="C7144" s="396" t="s">
        <v>10990</v>
      </c>
      <c r="D7144" s="396" t="s">
        <v>13575</v>
      </c>
      <c r="E7144" s="396" t="s">
        <v>13576</v>
      </c>
      <c r="F7144" s="396" t="s">
        <v>13124</v>
      </c>
    </row>
    <row r="7145">
      <c r="A7145" s="311">
        <v>7144</v>
      </c>
      <c r="B7145" s="396" t="s">
        <v>13590</v>
      </c>
      <c r="C7145" s="396" t="s">
        <v>13591</v>
      </c>
      <c r="D7145" s="396" t="s">
        <v>13575</v>
      </c>
      <c r="E7145" s="396" t="s">
        <v>13576</v>
      </c>
      <c r="F7145" s="396" t="s">
        <v>13124</v>
      </c>
    </row>
    <row r="7146">
      <c r="A7146" s="311">
        <v>7145</v>
      </c>
      <c r="B7146" s="396" t="s">
        <v>13592</v>
      </c>
      <c r="C7146" s="396" t="s">
        <v>13593</v>
      </c>
      <c r="D7146" s="396" t="s">
        <v>13575</v>
      </c>
      <c r="E7146" s="396" t="s">
        <v>13576</v>
      </c>
      <c r="F7146" s="396" t="s">
        <v>13124</v>
      </c>
    </row>
    <row r="7147">
      <c r="A7147" s="311">
        <v>7146</v>
      </c>
      <c r="B7147" s="396" t="s">
        <v>13594</v>
      </c>
      <c r="C7147" s="396" t="s">
        <v>13595</v>
      </c>
      <c r="D7147" s="396" t="s">
        <v>13575</v>
      </c>
      <c r="E7147" s="396" t="s">
        <v>13576</v>
      </c>
      <c r="F7147" s="396" t="s">
        <v>13124</v>
      </c>
    </row>
    <row r="7148">
      <c r="A7148" s="311">
        <v>7147</v>
      </c>
      <c r="B7148" s="396" t="s">
        <v>13596</v>
      </c>
      <c r="C7148" s="396" t="s">
        <v>13597</v>
      </c>
      <c r="D7148" s="396" t="s">
        <v>13598</v>
      </c>
      <c r="E7148" s="396" t="s">
        <v>13599</v>
      </c>
      <c r="F7148" s="396" t="s">
        <v>13124</v>
      </c>
    </row>
    <row r="7149">
      <c r="A7149" s="311">
        <v>7148</v>
      </c>
      <c r="B7149" s="396" t="s">
        <v>13600</v>
      </c>
      <c r="C7149" s="396" t="s">
        <v>13601</v>
      </c>
      <c r="D7149" s="396" t="s">
        <v>13598</v>
      </c>
      <c r="E7149" s="396" t="s">
        <v>13599</v>
      </c>
      <c r="F7149" s="396" t="s">
        <v>13124</v>
      </c>
    </row>
    <row r="7150">
      <c r="A7150" s="311">
        <v>7149</v>
      </c>
      <c r="B7150" s="396" t="s">
        <v>13602</v>
      </c>
      <c r="C7150" s="396" t="s">
        <v>13603</v>
      </c>
      <c r="D7150" s="396" t="s">
        <v>13598</v>
      </c>
      <c r="E7150" s="396" t="s">
        <v>13599</v>
      </c>
      <c r="F7150" s="396" t="s">
        <v>13124</v>
      </c>
    </row>
    <row r="7151">
      <c r="A7151" s="311">
        <v>7150</v>
      </c>
      <c r="B7151" s="396" t="s">
        <v>13604</v>
      </c>
      <c r="C7151" s="396" t="s">
        <v>13605</v>
      </c>
      <c r="D7151" s="396" t="s">
        <v>13598</v>
      </c>
      <c r="E7151" s="396" t="s">
        <v>13599</v>
      </c>
      <c r="F7151" s="396" t="s">
        <v>13124</v>
      </c>
    </row>
    <row r="7152">
      <c r="A7152" s="311">
        <v>7151</v>
      </c>
      <c r="B7152" s="396" t="s">
        <v>13606</v>
      </c>
      <c r="C7152" s="396" t="s">
        <v>13607</v>
      </c>
      <c r="D7152" s="396" t="s">
        <v>13598</v>
      </c>
      <c r="E7152" s="396" t="s">
        <v>13599</v>
      </c>
      <c r="F7152" s="396" t="s">
        <v>13124</v>
      </c>
    </row>
    <row r="7153">
      <c r="A7153" s="311">
        <v>7152</v>
      </c>
      <c r="B7153" s="396" t="s">
        <v>13608</v>
      </c>
      <c r="C7153" s="396" t="s">
        <v>13609</v>
      </c>
      <c r="D7153" s="396" t="s">
        <v>13598</v>
      </c>
      <c r="E7153" s="396" t="s">
        <v>13599</v>
      </c>
      <c r="F7153" s="396" t="s">
        <v>13124</v>
      </c>
    </row>
    <row r="7154">
      <c r="A7154" s="311">
        <v>7153</v>
      </c>
      <c r="B7154" s="396" t="s">
        <v>13610</v>
      </c>
      <c r="C7154" s="396" t="s">
        <v>6180</v>
      </c>
      <c r="D7154" s="396" t="s">
        <v>13598</v>
      </c>
      <c r="E7154" s="396" t="s">
        <v>13599</v>
      </c>
      <c r="F7154" s="396" t="s">
        <v>13124</v>
      </c>
    </row>
    <row r="7155">
      <c r="A7155" s="311">
        <v>7154</v>
      </c>
      <c r="B7155" s="396" t="s">
        <v>13611</v>
      </c>
      <c r="C7155" s="396" t="s">
        <v>8278</v>
      </c>
      <c r="D7155" s="396" t="s">
        <v>13612</v>
      </c>
      <c r="E7155" s="396" t="s">
        <v>13613</v>
      </c>
      <c r="F7155" s="396" t="s">
        <v>13614</v>
      </c>
    </row>
    <row r="7156">
      <c r="A7156" s="311">
        <v>7155</v>
      </c>
      <c r="B7156" s="396" t="s">
        <v>13615</v>
      </c>
      <c r="C7156" s="396" t="s">
        <v>252</v>
      </c>
      <c r="D7156" s="396" t="s">
        <v>13612</v>
      </c>
      <c r="E7156" s="396" t="s">
        <v>13613</v>
      </c>
      <c r="F7156" s="396" t="s">
        <v>13614</v>
      </c>
    </row>
    <row r="7157">
      <c r="A7157" s="311">
        <v>7156</v>
      </c>
      <c r="B7157" s="396" t="s">
        <v>13616</v>
      </c>
      <c r="C7157" s="396" t="s">
        <v>13617</v>
      </c>
      <c r="D7157" s="396" t="s">
        <v>13612</v>
      </c>
      <c r="E7157" s="396" t="s">
        <v>13613</v>
      </c>
      <c r="F7157" s="396" t="s">
        <v>13614</v>
      </c>
    </row>
    <row r="7158">
      <c r="A7158" s="311">
        <v>7157</v>
      </c>
      <c r="B7158" s="396" t="s">
        <v>13618</v>
      </c>
      <c r="C7158" s="396" t="s">
        <v>13619</v>
      </c>
      <c r="D7158" s="396" t="s">
        <v>13612</v>
      </c>
      <c r="E7158" s="396" t="s">
        <v>13613</v>
      </c>
      <c r="F7158" s="396" t="s">
        <v>13614</v>
      </c>
    </row>
    <row r="7159">
      <c r="A7159" s="311">
        <v>7158</v>
      </c>
      <c r="B7159" s="396" t="s">
        <v>13620</v>
      </c>
      <c r="C7159" s="396" t="s">
        <v>70</v>
      </c>
      <c r="D7159" s="396" t="s">
        <v>13612</v>
      </c>
      <c r="E7159" s="396" t="s">
        <v>13613</v>
      </c>
      <c r="F7159" s="396" t="s">
        <v>13614</v>
      </c>
    </row>
    <row r="7160">
      <c r="A7160" s="311">
        <v>7159</v>
      </c>
      <c r="B7160" s="396" t="s">
        <v>13621</v>
      </c>
      <c r="C7160" s="396" t="s">
        <v>13622</v>
      </c>
      <c r="D7160" s="396" t="s">
        <v>13612</v>
      </c>
      <c r="E7160" s="396" t="s">
        <v>13613</v>
      </c>
      <c r="F7160" s="396" t="s">
        <v>13614</v>
      </c>
    </row>
    <row r="7161">
      <c r="A7161" s="311">
        <v>7160</v>
      </c>
      <c r="B7161" s="396" t="s">
        <v>13623</v>
      </c>
      <c r="C7161" s="396" t="s">
        <v>13624</v>
      </c>
      <c r="D7161" s="396" t="s">
        <v>13612</v>
      </c>
      <c r="E7161" s="396" t="s">
        <v>13613</v>
      </c>
      <c r="F7161" s="396" t="s">
        <v>13614</v>
      </c>
    </row>
    <row r="7162">
      <c r="A7162" s="311">
        <v>7161</v>
      </c>
      <c r="B7162" s="396" t="s">
        <v>13625</v>
      </c>
      <c r="C7162" s="396" t="s">
        <v>13626</v>
      </c>
      <c r="D7162" s="396" t="s">
        <v>13612</v>
      </c>
      <c r="E7162" s="396" t="s">
        <v>13613</v>
      </c>
      <c r="F7162" s="396" t="s">
        <v>13614</v>
      </c>
    </row>
    <row r="7163">
      <c r="A7163" s="311">
        <v>7162</v>
      </c>
      <c r="B7163" s="396" t="s">
        <v>13627</v>
      </c>
      <c r="C7163" s="396" t="s">
        <v>11177</v>
      </c>
      <c r="D7163" s="396" t="s">
        <v>13612</v>
      </c>
      <c r="E7163" s="396" t="s">
        <v>13613</v>
      </c>
      <c r="F7163" s="396" t="s">
        <v>13614</v>
      </c>
    </row>
    <row r="7164">
      <c r="A7164" s="311">
        <v>7163</v>
      </c>
      <c r="B7164" s="396" t="s">
        <v>13628</v>
      </c>
      <c r="C7164" s="396" t="s">
        <v>13629</v>
      </c>
      <c r="D7164" s="396" t="s">
        <v>13612</v>
      </c>
      <c r="E7164" s="396" t="s">
        <v>13613</v>
      </c>
      <c r="F7164" s="396" t="s">
        <v>13614</v>
      </c>
    </row>
    <row r="7165">
      <c r="A7165" s="311">
        <v>7164</v>
      </c>
      <c r="B7165" s="396" t="s">
        <v>13630</v>
      </c>
      <c r="C7165" s="396" t="s">
        <v>13631</v>
      </c>
      <c r="D7165" s="396" t="s">
        <v>13612</v>
      </c>
      <c r="E7165" s="396" t="s">
        <v>13613</v>
      </c>
      <c r="F7165" s="396" t="s">
        <v>13614</v>
      </c>
    </row>
    <row r="7166">
      <c r="A7166" s="311">
        <v>7165</v>
      </c>
      <c r="B7166" s="396" t="s">
        <v>13632</v>
      </c>
      <c r="C7166" s="396" t="s">
        <v>13633</v>
      </c>
      <c r="D7166" s="396" t="s">
        <v>13612</v>
      </c>
      <c r="E7166" s="396" t="s">
        <v>13613</v>
      </c>
      <c r="F7166" s="396" t="s">
        <v>13614</v>
      </c>
    </row>
    <row r="7167">
      <c r="A7167" s="311">
        <v>7166</v>
      </c>
      <c r="B7167" s="396" t="s">
        <v>13634</v>
      </c>
      <c r="C7167" s="396" t="s">
        <v>13635</v>
      </c>
      <c r="D7167" s="396" t="s">
        <v>13612</v>
      </c>
      <c r="E7167" s="396" t="s">
        <v>13613</v>
      </c>
      <c r="F7167" s="396" t="s">
        <v>13614</v>
      </c>
    </row>
    <row r="7168">
      <c r="A7168" s="311">
        <v>7167</v>
      </c>
      <c r="B7168" s="396" t="s">
        <v>13636</v>
      </c>
      <c r="C7168" s="396" t="s">
        <v>13637</v>
      </c>
      <c r="D7168" s="396" t="s">
        <v>13612</v>
      </c>
      <c r="E7168" s="396" t="s">
        <v>13613</v>
      </c>
      <c r="F7168" s="396" t="s">
        <v>13614</v>
      </c>
    </row>
    <row r="7169">
      <c r="A7169" s="311">
        <v>7168</v>
      </c>
      <c r="B7169" s="396" t="s">
        <v>13638</v>
      </c>
      <c r="C7169" s="396" t="s">
        <v>13639</v>
      </c>
      <c r="D7169" s="396" t="s">
        <v>13612</v>
      </c>
      <c r="E7169" s="396" t="s">
        <v>13613</v>
      </c>
      <c r="F7169" s="396" t="s">
        <v>13614</v>
      </c>
    </row>
    <row r="7170">
      <c r="A7170" s="311">
        <v>7169</v>
      </c>
      <c r="B7170" s="396" t="s">
        <v>13640</v>
      </c>
      <c r="C7170" s="396" t="s">
        <v>13641</v>
      </c>
      <c r="D7170" s="396" t="s">
        <v>13612</v>
      </c>
      <c r="E7170" s="396" t="s">
        <v>13613</v>
      </c>
      <c r="F7170" s="396" t="s">
        <v>13614</v>
      </c>
    </row>
    <row r="7171">
      <c r="A7171" s="311">
        <v>7170</v>
      </c>
      <c r="B7171" s="396" t="s">
        <v>13642</v>
      </c>
      <c r="C7171" s="396" t="s">
        <v>13643</v>
      </c>
      <c r="D7171" s="396" t="s">
        <v>13612</v>
      </c>
      <c r="E7171" s="396" t="s">
        <v>13613</v>
      </c>
      <c r="F7171" s="396" t="s">
        <v>13614</v>
      </c>
    </row>
    <row r="7172">
      <c r="A7172" s="311">
        <v>7171</v>
      </c>
      <c r="B7172" s="396" t="s">
        <v>13644</v>
      </c>
      <c r="C7172" s="396" t="s">
        <v>13645</v>
      </c>
      <c r="D7172" s="396" t="s">
        <v>13612</v>
      </c>
      <c r="E7172" s="396" t="s">
        <v>13613</v>
      </c>
      <c r="F7172" s="396" t="s">
        <v>13614</v>
      </c>
    </row>
    <row r="7173">
      <c r="A7173" s="311">
        <v>7172</v>
      </c>
      <c r="B7173" s="396" t="s">
        <v>13646</v>
      </c>
      <c r="C7173" s="396" t="s">
        <v>13647</v>
      </c>
      <c r="D7173" s="396" t="s">
        <v>13612</v>
      </c>
      <c r="E7173" s="396" t="s">
        <v>13613</v>
      </c>
      <c r="F7173" s="396" t="s">
        <v>13614</v>
      </c>
    </row>
    <row r="7174">
      <c r="A7174" s="311">
        <v>7173</v>
      </c>
      <c r="B7174" s="396" t="s">
        <v>13648</v>
      </c>
      <c r="C7174" s="396" t="s">
        <v>13649</v>
      </c>
      <c r="D7174" s="396" t="s">
        <v>13612</v>
      </c>
      <c r="E7174" s="396" t="s">
        <v>13613</v>
      </c>
      <c r="F7174" s="396" t="s">
        <v>13614</v>
      </c>
    </row>
    <row r="7175">
      <c r="A7175" s="311">
        <v>7174</v>
      </c>
      <c r="B7175" s="396" t="s">
        <v>13650</v>
      </c>
      <c r="C7175" s="396" t="s">
        <v>9138</v>
      </c>
      <c r="D7175" s="396" t="s">
        <v>13612</v>
      </c>
      <c r="E7175" s="396" t="s">
        <v>13613</v>
      </c>
      <c r="F7175" s="396" t="s">
        <v>13614</v>
      </c>
    </row>
    <row r="7176">
      <c r="A7176" s="311">
        <v>7175</v>
      </c>
      <c r="B7176" s="396" t="s">
        <v>13651</v>
      </c>
      <c r="C7176" s="396" t="s">
        <v>13652</v>
      </c>
      <c r="D7176" s="396" t="s">
        <v>13612</v>
      </c>
      <c r="E7176" s="396" t="s">
        <v>13613</v>
      </c>
      <c r="F7176" s="396" t="s">
        <v>13614</v>
      </c>
    </row>
    <row r="7177">
      <c r="A7177" s="311">
        <v>7176</v>
      </c>
      <c r="B7177" s="396" t="s">
        <v>13653</v>
      </c>
      <c r="C7177" s="396" t="s">
        <v>3863</v>
      </c>
      <c r="D7177" s="396" t="s">
        <v>13612</v>
      </c>
      <c r="E7177" s="396" t="s">
        <v>13613</v>
      </c>
      <c r="F7177" s="396" t="s">
        <v>13614</v>
      </c>
    </row>
    <row r="7178">
      <c r="A7178" s="311">
        <v>7177</v>
      </c>
      <c r="B7178" s="396" t="s">
        <v>13654</v>
      </c>
      <c r="C7178" s="396" t="s">
        <v>13655</v>
      </c>
      <c r="D7178" s="396" t="s">
        <v>13656</v>
      </c>
      <c r="E7178" s="396" t="s">
        <v>13657</v>
      </c>
      <c r="F7178" s="396" t="s">
        <v>13614</v>
      </c>
    </row>
    <row r="7179">
      <c r="A7179" s="311">
        <v>7178</v>
      </c>
      <c r="B7179" s="396" t="s">
        <v>13658</v>
      </c>
      <c r="C7179" s="396" t="s">
        <v>4114</v>
      </c>
      <c r="D7179" s="396" t="s">
        <v>13656</v>
      </c>
      <c r="E7179" s="396" t="s">
        <v>13657</v>
      </c>
      <c r="F7179" s="396" t="s">
        <v>13614</v>
      </c>
    </row>
    <row r="7180">
      <c r="A7180" s="311">
        <v>7179</v>
      </c>
      <c r="B7180" s="396" t="s">
        <v>13659</v>
      </c>
      <c r="C7180" s="396" t="s">
        <v>13660</v>
      </c>
      <c r="D7180" s="396" t="s">
        <v>13656</v>
      </c>
      <c r="E7180" s="396" t="s">
        <v>13657</v>
      </c>
      <c r="F7180" s="396" t="s">
        <v>13614</v>
      </c>
    </row>
    <row r="7181">
      <c r="A7181" s="311">
        <v>7180</v>
      </c>
      <c r="B7181" s="396" t="s">
        <v>13661</v>
      </c>
      <c r="C7181" s="396" t="s">
        <v>13662</v>
      </c>
      <c r="D7181" s="396" t="s">
        <v>13656</v>
      </c>
      <c r="E7181" s="396" t="s">
        <v>13657</v>
      </c>
      <c r="F7181" s="396" t="s">
        <v>13614</v>
      </c>
    </row>
    <row r="7182">
      <c r="A7182" s="311">
        <v>7181</v>
      </c>
      <c r="B7182" s="396" t="s">
        <v>13663</v>
      </c>
      <c r="C7182" s="396" t="s">
        <v>13451</v>
      </c>
      <c r="D7182" s="396" t="s">
        <v>13656</v>
      </c>
      <c r="E7182" s="396" t="s">
        <v>13657</v>
      </c>
      <c r="F7182" s="396" t="s">
        <v>13614</v>
      </c>
    </row>
    <row r="7183">
      <c r="A7183" s="311">
        <v>7182</v>
      </c>
      <c r="B7183" s="396" t="s">
        <v>13664</v>
      </c>
      <c r="C7183" s="396" t="s">
        <v>8659</v>
      </c>
      <c r="D7183" s="396" t="s">
        <v>13656</v>
      </c>
      <c r="E7183" s="396" t="s">
        <v>13657</v>
      </c>
      <c r="F7183" s="396" t="s">
        <v>13614</v>
      </c>
    </row>
    <row r="7184">
      <c r="A7184" s="311">
        <v>7183</v>
      </c>
      <c r="B7184" s="396" t="s">
        <v>13665</v>
      </c>
      <c r="C7184" s="396" t="s">
        <v>13666</v>
      </c>
      <c r="D7184" s="396" t="s">
        <v>13656</v>
      </c>
      <c r="E7184" s="396" t="s">
        <v>13657</v>
      </c>
      <c r="F7184" s="396" t="s">
        <v>13614</v>
      </c>
    </row>
    <row r="7185">
      <c r="A7185" s="311">
        <v>7184</v>
      </c>
      <c r="B7185" s="396" t="s">
        <v>13667</v>
      </c>
      <c r="C7185" s="396" t="s">
        <v>13442</v>
      </c>
      <c r="D7185" s="396" t="s">
        <v>13656</v>
      </c>
      <c r="E7185" s="396" t="s">
        <v>13657</v>
      </c>
      <c r="F7185" s="396" t="s">
        <v>13614</v>
      </c>
    </row>
    <row r="7186">
      <c r="A7186" s="311">
        <v>7185</v>
      </c>
      <c r="B7186" s="396" t="s">
        <v>13668</v>
      </c>
      <c r="C7186" s="396" t="s">
        <v>2319</v>
      </c>
      <c r="D7186" s="396" t="s">
        <v>13656</v>
      </c>
      <c r="E7186" s="396" t="s">
        <v>13657</v>
      </c>
      <c r="F7186" s="396" t="s">
        <v>13614</v>
      </c>
    </row>
    <row r="7187">
      <c r="A7187" s="311">
        <v>7186</v>
      </c>
      <c r="B7187" s="396" t="s">
        <v>13669</v>
      </c>
      <c r="C7187" s="396" t="s">
        <v>13457</v>
      </c>
      <c r="D7187" s="396" t="s">
        <v>13656</v>
      </c>
      <c r="E7187" s="396" t="s">
        <v>13657</v>
      </c>
      <c r="F7187" s="396" t="s">
        <v>13614</v>
      </c>
    </row>
    <row r="7188">
      <c r="A7188" s="311">
        <v>7187</v>
      </c>
      <c r="B7188" s="396" t="s">
        <v>13670</v>
      </c>
      <c r="C7188" s="396" t="s">
        <v>1950</v>
      </c>
      <c r="D7188" s="396" t="s">
        <v>13656</v>
      </c>
      <c r="E7188" s="396" t="s">
        <v>13657</v>
      </c>
      <c r="F7188" s="396" t="s">
        <v>13614</v>
      </c>
    </row>
    <row r="7189">
      <c r="A7189" s="311">
        <v>7188</v>
      </c>
      <c r="B7189" s="396" t="s">
        <v>13671</v>
      </c>
      <c r="C7189" s="396" t="s">
        <v>13672</v>
      </c>
      <c r="D7189" s="396" t="s">
        <v>13656</v>
      </c>
      <c r="E7189" s="396" t="s">
        <v>13657</v>
      </c>
      <c r="F7189" s="396" t="s">
        <v>13614</v>
      </c>
    </row>
    <row r="7190">
      <c r="A7190" s="311">
        <v>7189</v>
      </c>
      <c r="B7190" s="396" t="s">
        <v>13673</v>
      </c>
      <c r="C7190" s="396" t="s">
        <v>13674</v>
      </c>
      <c r="D7190" s="396" t="s">
        <v>13656</v>
      </c>
      <c r="E7190" s="396" t="s">
        <v>13657</v>
      </c>
      <c r="F7190" s="396" t="s">
        <v>13614</v>
      </c>
    </row>
    <row r="7191">
      <c r="A7191" s="311">
        <v>7190</v>
      </c>
      <c r="B7191" s="396" t="s">
        <v>13675</v>
      </c>
      <c r="C7191" s="396" t="s">
        <v>9282</v>
      </c>
      <c r="D7191" s="396" t="s">
        <v>13656</v>
      </c>
      <c r="E7191" s="396" t="s">
        <v>13657</v>
      </c>
      <c r="F7191" s="396" t="s">
        <v>13614</v>
      </c>
    </row>
    <row r="7192">
      <c r="A7192" s="311">
        <v>7191</v>
      </c>
      <c r="B7192" s="396" t="s">
        <v>13676</v>
      </c>
      <c r="C7192" s="396" t="s">
        <v>2198</v>
      </c>
      <c r="D7192" s="396" t="s">
        <v>13656</v>
      </c>
      <c r="E7192" s="396" t="s">
        <v>13657</v>
      </c>
      <c r="F7192" s="396" t="s">
        <v>13614</v>
      </c>
    </row>
    <row r="7193">
      <c r="A7193" s="311">
        <v>7192</v>
      </c>
      <c r="B7193" s="396" t="s">
        <v>13677</v>
      </c>
      <c r="C7193" s="396" t="s">
        <v>970</v>
      </c>
      <c r="D7193" s="396" t="s">
        <v>13656</v>
      </c>
      <c r="E7193" s="396" t="s">
        <v>13657</v>
      </c>
      <c r="F7193" s="396" t="s">
        <v>13614</v>
      </c>
    </row>
    <row r="7194">
      <c r="A7194" s="311">
        <v>7193</v>
      </c>
      <c r="B7194" s="396" t="s">
        <v>13678</v>
      </c>
      <c r="C7194" s="396" t="s">
        <v>1933</v>
      </c>
      <c r="D7194" s="396" t="s">
        <v>13656</v>
      </c>
      <c r="E7194" s="396" t="s">
        <v>13657</v>
      </c>
      <c r="F7194" s="396" t="s">
        <v>13614</v>
      </c>
    </row>
    <row r="7195">
      <c r="A7195" s="311">
        <v>7194</v>
      </c>
      <c r="B7195" s="396" t="s">
        <v>13679</v>
      </c>
      <c r="C7195" s="396" t="s">
        <v>13680</v>
      </c>
      <c r="D7195" s="396" t="s">
        <v>13656</v>
      </c>
      <c r="E7195" s="396" t="s">
        <v>13657</v>
      </c>
      <c r="F7195" s="396" t="s">
        <v>13614</v>
      </c>
    </row>
    <row r="7196">
      <c r="A7196" s="311">
        <v>7195</v>
      </c>
      <c r="B7196" s="396" t="s">
        <v>13681</v>
      </c>
      <c r="C7196" s="396" t="s">
        <v>886</v>
      </c>
      <c r="D7196" s="396" t="s">
        <v>13656</v>
      </c>
      <c r="E7196" s="396" t="s">
        <v>13657</v>
      </c>
      <c r="F7196" s="396" t="s">
        <v>13614</v>
      </c>
    </row>
    <row r="7197">
      <c r="A7197" s="311">
        <v>7196</v>
      </c>
      <c r="B7197" s="396" t="s">
        <v>13682</v>
      </c>
      <c r="C7197" s="396" t="s">
        <v>13683</v>
      </c>
      <c r="D7197" s="396" t="s">
        <v>13656</v>
      </c>
      <c r="E7197" s="396" t="s">
        <v>13657</v>
      </c>
      <c r="F7197" s="396" t="s">
        <v>13614</v>
      </c>
    </row>
    <row r="7198">
      <c r="A7198" s="311">
        <v>7197</v>
      </c>
      <c r="B7198" s="396" t="s">
        <v>13684</v>
      </c>
      <c r="C7198" s="396" t="s">
        <v>13685</v>
      </c>
      <c r="D7198" s="396" t="s">
        <v>13656</v>
      </c>
      <c r="E7198" s="396" t="s">
        <v>13657</v>
      </c>
      <c r="F7198" s="396" t="s">
        <v>13614</v>
      </c>
    </row>
    <row r="7199">
      <c r="A7199" s="311">
        <v>7198</v>
      </c>
      <c r="B7199" s="396" t="s">
        <v>13686</v>
      </c>
      <c r="C7199" s="396" t="s">
        <v>13687</v>
      </c>
      <c r="D7199" s="396" t="s">
        <v>13656</v>
      </c>
      <c r="E7199" s="396" t="s">
        <v>13657</v>
      </c>
      <c r="F7199" s="396" t="s">
        <v>13614</v>
      </c>
    </row>
    <row r="7200">
      <c r="A7200" s="311">
        <v>7199</v>
      </c>
      <c r="B7200" s="396" t="s">
        <v>13688</v>
      </c>
      <c r="C7200" s="396" t="s">
        <v>13689</v>
      </c>
      <c r="D7200" s="396" t="s">
        <v>13656</v>
      </c>
      <c r="E7200" s="396" t="s">
        <v>13657</v>
      </c>
      <c r="F7200" s="396" t="s">
        <v>13614</v>
      </c>
    </row>
    <row r="7201">
      <c r="A7201" s="311">
        <v>7200</v>
      </c>
      <c r="B7201" s="396" t="s">
        <v>13690</v>
      </c>
      <c r="C7201" s="396" t="s">
        <v>13691</v>
      </c>
      <c r="D7201" s="396" t="s">
        <v>13656</v>
      </c>
      <c r="E7201" s="396" t="s">
        <v>13657</v>
      </c>
      <c r="F7201" s="396" t="s">
        <v>13614</v>
      </c>
    </row>
    <row r="7202">
      <c r="A7202" s="311">
        <v>7201</v>
      </c>
      <c r="B7202" s="396" t="s">
        <v>13692</v>
      </c>
      <c r="C7202" s="396" t="s">
        <v>13693</v>
      </c>
      <c r="D7202" s="396" t="s">
        <v>13656</v>
      </c>
      <c r="E7202" s="396" t="s">
        <v>13657</v>
      </c>
      <c r="F7202" s="396" t="s">
        <v>13614</v>
      </c>
    </row>
    <row r="7203">
      <c r="A7203" s="311">
        <v>7202</v>
      </c>
      <c r="B7203" s="396" t="s">
        <v>13694</v>
      </c>
      <c r="C7203" s="396" t="s">
        <v>13695</v>
      </c>
      <c r="D7203" s="396" t="s">
        <v>13696</v>
      </c>
      <c r="E7203" s="396" t="s">
        <v>13697</v>
      </c>
      <c r="F7203" s="396" t="s">
        <v>13614</v>
      </c>
    </row>
    <row r="7204">
      <c r="A7204" s="311">
        <v>7203</v>
      </c>
      <c r="B7204" s="396" t="s">
        <v>13698</v>
      </c>
      <c r="C7204" s="396" t="s">
        <v>8652</v>
      </c>
      <c r="D7204" s="396" t="s">
        <v>13696</v>
      </c>
      <c r="E7204" s="396" t="s">
        <v>13697</v>
      </c>
      <c r="F7204" s="396" t="s">
        <v>13614</v>
      </c>
    </row>
    <row r="7205">
      <c r="A7205" s="311">
        <v>7204</v>
      </c>
      <c r="B7205" s="396" t="s">
        <v>13699</v>
      </c>
      <c r="C7205" s="396" t="s">
        <v>13700</v>
      </c>
      <c r="D7205" s="396" t="s">
        <v>13696</v>
      </c>
      <c r="E7205" s="396" t="s">
        <v>13697</v>
      </c>
      <c r="F7205" s="396" t="s">
        <v>13614</v>
      </c>
    </row>
    <row r="7206">
      <c r="A7206" s="311">
        <v>7205</v>
      </c>
      <c r="B7206" s="396" t="s">
        <v>13701</v>
      </c>
      <c r="C7206" s="396" t="s">
        <v>13702</v>
      </c>
      <c r="D7206" s="396" t="s">
        <v>13696</v>
      </c>
      <c r="E7206" s="396" t="s">
        <v>13697</v>
      </c>
      <c r="F7206" s="396" t="s">
        <v>13614</v>
      </c>
    </row>
    <row r="7207">
      <c r="A7207" s="311">
        <v>7206</v>
      </c>
      <c r="B7207" s="396" t="s">
        <v>13703</v>
      </c>
      <c r="C7207" s="396" t="s">
        <v>13704</v>
      </c>
      <c r="D7207" s="396" t="s">
        <v>13696</v>
      </c>
      <c r="E7207" s="396" t="s">
        <v>13697</v>
      </c>
      <c r="F7207" s="396" t="s">
        <v>13614</v>
      </c>
    </row>
    <row r="7208">
      <c r="A7208" s="311">
        <v>7207</v>
      </c>
      <c r="B7208" s="396" t="s">
        <v>13705</v>
      </c>
      <c r="C7208" s="396" t="s">
        <v>13706</v>
      </c>
      <c r="D7208" s="396" t="s">
        <v>13696</v>
      </c>
      <c r="E7208" s="396" t="s">
        <v>13697</v>
      </c>
      <c r="F7208" s="396" t="s">
        <v>13614</v>
      </c>
    </row>
    <row r="7209">
      <c r="A7209" s="311">
        <v>7208</v>
      </c>
      <c r="B7209" s="396" t="s">
        <v>13707</v>
      </c>
      <c r="C7209" s="396" t="s">
        <v>13708</v>
      </c>
      <c r="D7209" s="396" t="s">
        <v>13696</v>
      </c>
      <c r="E7209" s="396" t="s">
        <v>13697</v>
      </c>
      <c r="F7209" s="396" t="s">
        <v>13614</v>
      </c>
    </row>
    <row r="7210">
      <c r="A7210" s="311">
        <v>7209</v>
      </c>
      <c r="B7210" s="396" t="s">
        <v>13709</v>
      </c>
      <c r="C7210" s="396" t="s">
        <v>13513</v>
      </c>
      <c r="D7210" s="396" t="s">
        <v>13696</v>
      </c>
      <c r="E7210" s="396" t="s">
        <v>13697</v>
      </c>
      <c r="F7210" s="396" t="s">
        <v>13614</v>
      </c>
    </row>
    <row r="7211">
      <c r="A7211" s="311">
        <v>7210</v>
      </c>
      <c r="B7211" s="396" t="s">
        <v>13710</v>
      </c>
      <c r="C7211" s="396" t="s">
        <v>13498</v>
      </c>
      <c r="D7211" s="396" t="s">
        <v>13696</v>
      </c>
      <c r="E7211" s="396" t="s">
        <v>13697</v>
      </c>
      <c r="F7211" s="396" t="s">
        <v>13614</v>
      </c>
    </row>
    <row r="7212">
      <c r="A7212" s="311">
        <v>7211</v>
      </c>
      <c r="B7212" s="396" t="s">
        <v>13711</v>
      </c>
      <c r="C7212" s="396" t="s">
        <v>13712</v>
      </c>
      <c r="D7212" s="396" t="s">
        <v>13696</v>
      </c>
      <c r="E7212" s="396" t="s">
        <v>13697</v>
      </c>
      <c r="F7212" s="396" t="s">
        <v>13614</v>
      </c>
    </row>
    <row r="7213">
      <c r="A7213" s="311">
        <v>7212</v>
      </c>
      <c r="B7213" s="396" t="s">
        <v>13713</v>
      </c>
      <c r="C7213" s="396" t="s">
        <v>13714</v>
      </c>
      <c r="D7213" s="396" t="s">
        <v>13715</v>
      </c>
      <c r="E7213" s="396" t="s">
        <v>13716</v>
      </c>
      <c r="F7213" s="396" t="s">
        <v>13614</v>
      </c>
    </row>
    <row r="7214">
      <c r="A7214" s="311">
        <v>7213</v>
      </c>
      <c r="B7214" s="396" t="s">
        <v>13717</v>
      </c>
      <c r="C7214" s="396" t="s">
        <v>13718</v>
      </c>
      <c r="D7214" s="396" t="s">
        <v>13715</v>
      </c>
      <c r="E7214" s="396" t="s">
        <v>13716</v>
      </c>
      <c r="F7214" s="396" t="s">
        <v>13614</v>
      </c>
    </row>
    <row r="7215">
      <c r="A7215" s="311">
        <v>7214</v>
      </c>
      <c r="B7215" s="396" t="s">
        <v>13719</v>
      </c>
      <c r="C7215" s="396" t="s">
        <v>13720</v>
      </c>
      <c r="D7215" s="396" t="s">
        <v>13715</v>
      </c>
      <c r="E7215" s="396" t="s">
        <v>13716</v>
      </c>
      <c r="F7215" s="396" t="s">
        <v>13614</v>
      </c>
    </row>
    <row r="7216">
      <c r="A7216" s="311">
        <v>7215</v>
      </c>
      <c r="B7216" s="396" t="s">
        <v>13721</v>
      </c>
      <c r="C7216" s="396" t="s">
        <v>13722</v>
      </c>
      <c r="D7216" s="396" t="s">
        <v>13715</v>
      </c>
      <c r="E7216" s="396" t="s">
        <v>13716</v>
      </c>
      <c r="F7216" s="396" t="s">
        <v>13614</v>
      </c>
    </row>
    <row r="7217">
      <c r="A7217" s="311">
        <v>7216</v>
      </c>
      <c r="B7217" s="396" t="s">
        <v>13723</v>
      </c>
      <c r="C7217" s="396" t="s">
        <v>13724</v>
      </c>
      <c r="D7217" s="396" t="s">
        <v>13715</v>
      </c>
      <c r="E7217" s="396" t="s">
        <v>13716</v>
      </c>
      <c r="F7217" s="396" t="s">
        <v>13614</v>
      </c>
    </row>
    <row r="7218">
      <c r="A7218" s="311">
        <v>7217</v>
      </c>
      <c r="B7218" s="396" t="s">
        <v>13725</v>
      </c>
      <c r="C7218" s="396" t="s">
        <v>13726</v>
      </c>
      <c r="D7218" s="396" t="s">
        <v>13715</v>
      </c>
      <c r="E7218" s="396" t="s">
        <v>13716</v>
      </c>
      <c r="F7218" s="396" t="s">
        <v>13614</v>
      </c>
    </row>
    <row r="7219">
      <c r="A7219" s="311">
        <v>7218</v>
      </c>
      <c r="B7219" s="396" t="s">
        <v>13727</v>
      </c>
      <c r="C7219" s="396" t="s">
        <v>13728</v>
      </c>
      <c r="D7219" s="396" t="s">
        <v>13715</v>
      </c>
      <c r="E7219" s="396" t="s">
        <v>13716</v>
      </c>
      <c r="F7219" s="396" t="s">
        <v>13614</v>
      </c>
    </row>
    <row r="7220">
      <c r="A7220" s="311">
        <v>7219</v>
      </c>
      <c r="B7220" s="396" t="s">
        <v>13729</v>
      </c>
      <c r="C7220" s="396" t="s">
        <v>13730</v>
      </c>
      <c r="D7220" s="396" t="s">
        <v>13715</v>
      </c>
      <c r="E7220" s="396" t="s">
        <v>13716</v>
      </c>
      <c r="F7220" s="396" t="s">
        <v>13614</v>
      </c>
    </row>
    <row r="7221">
      <c r="A7221" s="311">
        <v>7220</v>
      </c>
      <c r="B7221" s="396" t="s">
        <v>13731</v>
      </c>
      <c r="C7221" s="396" t="s">
        <v>13732</v>
      </c>
      <c r="D7221" s="396" t="s">
        <v>13715</v>
      </c>
      <c r="E7221" s="396" t="s">
        <v>13716</v>
      </c>
      <c r="F7221" s="396" t="s">
        <v>13614</v>
      </c>
    </row>
    <row r="7222">
      <c r="A7222" s="311">
        <v>7221</v>
      </c>
      <c r="B7222" s="396" t="s">
        <v>13733</v>
      </c>
      <c r="C7222" s="396" t="s">
        <v>13734</v>
      </c>
      <c r="D7222" s="396" t="s">
        <v>13735</v>
      </c>
      <c r="E7222" s="396" t="s">
        <v>13736</v>
      </c>
      <c r="F7222" s="396" t="s">
        <v>13614</v>
      </c>
    </row>
    <row r="7223">
      <c r="A7223" s="311">
        <v>7222</v>
      </c>
      <c r="B7223" s="396" t="s">
        <v>13737</v>
      </c>
      <c r="C7223" s="396" t="s">
        <v>13738</v>
      </c>
      <c r="D7223" s="396" t="s">
        <v>13735</v>
      </c>
      <c r="E7223" s="396" t="s">
        <v>13736</v>
      </c>
      <c r="F7223" s="396" t="s">
        <v>13614</v>
      </c>
    </row>
    <row r="7224">
      <c r="A7224" s="311">
        <v>7223</v>
      </c>
      <c r="B7224" s="396" t="s">
        <v>13739</v>
      </c>
      <c r="C7224" s="396" t="s">
        <v>13740</v>
      </c>
      <c r="D7224" s="396" t="s">
        <v>13735</v>
      </c>
      <c r="E7224" s="396" t="s">
        <v>13736</v>
      </c>
      <c r="F7224" s="396" t="s">
        <v>13614</v>
      </c>
    </row>
    <row r="7225">
      <c r="A7225" s="311">
        <v>7224</v>
      </c>
      <c r="B7225" s="396" t="s">
        <v>13741</v>
      </c>
      <c r="C7225" s="396" t="s">
        <v>13742</v>
      </c>
      <c r="D7225" s="396" t="s">
        <v>13735</v>
      </c>
      <c r="E7225" s="396" t="s">
        <v>13736</v>
      </c>
      <c r="F7225" s="396" t="s">
        <v>13614</v>
      </c>
    </row>
    <row r="7226">
      <c r="A7226" s="311">
        <v>7225</v>
      </c>
      <c r="B7226" s="396" t="s">
        <v>13743</v>
      </c>
      <c r="C7226" s="396" t="s">
        <v>13744</v>
      </c>
      <c r="D7226" s="396" t="s">
        <v>13735</v>
      </c>
      <c r="E7226" s="396" t="s">
        <v>13736</v>
      </c>
      <c r="F7226" s="396" t="s">
        <v>13614</v>
      </c>
    </row>
    <row r="7227">
      <c r="A7227" s="311">
        <v>7226</v>
      </c>
      <c r="B7227" s="396" t="s">
        <v>13745</v>
      </c>
      <c r="C7227" s="396" t="s">
        <v>13746</v>
      </c>
      <c r="D7227" s="396" t="s">
        <v>13735</v>
      </c>
      <c r="E7227" s="396" t="s">
        <v>13736</v>
      </c>
      <c r="F7227" s="396" t="s">
        <v>13614</v>
      </c>
    </row>
    <row r="7228">
      <c r="A7228" s="311">
        <v>7227</v>
      </c>
      <c r="B7228" s="396" t="s">
        <v>13747</v>
      </c>
      <c r="C7228" s="396" t="s">
        <v>13748</v>
      </c>
      <c r="D7228" s="396" t="s">
        <v>13735</v>
      </c>
      <c r="E7228" s="396" t="s">
        <v>13736</v>
      </c>
      <c r="F7228" s="396" t="s">
        <v>13614</v>
      </c>
    </row>
    <row r="7229">
      <c r="A7229" s="311">
        <v>7228</v>
      </c>
      <c r="B7229" s="396" t="s">
        <v>13749</v>
      </c>
      <c r="C7229" s="396" t="s">
        <v>13750</v>
      </c>
      <c r="D7229" s="396" t="s">
        <v>13735</v>
      </c>
      <c r="E7229" s="396" t="s">
        <v>13736</v>
      </c>
      <c r="F7229" s="396" t="s">
        <v>13614</v>
      </c>
    </row>
    <row r="7230">
      <c r="A7230" s="311">
        <v>7229</v>
      </c>
      <c r="B7230" s="396" t="s">
        <v>13751</v>
      </c>
      <c r="C7230" s="396" t="s">
        <v>13752</v>
      </c>
      <c r="D7230" s="396" t="s">
        <v>13735</v>
      </c>
      <c r="E7230" s="396" t="s">
        <v>13736</v>
      </c>
      <c r="F7230" s="396" t="s">
        <v>13614</v>
      </c>
    </row>
    <row r="7231">
      <c r="A7231" s="311">
        <v>7230</v>
      </c>
      <c r="B7231" s="396" t="s">
        <v>13753</v>
      </c>
      <c r="C7231" s="396" t="s">
        <v>13754</v>
      </c>
      <c r="D7231" s="396" t="s">
        <v>13735</v>
      </c>
      <c r="E7231" s="396" t="s">
        <v>13736</v>
      </c>
      <c r="F7231" s="396" t="s">
        <v>13614</v>
      </c>
    </row>
    <row r="7232">
      <c r="A7232" s="311">
        <v>7231</v>
      </c>
      <c r="B7232" s="396" t="s">
        <v>13755</v>
      </c>
      <c r="C7232" s="396" t="s">
        <v>13756</v>
      </c>
      <c r="D7232" s="396" t="s">
        <v>13735</v>
      </c>
      <c r="E7232" s="396" t="s">
        <v>13736</v>
      </c>
      <c r="F7232" s="396" t="s">
        <v>13614</v>
      </c>
    </row>
    <row r="7233">
      <c r="A7233" s="311">
        <v>7232</v>
      </c>
      <c r="B7233" s="396" t="s">
        <v>13757</v>
      </c>
      <c r="C7233" s="396" t="s">
        <v>13758</v>
      </c>
      <c r="D7233" s="396" t="s">
        <v>13759</v>
      </c>
      <c r="E7233" s="396" t="s">
        <v>13760</v>
      </c>
      <c r="F7233" s="396" t="s">
        <v>13614</v>
      </c>
    </row>
    <row r="7234">
      <c r="A7234" s="311">
        <v>7233</v>
      </c>
      <c r="B7234" s="396" t="s">
        <v>13761</v>
      </c>
      <c r="C7234" s="396" t="s">
        <v>13762</v>
      </c>
      <c r="D7234" s="396" t="s">
        <v>13759</v>
      </c>
      <c r="E7234" s="396" t="s">
        <v>13760</v>
      </c>
      <c r="F7234" s="396" t="s">
        <v>13614</v>
      </c>
    </row>
    <row r="7235">
      <c r="A7235" s="311">
        <v>7234</v>
      </c>
      <c r="B7235" s="396" t="s">
        <v>13763</v>
      </c>
      <c r="C7235" s="396" t="s">
        <v>9148</v>
      </c>
      <c r="D7235" s="396" t="s">
        <v>13759</v>
      </c>
      <c r="E7235" s="396" t="s">
        <v>13760</v>
      </c>
      <c r="F7235" s="396" t="s">
        <v>13614</v>
      </c>
    </row>
    <row r="7236">
      <c r="A7236" s="311">
        <v>7235</v>
      </c>
      <c r="B7236" s="396" t="s">
        <v>13764</v>
      </c>
      <c r="C7236" s="396" t="s">
        <v>9152</v>
      </c>
      <c r="D7236" s="396" t="s">
        <v>13759</v>
      </c>
      <c r="E7236" s="396" t="s">
        <v>13760</v>
      </c>
      <c r="F7236" s="396" t="s">
        <v>13614</v>
      </c>
    </row>
    <row r="7237">
      <c r="A7237" s="311">
        <v>7236</v>
      </c>
      <c r="B7237" s="396" t="s">
        <v>13765</v>
      </c>
      <c r="C7237" s="396" t="s">
        <v>1356</v>
      </c>
      <c r="D7237" s="396" t="s">
        <v>13759</v>
      </c>
      <c r="E7237" s="396" t="s">
        <v>13760</v>
      </c>
      <c r="F7237" s="396" t="s">
        <v>13614</v>
      </c>
    </row>
    <row r="7238">
      <c r="A7238" s="311">
        <v>7237</v>
      </c>
      <c r="B7238" s="396" t="s">
        <v>13766</v>
      </c>
      <c r="C7238" s="396" t="s">
        <v>13767</v>
      </c>
      <c r="D7238" s="396" t="s">
        <v>13759</v>
      </c>
      <c r="E7238" s="396" t="s">
        <v>13760</v>
      </c>
      <c r="F7238" s="396" t="s">
        <v>13614</v>
      </c>
    </row>
    <row r="7239">
      <c r="A7239" s="311">
        <v>7238</v>
      </c>
      <c r="B7239" s="396" t="s">
        <v>13768</v>
      </c>
      <c r="C7239" s="396" t="s">
        <v>4092</v>
      </c>
      <c r="D7239" s="396" t="s">
        <v>13759</v>
      </c>
      <c r="E7239" s="396" t="s">
        <v>13760</v>
      </c>
      <c r="F7239" s="396" t="s">
        <v>13614</v>
      </c>
    </row>
    <row r="7240">
      <c r="A7240" s="311">
        <v>7239</v>
      </c>
      <c r="B7240" s="396" t="s">
        <v>13769</v>
      </c>
      <c r="C7240" s="396" t="s">
        <v>11010</v>
      </c>
      <c r="D7240" s="396" t="s">
        <v>13759</v>
      </c>
      <c r="E7240" s="396" t="s">
        <v>13760</v>
      </c>
      <c r="F7240" s="396" t="s">
        <v>13614</v>
      </c>
    </row>
    <row r="7241">
      <c r="A7241" s="311">
        <v>7240</v>
      </c>
      <c r="B7241" s="396" t="s">
        <v>13770</v>
      </c>
      <c r="C7241" s="396" t="s">
        <v>5796</v>
      </c>
      <c r="D7241" s="396" t="s">
        <v>13759</v>
      </c>
      <c r="E7241" s="396" t="s">
        <v>13760</v>
      </c>
      <c r="F7241" s="396" t="s">
        <v>13614</v>
      </c>
    </row>
    <row r="7242">
      <c r="A7242" s="311">
        <v>7241</v>
      </c>
      <c r="B7242" s="396" t="s">
        <v>13771</v>
      </c>
      <c r="C7242" s="396" t="s">
        <v>13772</v>
      </c>
      <c r="D7242" s="396" t="s">
        <v>13759</v>
      </c>
      <c r="E7242" s="396" t="s">
        <v>13760</v>
      </c>
      <c r="F7242" s="396" t="s">
        <v>13614</v>
      </c>
    </row>
    <row r="7243">
      <c r="A7243" s="311">
        <v>7242</v>
      </c>
      <c r="B7243" s="396" t="s">
        <v>13773</v>
      </c>
      <c r="C7243" s="396" t="s">
        <v>13774</v>
      </c>
      <c r="D7243" s="396" t="s">
        <v>13759</v>
      </c>
      <c r="E7243" s="396" t="s">
        <v>13760</v>
      </c>
      <c r="F7243" s="396" t="s">
        <v>13614</v>
      </c>
    </row>
    <row r="7244">
      <c r="A7244" s="311">
        <v>7243</v>
      </c>
      <c r="B7244" s="396" t="s">
        <v>13775</v>
      </c>
      <c r="C7244" s="396" t="s">
        <v>6028</v>
      </c>
      <c r="D7244" s="396" t="s">
        <v>13759</v>
      </c>
      <c r="E7244" s="396" t="s">
        <v>13760</v>
      </c>
      <c r="F7244" s="396" t="s">
        <v>13614</v>
      </c>
    </row>
    <row r="7245">
      <c r="A7245" s="311">
        <v>7244</v>
      </c>
      <c r="B7245" s="396" t="s">
        <v>13776</v>
      </c>
      <c r="C7245" s="396" t="s">
        <v>8070</v>
      </c>
      <c r="D7245" s="396" t="s">
        <v>13759</v>
      </c>
      <c r="E7245" s="396" t="s">
        <v>13760</v>
      </c>
      <c r="F7245" s="396" t="s">
        <v>13614</v>
      </c>
    </row>
    <row r="7246">
      <c r="A7246" s="311">
        <v>7245</v>
      </c>
      <c r="B7246" s="396" t="s">
        <v>13777</v>
      </c>
      <c r="C7246" s="396" t="s">
        <v>5862</v>
      </c>
      <c r="D7246" s="396" t="s">
        <v>13759</v>
      </c>
      <c r="E7246" s="396" t="s">
        <v>13760</v>
      </c>
      <c r="F7246" s="396" t="s">
        <v>13614</v>
      </c>
    </row>
    <row r="7247">
      <c r="A7247" s="311">
        <v>7246</v>
      </c>
      <c r="B7247" s="396" t="s">
        <v>13778</v>
      </c>
      <c r="C7247" s="396" t="s">
        <v>10867</v>
      </c>
      <c r="D7247" s="396" t="s">
        <v>13759</v>
      </c>
      <c r="E7247" s="396" t="s">
        <v>13760</v>
      </c>
      <c r="F7247" s="396" t="s">
        <v>13614</v>
      </c>
    </row>
    <row r="7248">
      <c r="A7248" s="311">
        <v>7247</v>
      </c>
      <c r="B7248" s="396" t="s">
        <v>13779</v>
      </c>
      <c r="C7248" s="396" t="s">
        <v>13780</v>
      </c>
      <c r="D7248" s="396" t="s">
        <v>13781</v>
      </c>
      <c r="E7248" s="396" t="s">
        <v>13782</v>
      </c>
      <c r="F7248" s="396" t="s">
        <v>13614</v>
      </c>
    </row>
    <row r="7249">
      <c r="A7249" s="311">
        <v>7248</v>
      </c>
      <c r="B7249" s="396" t="s">
        <v>13783</v>
      </c>
      <c r="C7249" s="396" t="s">
        <v>13784</v>
      </c>
      <c r="D7249" s="396" t="s">
        <v>13781</v>
      </c>
      <c r="E7249" s="396" t="s">
        <v>13782</v>
      </c>
      <c r="F7249" s="396" t="s">
        <v>13614</v>
      </c>
    </row>
    <row r="7250">
      <c r="A7250" s="311">
        <v>7249</v>
      </c>
      <c r="B7250" s="396" t="s">
        <v>13785</v>
      </c>
      <c r="C7250" s="396" t="s">
        <v>9459</v>
      </c>
      <c r="D7250" s="396" t="s">
        <v>13781</v>
      </c>
      <c r="E7250" s="396" t="s">
        <v>13782</v>
      </c>
      <c r="F7250" s="396" t="s">
        <v>13614</v>
      </c>
    </row>
    <row r="7251">
      <c r="A7251" s="311">
        <v>7250</v>
      </c>
      <c r="B7251" s="396" t="s">
        <v>13786</v>
      </c>
      <c r="C7251" s="396" t="s">
        <v>13787</v>
      </c>
      <c r="D7251" s="396" t="s">
        <v>13781</v>
      </c>
      <c r="E7251" s="396" t="s">
        <v>13782</v>
      </c>
      <c r="F7251" s="396" t="s">
        <v>13614</v>
      </c>
    </row>
    <row r="7252">
      <c r="A7252" s="311">
        <v>7251</v>
      </c>
      <c r="B7252" s="396" t="s">
        <v>13788</v>
      </c>
      <c r="C7252" s="396" t="s">
        <v>13789</v>
      </c>
      <c r="D7252" s="396" t="s">
        <v>13781</v>
      </c>
      <c r="E7252" s="396" t="s">
        <v>13782</v>
      </c>
      <c r="F7252" s="396" t="s">
        <v>13614</v>
      </c>
    </row>
    <row r="7253">
      <c r="A7253" s="311">
        <v>7252</v>
      </c>
      <c r="B7253" s="396" t="s">
        <v>13790</v>
      </c>
      <c r="C7253" s="396" t="s">
        <v>13791</v>
      </c>
      <c r="D7253" s="396" t="s">
        <v>13781</v>
      </c>
      <c r="E7253" s="396" t="s">
        <v>13782</v>
      </c>
      <c r="F7253" s="396" t="s">
        <v>13614</v>
      </c>
    </row>
    <row r="7254">
      <c r="A7254" s="311">
        <v>7253</v>
      </c>
      <c r="B7254" s="396" t="s">
        <v>13792</v>
      </c>
      <c r="C7254" s="396" t="s">
        <v>11700</v>
      </c>
      <c r="D7254" s="396" t="s">
        <v>13781</v>
      </c>
      <c r="E7254" s="396" t="s">
        <v>13782</v>
      </c>
      <c r="F7254" s="396" t="s">
        <v>13614</v>
      </c>
    </row>
    <row r="7255">
      <c r="A7255" s="311">
        <v>7254</v>
      </c>
      <c r="B7255" s="396" t="s">
        <v>13793</v>
      </c>
      <c r="C7255" s="396" t="s">
        <v>11719</v>
      </c>
      <c r="D7255" s="396" t="s">
        <v>13781</v>
      </c>
      <c r="E7255" s="396" t="s">
        <v>13782</v>
      </c>
      <c r="F7255" s="396" t="s">
        <v>13614</v>
      </c>
    </row>
    <row r="7256">
      <c r="A7256" s="311">
        <v>7255</v>
      </c>
      <c r="B7256" s="396" t="s">
        <v>13794</v>
      </c>
      <c r="C7256" s="396" t="s">
        <v>13795</v>
      </c>
      <c r="D7256" s="396" t="s">
        <v>13781</v>
      </c>
      <c r="E7256" s="396" t="s">
        <v>13782</v>
      </c>
      <c r="F7256" s="396" t="s">
        <v>13614</v>
      </c>
    </row>
    <row r="7257">
      <c r="A7257" s="311">
        <v>7256</v>
      </c>
      <c r="B7257" s="396" t="s">
        <v>13796</v>
      </c>
      <c r="C7257" s="396" t="s">
        <v>13797</v>
      </c>
      <c r="D7257" s="396" t="s">
        <v>13781</v>
      </c>
      <c r="E7257" s="396" t="s">
        <v>13782</v>
      </c>
      <c r="F7257" s="396" t="s">
        <v>13614</v>
      </c>
    </row>
    <row r="7258">
      <c r="A7258" s="311">
        <v>7257</v>
      </c>
      <c r="B7258" s="396" t="s">
        <v>13798</v>
      </c>
      <c r="C7258" s="396" t="s">
        <v>2765</v>
      </c>
      <c r="D7258" s="396" t="s">
        <v>13781</v>
      </c>
      <c r="E7258" s="396" t="s">
        <v>13782</v>
      </c>
      <c r="F7258" s="396" t="s">
        <v>13614</v>
      </c>
    </row>
    <row r="7259">
      <c r="A7259" s="311">
        <v>7258</v>
      </c>
      <c r="B7259" s="396" t="s">
        <v>13799</v>
      </c>
      <c r="C7259" s="396" t="s">
        <v>4306</v>
      </c>
      <c r="D7259" s="396" t="s">
        <v>13781</v>
      </c>
      <c r="E7259" s="396" t="s">
        <v>13782</v>
      </c>
      <c r="F7259" s="396" t="s">
        <v>13614</v>
      </c>
    </row>
    <row r="7260">
      <c r="A7260" s="311">
        <v>7259</v>
      </c>
      <c r="B7260" s="396" t="s">
        <v>13800</v>
      </c>
      <c r="C7260" s="396" t="s">
        <v>13801</v>
      </c>
      <c r="D7260" s="396" t="s">
        <v>13781</v>
      </c>
      <c r="E7260" s="396" t="s">
        <v>13782</v>
      </c>
      <c r="F7260" s="396" t="s">
        <v>13614</v>
      </c>
    </row>
    <row r="7261">
      <c r="A7261" s="311">
        <v>7260</v>
      </c>
      <c r="B7261" s="396" t="s">
        <v>13802</v>
      </c>
      <c r="C7261" s="396" t="s">
        <v>13803</v>
      </c>
      <c r="D7261" s="396" t="s">
        <v>13781</v>
      </c>
      <c r="E7261" s="396" t="s">
        <v>13782</v>
      </c>
      <c r="F7261" s="396" t="s">
        <v>13614</v>
      </c>
    </row>
    <row r="7262">
      <c r="A7262" s="311">
        <v>7261</v>
      </c>
      <c r="B7262" s="396" t="s">
        <v>13804</v>
      </c>
      <c r="C7262" s="396" t="s">
        <v>13805</v>
      </c>
      <c r="D7262" s="396" t="s">
        <v>13806</v>
      </c>
      <c r="E7262" s="396" t="s">
        <v>13807</v>
      </c>
      <c r="F7262" s="396" t="s">
        <v>13614</v>
      </c>
    </row>
    <row r="7263">
      <c r="A7263" s="311">
        <v>7262</v>
      </c>
      <c r="B7263" s="396" t="s">
        <v>13808</v>
      </c>
      <c r="C7263" s="396" t="s">
        <v>13809</v>
      </c>
      <c r="D7263" s="396" t="s">
        <v>13806</v>
      </c>
      <c r="E7263" s="396" t="s">
        <v>13807</v>
      </c>
      <c r="F7263" s="396" t="s">
        <v>13614</v>
      </c>
    </row>
    <row r="7264">
      <c r="A7264" s="311">
        <v>7263</v>
      </c>
      <c r="B7264" s="396" t="s">
        <v>13810</v>
      </c>
      <c r="C7264" s="396" t="s">
        <v>13811</v>
      </c>
      <c r="D7264" s="396" t="s">
        <v>13806</v>
      </c>
      <c r="E7264" s="396" t="s">
        <v>13807</v>
      </c>
      <c r="F7264" s="396" t="s">
        <v>13614</v>
      </c>
    </row>
    <row r="7265">
      <c r="A7265" s="311">
        <v>7264</v>
      </c>
      <c r="B7265" s="396" t="s">
        <v>13812</v>
      </c>
      <c r="C7265" s="396" t="s">
        <v>11706</v>
      </c>
      <c r="D7265" s="396" t="s">
        <v>13806</v>
      </c>
      <c r="E7265" s="396" t="s">
        <v>13807</v>
      </c>
      <c r="F7265" s="396" t="s">
        <v>13614</v>
      </c>
    </row>
    <row r="7266">
      <c r="A7266" s="311">
        <v>7265</v>
      </c>
      <c r="B7266" s="396" t="s">
        <v>13813</v>
      </c>
      <c r="C7266" s="396" t="s">
        <v>13814</v>
      </c>
      <c r="D7266" s="396" t="s">
        <v>13806</v>
      </c>
      <c r="E7266" s="396" t="s">
        <v>13807</v>
      </c>
      <c r="F7266" s="396" t="s">
        <v>13614</v>
      </c>
    </row>
    <row r="7267">
      <c r="A7267" s="311">
        <v>7266</v>
      </c>
      <c r="B7267" s="396" t="s">
        <v>13815</v>
      </c>
      <c r="C7267" s="396" t="s">
        <v>13816</v>
      </c>
      <c r="D7267" s="396" t="s">
        <v>13806</v>
      </c>
      <c r="E7267" s="396" t="s">
        <v>13807</v>
      </c>
      <c r="F7267" s="396" t="s">
        <v>13614</v>
      </c>
    </row>
    <row r="7268">
      <c r="A7268" s="311">
        <v>7267</v>
      </c>
      <c r="B7268" s="396" t="s">
        <v>13817</v>
      </c>
      <c r="C7268" s="396" t="s">
        <v>11730</v>
      </c>
      <c r="D7268" s="396" t="s">
        <v>13806</v>
      </c>
      <c r="E7268" s="396" t="s">
        <v>13807</v>
      </c>
      <c r="F7268" s="396" t="s">
        <v>13614</v>
      </c>
    </row>
    <row r="7269">
      <c r="A7269" s="311">
        <v>7268</v>
      </c>
      <c r="B7269" s="396" t="s">
        <v>13818</v>
      </c>
      <c r="C7269" s="396" t="s">
        <v>13819</v>
      </c>
      <c r="D7269" s="396" t="s">
        <v>13806</v>
      </c>
      <c r="E7269" s="396" t="s">
        <v>13807</v>
      </c>
      <c r="F7269" s="396" t="s">
        <v>13614</v>
      </c>
    </row>
    <row r="7270">
      <c r="A7270" s="311">
        <v>7269</v>
      </c>
      <c r="B7270" s="396" t="s">
        <v>13820</v>
      </c>
      <c r="C7270" s="396" t="s">
        <v>1704</v>
      </c>
      <c r="D7270" s="396" t="s">
        <v>13806</v>
      </c>
      <c r="E7270" s="396" t="s">
        <v>13807</v>
      </c>
      <c r="F7270" s="396" t="s">
        <v>13614</v>
      </c>
    </row>
    <row r="7271">
      <c r="A7271" s="311">
        <v>7270</v>
      </c>
      <c r="B7271" s="396" t="s">
        <v>13821</v>
      </c>
      <c r="C7271" s="396" t="s">
        <v>4284</v>
      </c>
      <c r="D7271" s="396" t="s">
        <v>13822</v>
      </c>
      <c r="E7271" s="396" t="s">
        <v>13823</v>
      </c>
      <c r="F7271" s="396" t="s">
        <v>13614</v>
      </c>
    </row>
    <row r="7272">
      <c r="A7272" s="311">
        <v>7271</v>
      </c>
      <c r="B7272" s="396" t="s">
        <v>13824</v>
      </c>
      <c r="C7272" s="396" t="s">
        <v>13825</v>
      </c>
      <c r="D7272" s="396" t="s">
        <v>13822</v>
      </c>
      <c r="E7272" s="396" t="s">
        <v>13823</v>
      </c>
      <c r="F7272" s="396" t="s">
        <v>13614</v>
      </c>
    </row>
    <row r="7273">
      <c r="A7273" s="311">
        <v>7272</v>
      </c>
      <c r="B7273" s="396" t="s">
        <v>13826</v>
      </c>
      <c r="C7273" s="396" t="s">
        <v>3059</v>
      </c>
      <c r="D7273" s="396" t="s">
        <v>13822</v>
      </c>
      <c r="E7273" s="396" t="s">
        <v>13823</v>
      </c>
      <c r="F7273" s="396" t="s">
        <v>13614</v>
      </c>
    </row>
    <row r="7274">
      <c r="A7274" s="311">
        <v>7273</v>
      </c>
      <c r="B7274" s="396" t="s">
        <v>13827</v>
      </c>
      <c r="C7274" s="396" t="s">
        <v>13828</v>
      </c>
      <c r="D7274" s="396" t="s">
        <v>13822</v>
      </c>
      <c r="E7274" s="396" t="s">
        <v>13823</v>
      </c>
      <c r="F7274" s="396" t="s">
        <v>13614</v>
      </c>
    </row>
    <row r="7275">
      <c r="A7275" s="311">
        <v>7274</v>
      </c>
      <c r="B7275" s="396" t="s">
        <v>13829</v>
      </c>
      <c r="C7275" s="396" t="s">
        <v>13830</v>
      </c>
      <c r="D7275" s="396" t="s">
        <v>13822</v>
      </c>
      <c r="E7275" s="396" t="s">
        <v>13823</v>
      </c>
      <c r="F7275" s="396" t="s">
        <v>13614</v>
      </c>
    </row>
    <row r="7276">
      <c r="A7276" s="311">
        <v>7275</v>
      </c>
      <c r="B7276" s="396" t="s">
        <v>13831</v>
      </c>
      <c r="C7276" s="396" t="s">
        <v>13832</v>
      </c>
      <c r="D7276" s="396" t="s">
        <v>13833</v>
      </c>
      <c r="E7276" s="396" t="s">
        <v>13834</v>
      </c>
      <c r="F7276" s="396" t="s">
        <v>13614</v>
      </c>
    </row>
    <row r="7277">
      <c r="A7277" s="311">
        <v>7276</v>
      </c>
      <c r="B7277" s="396" t="s">
        <v>13835</v>
      </c>
      <c r="C7277" s="396" t="s">
        <v>13836</v>
      </c>
      <c r="D7277" s="396" t="s">
        <v>13833</v>
      </c>
      <c r="E7277" s="396" t="s">
        <v>13834</v>
      </c>
      <c r="F7277" s="396" t="s">
        <v>13614</v>
      </c>
    </row>
    <row r="7278">
      <c r="A7278" s="311">
        <v>7277</v>
      </c>
      <c r="B7278" s="396" t="s">
        <v>13837</v>
      </c>
      <c r="C7278" s="396" t="s">
        <v>13838</v>
      </c>
      <c r="D7278" s="396" t="s">
        <v>13833</v>
      </c>
      <c r="E7278" s="396" t="s">
        <v>13834</v>
      </c>
      <c r="F7278" s="396" t="s">
        <v>13614</v>
      </c>
    </row>
    <row r="7279">
      <c r="A7279" s="311">
        <v>7278</v>
      </c>
      <c r="B7279" s="396" t="s">
        <v>13839</v>
      </c>
      <c r="C7279" s="396" t="s">
        <v>13840</v>
      </c>
      <c r="D7279" s="396" t="s">
        <v>13833</v>
      </c>
      <c r="E7279" s="396" t="s">
        <v>13834</v>
      </c>
      <c r="F7279" s="396" t="s">
        <v>13614</v>
      </c>
    </row>
    <row r="7280">
      <c r="A7280" s="311">
        <v>7279</v>
      </c>
      <c r="B7280" s="396" t="s">
        <v>13841</v>
      </c>
      <c r="C7280" s="396" t="s">
        <v>13842</v>
      </c>
      <c r="D7280" s="396" t="s">
        <v>13833</v>
      </c>
      <c r="E7280" s="396" t="s">
        <v>13834</v>
      </c>
      <c r="F7280" s="396" t="s">
        <v>13614</v>
      </c>
    </row>
    <row r="7281">
      <c r="A7281" s="311">
        <v>7280</v>
      </c>
      <c r="B7281" s="396" t="s">
        <v>13843</v>
      </c>
      <c r="C7281" s="396" t="s">
        <v>13844</v>
      </c>
      <c r="D7281" s="396" t="s">
        <v>13833</v>
      </c>
      <c r="E7281" s="396" t="s">
        <v>13834</v>
      </c>
      <c r="F7281" s="396" t="s">
        <v>13614</v>
      </c>
    </row>
    <row r="7282">
      <c r="A7282" s="311">
        <v>7281</v>
      </c>
      <c r="B7282" s="396" t="s">
        <v>13845</v>
      </c>
      <c r="C7282" s="396" t="s">
        <v>13846</v>
      </c>
      <c r="D7282" s="396" t="s">
        <v>13833</v>
      </c>
      <c r="E7282" s="396" t="s">
        <v>13834</v>
      </c>
      <c r="F7282" s="396" t="s">
        <v>13614</v>
      </c>
    </row>
    <row r="7283">
      <c r="A7283" s="311">
        <v>7282</v>
      </c>
      <c r="B7283" s="396" t="s">
        <v>13847</v>
      </c>
      <c r="C7283" s="396" t="s">
        <v>13848</v>
      </c>
      <c r="D7283" s="396" t="s">
        <v>13833</v>
      </c>
      <c r="E7283" s="396" t="s">
        <v>13834</v>
      </c>
      <c r="F7283" s="396" t="s">
        <v>13614</v>
      </c>
    </row>
    <row r="7284">
      <c r="A7284" s="311">
        <v>7283</v>
      </c>
      <c r="B7284" s="396" t="s">
        <v>13849</v>
      </c>
      <c r="C7284" s="396" t="s">
        <v>13850</v>
      </c>
      <c r="D7284" s="396" t="s">
        <v>13833</v>
      </c>
      <c r="E7284" s="396" t="s">
        <v>13834</v>
      </c>
      <c r="F7284" s="396" t="s">
        <v>13614</v>
      </c>
    </row>
    <row r="7285">
      <c r="A7285" s="311">
        <v>7284</v>
      </c>
      <c r="B7285" s="396" t="s">
        <v>13851</v>
      </c>
      <c r="C7285" s="396" t="s">
        <v>13852</v>
      </c>
      <c r="D7285" s="396" t="s">
        <v>13833</v>
      </c>
      <c r="E7285" s="396" t="s">
        <v>13834</v>
      </c>
      <c r="F7285" s="396" t="s">
        <v>13614</v>
      </c>
    </row>
    <row r="7286">
      <c r="A7286" s="311">
        <v>7285</v>
      </c>
      <c r="B7286" s="396" t="s">
        <v>13853</v>
      </c>
      <c r="C7286" s="396" t="s">
        <v>13854</v>
      </c>
      <c r="D7286" s="396" t="s">
        <v>13833</v>
      </c>
      <c r="E7286" s="396" t="s">
        <v>13834</v>
      </c>
      <c r="F7286" s="396" t="s">
        <v>13614</v>
      </c>
    </row>
    <row r="7287">
      <c r="A7287" s="311">
        <v>7286</v>
      </c>
      <c r="B7287" s="396" t="s">
        <v>13855</v>
      </c>
      <c r="C7287" s="396" t="s">
        <v>13856</v>
      </c>
      <c r="D7287" s="396" t="s">
        <v>13833</v>
      </c>
      <c r="E7287" s="396" t="s">
        <v>13834</v>
      </c>
      <c r="F7287" s="396" t="s">
        <v>13614</v>
      </c>
    </row>
    <row r="7288">
      <c r="A7288" s="311">
        <v>7287</v>
      </c>
      <c r="B7288" s="396" t="s">
        <v>13857</v>
      </c>
      <c r="C7288" s="396" t="s">
        <v>13858</v>
      </c>
      <c r="D7288" s="396" t="s">
        <v>13859</v>
      </c>
      <c r="E7288" s="396" t="s">
        <v>13860</v>
      </c>
      <c r="F7288" s="396" t="s">
        <v>13614</v>
      </c>
    </row>
    <row r="7289">
      <c r="A7289" s="311">
        <v>7288</v>
      </c>
      <c r="B7289" s="396" t="s">
        <v>13861</v>
      </c>
      <c r="C7289" s="396" t="s">
        <v>13862</v>
      </c>
      <c r="D7289" s="396" t="s">
        <v>13859</v>
      </c>
      <c r="E7289" s="396" t="s">
        <v>13860</v>
      </c>
      <c r="F7289" s="396" t="s">
        <v>13614</v>
      </c>
    </row>
    <row r="7290">
      <c r="A7290" s="311">
        <v>7289</v>
      </c>
      <c r="B7290" s="396" t="s">
        <v>13863</v>
      </c>
      <c r="C7290" s="396" t="s">
        <v>6070</v>
      </c>
      <c r="D7290" s="396" t="s">
        <v>13859</v>
      </c>
      <c r="E7290" s="396" t="s">
        <v>13860</v>
      </c>
      <c r="F7290" s="396" t="s">
        <v>13614</v>
      </c>
    </row>
    <row r="7291">
      <c r="A7291" s="311">
        <v>7290</v>
      </c>
      <c r="B7291" s="396" t="s">
        <v>13864</v>
      </c>
      <c r="C7291" s="396" t="s">
        <v>13865</v>
      </c>
      <c r="D7291" s="396" t="s">
        <v>13859</v>
      </c>
      <c r="E7291" s="396" t="s">
        <v>13860</v>
      </c>
      <c r="F7291" s="396" t="s">
        <v>13614</v>
      </c>
    </row>
    <row r="7292">
      <c r="A7292" s="311">
        <v>7291</v>
      </c>
      <c r="B7292" s="396" t="s">
        <v>13866</v>
      </c>
      <c r="C7292" s="396" t="s">
        <v>13867</v>
      </c>
      <c r="D7292" s="396" t="s">
        <v>13859</v>
      </c>
      <c r="E7292" s="396" t="s">
        <v>13860</v>
      </c>
      <c r="F7292" s="396" t="s">
        <v>13614</v>
      </c>
    </row>
    <row r="7293">
      <c r="A7293" s="311">
        <v>7292</v>
      </c>
      <c r="B7293" s="396" t="s">
        <v>13868</v>
      </c>
      <c r="C7293" s="396" t="s">
        <v>13869</v>
      </c>
      <c r="D7293" s="396" t="s">
        <v>13859</v>
      </c>
      <c r="E7293" s="396" t="s">
        <v>13860</v>
      </c>
      <c r="F7293" s="396" t="s">
        <v>13614</v>
      </c>
    </row>
    <row r="7294">
      <c r="A7294" s="311">
        <v>7293</v>
      </c>
      <c r="B7294" s="396" t="s">
        <v>13870</v>
      </c>
      <c r="C7294" s="396" t="s">
        <v>13871</v>
      </c>
      <c r="D7294" s="396" t="s">
        <v>13859</v>
      </c>
      <c r="E7294" s="396" t="s">
        <v>13860</v>
      </c>
      <c r="F7294" s="396" t="s">
        <v>13614</v>
      </c>
    </row>
    <row r="7295">
      <c r="A7295" s="311">
        <v>7294</v>
      </c>
      <c r="B7295" s="396" t="s">
        <v>13872</v>
      </c>
      <c r="C7295" s="396" t="s">
        <v>13873</v>
      </c>
      <c r="D7295" s="396" t="s">
        <v>13859</v>
      </c>
      <c r="E7295" s="396" t="s">
        <v>13860</v>
      </c>
      <c r="F7295" s="396" t="s">
        <v>13614</v>
      </c>
    </row>
    <row r="7296">
      <c r="A7296" s="311">
        <v>7295</v>
      </c>
      <c r="B7296" s="396" t="s">
        <v>13874</v>
      </c>
      <c r="C7296" s="396" t="s">
        <v>320</v>
      </c>
      <c r="D7296" s="396" t="s">
        <v>13859</v>
      </c>
      <c r="E7296" s="396" t="s">
        <v>13860</v>
      </c>
      <c r="F7296" s="396" t="s">
        <v>13614</v>
      </c>
    </row>
    <row r="7297">
      <c r="A7297" s="311">
        <v>7296</v>
      </c>
      <c r="B7297" s="396" t="s">
        <v>13875</v>
      </c>
      <c r="C7297" s="396" t="s">
        <v>13876</v>
      </c>
      <c r="D7297" s="396" t="s">
        <v>13859</v>
      </c>
      <c r="E7297" s="396" t="s">
        <v>13860</v>
      </c>
      <c r="F7297" s="396" t="s">
        <v>13614</v>
      </c>
    </row>
    <row r="7298">
      <c r="A7298" s="311">
        <v>7297</v>
      </c>
      <c r="B7298" s="396" t="s">
        <v>13877</v>
      </c>
      <c r="C7298" s="396" t="s">
        <v>13878</v>
      </c>
      <c r="D7298" s="396" t="s">
        <v>13859</v>
      </c>
      <c r="E7298" s="396" t="s">
        <v>13860</v>
      </c>
      <c r="F7298" s="396" t="s">
        <v>13614</v>
      </c>
    </row>
    <row r="7299">
      <c r="A7299" s="311">
        <v>7298</v>
      </c>
      <c r="B7299" s="396" t="s">
        <v>13879</v>
      </c>
      <c r="C7299" s="396" t="s">
        <v>13880</v>
      </c>
      <c r="D7299" s="396" t="s">
        <v>13859</v>
      </c>
      <c r="E7299" s="396" t="s">
        <v>13860</v>
      </c>
      <c r="F7299" s="396" t="s">
        <v>13614</v>
      </c>
    </row>
    <row r="7300">
      <c r="A7300" s="311">
        <v>7299</v>
      </c>
      <c r="B7300" s="396" t="s">
        <v>13881</v>
      </c>
      <c r="C7300" s="396" t="s">
        <v>13882</v>
      </c>
      <c r="D7300" s="396" t="s">
        <v>13859</v>
      </c>
      <c r="E7300" s="396" t="s">
        <v>13860</v>
      </c>
      <c r="F7300" s="396" t="s">
        <v>13614</v>
      </c>
    </row>
    <row r="7301">
      <c r="A7301" s="311">
        <v>7300</v>
      </c>
      <c r="B7301" s="396" t="s">
        <v>13883</v>
      </c>
      <c r="C7301" s="396" t="s">
        <v>13884</v>
      </c>
      <c r="D7301" s="396" t="s">
        <v>13885</v>
      </c>
      <c r="E7301" s="396" t="s">
        <v>13886</v>
      </c>
      <c r="F7301" s="396" t="s">
        <v>13614</v>
      </c>
    </row>
    <row r="7302">
      <c r="A7302" s="311">
        <v>7301</v>
      </c>
      <c r="B7302" s="396" t="s">
        <v>13887</v>
      </c>
      <c r="C7302" s="396" t="s">
        <v>13888</v>
      </c>
      <c r="D7302" s="396" t="s">
        <v>13885</v>
      </c>
      <c r="E7302" s="396" t="s">
        <v>13886</v>
      </c>
      <c r="F7302" s="396" t="s">
        <v>13614</v>
      </c>
    </row>
    <row r="7303">
      <c r="A7303" s="311">
        <v>7302</v>
      </c>
      <c r="B7303" s="396" t="s">
        <v>13889</v>
      </c>
      <c r="C7303" s="396" t="s">
        <v>13890</v>
      </c>
      <c r="D7303" s="396" t="s">
        <v>13885</v>
      </c>
      <c r="E7303" s="396" t="s">
        <v>13886</v>
      </c>
      <c r="F7303" s="396" t="s">
        <v>13614</v>
      </c>
    </row>
    <row r="7304">
      <c r="A7304" s="311">
        <v>7303</v>
      </c>
      <c r="B7304" s="396" t="s">
        <v>13891</v>
      </c>
      <c r="C7304" s="396" t="s">
        <v>13892</v>
      </c>
      <c r="D7304" s="396" t="s">
        <v>13885</v>
      </c>
      <c r="E7304" s="396" t="s">
        <v>13886</v>
      </c>
      <c r="F7304" s="396" t="s">
        <v>13614</v>
      </c>
    </row>
    <row r="7305">
      <c r="A7305" s="311">
        <v>7304</v>
      </c>
      <c r="B7305" s="396" t="s">
        <v>13893</v>
      </c>
      <c r="C7305" s="396" t="s">
        <v>13894</v>
      </c>
      <c r="D7305" s="396" t="s">
        <v>13885</v>
      </c>
      <c r="E7305" s="396" t="s">
        <v>13886</v>
      </c>
      <c r="F7305" s="396" t="s">
        <v>13614</v>
      </c>
    </row>
    <row r="7306">
      <c r="A7306" s="311">
        <v>7305</v>
      </c>
      <c r="B7306" s="396" t="s">
        <v>13895</v>
      </c>
      <c r="C7306" s="396" t="s">
        <v>13896</v>
      </c>
      <c r="D7306" s="396" t="s">
        <v>13885</v>
      </c>
      <c r="E7306" s="396" t="s">
        <v>13886</v>
      </c>
      <c r="F7306" s="396" t="s">
        <v>13614</v>
      </c>
    </row>
    <row r="7307">
      <c r="A7307" s="311">
        <v>7306</v>
      </c>
      <c r="B7307" s="396" t="s">
        <v>13897</v>
      </c>
      <c r="C7307" s="396" t="s">
        <v>13898</v>
      </c>
      <c r="D7307" s="396" t="s">
        <v>13885</v>
      </c>
      <c r="E7307" s="396" t="s">
        <v>13886</v>
      </c>
      <c r="F7307" s="396" t="s">
        <v>13614</v>
      </c>
    </row>
    <row r="7308">
      <c r="A7308" s="311">
        <v>7307</v>
      </c>
      <c r="B7308" s="396" t="s">
        <v>13899</v>
      </c>
      <c r="C7308" s="396" t="s">
        <v>13900</v>
      </c>
      <c r="D7308" s="396" t="s">
        <v>13885</v>
      </c>
      <c r="E7308" s="396" t="s">
        <v>13886</v>
      </c>
      <c r="F7308" s="396" t="s">
        <v>13614</v>
      </c>
    </row>
    <row r="7309">
      <c r="A7309" s="311">
        <v>7308</v>
      </c>
      <c r="B7309" s="396" t="s">
        <v>13901</v>
      </c>
      <c r="C7309" s="396" t="s">
        <v>13902</v>
      </c>
      <c r="D7309" s="396" t="s">
        <v>13885</v>
      </c>
      <c r="E7309" s="396" t="s">
        <v>13886</v>
      </c>
      <c r="F7309" s="396" t="s">
        <v>13614</v>
      </c>
    </row>
    <row r="7310">
      <c r="A7310" s="311">
        <v>7309</v>
      </c>
      <c r="B7310" s="396" t="s">
        <v>13903</v>
      </c>
      <c r="C7310" s="396" t="s">
        <v>13904</v>
      </c>
      <c r="D7310" s="396" t="s">
        <v>13885</v>
      </c>
      <c r="E7310" s="396" t="s">
        <v>13886</v>
      </c>
      <c r="F7310" s="396" t="s">
        <v>13614</v>
      </c>
    </row>
    <row r="7311">
      <c r="A7311" s="311">
        <v>7310</v>
      </c>
      <c r="B7311" s="396" t="s">
        <v>13905</v>
      </c>
      <c r="C7311" s="396" t="s">
        <v>13906</v>
      </c>
      <c r="D7311" s="396" t="s">
        <v>13885</v>
      </c>
      <c r="E7311" s="396" t="s">
        <v>13886</v>
      </c>
      <c r="F7311" s="396" t="s">
        <v>13614</v>
      </c>
    </row>
    <row r="7312">
      <c r="A7312" s="311">
        <v>7311</v>
      </c>
      <c r="B7312" s="396" t="s">
        <v>13907</v>
      </c>
      <c r="C7312" s="396" t="s">
        <v>13908</v>
      </c>
      <c r="D7312" s="396" t="s">
        <v>13885</v>
      </c>
      <c r="E7312" s="396" t="s">
        <v>13886</v>
      </c>
      <c r="F7312" s="396" t="s">
        <v>13614</v>
      </c>
    </row>
    <row r="7313">
      <c r="A7313" s="311">
        <v>7312</v>
      </c>
      <c r="B7313" s="396" t="s">
        <v>13909</v>
      </c>
      <c r="C7313" s="396" t="s">
        <v>13910</v>
      </c>
      <c r="D7313" s="396" t="s">
        <v>13885</v>
      </c>
      <c r="E7313" s="396" t="s">
        <v>13886</v>
      </c>
      <c r="F7313" s="396" t="s">
        <v>13614</v>
      </c>
    </row>
    <row r="7314">
      <c r="A7314" s="311">
        <v>7313</v>
      </c>
      <c r="B7314" s="396" t="s">
        <v>13911</v>
      </c>
      <c r="C7314" s="396" t="s">
        <v>13912</v>
      </c>
      <c r="D7314" s="396" t="s">
        <v>13885</v>
      </c>
      <c r="E7314" s="396" t="s">
        <v>13886</v>
      </c>
      <c r="F7314" s="396" t="s">
        <v>13614</v>
      </c>
    </row>
    <row r="7315">
      <c r="A7315" s="311">
        <v>7314</v>
      </c>
      <c r="B7315" s="396" t="s">
        <v>13913</v>
      </c>
      <c r="C7315" s="396" t="s">
        <v>13914</v>
      </c>
      <c r="D7315" s="396" t="s">
        <v>13885</v>
      </c>
      <c r="E7315" s="396" t="s">
        <v>13886</v>
      </c>
      <c r="F7315" s="396" t="s">
        <v>13614</v>
      </c>
    </row>
    <row r="7316">
      <c r="A7316" s="311">
        <v>7315</v>
      </c>
      <c r="B7316" s="396" t="s">
        <v>13915</v>
      </c>
      <c r="C7316" s="396" t="s">
        <v>13916</v>
      </c>
      <c r="D7316" s="396" t="s">
        <v>13917</v>
      </c>
      <c r="E7316" s="396" t="s">
        <v>13918</v>
      </c>
      <c r="F7316" s="396" t="s">
        <v>13614</v>
      </c>
    </row>
    <row r="7317">
      <c r="A7317" s="311">
        <v>7316</v>
      </c>
      <c r="B7317" s="396" t="s">
        <v>13919</v>
      </c>
      <c r="C7317" s="396" t="s">
        <v>13920</v>
      </c>
      <c r="D7317" s="396" t="s">
        <v>13917</v>
      </c>
      <c r="E7317" s="396" t="s">
        <v>13918</v>
      </c>
      <c r="F7317" s="396" t="s">
        <v>13614</v>
      </c>
    </row>
    <row r="7318">
      <c r="A7318" s="311">
        <v>7317</v>
      </c>
      <c r="B7318" s="396" t="s">
        <v>13921</v>
      </c>
      <c r="C7318" s="396" t="s">
        <v>13922</v>
      </c>
      <c r="D7318" s="396" t="s">
        <v>13917</v>
      </c>
      <c r="E7318" s="396" t="s">
        <v>13918</v>
      </c>
      <c r="F7318" s="396" t="s">
        <v>13614</v>
      </c>
    </row>
    <row r="7319">
      <c r="A7319" s="311">
        <v>7318</v>
      </c>
      <c r="B7319" s="396" t="s">
        <v>13923</v>
      </c>
      <c r="C7319" s="396" t="s">
        <v>13924</v>
      </c>
      <c r="D7319" s="396" t="s">
        <v>13917</v>
      </c>
      <c r="E7319" s="396" t="s">
        <v>13918</v>
      </c>
      <c r="F7319" s="396" t="s">
        <v>13614</v>
      </c>
    </row>
    <row r="7320">
      <c r="A7320" s="311">
        <v>7319</v>
      </c>
      <c r="B7320" s="396" t="s">
        <v>13925</v>
      </c>
      <c r="C7320" s="396" t="s">
        <v>13926</v>
      </c>
      <c r="D7320" s="396" t="s">
        <v>13917</v>
      </c>
      <c r="E7320" s="396" t="s">
        <v>13918</v>
      </c>
      <c r="F7320" s="396" t="s">
        <v>13614</v>
      </c>
    </row>
    <row r="7321">
      <c r="A7321" s="311">
        <v>7320</v>
      </c>
      <c r="B7321" s="396" t="s">
        <v>13927</v>
      </c>
      <c r="C7321" s="396" t="s">
        <v>13928</v>
      </c>
      <c r="D7321" s="396" t="s">
        <v>13917</v>
      </c>
      <c r="E7321" s="396" t="s">
        <v>13918</v>
      </c>
      <c r="F7321" s="396" t="s">
        <v>13614</v>
      </c>
    </row>
    <row r="7322">
      <c r="A7322" s="311">
        <v>7321</v>
      </c>
      <c r="B7322" s="396" t="s">
        <v>13929</v>
      </c>
      <c r="C7322" s="396" t="s">
        <v>13930</v>
      </c>
      <c r="D7322" s="396" t="s">
        <v>13917</v>
      </c>
      <c r="E7322" s="396" t="s">
        <v>13918</v>
      </c>
      <c r="F7322" s="396" t="s">
        <v>13614</v>
      </c>
    </row>
    <row r="7323">
      <c r="A7323" s="311">
        <v>7322</v>
      </c>
      <c r="B7323" s="396" t="s">
        <v>13931</v>
      </c>
      <c r="C7323" s="396" t="s">
        <v>13932</v>
      </c>
      <c r="D7323" s="396" t="s">
        <v>13917</v>
      </c>
      <c r="E7323" s="396" t="s">
        <v>13918</v>
      </c>
      <c r="F7323" s="396" t="s">
        <v>13614</v>
      </c>
    </row>
    <row r="7324">
      <c r="A7324" s="311">
        <v>7323</v>
      </c>
      <c r="B7324" s="396" t="s">
        <v>13933</v>
      </c>
      <c r="C7324" s="396" t="s">
        <v>13934</v>
      </c>
      <c r="D7324" s="396" t="s">
        <v>13917</v>
      </c>
      <c r="E7324" s="396" t="s">
        <v>13918</v>
      </c>
      <c r="F7324" s="396" t="s">
        <v>13614</v>
      </c>
    </row>
    <row r="7325">
      <c r="A7325" s="311">
        <v>7324</v>
      </c>
      <c r="B7325" s="396" t="s">
        <v>13935</v>
      </c>
      <c r="C7325" s="396" t="s">
        <v>13936</v>
      </c>
      <c r="D7325" s="396" t="s">
        <v>13917</v>
      </c>
      <c r="E7325" s="396" t="s">
        <v>13918</v>
      </c>
      <c r="F7325" s="396" t="s">
        <v>13614</v>
      </c>
    </row>
    <row r="7326">
      <c r="A7326" s="311">
        <v>7325</v>
      </c>
      <c r="B7326" s="396" t="s">
        <v>13937</v>
      </c>
      <c r="C7326" s="396" t="s">
        <v>13938</v>
      </c>
      <c r="D7326" s="396" t="s">
        <v>13917</v>
      </c>
      <c r="E7326" s="396" t="s">
        <v>13918</v>
      </c>
      <c r="F7326" s="396" t="s">
        <v>13614</v>
      </c>
    </row>
    <row r="7327">
      <c r="A7327" s="311">
        <v>7326</v>
      </c>
      <c r="B7327" s="396" t="s">
        <v>13939</v>
      </c>
      <c r="C7327" s="396" t="s">
        <v>13940</v>
      </c>
      <c r="D7327" s="396" t="s">
        <v>13917</v>
      </c>
      <c r="E7327" s="396" t="s">
        <v>13918</v>
      </c>
      <c r="F7327" s="396" t="s">
        <v>13614</v>
      </c>
    </row>
    <row r="7328">
      <c r="A7328" s="311">
        <v>7327</v>
      </c>
      <c r="B7328" s="396" t="s">
        <v>13941</v>
      </c>
      <c r="C7328" s="396" t="s">
        <v>13942</v>
      </c>
      <c r="D7328" s="396" t="s">
        <v>13917</v>
      </c>
      <c r="E7328" s="396" t="s">
        <v>13918</v>
      </c>
      <c r="F7328" s="396" t="s">
        <v>13614</v>
      </c>
    </row>
    <row r="7329">
      <c r="A7329" s="311">
        <v>7328</v>
      </c>
      <c r="B7329" s="396" t="s">
        <v>13943</v>
      </c>
      <c r="C7329" s="396" t="s">
        <v>13944</v>
      </c>
      <c r="D7329" s="396" t="s">
        <v>13917</v>
      </c>
      <c r="E7329" s="396" t="s">
        <v>13918</v>
      </c>
      <c r="F7329" s="396" t="s">
        <v>13614</v>
      </c>
    </row>
    <row r="7330">
      <c r="A7330" s="311">
        <v>7329</v>
      </c>
      <c r="B7330" s="396" t="s">
        <v>13945</v>
      </c>
      <c r="C7330" s="396" t="s">
        <v>13946</v>
      </c>
      <c r="D7330" s="396" t="s">
        <v>13917</v>
      </c>
      <c r="E7330" s="396" t="s">
        <v>13918</v>
      </c>
      <c r="F7330" s="396" t="s">
        <v>13614</v>
      </c>
    </row>
    <row r="7331">
      <c r="A7331" s="311">
        <v>7330</v>
      </c>
      <c r="B7331" s="396" t="s">
        <v>13947</v>
      </c>
      <c r="C7331" s="396" t="s">
        <v>13948</v>
      </c>
      <c r="D7331" s="396" t="s">
        <v>13917</v>
      </c>
      <c r="E7331" s="396" t="s">
        <v>13918</v>
      </c>
      <c r="F7331" s="396" t="s">
        <v>13614</v>
      </c>
    </row>
    <row r="7332">
      <c r="A7332" s="311">
        <v>7331</v>
      </c>
      <c r="B7332" s="396" t="s">
        <v>13949</v>
      </c>
      <c r="C7332" s="396" t="s">
        <v>673</v>
      </c>
      <c r="D7332" s="396" t="s">
        <v>13917</v>
      </c>
      <c r="E7332" s="396" t="s">
        <v>13918</v>
      </c>
      <c r="F7332" s="396" t="s">
        <v>13614</v>
      </c>
    </row>
    <row r="7333">
      <c r="A7333" s="311">
        <v>7332</v>
      </c>
      <c r="B7333" s="396" t="s">
        <v>13950</v>
      </c>
      <c r="C7333" s="396" t="s">
        <v>13951</v>
      </c>
      <c r="D7333" s="396" t="s">
        <v>13917</v>
      </c>
      <c r="E7333" s="396" t="s">
        <v>13918</v>
      </c>
      <c r="F7333" s="396" t="s">
        <v>13614</v>
      </c>
    </row>
    <row r="7334">
      <c r="A7334" s="311">
        <v>7333</v>
      </c>
      <c r="B7334" s="396" t="s">
        <v>13952</v>
      </c>
      <c r="C7334" s="396" t="s">
        <v>13953</v>
      </c>
      <c r="D7334" s="396" t="s">
        <v>13917</v>
      </c>
      <c r="E7334" s="396" t="s">
        <v>13918</v>
      </c>
      <c r="F7334" s="396" t="s">
        <v>13614</v>
      </c>
    </row>
    <row r="7335">
      <c r="A7335" s="311">
        <v>7334</v>
      </c>
      <c r="B7335" s="396" t="s">
        <v>13954</v>
      </c>
      <c r="C7335" s="396" t="s">
        <v>13955</v>
      </c>
      <c r="D7335" s="396" t="s">
        <v>13917</v>
      </c>
      <c r="E7335" s="396" t="s">
        <v>13918</v>
      </c>
      <c r="F7335" s="396" t="s">
        <v>13614</v>
      </c>
    </row>
    <row r="7336">
      <c r="A7336" s="311">
        <v>7335</v>
      </c>
      <c r="B7336" s="396" t="s">
        <v>13956</v>
      </c>
      <c r="C7336" s="396" t="s">
        <v>13957</v>
      </c>
      <c r="D7336" s="396" t="s">
        <v>13958</v>
      </c>
      <c r="E7336" s="396" t="s">
        <v>13959</v>
      </c>
      <c r="F7336" s="396" t="s">
        <v>13614</v>
      </c>
    </row>
    <row r="7337">
      <c r="A7337" s="311">
        <v>7336</v>
      </c>
      <c r="B7337" s="396" t="s">
        <v>13960</v>
      </c>
      <c r="C7337" s="396" t="s">
        <v>13961</v>
      </c>
      <c r="D7337" s="396" t="s">
        <v>13958</v>
      </c>
      <c r="E7337" s="396" t="s">
        <v>13959</v>
      </c>
      <c r="F7337" s="396" t="s">
        <v>13614</v>
      </c>
    </row>
    <row r="7338">
      <c r="A7338" s="311">
        <v>7337</v>
      </c>
      <c r="B7338" s="396" t="s">
        <v>13962</v>
      </c>
      <c r="C7338" s="396" t="s">
        <v>3923</v>
      </c>
      <c r="D7338" s="396" t="s">
        <v>13958</v>
      </c>
      <c r="E7338" s="396" t="s">
        <v>13959</v>
      </c>
      <c r="F7338" s="396" t="s">
        <v>13614</v>
      </c>
    </row>
    <row r="7339">
      <c r="A7339" s="311">
        <v>7338</v>
      </c>
      <c r="B7339" s="396" t="s">
        <v>13963</v>
      </c>
      <c r="C7339" s="396" t="s">
        <v>13964</v>
      </c>
      <c r="D7339" s="396" t="s">
        <v>13965</v>
      </c>
      <c r="E7339" s="396" t="s">
        <v>13966</v>
      </c>
      <c r="F7339" s="396" t="s">
        <v>13967</v>
      </c>
    </row>
    <row r="7340">
      <c r="A7340" s="311">
        <v>7339</v>
      </c>
      <c r="B7340" s="396" t="s">
        <v>13968</v>
      </c>
      <c r="C7340" s="396" t="s">
        <v>13969</v>
      </c>
      <c r="D7340" s="396" t="s">
        <v>13965</v>
      </c>
      <c r="E7340" s="396" t="s">
        <v>13966</v>
      </c>
      <c r="F7340" s="396" t="s">
        <v>13967</v>
      </c>
    </row>
    <row r="7341">
      <c r="A7341" s="311">
        <v>7340</v>
      </c>
      <c r="B7341" s="396" t="s">
        <v>13970</v>
      </c>
      <c r="C7341" s="396" t="s">
        <v>6641</v>
      </c>
      <c r="D7341" s="396" t="s">
        <v>13965</v>
      </c>
      <c r="E7341" s="396" t="s">
        <v>13966</v>
      </c>
      <c r="F7341" s="396" t="s">
        <v>13967</v>
      </c>
    </row>
    <row r="7342">
      <c r="A7342" s="311">
        <v>7341</v>
      </c>
      <c r="B7342" s="396" t="s">
        <v>13971</v>
      </c>
      <c r="C7342" s="396" t="s">
        <v>13972</v>
      </c>
      <c r="D7342" s="396" t="s">
        <v>13965</v>
      </c>
      <c r="E7342" s="396" t="s">
        <v>13966</v>
      </c>
      <c r="F7342" s="396" t="s">
        <v>13967</v>
      </c>
    </row>
    <row r="7343">
      <c r="A7343" s="311">
        <v>7342</v>
      </c>
      <c r="B7343" s="396" t="s">
        <v>13973</v>
      </c>
      <c r="C7343" s="396" t="s">
        <v>13974</v>
      </c>
      <c r="D7343" s="396" t="s">
        <v>13965</v>
      </c>
      <c r="E7343" s="396" t="s">
        <v>13966</v>
      </c>
      <c r="F7343" s="396" t="s">
        <v>13967</v>
      </c>
    </row>
    <row r="7344">
      <c r="A7344" s="311">
        <v>7343</v>
      </c>
      <c r="B7344" s="396" t="s">
        <v>13975</v>
      </c>
      <c r="C7344" s="396" t="s">
        <v>168</v>
      </c>
      <c r="D7344" s="396" t="s">
        <v>13965</v>
      </c>
      <c r="E7344" s="396" t="s">
        <v>13966</v>
      </c>
      <c r="F7344" s="396" t="s">
        <v>13967</v>
      </c>
    </row>
    <row r="7345">
      <c r="A7345" s="311">
        <v>7344</v>
      </c>
      <c r="B7345" s="396" t="s">
        <v>13976</v>
      </c>
      <c r="C7345" s="396" t="s">
        <v>13977</v>
      </c>
      <c r="D7345" s="396" t="s">
        <v>13965</v>
      </c>
      <c r="E7345" s="396" t="s">
        <v>13966</v>
      </c>
      <c r="F7345" s="396" t="s">
        <v>13967</v>
      </c>
    </row>
    <row r="7346">
      <c r="A7346" s="311">
        <v>7345</v>
      </c>
      <c r="B7346" s="396" t="s">
        <v>13978</v>
      </c>
      <c r="C7346" s="396" t="s">
        <v>8278</v>
      </c>
      <c r="D7346" s="396" t="s">
        <v>13965</v>
      </c>
      <c r="E7346" s="396" t="s">
        <v>13966</v>
      </c>
      <c r="F7346" s="396" t="s">
        <v>13967</v>
      </c>
    </row>
    <row r="7347">
      <c r="A7347" s="311">
        <v>7346</v>
      </c>
      <c r="B7347" s="396" t="s">
        <v>13979</v>
      </c>
      <c r="C7347" s="396" t="s">
        <v>70</v>
      </c>
      <c r="D7347" s="396" t="s">
        <v>13965</v>
      </c>
      <c r="E7347" s="396" t="s">
        <v>13966</v>
      </c>
      <c r="F7347" s="396" t="s">
        <v>13967</v>
      </c>
    </row>
    <row r="7348">
      <c r="A7348" s="311">
        <v>7347</v>
      </c>
      <c r="B7348" s="396" t="s">
        <v>13980</v>
      </c>
      <c r="C7348" s="396" t="s">
        <v>13981</v>
      </c>
      <c r="D7348" s="396" t="s">
        <v>13965</v>
      </c>
      <c r="E7348" s="396" t="s">
        <v>13966</v>
      </c>
      <c r="F7348" s="396" t="s">
        <v>13967</v>
      </c>
    </row>
    <row r="7349">
      <c r="A7349" s="311">
        <v>7348</v>
      </c>
      <c r="B7349" s="396" t="s">
        <v>13982</v>
      </c>
      <c r="C7349" s="396" t="s">
        <v>13983</v>
      </c>
      <c r="D7349" s="396" t="s">
        <v>13965</v>
      </c>
      <c r="E7349" s="396" t="s">
        <v>13966</v>
      </c>
      <c r="F7349" s="396" t="s">
        <v>13967</v>
      </c>
    </row>
    <row r="7350">
      <c r="A7350" s="311">
        <v>7349</v>
      </c>
      <c r="B7350" s="396" t="s">
        <v>13984</v>
      </c>
      <c r="C7350" s="396" t="s">
        <v>588</v>
      </c>
      <c r="D7350" s="396" t="s">
        <v>13965</v>
      </c>
      <c r="E7350" s="396" t="s">
        <v>13966</v>
      </c>
      <c r="F7350" s="396" t="s">
        <v>13967</v>
      </c>
    </row>
    <row r="7351">
      <c r="A7351" s="311">
        <v>7350</v>
      </c>
      <c r="B7351" s="396" t="s">
        <v>13985</v>
      </c>
      <c r="C7351" s="396" t="s">
        <v>252</v>
      </c>
      <c r="D7351" s="396" t="s">
        <v>13965</v>
      </c>
      <c r="E7351" s="396" t="s">
        <v>13966</v>
      </c>
      <c r="F7351" s="396" t="s">
        <v>13967</v>
      </c>
    </row>
    <row r="7352">
      <c r="A7352" s="311">
        <v>7351</v>
      </c>
      <c r="B7352" s="396" t="s">
        <v>13986</v>
      </c>
      <c r="C7352" s="396" t="s">
        <v>194</v>
      </c>
      <c r="D7352" s="396" t="s">
        <v>13965</v>
      </c>
      <c r="E7352" s="396" t="s">
        <v>13966</v>
      </c>
      <c r="F7352" s="396" t="s">
        <v>13967</v>
      </c>
    </row>
    <row r="7353">
      <c r="A7353" s="311">
        <v>7352</v>
      </c>
      <c r="B7353" s="396" t="s">
        <v>13987</v>
      </c>
      <c r="C7353" s="396" t="s">
        <v>13988</v>
      </c>
      <c r="D7353" s="396" t="s">
        <v>13965</v>
      </c>
      <c r="E7353" s="396" t="s">
        <v>13966</v>
      </c>
      <c r="F7353" s="396" t="s">
        <v>13967</v>
      </c>
    </row>
    <row r="7354">
      <c r="A7354" s="311">
        <v>7353</v>
      </c>
      <c r="B7354" s="396" t="s">
        <v>13989</v>
      </c>
      <c r="C7354" s="396" t="s">
        <v>13990</v>
      </c>
      <c r="D7354" s="396" t="s">
        <v>13965</v>
      </c>
      <c r="E7354" s="396" t="s">
        <v>13966</v>
      </c>
      <c r="F7354" s="396" t="s">
        <v>13967</v>
      </c>
    </row>
    <row r="7355">
      <c r="A7355" s="311">
        <v>7354</v>
      </c>
      <c r="B7355" s="396" t="s">
        <v>13991</v>
      </c>
      <c r="C7355" s="396" t="s">
        <v>13992</v>
      </c>
      <c r="D7355" s="396" t="s">
        <v>13965</v>
      </c>
      <c r="E7355" s="396" t="s">
        <v>13966</v>
      </c>
      <c r="F7355" s="396" t="s">
        <v>13967</v>
      </c>
    </row>
    <row r="7356">
      <c r="A7356" s="311">
        <v>7355</v>
      </c>
      <c r="B7356" s="396" t="s">
        <v>13993</v>
      </c>
      <c r="C7356" s="396" t="s">
        <v>13994</v>
      </c>
      <c r="D7356" s="396" t="s">
        <v>13965</v>
      </c>
      <c r="E7356" s="396" t="s">
        <v>13966</v>
      </c>
      <c r="F7356" s="396" t="s">
        <v>13967</v>
      </c>
    </row>
    <row r="7357">
      <c r="A7357" s="311">
        <v>7356</v>
      </c>
      <c r="B7357" s="396" t="s">
        <v>13995</v>
      </c>
      <c r="C7357" s="396" t="s">
        <v>13996</v>
      </c>
      <c r="D7357" s="396" t="s">
        <v>13965</v>
      </c>
      <c r="E7357" s="396" t="s">
        <v>13966</v>
      </c>
      <c r="F7357" s="396" t="s">
        <v>13967</v>
      </c>
    </row>
    <row r="7358">
      <c r="A7358" s="311">
        <v>7357</v>
      </c>
      <c r="B7358" s="396" t="s">
        <v>13997</v>
      </c>
      <c r="C7358" s="396" t="s">
        <v>13998</v>
      </c>
      <c r="D7358" s="396" t="s">
        <v>13965</v>
      </c>
      <c r="E7358" s="396" t="s">
        <v>13966</v>
      </c>
      <c r="F7358" s="396" t="s">
        <v>13967</v>
      </c>
    </row>
    <row r="7359">
      <c r="A7359" s="311">
        <v>7358</v>
      </c>
      <c r="B7359" s="396" t="s">
        <v>13999</v>
      </c>
      <c r="C7359" s="396" t="s">
        <v>13390</v>
      </c>
      <c r="D7359" s="396" t="s">
        <v>13965</v>
      </c>
      <c r="E7359" s="396" t="s">
        <v>13966</v>
      </c>
      <c r="F7359" s="396" t="s">
        <v>13967</v>
      </c>
    </row>
    <row r="7360">
      <c r="A7360" s="311">
        <v>7359</v>
      </c>
      <c r="B7360" s="396" t="s">
        <v>14000</v>
      </c>
      <c r="C7360" s="396" t="s">
        <v>7832</v>
      </c>
      <c r="D7360" s="396" t="s">
        <v>14001</v>
      </c>
      <c r="E7360" s="396" t="s">
        <v>7834</v>
      </c>
      <c r="F7360" s="396" t="s">
        <v>13967</v>
      </c>
    </row>
    <row r="7361">
      <c r="A7361" s="311">
        <v>7360</v>
      </c>
      <c r="B7361" s="396" t="s">
        <v>14002</v>
      </c>
      <c r="C7361" s="396" t="s">
        <v>7818</v>
      </c>
      <c r="D7361" s="396" t="s">
        <v>14001</v>
      </c>
      <c r="E7361" s="396" t="s">
        <v>7834</v>
      </c>
      <c r="F7361" s="396" t="s">
        <v>13967</v>
      </c>
    </row>
    <row r="7362">
      <c r="A7362" s="311">
        <v>7361</v>
      </c>
      <c r="B7362" s="396" t="s">
        <v>14003</v>
      </c>
      <c r="C7362" s="396" t="s">
        <v>14004</v>
      </c>
      <c r="D7362" s="396" t="s">
        <v>14001</v>
      </c>
      <c r="E7362" s="396" t="s">
        <v>7834</v>
      </c>
      <c r="F7362" s="396" t="s">
        <v>13967</v>
      </c>
    </row>
    <row r="7363">
      <c r="A7363" s="311">
        <v>7362</v>
      </c>
      <c r="B7363" s="396" t="s">
        <v>14005</v>
      </c>
      <c r="C7363" s="396" t="s">
        <v>14006</v>
      </c>
      <c r="D7363" s="396" t="s">
        <v>14001</v>
      </c>
      <c r="E7363" s="396" t="s">
        <v>7834</v>
      </c>
      <c r="F7363" s="396" t="s">
        <v>13967</v>
      </c>
    </row>
    <row r="7364">
      <c r="A7364" s="311">
        <v>7363</v>
      </c>
      <c r="B7364" s="396" t="s">
        <v>14007</v>
      </c>
      <c r="C7364" s="396" t="s">
        <v>8371</v>
      </c>
      <c r="D7364" s="396" t="s">
        <v>14001</v>
      </c>
      <c r="E7364" s="396" t="s">
        <v>7834</v>
      </c>
      <c r="F7364" s="396" t="s">
        <v>13967</v>
      </c>
    </row>
    <row r="7365">
      <c r="A7365" s="311">
        <v>7364</v>
      </c>
      <c r="B7365" s="396" t="s">
        <v>14008</v>
      </c>
      <c r="C7365" s="396" t="s">
        <v>14009</v>
      </c>
      <c r="D7365" s="396" t="s">
        <v>14001</v>
      </c>
      <c r="E7365" s="396" t="s">
        <v>7834</v>
      </c>
      <c r="F7365" s="396" t="s">
        <v>13967</v>
      </c>
    </row>
    <row r="7366">
      <c r="A7366" s="311">
        <v>7365</v>
      </c>
      <c r="B7366" s="396" t="s">
        <v>14010</v>
      </c>
      <c r="C7366" s="396" t="s">
        <v>14011</v>
      </c>
      <c r="D7366" s="396" t="s">
        <v>14001</v>
      </c>
      <c r="E7366" s="396" t="s">
        <v>7834</v>
      </c>
      <c r="F7366" s="396" t="s">
        <v>13967</v>
      </c>
    </row>
    <row r="7367">
      <c r="A7367" s="311">
        <v>7366</v>
      </c>
      <c r="B7367" s="396" t="s">
        <v>14012</v>
      </c>
      <c r="C7367" s="396" t="s">
        <v>6720</v>
      </c>
      <c r="D7367" s="396" t="s">
        <v>14001</v>
      </c>
      <c r="E7367" s="396" t="s">
        <v>7834</v>
      </c>
      <c r="F7367" s="396" t="s">
        <v>13967</v>
      </c>
    </row>
    <row r="7368">
      <c r="A7368" s="311">
        <v>7367</v>
      </c>
      <c r="B7368" s="396" t="s">
        <v>14013</v>
      </c>
      <c r="C7368" s="396" t="s">
        <v>14014</v>
      </c>
      <c r="D7368" s="396" t="s">
        <v>14001</v>
      </c>
      <c r="E7368" s="396" t="s">
        <v>7834</v>
      </c>
      <c r="F7368" s="396" t="s">
        <v>13967</v>
      </c>
    </row>
    <row r="7369">
      <c r="A7369" s="311">
        <v>7368</v>
      </c>
      <c r="B7369" s="396" t="s">
        <v>14015</v>
      </c>
      <c r="C7369" s="396" t="s">
        <v>14016</v>
      </c>
      <c r="D7369" s="396" t="s">
        <v>14001</v>
      </c>
      <c r="E7369" s="396" t="s">
        <v>7834</v>
      </c>
      <c r="F7369" s="396" t="s">
        <v>13967</v>
      </c>
    </row>
    <row r="7370">
      <c r="A7370" s="311">
        <v>7369</v>
      </c>
      <c r="B7370" s="396" t="s">
        <v>14017</v>
      </c>
      <c r="C7370" s="396" t="s">
        <v>14018</v>
      </c>
      <c r="D7370" s="396" t="s">
        <v>14019</v>
      </c>
      <c r="E7370" s="396" t="s">
        <v>14020</v>
      </c>
      <c r="F7370" s="396" t="s">
        <v>13967</v>
      </c>
    </row>
    <row r="7371">
      <c r="A7371" s="311">
        <v>7370</v>
      </c>
      <c r="B7371" s="396" t="s">
        <v>14021</v>
      </c>
      <c r="C7371" s="396" t="s">
        <v>14022</v>
      </c>
      <c r="D7371" s="396" t="s">
        <v>14019</v>
      </c>
      <c r="E7371" s="396" t="s">
        <v>14020</v>
      </c>
      <c r="F7371" s="396" t="s">
        <v>13967</v>
      </c>
    </row>
    <row r="7372">
      <c r="A7372" s="311">
        <v>7371</v>
      </c>
      <c r="B7372" s="396" t="s">
        <v>14023</v>
      </c>
      <c r="C7372" s="396" t="s">
        <v>14024</v>
      </c>
      <c r="D7372" s="396" t="s">
        <v>14019</v>
      </c>
      <c r="E7372" s="396" t="s">
        <v>14020</v>
      </c>
      <c r="F7372" s="396" t="s">
        <v>13967</v>
      </c>
    </row>
    <row r="7373">
      <c r="A7373" s="311">
        <v>7372</v>
      </c>
      <c r="B7373" s="396" t="s">
        <v>14025</v>
      </c>
      <c r="C7373" s="396" t="s">
        <v>14026</v>
      </c>
      <c r="D7373" s="396" t="s">
        <v>14019</v>
      </c>
      <c r="E7373" s="396" t="s">
        <v>14020</v>
      </c>
      <c r="F7373" s="396" t="s">
        <v>13967</v>
      </c>
    </row>
    <row r="7374">
      <c r="A7374" s="311">
        <v>7373</v>
      </c>
      <c r="B7374" s="396" t="s">
        <v>14027</v>
      </c>
      <c r="C7374" s="396" t="s">
        <v>14028</v>
      </c>
      <c r="D7374" s="396" t="s">
        <v>14019</v>
      </c>
      <c r="E7374" s="396" t="s">
        <v>14020</v>
      </c>
      <c r="F7374" s="396" t="s">
        <v>13967</v>
      </c>
    </row>
    <row r="7375">
      <c r="A7375" s="311">
        <v>7374</v>
      </c>
      <c r="B7375" s="396" t="s">
        <v>14029</v>
      </c>
      <c r="C7375" s="396" t="s">
        <v>14030</v>
      </c>
      <c r="D7375" s="396" t="s">
        <v>14019</v>
      </c>
      <c r="E7375" s="396" t="s">
        <v>14020</v>
      </c>
      <c r="F7375" s="396" t="s">
        <v>13967</v>
      </c>
    </row>
    <row r="7376">
      <c r="A7376" s="311">
        <v>7375</v>
      </c>
      <c r="B7376" s="396" t="s">
        <v>14031</v>
      </c>
      <c r="C7376" s="396" t="s">
        <v>14032</v>
      </c>
      <c r="D7376" s="396" t="s">
        <v>14019</v>
      </c>
      <c r="E7376" s="396" t="s">
        <v>14020</v>
      </c>
      <c r="F7376" s="396" t="s">
        <v>13967</v>
      </c>
    </row>
    <row r="7377">
      <c r="A7377" s="311">
        <v>7376</v>
      </c>
      <c r="B7377" s="396" t="s">
        <v>14033</v>
      </c>
      <c r="C7377" s="396" t="s">
        <v>14034</v>
      </c>
      <c r="D7377" s="396" t="s">
        <v>14019</v>
      </c>
      <c r="E7377" s="396" t="s">
        <v>14020</v>
      </c>
      <c r="F7377" s="396" t="s">
        <v>13967</v>
      </c>
    </row>
    <row r="7378">
      <c r="A7378" s="311">
        <v>7377</v>
      </c>
      <c r="B7378" s="396" t="s">
        <v>14035</v>
      </c>
      <c r="C7378" s="396" t="s">
        <v>14036</v>
      </c>
      <c r="D7378" s="396" t="s">
        <v>14019</v>
      </c>
      <c r="E7378" s="396" t="s">
        <v>14020</v>
      </c>
      <c r="F7378" s="396" t="s">
        <v>13967</v>
      </c>
    </row>
    <row r="7379">
      <c r="A7379" s="311">
        <v>7378</v>
      </c>
      <c r="B7379" s="396" t="s">
        <v>14037</v>
      </c>
      <c r="C7379" s="396" t="s">
        <v>14038</v>
      </c>
      <c r="D7379" s="396" t="s">
        <v>14019</v>
      </c>
      <c r="E7379" s="396" t="s">
        <v>14020</v>
      </c>
      <c r="F7379" s="396" t="s">
        <v>13967</v>
      </c>
    </row>
    <row r="7380">
      <c r="A7380" s="311">
        <v>7379</v>
      </c>
      <c r="B7380" s="396" t="s">
        <v>14039</v>
      </c>
      <c r="C7380" s="396" t="s">
        <v>14040</v>
      </c>
      <c r="D7380" s="396" t="s">
        <v>14019</v>
      </c>
      <c r="E7380" s="396" t="s">
        <v>14020</v>
      </c>
      <c r="F7380" s="396" t="s">
        <v>13967</v>
      </c>
    </row>
    <row r="7381">
      <c r="A7381" s="311">
        <v>7380</v>
      </c>
      <c r="B7381" s="396" t="s">
        <v>14041</v>
      </c>
      <c r="C7381" s="396" t="s">
        <v>14042</v>
      </c>
      <c r="D7381" s="396" t="s">
        <v>14019</v>
      </c>
      <c r="E7381" s="396" t="s">
        <v>14020</v>
      </c>
      <c r="F7381" s="396" t="s">
        <v>13967</v>
      </c>
    </row>
    <row r="7382">
      <c r="A7382" s="311">
        <v>7381</v>
      </c>
      <c r="B7382" s="396" t="s">
        <v>14043</v>
      </c>
      <c r="C7382" s="396" t="s">
        <v>14044</v>
      </c>
      <c r="D7382" s="396" t="s">
        <v>14019</v>
      </c>
      <c r="E7382" s="396" t="s">
        <v>14020</v>
      </c>
      <c r="F7382" s="396" t="s">
        <v>13967</v>
      </c>
    </row>
    <row r="7383">
      <c r="A7383" s="311">
        <v>7382</v>
      </c>
      <c r="B7383" s="396" t="s">
        <v>14045</v>
      </c>
      <c r="C7383" s="396" t="s">
        <v>14046</v>
      </c>
      <c r="D7383" s="396" t="s">
        <v>14019</v>
      </c>
      <c r="E7383" s="396" t="s">
        <v>14020</v>
      </c>
      <c r="F7383" s="396" t="s">
        <v>13967</v>
      </c>
    </row>
    <row r="7384">
      <c r="A7384" s="311">
        <v>7383</v>
      </c>
      <c r="B7384" s="396" t="s">
        <v>14047</v>
      </c>
      <c r="C7384" s="396" t="s">
        <v>14048</v>
      </c>
      <c r="D7384" s="396" t="s">
        <v>14019</v>
      </c>
      <c r="E7384" s="396" t="s">
        <v>14020</v>
      </c>
      <c r="F7384" s="396" t="s">
        <v>13967</v>
      </c>
    </row>
    <row r="7385">
      <c r="A7385" s="311">
        <v>7384</v>
      </c>
      <c r="B7385" s="396" t="s">
        <v>14049</v>
      </c>
      <c r="C7385" s="396" t="s">
        <v>14050</v>
      </c>
      <c r="D7385" s="396" t="s">
        <v>14019</v>
      </c>
      <c r="E7385" s="396" t="s">
        <v>14020</v>
      </c>
      <c r="F7385" s="396" t="s">
        <v>13967</v>
      </c>
    </row>
    <row r="7386">
      <c r="A7386" s="311">
        <v>7385</v>
      </c>
      <c r="B7386" s="396" t="s">
        <v>14051</v>
      </c>
      <c r="C7386" s="396" t="s">
        <v>14052</v>
      </c>
      <c r="D7386" s="396" t="s">
        <v>14019</v>
      </c>
      <c r="E7386" s="396" t="s">
        <v>14020</v>
      </c>
      <c r="F7386" s="396" t="s">
        <v>13967</v>
      </c>
    </row>
    <row r="7387">
      <c r="A7387" s="311">
        <v>7386</v>
      </c>
      <c r="B7387" s="396" t="s">
        <v>14053</v>
      </c>
      <c r="C7387" s="396" t="s">
        <v>14054</v>
      </c>
      <c r="D7387" s="396" t="s">
        <v>14055</v>
      </c>
      <c r="E7387" s="396" t="s">
        <v>14056</v>
      </c>
      <c r="F7387" s="396" t="s">
        <v>13967</v>
      </c>
    </row>
    <row r="7388">
      <c r="A7388" s="311">
        <v>7387</v>
      </c>
      <c r="B7388" s="396" t="s">
        <v>14057</v>
      </c>
      <c r="C7388" s="396" t="s">
        <v>14058</v>
      </c>
      <c r="D7388" s="396" t="s">
        <v>14055</v>
      </c>
      <c r="E7388" s="396" t="s">
        <v>14056</v>
      </c>
      <c r="F7388" s="396" t="s">
        <v>13967</v>
      </c>
    </row>
    <row r="7389">
      <c r="A7389" s="311">
        <v>7388</v>
      </c>
      <c r="B7389" s="396" t="s">
        <v>14059</v>
      </c>
      <c r="C7389" s="396" t="s">
        <v>14060</v>
      </c>
      <c r="D7389" s="396" t="s">
        <v>14055</v>
      </c>
      <c r="E7389" s="396" t="s">
        <v>14056</v>
      </c>
      <c r="F7389" s="396" t="s">
        <v>13967</v>
      </c>
    </row>
    <row r="7390">
      <c r="A7390" s="311">
        <v>7389</v>
      </c>
      <c r="B7390" s="396" t="s">
        <v>14061</v>
      </c>
      <c r="C7390" s="396" t="s">
        <v>14062</v>
      </c>
      <c r="D7390" s="396" t="s">
        <v>14055</v>
      </c>
      <c r="E7390" s="396" t="s">
        <v>14056</v>
      </c>
      <c r="F7390" s="396" t="s">
        <v>13967</v>
      </c>
    </row>
    <row r="7391">
      <c r="A7391" s="311">
        <v>7390</v>
      </c>
      <c r="B7391" s="396" t="s">
        <v>14063</v>
      </c>
      <c r="C7391" s="396" t="s">
        <v>14064</v>
      </c>
      <c r="D7391" s="396" t="s">
        <v>14055</v>
      </c>
      <c r="E7391" s="396" t="s">
        <v>14056</v>
      </c>
      <c r="F7391" s="396" t="s">
        <v>13967</v>
      </c>
    </row>
    <row r="7392">
      <c r="A7392" s="311">
        <v>7391</v>
      </c>
      <c r="B7392" s="396" t="s">
        <v>14065</v>
      </c>
      <c r="C7392" s="396" t="s">
        <v>14066</v>
      </c>
      <c r="D7392" s="396" t="s">
        <v>14055</v>
      </c>
      <c r="E7392" s="396" t="s">
        <v>14056</v>
      </c>
      <c r="F7392" s="396" t="s">
        <v>13967</v>
      </c>
    </row>
    <row r="7393">
      <c r="A7393" s="311">
        <v>7392</v>
      </c>
      <c r="B7393" s="396" t="s">
        <v>14067</v>
      </c>
      <c r="C7393" s="396" t="s">
        <v>14068</v>
      </c>
      <c r="D7393" s="396" t="s">
        <v>14055</v>
      </c>
      <c r="E7393" s="396" t="s">
        <v>14056</v>
      </c>
      <c r="F7393" s="396" t="s">
        <v>13967</v>
      </c>
    </row>
    <row r="7394">
      <c r="A7394" s="311">
        <v>7393</v>
      </c>
      <c r="B7394" s="396" t="s">
        <v>14069</v>
      </c>
      <c r="C7394" s="396" t="s">
        <v>14070</v>
      </c>
      <c r="D7394" s="396" t="s">
        <v>14055</v>
      </c>
      <c r="E7394" s="396" t="s">
        <v>14056</v>
      </c>
      <c r="F7394" s="396" t="s">
        <v>13967</v>
      </c>
    </row>
    <row r="7395">
      <c r="A7395" s="311">
        <v>7394</v>
      </c>
      <c r="B7395" s="396" t="s">
        <v>14071</v>
      </c>
      <c r="C7395" s="396" t="s">
        <v>14072</v>
      </c>
      <c r="D7395" s="396" t="s">
        <v>14055</v>
      </c>
      <c r="E7395" s="396" t="s">
        <v>14056</v>
      </c>
      <c r="F7395" s="396" t="s">
        <v>13967</v>
      </c>
    </row>
    <row r="7396">
      <c r="A7396" s="311">
        <v>7395</v>
      </c>
      <c r="B7396" s="396" t="s">
        <v>14073</v>
      </c>
      <c r="C7396" s="396" t="s">
        <v>14074</v>
      </c>
      <c r="D7396" s="396" t="s">
        <v>14055</v>
      </c>
      <c r="E7396" s="396" t="s">
        <v>14056</v>
      </c>
      <c r="F7396" s="396" t="s">
        <v>13967</v>
      </c>
    </row>
    <row r="7397">
      <c r="A7397" s="311">
        <v>7396</v>
      </c>
      <c r="B7397" s="396" t="s">
        <v>14075</v>
      </c>
      <c r="C7397" s="396" t="s">
        <v>14076</v>
      </c>
      <c r="D7397" s="396" t="s">
        <v>14055</v>
      </c>
      <c r="E7397" s="396" t="s">
        <v>14056</v>
      </c>
      <c r="F7397" s="396" t="s">
        <v>13967</v>
      </c>
    </row>
    <row r="7398">
      <c r="A7398" s="311">
        <v>7397</v>
      </c>
      <c r="B7398" s="396" t="s">
        <v>14077</v>
      </c>
      <c r="C7398" s="396" t="s">
        <v>14078</v>
      </c>
      <c r="D7398" s="396" t="s">
        <v>14055</v>
      </c>
      <c r="E7398" s="396" t="s">
        <v>14056</v>
      </c>
      <c r="F7398" s="396" t="s">
        <v>13967</v>
      </c>
    </row>
    <row r="7399">
      <c r="A7399" s="311">
        <v>7398</v>
      </c>
      <c r="B7399" s="396" t="s">
        <v>14079</v>
      </c>
      <c r="C7399" s="396" t="s">
        <v>14080</v>
      </c>
      <c r="D7399" s="396" t="s">
        <v>14055</v>
      </c>
      <c r="E7399" s="396" t="s">
        <v>14056</v>
      </c>
      <c r="F7399" s="396" t="s">
        <v>13967</v>
      </c>
    </row>
    <row r="7400">
      <c r="A7400" s="311">
        <v>7399</v>
      </c>
      <c r="B7400" s="396" t="s">
        <v>14081</v>
      </c>
      <c r="C7400" s="396" t="s">
        <v>14082</v>
      </c>
      <c r="D7400" s="396" t="s">
        <v>14055</v>
      </c>
      <c r="E7400" s="396" t="s">
        <v>14056</v>
      </c>
      <c r="F7400" s="396" t="s">
        <v>13967</v>
      </c>
    </row>
    <row r="7401">
      <c r="A7401" s="311">
        <v>7400</v>
      </c>
      <c r="B7401" s="396" t="s">
        <v>14083</v>
      </c>
      <c r="C7401" s="396" t="s">
        <v>4504</v>
      </c>
      <c r="D7401" s="396" t="s">
        <v>14055</v>
      </c>
      <c r="E7401" s="396" t="s">
        <v>14056</v>
      </c>
      <c r="F7401" s="396" t="s">
        <v>13967</v>
      </c>
    </row>
    <row r="7402">
      <c r="A7402" s="311">
        <v>7401</v>
      </c>
      <c r="B7402" s="396" t="s">
        <v>14084</v>
      </c>
      <c r="C7402" s="396" t="s">
        <v>14085</v>
      </c>
      <c r="D7402" s="396" t="s">
        <v>14086</v>
      </c>
      <c r="E7402" s="396" t="s">
        <v>14087</v>
      </c>
      <c r="F7402" s="396" t="s">
        <v>13967</v>
      </c>
    </row>
    <row r="7403">
      <c r="A7403" s="311">
        <v>7402</v>
      </c>
      <c r="B7403" s="396" t="s">
        <v>14088</v>
      </c>
      <c r="C7403" s="396" t="s">
        <v>14089</v>
      </c>
      <c r="D7403" s="396" t="s">
        <v>14086</v>
      </c>
      <c r="E7403" s="396" t="s">
        <v>14087</v>
      </c>
      <c r="F7403" s="396" t="s">
        <v>13967</v>
      </c>
    </row>
    <row r="7404">
      <c r="A7404" s="311">
        <v>7403</v>
      </c>
      <c r="B7404" s="396" t="s">
        <v>14090</v>
      </c>
      <c r="C7404" s="396" t="s">
        <v>7852</v>
      </c>
      <c r="D7404" s="396" t="s">
        <v>14086</v>
      </c>
      <c r="E7404" s="396" t="s">
        <v>14087</v>
      </c>
      <c r="F7404" s="396" t="s">
        <v>13967</v>
      </c>
    </row>
    <row r="7405">
      <c r="A7405" s="311">
        <v>7404</v>
      </c>
      <c r="B7405" s="396" t="s">
        <v>14091</v>
      </c>
      <c r="C7405" s="396" t="s">
        <v>14092</v>
      </c>
      <c r="D7405" s="396" t="s">
        <v>14086</v>
      </c>
      <c r="E7405" s="396" t="s">
        <v>14087</v>
      </c>
      <c r="F7405" s="396" t="s">
        <v>13967</v>
      </c>
    </row>
    <row r="7406">
      <c r="A7406" s="311">
        <v>7405</v>
      </c>
      <c r="B7406" s="396" t="s">
        <v>14093</v>
      </c>
      <c r="C7406" s="396" t="s">
        <v>9023</v>
      </c>
      <c r="D7406" s="396" t="s">
        <v>14086</v>
      </c>
      <c r="E7406" s="396" t="s">
        <v>14087</v>
      </c>
      <c r="F7406" s="396" t="s">
        <v>13967</v>
      </c>
    </row>
    <row r="7407">
      <c r="A7407" s="311">
        <v>7406</v>
      </c>
      <c r="B7407" s="396" t="s">
        <v>14094</v>
      </c>
      <c r="C7407" s="396" t="s">
        <v>8578</v>
      </c>
      <c r="D7407" s="396" t="s">
        <v>14086</v>
      </c>
      <c r="E7407" s="396" t="s">
        <v>14087</v>
      </c>
      <c r="F7407" s="396" t="s">
        <v>13967</v>
      </c>
    </row>
    <row r="7408">
      <c r="A7408" s="311">
        <v>7407</v>
      </c>
      <c r="B7408" s="396" t="s">
        <v>14095</v>
      </c>
      <c r="C7408" s="396" t="s">
        <v>14096</v>
      </c>
      <c r="D7408" s="396" t="s">
        <v>14086</v>
      </c>
      <c r="E7408" s="396" t="s">
        <v>14087</v>
      </c>
      <c r="F7408" s="396" t="s">
        <v>13967</v>
      </c>
    </row>
    <row r="7409">
      <c r="A7409" s="311">
        <v>7408</v>
      </c>
      <c r="B7409" s="396" t="s">
        <v>14097</v>
      </c>
      <c r="C7409" s="396" t="s">
        <v>5928</v>
      </c>
      <c r="D7409" s="396" t="s">
        <v>14086</v>
      </c>
      <c r="E7409" s="396" t="s">
        <v>14087</v>
      </c>
      <c r="F7409" s="396" t="s">
        <v>13967</v>
      </c>
    </row>
    <row r="7410">
      <c r="A7410" s="311">
        <v>7409</v>
      </c>
      <c r="B7410" s="396" t="s">
        <v>14098</v>
      </c>
      <c r="C7410" s="396" t="s">
        <v>14099</v>
      </c>
      <c r="D7410" s="396" t="s">
        <v>14086</v>
      </c>
      <c r="E7410" s="396" t="s">
        <v>14087</v>
      </c>
      <c r="F7410" s="396" t="s">
        <v>13967</v>
      </c>
    </row>
    <row r="7411">
      <c r="A7411" s="311">
        <v>7410</v>
      </c>
      <c r="B7411" s="396" t="s">
        <v>14100</v>
      </c>
      <c r="C7411" s="396" t="s">
        <v>14101</v>
      </c>
      <c r="D7411" s="396" t="s">
        <v>14086</v>
      </c>
      <c r="E7411" s="396" t="s">
        <v>14087</v>
      </c>
      <c r="F7411" s="396" t="s">
        <v>13967</v>
      </c>
    </row>
    <row r="7412">
      <c r="A7412" s="311">
        <v>7411</v>
      </c>
      <c r="B7412" s="396" t="s">
        <v>14102</v>
      </c>
      <c r="C7412" s="396" t="s">
        <v>8919</v>
      </c>
      <c r="D7412" s="396" t="s">
        <v>14086</v>
      </c>
      <c r="E7412" s="396" t="s">
        <v>14087</v>
      </c>
      <c r="F7412" s="396" t="s">
        <v>13967</v>
      </c>
    </row>
    <row r="7413">
      <c r="A7413" s="311">
        <v>7412</v>
      </c>
      <c r="B7413" s="396" t="s">
        <v>14103</v>
      </c>
      <c r="C7413" s="396" t="s">
        <v>4376</v>
      </c>
      <c r="D7413" s="396" t="s">
        <v>14086</v>
      </c>
      <c r="E7413" s="396" t="s">
        <v>14087</v>
      </c>
      <c r="F7413" s="396" t="s">
        <v>13967</v>
      </c>
    </row>
    <row r="7414">
      <c r="A7414" s="311">
        <v>7413</v>
      </c>
      <c r="B7414" s="396" t="s">
        <v>14104</v>
      </c>
      <c r="C7414" s="396" t="s">
        <v>1189</v>
      </c>
      <c r="D7414" s="396" t="s">
        <v>14086</v>
      </c>
      <c r="E7414" s="396" t="s">
        <v>14087</v>
      </c>
      <c r="F7414" s="396" t="s">
        <v>13967</v>
      </c>
    </row>
    <row r="7415">
      <c r="A7415" s="311">
        <v>7414</v>
      </c>
      <c r="B7415" s="396" t="s">
        <v>14105</v>
      </c>
      <c r="C7415" s="396" t="s">
        <v>14106</v>
      </c>
      <c r="D7415" s="396" t="s">
        <v>14086</v>
      </c>
      <c r="E7415" s="396" t="s">
        <v>14087</v>
      </c>
      <c r="F7415" s="396" t="s">
        <v>13967</v>
      </c>
    </row>
    <row r="7416">
      <c r="A7416" s="311">
        <v>7415</v>
      </c>
      <c r="B7416" s="396" t="s">
        <v>14107</v>
      </c>
      <c r="C7416" s="396" t="s">
        <v>14108</v>
      </c>
      <c r="D7416" s="396" t="s">
        <v>14086</v>
      </c>
      <c r="E7416" s="396" t="s">
        <v>14087</v>
      </c>
      <c r="F7416" s="396" t="s">
        <v>13967</v>
      </c>
    </row>
    <row r="7417">
      <c r="A7417" s="311">
        <v>7416</v>
      </c>
      <c r="B7417" s="396" t="s">
        <v>14109</v>
      </c>
      <c r="C7417" s="396" t="s">
        <v>14110</v>
      </c>
      <c r="D7417" s="396" t="s">
        <v>14086</v>
      </c>
      <c r="E7417" s="396" t="s">
        <v>14087</v>
      </c>
      <c r="F7417" s="396" t="s">
        <v>13967</v>
      </c>
    </row>
    <row r="7418">
      <c r="A7418" s="311">
        <v>7417</v>
      </c>
      <c r="B7418" s="396" t="s">
        <v>14111</v>
      </c>
      <c r="C7418" s="396" t="s">
        <v>14112</v>
      </c>
      <c r="D7418" s="396" t="s">
        <v>14086</v>
      </c>
      <c r="E7418" s="396" t="s">
        <v>14087</v>
      </c>
      <c r="F7418" s="396" t="s">
        <v>13967</v>
      </c>
    </row>
    <row r="7419">
      <c r="A7419" s="311">
        <v>7418</v>
      </c>
      <c r="B7419" s="396" t="s">
        <v>14113</v>
      </c>
      <c r="C7419" s="396" t="s">
        <v>14114</v>
      </c>
      <c r="D7419" s="396" t="s">
        <v>14086</v>
      </c>
      <c r="E7419" s="396" t="s">
        <v>14087</v>
      </c>
      <c r="F7419" s="396" t="s">
        <v>13967</v>
      </c>
    </row>
    <row r="7420">
      <c r="A7420" s="311">
        <v>7419</v>
      </c>
      <c r="B7420" s="396" t="s">
        <v>14115</v>
      </c>
      <c r="C7420" s="396" t="s">
        <v>14116</v>
      </c>
      <c r="D7420" s="396" t="s">
        <v>14086</v>
      </c>
      <c r="E7420" s="396" t="s">
        <v>14087</v>
      </c>
      <c r="F7420" s="396" t="s">
        <v>13967</v>
      </c>
    </row>
    <row r="7421">
      <c r="A7421" s="311">
        <v>7420</v>
      </c>
      <c r="B7421" s="396" t="s">
        <v>14117</v>
      </c>
      <c r="C7421" s="396" t="s">
        <v>14118</v>
      </c>
      <c r="D7421" s="396" t="s">
        <v>14119</v>
      </c>
      <c r="E7421" s="396" t="s">
        <v>14120</v>
      </c>
      <c r="F7421" s="396" t="s">
        <v>13967</v>
      </c>
    </row>
    <row r="7422">
      <c r="A7422" s="311">
        <v>7421</v>
      </c>
      <c r="B7422" s="396" t="s">
        <v>14121</v>
      </c>
      <c r="C7422" s="396" t="s">
        <v>6827</v>
      </c>
      <c r="D7422" s="396" t="s">
        <v>14119</v>
      </c>
      <c r="E7422" s="396" t="s">
        <v>14120</v>
      </c>
      <c r="F7422" s="396" t="s">
        <v>13967</v>
      </c>
    </row>
    <row r="7423">
      <c r="A7423" s="311">
        <v>7422</v>
      </c>
      <c r="B7423" s="396" t="s">
        <v>14122</v>
      </c>
      <c r="C7423" s="396" t="s">
        <v>12479</v>
      </c>
      <c r="D7423" s="396" t="s">
        <v>14119</v>
      </c>
      <c r="E7423" s="396" t="s">
        <v>14120</v>
      </c>
      <c r="F7423" s="396" t="s">
        <v>13967</v>
      </c>
    </row>
    <row r="7424">
      <c r="A7424" s="311">
        <v>7423</v>
      </c>
      <c r="B7424" s="396" t="s">
        <v>14123</v>
      </c>
      <c r="C7424" s="396" t="s">
        <v>14124</v>
      </c>
      <c r="D7424" s="396" t="s">
        <v>14119</v>
      </c>
      <c r="E7424" s="396" t="s">
        <v>14120</v>
      </c>
      <c r="F7424" s="396" t="s">
        <v>13967</v>
      </c>
    </row>
    <row r="7425">
      <c r="A7425" s="311">
        <v>7424</v>
      </c>
      <c r="B7425" s="396" t="s">
        <v>14125</v>
      </c>
      <c r="C7425" s="396" t="s">
        <v>1581</v>
      </c>
      <c r="D7425" s="396" t="s">
        <v>14119</v>
      </c>
      <c r="E7425" s="396" t="s">
        <v>14120</v>
      </c>
      <c r="F7425" s="396" t="s">
        <v>13967</v>
      </c>
    </row>
    <row r="7426">
      <c r="A7426" s="311">
        <v>7425</v>
      </c>
      <c r="B7426" s="396" t="s">
        <v>14126</v>
      </c>
      <c r="C7426" s="396" t="s">
        <v>7534</v>
      </c>
      <c r="D7426" s="396" t="s">
        <v>14119</v>
      </c>
      <c r="E7426" s="396" t="s">
        <v>14120</v>
      </c>
      <c r="F7426" s="396" t="s">
        <v>13967</v>
      </c>
    </row>
    <row r="7427">
      <c r="A7427" s="311">
        <v>7426</v>
      </c>
      <c r="B7427" s="396" t="s">
        <v>14127</v>
      </c>
      <c r="C7427" s="396" t="s">
        <v>6849</v>
      </c>
      <c r="D7427" s="396" t="s">
        <v>14119</v>
      </c>
      <c r="E7427" s="396" t="s">
        <v>14120</v>
      </c>
      <c r="F7427" s="396" t="s">
        <v>13967</v>
      </c>
    </row>
    <row r="7428">
      <c r="A7428" s="311">
        <v>7427</v>
      </c>
      <c r="B7428" s="396" t="s">
        <v>14128</v>
      </c>
      <c r="C7428" s="396" t="s">
        <v>14129</v>
      </c>
      <c r="D7428" s="396" t="s">
        <v>14119</v>
      </c>
      <c r="E7428" s="396" t="s">
        <v>14120</v>
      </c>
      <c r="F7428" s="396" t="s">
        <v>13967</v>
      </c>
    </row>
    <row r="7429">
      <c r="A7429" s="311">
        <v>7428</v>
      </c>
      <c r="B7429" s="396" t="s">
        <v>14130</v>
      </c>
      <c r="C7429" s="396" t="s">
        <v>1638</v>
      </c>
      <c r="D7429" s="396" t="s">
        <v>14119</v>
      </c>
      <c r="E7429" s="396" t="s">
        <v>14120</v>
      </c>
      <c r="F7429" s="396" t="s">
        <v>13967</v>
      </c>
    </row>
    <row r="7430">
      <c r="A7430" s="311">
        <v>7429</v>
      </c>
      <c r="B7430" s="396" t="s">
        <v>14131</v>
      </c>
      <c r="C7430" s="396" t="s">
        <v>14132</v>
      </c>
      <c r="D7430" s="396" t="s">
        <v>14133</v>
      </c>
      <c r="E7430" s="396" t="s">
        <v>14134</v>
      </c>
      <c r="F7430" s="396" t="s">
        <v>13967</v>
      </c>
    </row>
    <row r="7431">
      <c r="A7431" s="311">
        <v>7430</v>
      </c>
      <c r="B7431" s="396" t="s">
        <v>14135</v>
      </c>
      <c r="C7431" s="396" t="s">
        <v>13691</v>
      </c>
      <c r="D7431" s="396" t="s">
        <v>14133</v>
      </c>
      <c r="E7431" s="396" t="s">
        <v>14134</v>
      </c>
      <c r="F7431" s="396" t="s">
        <v>13967</v>
      </c>
    </row>
    <row r="7432">
      <c r="A7432" s="311">
        <v>7431</v>
      </c>
      <c r="B7432" s="396" t="s">
        <v>14136</v>
      </c>
      <c r="C7432" s="396" t="s">
        <v>14137</v>
      </c>
      <c r="D7432" s="396" t="s">
        <v>14133</v>
      </c>
      <c r="E7432" s="396" t="s">
        <v>14134</v>
      </c>
      <c r="F7432" s="396" t="s">
        <v>13967</v>
      </c>
    </row>
    <row r="7433">
      <c r="A7433" s="311">
        <v>7432</v>
      </c>
      <c r="B7433" s="396" t="s">
        <v>14138</v>
      </c>
      <c r="C7433" s="396" t="s">
        <v>4114</v>
      </c>
      <c r="D7433" s="396" t="s">
        <v>14133</v>
      </c>
      <c r="E7433" s="396" t="s">
        <v>14134</v>
      </c>
      <c r="F7433" s="396" t="s">
        <v>13967</v>
      </c>
    </row>
    <row r="7434">
      <c r="A7434" s="311">
        <v>7433</v>
      </c>
      <c r="B7434" s="396" t="s">
        <v>14139</v>
      </c>
      <c r="C7434" s="396" t="s">
        <v>8618</v>
      </c>
      <c r="D7434" s="396" t="s">
        <v>14133</v>
      </c>
      <c r="E7434" s="396" t="s">
        <v>14134</v>
      </c>
      <c r="F7434" s="396" t="s">
        <v>13967</v>
      </c>
    </row>
    <row r="7435">
      <c r="A7435" s="311">
        <v>7434</v>
      </c>
      <c r="B7435" s="396" t="s">
        <v>14140</v>
      </c>
      <c r="C7435" s="396" t="s">
        <v>4690</v>
      </c>
      <c r="D7435" s="396" t="s">
        <v>14133</v>
      </c>
      <c r="E7435" s="396" t="s">
        <v>14134</v>
      </c>
      <c r="F7435" s="396" t="s">
        <v>13967</v>
      </c>
    </row>
    <row r="7436">
      <c r="A7436" s="311">
        <v>7435</v>
      </c>
      <c r="B7436" s="396" t="s">
        <v>14141</v>
      </c>
      <c r="C7436" s="396" t="s">
        <v>8610</v>
      </c>
      <c r="D7436" s="396" t="s">
        <v>14133</v>
      </c>
      <c r="E7436" s="396" t="s">
        <v>14134</v>
      </c>
      <c r="F7436" s="396" t="s">
        <v>13967</v>
      </c>
    </row>
    <row r="7437">
      <c r="A7437" s="311">
        <v>7436</v>
      </c>
      <c r="B7437" s="396" t="s">
        <v>14142</v>
      </c>
      <c r="C7437" s="396" t="s">
        <v>9282</v>
      </c>
      <c r="D7437" s="396" t="s">
        <v>14133</v>
      </c>
      <c r="E7437" s="396" t="s">
        <v>14134</v>
      </c>
      <c r="F7437" s="396" t="s">
        <v>13967</v>
      </c>
    </row>
    <row r="7438">
      <c r="A7438" s="311">
        <v>7437</v>
      </c>
      <c r="B7438" s="396" t="s">
        <v>14143</v>
      </c>
      <c r="C7438" s="396" t="s">
        <v>14144</v>
      </c>
      <c r="D7438" s="396" t="s">
        <v>14133</v>
      </c>
      <c r="E7438" s="396" t="s">
        <v>14134</v>
      </c>
      <c r="F7438" s="396" t="s">
        <v>13967</v>
      </c>
    </row>
    <row r="7439">
      <c r="A7439" s="311">
        <v>7438</v>
      </c>
      <c r="B7439" s="396" t="s">
        <v>14145</v>
      </c>
      <c r="C7439" s="396" t="s">
        <v>14146</v>
      </c>
      <c r="D7439" s="396" t="s">
        <v>14133</v>
      </c>
      <c r="E7439" s="396" t="s">
        <v>14134</v>
      </c>
      <c r="F7439" s="396" t="s">
        <v>13967</v>
      </c>
    </row>
    <row r="7440">
      <c r="A7440" s="311">
        <v>7439</v>
      </c>
      <c r="B7440" s="396" t="s">
        <v>14147</v>
      </c>
      <c r="C7440" s="396" t="s">
        <v>14148</v>
      </c>
      <c r="D7440" s="396" t="s">
        <v>14133</v>
      </c>
      <c r="E7440" s="396" t="s">
        <v>14134</v>
      </c>
      <c r="F7440" s="396" t="s">
        <v>13967</v>
      </c>
    </row>
    <row r="7441">
      <c r="A7441" s="311">
        <v>7440</v>
      </c>
      <c r="B7441" s="396" t="s">
        <v>14149</v>
      </c>
      <c r="C7441" s="396" t="s">
        <v>7935</v>
      </c>
      <c r="D7441" s="396" t="s">
        <v>14133</v>
      </c>
      <c r="E7441" s="396" t="s">
        <v>14134</v>
      </c>
      <c r="F7441" s="396" t="s">
        <v>13967</v>
      </c>
    </row>
    <row r="7442">
      <c r="A7442" s="311">
        <v>7441</v>
      </c>
      <c r="B7442" s="396" t="s">
        <v>14150</v>
      </c>
      <c r="C7442" s="396" t="s">
        <v>14151</v>
      </c>
      <c r="D7442" s="396" t="s">
        <v>14133</v>
      </c>
      <c r="E7442" s="396" t="s">
        <v>14134</v>
      </c>
      <c r="F7442" s="396" t="s">
        <v>13967</v>
      </c>
    </row>
    <row r="7443">
      <c r="A7443" s="311">
        <v>7442</v>
      </c>
      <c r="B7443" s="396" t="s">
        <v>14152</v>
      </c>
      <c r="C7443" s="396" t="s">
        <v>14153</v>
      </c>
      <c r="D7443" s="396" t="s">
        <v>14133</v>
      </c>
      <c r="E7443" s="396" t="s">
        <v>14134</v>
      </c>
      <c r="F7443" s="396" t="s">
        <v>13967</v>
      </c>
    </row>
    <row r="7444">
      <c r="A7444" s="311">
        <v>7443</v>
      </c>
      <c r="B7444" s="396" t="s">
        <v>14154</v>
      </c>
      <c r="C7444" s="396" t="s">
        <v>14155</v>
      </c>
      <c r="D7444" s="396" t="s">
        <v>14133</v>
      </c>
      <c r="E7444" s="396" t="s">
        <v>14134</v>
      </c>
      <c r="F7444" s="396" t="s">
        <v>13967</v>
      </c>
    </row>
    <row r="7445">
      <c r="A7445" s="311">
        <v>7444</v>
      </c>
      <c r="B7445" s="396" t="s">
        <v>14156</v>
      </c>
      <c r="C7445" s="396" t="s">
        <v>14157</v>
      </c>
      <c r="D7445" s="396" t="s">
        <v>14158</v>
      </c>
      <c r="E7445" s="396" t="s">
        <v>14159</v>
      </c>
      <c r="F7445" s="396" t="s">
        <v>13967</v>
      </c>
    </row>
    <row r="7446">
      <c r="A7446" s="311">
        <v>7445</v>
      </c>
      <c r="B7446" s="396" t="s">
        <v>14160</v>
      </c>
      <c r="C7446" s="396" t="s">
        <v>14161</v>
      </c>
      <c r="D7446" s="396" t="s">
        <v>14158</v>
      </c>
      <c r="E7446" s="396" t="s">
        <v>14159</v>
      </c>
      <c r="F7446" s="396" t="s">
        <v>13967</v>
      </c>
    </row>
    <row r="7447">
      <c r="A7447" s="311">
        <v>7446</v>
      </c>
      <c r="B7447" s="396" t="s">
        <v>14162</v>
      </c>
      <c r="C7447" s="396" t="s">
        <v>14163</v>
      </c>
      <c r="D7447" s="396" t="s">
        <v>14158</v>
      </c>
      <c r="E7447" s="396" t="s">
        <v>14159</v>
      </c>
      <c r="F7447" s="396" t="s">
        <v>13967</v>
      </c>
    </row>
    <row r="7448">
      <c r="A7448" s="311">
        <v>7447</v>
      </c>
      <c r="B7448" s="396" t="s">
        <v>14164</v>
      </c>
      <c r="C7448" s="396" t="s">
        <v>14165</v>
      </c>
      <c r="D7448" s="396" t="s">
        <v>14158</v>
      </c>
      <c r="E7448" s="396" t="s">
        <v>14159</v>
      </c>
      <c r="F7448" s="396" t="s">
        <v>13967</v>
      </c>
    </row>
    <row r="7449">
      <c r="A7449" s="311">
        <v>7448</v>
      </c>
      <c r="B7449" s="396" t="s">
        <v>14166</v>
      </c>
      <c r="C7449" s="396" t="s">
        <v>14167</v>
      </c>
      <c r="D7449" s="396" t="s">
        <v>14158</v>
      </c>
      <c r="E7449" s="396" t="s">
        <v>14159</v>
      </c>
      <c r="F7449" s="396" t="s">
        <v>13967</v>
      </c>
    </row>
    <row r="7450">
      <c r="A7450" s="311">
        <v>7449</v>
      </c>
      <c r="B7450" s="396" t="s">
        <v>14168</v>
      </c>
      <c r="C7450" s="396" t="s">
        <v>14169</v>
      </c>
      <c r="D7450" s="396" t="s">
        <v>14158</v>
      </c>
      <c r="E7450" s="396" t="s">
        <v>14159</v>
      </c>
      <c r="F7450" s="396" t="s">
        <v>13967</v>
      </c>
    </row>
    <row r="7451">
      <c r="A7451" s="311">
        <v>7450</v>
      </c>
      <c r="B7451" s="396" t="s">
        <v>14170</v>
      </c>
      <c r="C7451" s="396" t="s">
        <v>14171</v>
      </c>
      <c r="D7451" s="396" t="s">
        <v>14158</v>
      </c>
      <c r="E7451" s="396" t="s">
        <v>14159</v>
      </c>
      <c r="F7451" s="396" t="s">
        <v>13967</v>
      </c>
    </row>
    <row r="7452">
      <c r="A7452" s="311">
        <v>7451</v>
      </c>
      <c r="B7452" s="396" t="s">
        <v>14172</v>
      </c>
      <c r="C7452" s="396" t="s">
        <v>14173</v>
      </c>
      <c r="D7452" s="396" t="s">
        <v>14158</v>
      </c>
      <c r="E7452" s="396" t="s">
        <v>14159</v>
      </c>
      <c r="F7452" s="396" t="s">
        <v>13967</v>
      </c>
    </row>
    <row r="7453">
      <c r="A7453" s="311">
        <v>7452</v>
      </c>
      <c r="B7453" s="396" t="s">
        <v>14174</v>
      </c>
      <c r="C7453" s="396" t="s">
        <v>14175</v>
      </c>
      <c r="D7453" s="396" t="s">
        <v>14158</v>
      </c>
      <c r="E7453" s="396" t="s">
        <v>14159</v>
      </c>
      <c r="F7453" s="396" t="s">
        <v>13967</v>
      </c>
    </row>
    <row r="7454">
      <c r="A7454" s="311">
        <v>7453</v>
      </c>
      <c r="B7454" s="396" t="s">
        <v>14176</v>
      </c>
      <c r="C7454" s="396" t="s">
        <v>14177</v>
      </c>
      <c r="D7454" s="396" t="s">
        <v>14158</v>
      </c>
      <c r="E7454" s="396" t="s">
        <v>14159</v>
      </c>
      <c r="F7454" s="396" t="s">
        <v>13967</v>
      </c>
    </row>
    <row r="7455">
      <c r="A7455" s="311">
        <v>7454</v>
      </c>
      <c r="B7455" s="396" t="s">
        <v>14178</v>
      </c>
      <c r="C7455" s="396" t="s">
        <v>14179</v>
      </c>
      <c r="D7455" s="396" t="s">
        <v>14158</v>
      </c>
      <c r="E7455" s="396" t="s">
        <v>14159</v>
      </c>
      <c r="F7455" s="396" t="s">
        <v>13967</v>
      </c>
    </row>
    <row r="7456">
      <c r="A7456" s="311">
        <v>7455</v>
      </c>
      <c r="B7456" s="396" t="s">
        <v>14180</v>
      </c>
      <c r="C7456" s="396" t="s">
        <v>14181</v>
      </c>
      <c r="D7456" s="396" t="s">
        <v>14158</v>
      </c>
      <c r="E7456" s="396" t="s">
        <v>14159</v>
      </c>
      <c r="F7456" s="396" t="s">
        <v>13967</v>
      </c>
    </row>
    <row r="7457">
      <c r="A7457" s="311">
        <v>7456</v>
      </c>
      <c r="B7457" s="396" t="s">
        <v>14182</v>
      </c>
      <c r="C7457" s="396" t="s">
        <v>14183</v>
      </c>
      <c r="D7457" s="396" t="s">
        <v>14158</v>
      </c>
      <c r="E7457" s="396" t="s">
        <v>14159</v>
      </c>
      <c r="F7457" s="396" t="s">
        <v>13967</v>
      </c>
    </row>
    <row r="7458">
      <c r="A7458" s="311">
        <v>7457</v>
      </c>
      <c r="B7458" s="396" t="s">
        <v>14184</v>
      </c>
      <c r="C7458" s="396" t="s">
        <v>14185</v>
      </c>
      <c r="D7458" s="396" t="s">
        <v>14158</v>
      </c>
      <c r="E7458" s="396" t="s">
        <v>14159</v>
      </c>
      <c r="F7458" s="396" t="s">
        <v>13967</v>
      </c>
    </row>
    <row r="7459">
      <c r="A7459" s="311">
        <v>7458</v>
      </c>
      <c r="B7459" s="396" t="s">
        <v>14186</v>
      </c>
      <c r="C7459" s="396" t="s">
        <v>10562</v>
      </c>
      <c r="D7459" s="396" t="s">
        <v>14158</v>
      </c>
      <c r="E7459" s="396" t="s">
        <v>14159</v>
      </c>
      <c r="F7459" s="396" t="s">
        <v>13967</v>
      </c>
    </row>
    <row r="7460">
      <c r="A7460" s="311">
        <v>7459</v>
      </c>
      <c r="B7460" s="396" t="s">
        <v>14187</v>
      </c>
      <c r="C7460" s="396" t="s">
        <v>14188</v>
      </c>
      <c r="D7460" s="396" t="s">
        <v>14158</v>
      </c>
      <c r="E7460" s="396" t="s">
        <v>14159</v>
      </c>
      <c r="F7460" s="396" t="s">
        <v>13967</v>
      </c>
    </row>
    <row r="7461">
      <c r="A7461" s="311">
        <v>7460</v>
      </c>
      <c r="B7461" s="396" t="s">
        <v>14189</v>
      </c>
      <c r="C7461" s="396" t="s">
        <v>14190</v>
      </c>
      <c r="D7461" s="396" t="s">
        <v>14158</v>
      </c>
      <c r="E7461" s="396" t="s">
        <v>14159</v>
      </c>
      <c r="F7461" s="396" t="s">
        <v>13967</v>
      </c>
    </row>
    <row r="7462">
      <c r="A7462" s="311">
        <v>7461</v>
      </c>
      <c r="B7462" s="396" t="s">
        <v>14191</v>
      </c>
      <c r="C7462" s="396" t="s">
        <v>14192</v>
      </c>
      <c r="D7462" s="396" t="s">
        <v>14158</v>
      </c>
      <c r="E7462" s="396" t="s">
        <v>14159</v>
      </c>
      <c r="F7462" s="396" t="s">
        <v>13967</v>
      </c>
    </row>
    <row r="7463">
      <c r="A7463" s="311">
        <v>7462</v>
      </c>
      <c r="B7463" s="396" t="s">
        <v>14193</v>
      </c>
      <c r="C7463" s="396" t="s">
        <v>14194</v>
      </c>
      <c r="D7463" s="396" t="s">
        <v>14195</v>
      </c>
      <c r="E7463" s="396" t="s">
        <v>14196</v>
      </c>
      <c r="F7463" s="396" t="s">
        <v>13967</v>
      </c>
    </row>
    <row r="7464">
      <c r="A7464" s="311">
        <v>7463</v>
      </c>
      <c r="B7464" s="396" t="s">
        <v>14197</v>
      </c>
      <c r="C7464" s="396" t="s">
        <v>14198</v>
      </c>
      <c r="D7464" s="396" t="s">
        <v>14195</v>
      </c>
      <c r="E7464" s="396" t="s">
        <v>14196</v>
      </c>
      <c r="F7464" s="396" t="s">
        <v>13967</v>
      </c>
    </row>
    <row r="7465">
      <c r="A7465" s="311">
        <v>7464</v>
      </c>
      <c r="B7465" s="396" t="s">
        <v>14199</v>
      </c>
      <c r="C7465" s="396" t="s">
        <v>14200</v>
      </c>
      <c r="D7465" s="396" t="s">
        <v>14195</v>
      </c>
      <c r="E7465" s="396" t="s">
        <v>14196</v>
      </c>
      <c r="F7465" s="396" t="s">
        <v>13967</v>
      </c>
    </row>
    <row r="7466">
      <c r="A7466" s="311">
        <v>7465</v>
      </c>
      <c r="B7466" s="396" t="s">
        <v>14201</v>
      </c>
      <c r="C7466" s="396" t="s">
        <v>14202</v>
      </c>
      <c r="D7466" s="396" t="s">
        <v>14195</v>
      </c>
      <c r="E7466" s="396" t="s">
        <v>14196</v>
      </c>
      <c r="F7466" s="396" t="s">
        <v>13967</v>
      </c>
    </row>
    <row r="7467">
      <c r="A7467" s="311">
        <v>7466</v>
      </c>
      <c r="B7467" s="396" t="s">
        <v>14203</v>
      </c>
      <c r="C7467" s="396" t="s">
        <v>14204</v>
      </c>
      <c r="D7467" s="396" t="s">
        <v>14195</v>
      </c>
      <c r="E7467" s="396" t="s">
        <v>14196</v>
      </c>
      <c r="F7467" s="396" t="s">
        <v>13967</v>
      </c>
    </row>
    <row r="7468">
      <c r="A7468" s="311">
        <v>7467</v>
      </c>
      <c r="B7468" s="396" t="s">
        <v>14205</v>
      </c>
      <c r="C7468" s="396" t="s">
        <v>14206</v>
      </c>
      <c r="D7468" s="396" t="s">
        <v>14195</v>
      </c>
      <c r="E7468" s="396" t="s">
        <v>14196</v>
      </c>
      <c r="F7468" s="396" t="s">
        <v>13967</v>
      </c>
    </row>
    <row r="7469">
      <c r="A7469" s="311">
        <v>7468</v>
      </c>
      <c r="B7469" s="396" t="s">
        <v>14207</v>
      </c>
      <c r="C7469" s="396" t="s">
        <v>14208</v>
      </c>
      <c r="D7469" s="396" t="s">
        <v>14195</v>
      </c>
      <c r="E7469" s="396" t="s">
        <v>14196</v>
      </c>
      <c r="F7469" s="396" t="s">
        <v>13967</v>
      </c>
    </row>
    <row r="7470">
      <c r="A7470" s="311">
        <v>7469</v>
      </c>
      <c r="B7470" s="396" t="s">
        <v>14209</v>
      </c>
      <c r="C7470" s="396" t="s">
        <v>14210</v>
      </c>
      <c r="D7470" s="396" t="s">
        <v>14195</v>
      </c>
      <c r="E7470" s="396" t="s">
        <v>14196</v>
      </c>
      <c r="F7470" s="396" t="s">
        <v>13967</v>
      </c>
    </row>
    <row r="7471">
      <c r="A7471" s="311">
        <v>7470</v>
      </c>
      <c r="B7471" s="396" t="s">
        <v>14211</v>
      </c>
      <c r="C7471" s="396" t="s">
        <v>14212</v>
      </c>
      <c r="D7471" s="396" t="s">
        <v>14195</v>
      </c>
      <c r="E7471" s="396" t="s">
        <v>14196</v>
      </c>
      <c r="F7471" s="396" t="s">
        <v>13967</v>
      </c>
    </row>
    <row r="7472">
      <c r="A7472" s="311">
        <v>7471</v>
      </c>
      <c r="B7472" s="396" t="s">
        <v>14213</v>
      </c>
      <c r="C7472" s="396" t="s">
        <v>14214</v>
      </c>
      <c r="D7472" s="396" t="s">
        <v>14195</v>
      </c>
      <c r="E7472" s="396" t="s">
        <v>14196</v>
      </c>
      <c r="F7472" s="396" t="s">
        <v>13967</v>
      </c>
    </row>
    <row r="7473">
      <c r="A7473" s="311">
        <v>7472</v>
      </c>
      <c r="B7473" s="396" t="s">
        <v>14215</v>
      </c>
      <c r="C7473" s="396" t="s">
        <v>14216</v>
      </c>
      <c r="D7473" s="396" t="s">
        <v>14195</v>
      </c>
      <c r="E7473" s="396" t="s">
        <v>14196</v>
      </c>
      <c r="F7473" s="396" t="s">
        <v>13967</v>
      </c>
    </row>
    <row r="7474">
      <c r="A7474" s="311">
        <v>7473</v>
      </c>
      <c r="B7474" s="396" t="s">
        <v>14217</v>
      </c>
      <c r="C7474" s="396" t="s">
        <v>14218</v>
      </c>
      <c r="D7474" s="396" t="s">
        <v>14195</v>
      </c>
      <c r="E7474" s="396" t="s">
        <v>14196</v>
      </c>
      <c r="F7474" s="396" t="s">
        <v>13967</v>
      </c>
    </row>
    <row r="7475">
      <c r="A7475" s="311">
        <v>7474</v>
      </c>
      <c r="B7475" s="396" t="s">
        <v>14219</v>
      </c>
      <c r="C7475" s="396" t="s">
        <v>14220</v>
      </c>
      <c r="D7475" s="396" t="s">
        <v>14195</v>
      </c>
      <c r="E7475" s="396" t="s">
        <v>14196</v>
      </c>
      <c r="F7475" s="396" t="s">
        <v>13967</v>
      </c>
    </row>
    <row r="7476">
      <c r="A7476" s="311">
        <v>7475</v>
      </c>
      <c r="B7476" s="396" t="s">
        <v>14221</v>
      </c>
      <c r="C7476" s="396" t="s">
        <v>14222</v>
      </c>
      <c r="D7476" s="396" t="s">
        <v>14195</v>
      </c>
      <c r="E7476" s="396" t="s">
        <v>14196</v>
      </c>
      <c r="F7476" s="396" t="s">
        <v>13967</v>
      </c>
    </row>
    <row r="7477">
      <c r="A7477" s="311">
        <v>7476</v>
      </c>
      <c r="B7477" s="396" t="s">
        <v>14223</v>
      </c>
      <c r="C7477" s="396" t="s">
        <v>14224</v>
      </c>
      <c r="D7477" s="396" t="s">
        <v>14195</v>
      </c>
      <c r="E7477" s="396" t="s">
        <v>14196</v>
      </c>
      <c r="F7477" s="396" t="s">
        <v>13967</v>
      </c>
    </row>
    <row r="7478">
      <c r="A7478" s="311">
        <v>7477</v>
      </c>
      <c r="B7478" s="396" t="s">
        <v>14225</v>
      </c>
      <c r="C7478" s="396" t="s">
        <v>14226</v>
      </c>
      <c r="D7478" s="396" t="s">
        <v>14227</v>
      </c>
      <c r="E7478" s="396" t="s">
        <v>14228</v>
      </c>
      <c r="F7478" s="396" t="s">
        <v>13967</v>
      </c>
    </row>
    <row r="7479">
      <c r="A7479" s="311">
        <v>7478</v>
      </c>
      <c r="B7479" s="396" t="s">
        <v>14229</v>
      </c>
      <c r="C7479" s="396" t="s">
        <v>14230</v>
      </c>
      <c r="D7479" s="396" t="s">
        <v>14227</v>
      </c>
      <c r="E7479" s="396" t="s">
        <v>14228</v>
      </c>
      <c r="F7479" s="396" t="s">
        <v>13967</v>
      </c>
    </row>
    <row r="7480">
      <c r="A7480" s="311">
        <v>7479</v>
      </c>
      <c r="B7480" s="396" t="s">
        <v>14231</v>
      </c>
      <c r="C7480" s="396" t="s">
        <v>14232</v>
      </c>
      <c r="D7480" s="396" t="s">
        <v>14227</v>
      </c>
      <c r="E7480" s="396" t="s">
        <v>14228</v>
      </c>
      <c r="F7480" s="396" t="s">
        <v>13967</v>
      </c>
    </row>
    <row r="7481">
      <c r="A7481" s="311">
        <v>7480</v>
      </c>
      <c r="B7481" s="396" t="s">
        <v>14233</v>
      </c>
      <c r="C7481" s="396" t="s">
        <v>14234</v>
      </c>
      <c r="D7481" s="396" t="s">
        <v>14227</v>
      </c>
      <c r="E7481" s="396" t="s">
        <v>14228</v>
      </c>
      <c r="F7481" s="396" t="s">
        <v>13967</v>
      </c>
    </row>
    <row r="7482">
      <c r="A7482" s="311">
        <v>7481</v>
      </c>
      <c r="B7482" s="396" t="s">
        <v>14235</v>
      </c>
      <c r="C7482" s="396" t="s">
        <v>14236</v>
      </c>
      <c r="D7482" s="396" t="s">
        <v>14227</v>
      </c>
      <c r="E7482" s="396" t="s">
        <v>14228</v>
      </c>
      <c r="F7482" s="396" t="s">
        <v>13967</v>
      </c>
    </row>
    <row r="7483">
      <c r="A7483" s="311">
        <v>7482</v>
      </c>
      <c r="B7483" s="396" t="s">
        <v>14237</v>
      </c>
      <c r="C7483" s="396" t="s">
        <v>13384</v>
      </c>
      <c r="D7483" s="396" t="s">
        <v>14227</v>
      </c>
      <c r="E7483" s="396" t="s">
        <v>14228</v>
      </c>
      <c r="F7483" s="396" t="s">
        <v>13967</v>
      </c>
    </row>
    <row r="7484">
      <c r="A7484" s="311">
        <v>7483</v>
      </c>
      <c r="B7484" s="396" t="s">
        <v>14238</v>
      </c>
      <c r="C7484" s="396" t="s">
        <v>14239</v>
      </c>
      <c r="D7484" s="396" t="s">
        <v>14227</v>
      </c>
      <c r="E7484" s="396" t="s">
        <v>14228</v>
      </c>
      <c r="F7484" s="396" t="s">
        <v>13967</v>
      </c>
    </row>
    <row r="7485">
      <c r="A7485" s="311">
        <v>7484</v>
      </c>
      <c r="B7485" s="396" t="s">
        <v>14240</v>
      </c>
      <c r="C7485" s="396" t="s">
        <v>13382</v>
      </c>
      <c r="D7485" s="396" t="s">
        <v>14227</v>
      </c>
      <c r="E7485" s="396" t="s">
        <v>14228</v>
      </c>
      <c r="F7485" s="396" t="s">
        <v>13967</v>
      </c>
    </row>
    <row r="7486">
      <c r="A7486" s="311">
        <v>7485</v>
      </c>
      <c r="B7486" s="396" t="s">
        <v>14241</v>
      </c>
      <c r="C7486" s="396" t="s">
        <v>13398</v>
      </c>
      <c r="D7486" s="396" t="s">
        <v>14227</v>
      </c>
      <c r="E7486" s="396" t="s">
        <v>14228</v>
      </c>
      <c r="F7486" s="396" t="s">
        <v>13967</v>
      </c>
    </row>
    <row r="7487">
      <c r="A7487" s="311">
        <v>7486</v>
      </c>
      <c r="B7487" s="396" t="s">
        <v>14242</v>
      </c>
      <c r="C7487" s="396" t="s">
        <v>14243</v>
      </c>
      <c r="D7487" s="396" t="s">
        <v>14227</v>
      </c>
      <c r="E7487" s="396" t="s">
        <v>14228</v>
      </c>
      <c r="F7487" s="396" t="s">
        <v>13967</v>
      </c>
    </row>
    <row r="7488">
      <c r="A7488" s="311">
        <v>7487</v>
      </c>
      <c r="B7488" s="396" t="s">
        <v>14244</v>
      </c>
      <c r="C7488" s="396" t="s">
        <v>14245</v>
      </c>
      <c r="D7488" s="396" t="s">
        <v>14227</v>
      </c>
      <c r="E7488" s="396" t="s">
        <v>14228</v>
      </c>
      <c r="F7488" s="396" t="s">
        <v>13967</v>
      </c>
    </row>
    <row r="7489">
      <c r="A7489" s="311">
        <v>7488</v>
      </c>
      <c r="B7489" s="396" t="s">
        <v>14246</v>
      </c>
      <c r="C7489" s="396" t="s">
        <v>14247</v>
      </c>
      <c r="D7489" s="396" t="s">
        <v>14227</v>
      </c>
      <c r="E7489" s="396" t="s">
        <v>14228</v>
      </c>
      <c r="F7489" s="396" t="s">
        <v>13967</v>
      </c>
    </row>
    <row r="7490">
      <c r="A7490" s="311">
        <v>7489</v>
      </c>
      <c r="B7490" s="396" t="s">
        <v>14248</v>
      </c>
      <c r="C7490" s="396" t="s">
        <v>13400</v>
      </c>
      <c r="D7490" s="396" t="s">
        <v>14227</v>
      </c>
      <c r="E7490" s="396" t="s">
        <v>14228</v>
      </c>
      <c r="F7490" s="396" t="s">
        <v>13967</v>
      </c>
    </row>
    <row r="7491">
      <c r="A7491" s="311">
        <v>7490</v>
      </c>
      <c r="B7491" s="396" t="s">
        <v>14249</v>
      </c>
      <c r="C7491" s="396" t="s">
        <v>14250</v>
      </c>
      <c r="D7491" s="396" t="s">
        <v>14251</v>
      </c>
      <c r="E7491" s="396" t="s">
        <v>14252</v>
      </c>
      <c r="F7491" s="396" t="s">
        <v>13967</v>
      </c>
    </row>
    <row r="7492">
      <c r="A7492" s="311">
        <v>7491</v>
      </c>
      <c r="B7492" s="396" t="s">
        <v>14253</v>
      </c>
      <c r="C7492" s="396" t="s">
        <v>14254</v>
      </c>
      <c r="D7492" s="396" t="s">
        <v>14251</v>
      </c>
      <c r="E7492" s="396" t="s">
        <v>14252</v>
      </c>
      <c r="F7492" s="396" t="s">
        <v>13967</v>
      </c>
    </row>
    <row r="7493">
      <c r="A7493" s="311">
        <v>7492</v>
      </c>
      <c r="B7493" s="396" t="s">
        <v>14255</v>
      </c>
      <c r="C7493" s="396" t="s">
        <v>14256</v>
      </c>
      <c r="D7493" s="396" t="s">
        <v>14251</v>
      </c>
      <c r="E7493" s="396" t="s">
        <v>14252</v>
      </c>
      <c r="F7493" s="396" t="s">
        <v>13967</v>
      </c>
    </row>
    <row r="7494">
      <c r="A7494" s="311">
        <v>7493</v>
      </c>
      <c r="B7494" s="396" t="s">
        <v>14257</v>
      </c>
      <c r="C7494" s="396" t="s">
        <v>14258</v>
      </c>
      <c r="D7494" s="396" t="s">
        <v>14251</v>
      </c>
      <c r="E7494" s="396" t="s">
        <v>14252</v>
      </c>
      <c r="F7494" s="396" t="s">
        <v>13967</v>
      </c>
    </row>
    <row r="7495">
      <c r="A7495" s="311">
        <v>7494</v>
      </c>
      <c r="B7495" s="396" t="s">
        <v>14259</v>
      </c>
      <c r="C7495" s="396" t="s">
        <v>14260</v>
      </c>
      <c r="D7495" s="396" t="s">
        <v>14251</v>
      </c>
      <c r="E7495" s="396" t="s">
        <v>14252</v>
      </c>
      <c r="F7495" s="396" t="s">
        <v>13967</v>
      </c>
    </row>
    <row r="7496">
      <c r="A7496" s="311">
        <v>7495</v>
      </c>
      <c r="B7496" s="396" t="s">
        <v>14261</v>
      </c>
      <c r="C7496" s="396" t="s">
        <v>14262</v>
      </c>
      <c r="D7496" s="396" t="s">
        <v>14251</v>
      </c>
      <c r="E7496" s="396" t="s">
        <v>14252</v>
      </c>
      <c r="F7496" s="396" t="s">
        <v>13967</v>
      </c>
    </row>
    <row r="7497">
      <c r="A7497" s="311">
        <v>7496</v>
      </c>
      <c r="B7497" s="396" t="s">
        <v>14263</v>
      </c>
      <c r="C7497" s="396" t="s">
        <v>14264</v>
      </c>
      <c r="D7497" s="396" t="s">
        <v>14251</v>
      </c>
      <c r="E7497" s="396" t="s">
        <v>14252</v>
      </c>
      <c r="F7497" s="396" t="s">
        <v>13967</v>
      </c>
    </row>
    <row r="7498">
      <c r="A7498" s="311">
        <v>7497</v>
      </c>
      <c r="B7498" s="396" t="s">
        <v>14265</v>
      </c>
      <c r="C7498" s="396" t="s">
        <v>12441</v>
      </c>
      <c r="D7498" s="396" t="s">
        <v>14266</v>
      </c>
      <c r="E7498" s="396" t="s">
        <v>14267</v>
      </c>
      <c r="F7498" s="396" t="s">
        <v>14268</v>
      </c>
    </row>
    <row r="7499">
      <c r="A7499" s="311">
        <v>7498</v>
      </c>
      <c r="B7499" s="396" t="s">
        <v>14269</v>
      </c>
      <c r="C7499" s="396" t="s">
        <v>14270</v>
      </c>
      <c r="D7499" s="396" t="s">
        <v>14266</v>
      </c>
      <c r="E7499" s="396" t="s">
        <v>14267</v>
      </c>
      <c r="F7499" s="396" t="s">
        <v>14268</v>
      </c>
    </row>
    <row r="7500">
      <c r="A7500" s="311">
        <v>7499</v>
      </c>
      <c r="B7500" s="396" t="s">
        <v>14271</v>
      </c>
      <c r="C7500" s="396" t="s">
        <v>12447</v>
      </c>
      <c r="D7500" s="396" t="s">
        <v>14266</v>
      </c>
      <c r="E7500" s="396" t="s">
        <v>14267</v>
      </c>
      <c r="F7500" s="396" t="s">
        <v>14268</v>
      </c>
    </row>
    <row r="7501">
      <c r="A7501" s="311">
        <v>7500</v>
      </c>
      <c r="B7501" s="396" t="s">
        <v>14272</v>
      </c>
      <c r="C7501" s="396" t="s">
        <v>14273</v>
      </c>
      <c r="D7501" s="396" t="s">
        <v>14266</v>
      </c>
      <c r="E7501" s="396" t="s">
        <v>14267</v>
      </c>
      <c r="F7501" s="396" t="s">
        <v>14268</v>
      </c>
    </row>
    <row r="7502">
      <c r="A7502" s="311">
        <v>7501</v>
      </c>
      <c r="B7502" s="396" t="s">
        <v>14274</v>
      </c>
      <c r="C7502" s="396" t="s">
        <v>12455</v>
      </c>
      <c r="D7502" s="396" t="s">
        <v>14266</v>
      </c>
      <c r="E7502" s="396" t="s">
        <v>14267</v>
      </c>
      <c r="F7502" s="396" t="s">
        <v>14268</v>
      </c>
    </row>
    <row r="7503">
      <c r="A7503" s="311">
        <v>7502</v>
      </c>
      <c r="B7503" s="396" t="s">
        <v>14275</v>
      </c>
      <c r="C7503" s="396" t="s">
        <v>12449</v>
      </c>
      <c r="D7503" s="396" t="s">
        <v>14266</v>
      </c>
      <c r="E7503" s="396" t="s">
        <v>14267</v>
      </c>
      <c r="F7503" s="396" t="s">
        <v>14268</v>
      </c>
    </row>
    <row r="7504">
      <c r="A7504" s="311">
        <v>7503</v>
      </c>
      <c r="B7504" s="396" t="s">
        <v>14276</v>
      </c>
      <c r="C7504" s="396" t="s">
        <v>12451</v>
      </c>
      <c r="D7504" s="396" t="s">
        <v>14266</v>
      </c>
      <c r="E7504" s="396" t="s">
        <v>14267</v>
      </c>
      <c r="F7504" s="396" t="s">
        <v>14268</v>
      </c>
    </row>
    <row r="7505">
      <c r="A7505" s="311">
        <v>7504</v>
      </c>
      <c r="B7505" s="396" t="s">
        <v>14277</v>
      </c>
      <c r="C7505" s="396" t="s">
        <v>14278</v>
      </c>
      <c r="D7505" s="396" t="s">
        <v>14266</v>
      </c>
      <c r="E7505" s="396" t="s">
        <v>14267</v>
      </c>
      <c r="F7505" s="396" t="s">
        <v>14268</v>
      </c>
    </row>
    <row r="7506">
      <c r="A7506" s="311">
        <v>7505</v>
      </c>
      <c r="B7506" s="396" t="s">
        <v>14279</v>
      </c>
      <c r="C7506" s="396" t="s">
        <v>14280</v>
      </c>
      <c r="D7506" s="396" t="s">
        <v>14266</v>
      </c>
      <c r="E7506" s="396" t="s">
        <v>14267</v>
      </c>
      <c r="F7506" s="396" t="s">
        <v>14268</v>
      </c>
    </row>
    <row r="7507">
      <c r="A7507" s="311">
        <v>7506</v>
      </c>
      <c r="B7507" s="396" t="s">
        <v>14281</v>
      </c>
      <c r="C7507" s="396" t="s">
        <v>14282</v>
      </c>
      <c r="D7507" s="396" t="s">
        <v>14266</v>
      </c>
      <c r="E7507" s="396" t="s">
        <v>14267</v>
      </c>
      <c r="F7507" s="396" t="s">
        <v>14268</v>
      </c>
    </row>
    <row r="7508">
      <c r="A7508" s="311">
        <v>7507</v>
      </c>
      <c r="B7508" s="396" t="s">
        <v>14283</v>
      </c>
      <c r="C7508" s="396" t="s">
        <v>14284</v>
      </c>
      <c r="D7508" s="396" t="s">
        <v>14266</v>
      </c>
      <c r="E7508" s="396" t="s">
        <v>14267</v>
      </c>
      <c r="F7508" s="396" t="s">
        <v>14268</v>
      </c>
    </row>
    <row r="7509">
      <c r="A7509" s="311">
        <v>7508</v>
      </c>
      <c r="B7509" s="396" t="s">
        <v>14285</v>
      </c>
      <c r="C7509" s="396" t="s">
        <v>14286</v>
      </c>
      <c r="D7509" s="396" t="s">
        <v>14266</v>
      </c>
      <c r="E7509" s="396" t="s">
        <v>14267</v>
      </c>
      <c r="F7509" s="396" t="s">
        <v>14268</v>
      </c>
    </row>
    <row r="7510">
      <c r="A7510" s="311">
        <v>7509</v>
      </c>
      <c r="B7510" s="396" t="s">
        <v>14287</v>
      </c>
      <c r="C7510" s="396" t="s">
        <v>14288</v>
      </c>
      <c r="D7510" s="396" t="s">
        <v>14266</v>
      </c>
      <c r="E7510" s="396" t="s">
        <v>14267</v>
      </c>
      <c r="F7510" s="396" t="s">
        <v>14268</v>
      </c>
    </row>
    <row r="7511">
      <c r="A7511" s="311">
        <v>7510</v>
      </c>
      <c r="B7511" s="396" t="s">
        <v>14289</v>
      </c>
      <c r="C7511" s="396" t="s">
        <v>14290</v>
      </c>
      <c r="D7511" s="396" t="s">
        <v>14266</v>
      </c>
      <c r="E7511" s="396" t="s">
        <v>14267</v>
      </c>
      <c r="F7511" s="396" t="s">
        <v>14268</v>
      </c>
    </row>
    <row r="7512">
      <c r="A7512" s="311">
        <v>7511</v>
      </c>
      <c r="B7512" s="396" t="s">
        <v>14291</v>
      </c>
      <c r="C7512" s="396" t="s">
        <v>1220</v>
      </c>
      <c r="D7512" s="396" t="s">
        <v>14266</v>
      </c>
      <c r="E7512" s="396" t="s">
        <v>14267</v>
      </c>
      <c r="F7512" s="396" t="s">
        <v>14268</v>
      </c>
    </row>
    <row r="7513">
      <c r="A7513" s="311">
        <v>7512</v>
      </c>
      <c r="B7513" s="396" t="s">
        <v>14292</v>
      </c>
      <c r="C7513" s="396" t="s">
        <v>14293</v>
      </c>
      <c r="D7513" s="396" t="s">
        <v>14266</v>
      </c>
      <c r="E7513" s="396" t="s">
        <v>14267</v>
      </c>
      <c r="F7513" s="396" t="s">
        <v>14268</v>
      </c>
    </row>
    <row r="7514">
      <c r="A7514" s="311">
        <v>7513</v>
      </c>
      <c r="B7514" s="396" t="s">
        <v>14294</v>
      </c>
      <c r="C7514" s="396" t="s">
        <v>12746</v>
      </c>
      <c r="D7514" s="396" t="s">
        <v>14295</v>
      </c>
      <c r="E7514" s="396" t="s">
        <v>14296</v>
      </c>
      <c r="F7514" s="396" t="s">
        <v>14268</v>
      </c>
    </row>
    <row r="7515">
      <c r="A7515" s="311">
        <v>7514</v>
      </c>
      <c r="B7515" s="396" t="s">
        <v>14297</v>
      </c>
      <c r="C7515" s="396" t="s">
        <v>7067</v>
      </c>
      <c r="D7515" s="396" t="s">
        <v>14295</v>
      </c>
      <c r="E7515" s="396" t="s">
        <v>14296</v>
      </c>
      <c r="F7515" s="396" t="s">
        <v>14268</v>
      </c>
    </row>
    <row r="7516">
      <c r="A7516" s="311">
        <v>7515</v>
      </c>
      <c r="B7516" s="396" t="s">
        <v>14298</v>
      </c>
      <c r="C7516" s="396" t="s">
        <v>14299</v>
      </c>
      <c r="D7516" s="396" t="s">
        <v>14295</v>
      </c>
      <c r="E7516" s="396" t="s">
        <v>14296</v>
      </c>
      <c r="F7516" s="396" t="s">
        <v>14268</v>
      </c>
    </row>
    <row r="7517">
      <c r="A7517" s="311">
        <v>7516</v>
      </c>
      <c r="B7517" s="396" t="s">
        <v>14300</v>
      </c>
      <c r="C7517" s="396" t="s">
        <v>11834</v>
      </c>
      <c r="D7517" s="396" t="s">
        <v>14295</v>
      </c>
      <c r="E7517" s="396" t="s">
        <v>14296</v>
      </c>
      <c r="F7517" s="396" t="s">
        <v>14268</v>
      </c>
    </row>
    <row r="7518">
      <c r="A7518" s="311">
        <v>7517</v>
      </c>
      <c r="B7518" s="396" t="s">
        <v>14301</v>
      </c>
      <c r="C7518" s="396" t="s">
        <v>6576</v>
      </c>
      <c r="D7518" s="396" t="s">
        <v>14295</v>
      </c>
      <c r="E7518" s="396" t="s">
        <v>14296</v>
      </c>
      <c r="F7518" s="396" t="s">
        <v>14268</v>
      </c>
    </row>
    <row r="7519">
      <c r="A7519" s="311">
        <v>7518</v>
      </c>
      <c r="B7519" s="396" t="s">
        <v>14302</v>
      </c>
      <c r="C7519" s="396" t="s">
        <v>10552</v>
      </c>
      <c r="D7519" s="396" t="s">
        <v>14295</v>
      </c>
      <c r="E7519" s="396" t="s">
        <v>14296</v>
      </c>
      <c r="F7519" s="396" t="s">
        <v>14268</v>
      </c>
    </row>
    <row r="7520">
      <c r="A7520" s="311">
        <v>7519</v>
      </c>
      <c r="B7520" s="396" t="s">
        <v>14303</v>
      </c>
      <c r="C7520" s="396" t="s">
        <v>2787</v>
      </c>
      <c r="D7520" s="396" t="s">
        <v>14295</v>
      </c>
      <c r="E7520" s="396" t="s">
        <v>14296</v>
      </c>
      <c r="F7520" s="396" t="s">
        <v>14268</v>
      </c>
    </row>
    <row r="7521">
      <c r="A7521" s="311">
        <v>7520</v>
      </c>
      <c r="B7521" s="396" t="s">
        <v>14304</v>
      </c>
      <c r="C7521" s="396" t="s">
        <v>14305</v>
      </c>
      <c r="D7521" s="396" t="s">
        <v>14295</v>
      </c>
      <c r="E7521" s="396" t="s">
        <v>14296</v>
      </c>
      <c r="F7521" s="396" t="s">
        <v>14268</v>
      </c>
    </row>
    <row r="7522">
      <c r="A7522" s="311">
        <v>7521</v>
      </c>
      <c r="B7522" s="396" t="s">
        <v>14306</v>
      </c>
      <c r="C7522" s="396" t="s">
        <v>10271</v>
      </c>
      <c r="D7522" s="396" t="s">
        <v>14295</v>
      </c>
      <c r="E7522" s="396" t="s">
        <v>14296</v>
      </c>
      <c r="F7522" s="396" t="s">
        <v>14268</v>
      </c>
    </row>
    <row r="7523">
      <c r="A7523" s="311">
        <v>7522</v>
      </c>
      <c r="B7523" s="396" t="s">
        <v>14307</v>
      </c>
      <c r="C7523" s="396" t="s">
        <v>4892</v>
      </c>
      <c r="D7523" s="396" t="s">
        <v>14295</v>
      </c>
      <c r="E7523" s="396" t="s">
        <v>14296</v>
      </c>
      <c r="F7523" s="396" t="s">
        <v>14268</v>
      </c>
    </row>
    <row r="7524">
      <c r="A7524" s="311">
        <v>7523</v>
      </c>
      <c r="B7524" s="396" t="s">
        <v>14308</v>
      </c>
      <c r="C7524" s="396" t="s">
        <v>14309</v>
      </c>
      <c r="D7524" s="396" t="s">
        <v>14295</v>
      </c>
      <c r="E7524" s="396" t="s">
        <v>14296</v>
      </c>
      <c r="F7524" s="396" t="s">
        <v>14268</v>
      </c>
    </row>
    <row r="7525">
      <c r="A7525" s="311">
        <v>7524</v>
      </c>
      <c r="B7525" s="396" t="s">
        <v>14310</v>
      </c>
      <c r="C7525" s="396" t="s">
        <v>14311</v>
      </c>
      <c r="D7525" s="396" t="s">
        <v>14295</v>
      </c>
      <c r="E7525" s="396" t="s">
        <v>14296</v>
      </c>
      <c r="F7525" s="396" t="s">
        <v>14268</v>
      </c>
    </row>
    <row r="7526">
      <c r="A7526" s="311">
        <v>7525</v>
      </c>
      <c r="B7526" s="396" t="s">
        <v>14312</v>
      </c>
      <c r="C7526" s="396" t="s">
        <v>14313</v>
      </c>
      <c r="D7526" s="396" t="s">
        <v>14295</v>
      </c>
      <c r="E7526" s="396" t="s">
        <v>14296</v>
      </c>
      <c r="F7526" s="396" t="s">
        <v>14268</v>
      </c>
    </row>
    <row r="7527">
      <c r="A7527" s="311">
        <v>7526</v>
      </c>
      <c r="B7527" s="396" t="s">
        <v>14314</v>
      </c>
      <c r="C7527" s="396" t="s">
        <v>14315</v>
      </c>
      <c r="D7527" s="396" t="s">
        <v>14295</v>
      </c>
      <c r="E7527" s="396" t="s">
        <v>14296</v>
      </c>
      <c r="F7527" s="396" t="s">
        <v>14268</v>
      </c>
    </row>
    <row r="7528">
      <c r="A7528" s="311">
        <v>7527</v>
      </c>
      <c r="B7528" s="396" t="s">
        <v>14316</v>
      </c>
      <c r="C7528" s="396" t="s">
        <v>14317</v>
      </c>
      <c r="D7528" s="396" t="s">
        <v>14318</v>
      </c>
      <c r="E7528" s="396" t="s">
        <v>14319</v>
      </c>
      <c r="F7528" s="396" t="s">
        <v>14268</v>
      </c>
    </row>
    <row r="7529">
      <c r="A7529" s="311">
        <v>7528</v>
      </c>
      <c r="B7529" s="396" t="s">
        <v>14320</v>
      </c>
      <c r="C7529" s="396" t="s">
        <v>8142</v>
      </c>
      <c r="D7529" s="396" t="s">
        <v>14318</v>
      </c>
      <c r="E7529" s="396" t="s">
        <v>14319</v>
      </c>
      <c r="F7529" s="396" t="s">
        <v>14268</v>
      </c>
    </row>
    <row r="7530">
      <c r="A7530" s="311">
        <v>7529</v>
      </c>
      <c r="B7530" s="396" t="s">
        <v>14321</v>
      </c>
      <c r="C7530" s="396" t="s">
        <v>14322</v>
      </c>
      <c r="D7530" s="396" t="s">
        <v>14318</v>
      </c>
      <c r="E7530" s="396" t="s">
        <v>14319</v>
      </c>
      <c r="F7530" s="396" t="s">
        <v>14268</v>
      </c>
    </row>
    <row r="7531">
      <c r="A7531" s="311">
        <v>7530</v>
      </c>
      <c r="B7531" s="396" t="s">
        <v>14323</v>
      </c>
      <c r="C7531" s="396" t="s">
        <v>14324</v>
      </c>
      <c r="D7531" s="396" t="s">
        <v>14318</v>
      </c>
      <c r="E7531" s="396" t="s">
        <v>14319</v>
      </c>
      <c r="F7531" s="396" t="s">
        <v>14268</v>
      </c>
    </row>
    <row r="7532">
      <c r="A7532" s="311">
        <v>7531</v>
      </c>
      <c r="B7532" s="396" t="s">
        <v>14325</v>
      </c>
      <c r="C7532" s="396" t="s">
        <v>4129</v>
      </c>
      <c r="D7532" s="396" t="s">
        <v>14318</v>
      </c>
      <c r="E7532" s="396" t="s">
        <v>14319</v>
      </c>
      <c r="F7532" s="396" t="s">
        <v>14268</v>
      </c>
    </row>
    <row r="7533">
      <c r="A7533" s="311">
        <v>7532</v>
      </c>
      <c r="B7533" s="396" t="s">
        <v>14326</v>
      </c>
      <c r="C7533" s="396" t="s">
        <v>14327</v>
      </c>
      <c r="D7533" s="396" t="s">
        <v>14318</v>
      </c>
      <c r="E7533" s="396" t="s">
        <v>14319</v>
      </c>
      <c r="F7533" s="396" t="s">
        <v>14268</v>
      </c>
    </row>
    <row r="7534">
      <c r="A7534" s="311">
        <v>7533</v>
      </c>
      <c r="B7534" s="396" t="s">
        <v>14328</v>
      </c>
      <c r="C7534" s="396" t="s">
        <v>14329</v>
      </c>
      <c r="D7534" s="396" t="s">
        <v>14318</v>
      </c>
      <c r="E7534" s="396" t="s">
        <v>14319</v>
      </c>
      <c r="F7534" s="396" t="s">
        <v>14268</v>
      </c>
    </row>
    <row r="7535">
      <c r="A7535" s="311">
        <v>7534</v>
      </c>
      <c r="B7535" s="396" t="s">
        <v>14330</v>
      </c>
      <c r="C7535" s="396" t="s">
        <v>14331</v>
      </c>
      <c r="D7535" s="396" t="s">
        <v>14318</v>
      </c>
      <c r="E7535" s="396" t="s">
        <v>14319</v>
      </c>
      <c r="F7535" s="396" t="s">
        <v>14268</v>
      </c>
    </row>
    <row r="7536">
      <c r="A7536" s="311">
        <v>7535</v>
      </c>
      <c r="B7536" s="396" t="s">
        <v>14332</v>
      </c>
      <c r="C7536" s="396" t="s">
        <v>14333</v>
      </c>
      <c r="D7536" s="396" t="s">
        <v>14318</v>
      </c>
      <c r="E7536" s="396" t="s">
        <v>14319</v>
      </c>
      <c r="F7536" s="396" t="s">
        <v>14268</v>
      </c>
    </row>
    <row r="7537">
      <c r="A7537" s="311">
        <v>7536</v>
      </c>
      <c r="B7537" s="396" t="s">
        <v>14334</v>
      </c>
      <c r="C7537" s="396" t="s">
        <v>14335</v>
      </c>
      <c r="D7537" s="396" t="s">
        <v>14318</v>
      </c>
      <c r="E7537" s="396" t="s">
        <v>14319</v>
      </c>
      <c r="F7537" s="396" t="s">
        <v>14268</v>
      </c>
    </row>
    <row r="7538">
      <c r="A7538" s="311">
        <v>7537</v>
      </c>
      <c r="B7538" s="396" t="s">
        <v>14336</v>
      </c>
      <c r="C7538" s="396" t="s">
        <v>14337</v>
      </c>
      <c r="D7538" s="396" t="s">
        <v>14318</v>
      </c>
      <c r="E7538" s="396" t="s">
        <v>14319</v>
      </c>
      <c r="F7538" s="396" t="s">
        <v>14268</v>
      </c>
    </row>
    <row r="7539">
      <c r="A7539" s="311">
        <v>7538</v>
      </c>
      <c r="B7539" s="396" t="s">
        <v>14338</v>
      </c>
      <c r="C7539" s="396" t="s">
        <v>14339</v>
      </c>
      <c r="D7539" s="396" t="s">
        <v>14340</v>
      </c>
      <c r="E7539" s="396" t="s">
        <v>14341</v>
      </c>
      <c r="F7539" s="396" t="s">
        <v>14268</v>
      </c>
    </row>
    <row r="7540">
      <c r="A7540" s="311">
        <v>7539</v>
      </c>
      <c r="B7540" s="396" t="s">
        <v>14342</v>
      </c>
      <c r="C7540" s="396" t="s">
        <v>14343</v>
      </c>
      <c r="D7540" s="396" t="s">
        <v>14340</v>
      </c>
      <c r="E7540" s="396" t="s">
        <v>14341</v>
      </c>
      <c r="F7540" s="396" t="s">
        <v>14268</v>
      </c>
    </row>
    <row r="7541">
      <c r="A7541" s="311">
        <v>7540</v>
      </c>
      <c r="B7541" s="396" t="s">
        <v>14344</v>
      </c>
      <c r="C7541" s="396" t="s">
        <v>14345</v>
      </c>
      <c r="D7541" s="396" t="s">
        <v>14340</v>
      </c>
      <c r="E7541" s="396" t="s">
        <v>14341</v>
      </c>
      <c r="F7541" s="396" t="s">
        <v>14268</v>
      </c>
    </row>
    <row r="7542">
      <c r="A7542" s="311">
        <v>7541</v>
      </c>
      <c r="B7542" s="396" t="s">
        <v>14346</v>
      </c>
      <c r="C7542" s="396" t="s">
        <v>14347</v>
      </c>
      <c r="D7542" s="396" t="s">
        <v>14340</v>
      </c>
      <c r="E7542" s="396" t="s">
        <v>14341</v>
      </c>
      <c r="F7542" s="396" t="s">
        <v>14268</v>
      </c>
    </row>
    <row r="7543">
      <c r="A7543" s="311">
        <v>7542</v>
      </c>
      <c r="B7543" s="396" t="s">
        <v>14348</v>
      </c>
      <c r="C7543" s="396" t="s">
        <v>14349</v>
      </c>
      <c r="D7543" s="396" t="s">
        <v>14340</v>
      </c>
      <c r="E7543" s="396" t="s">
        <v>14341</v>
      </c>
      <c r="F7543" s="396" t="s">
        <v>14268</v>
      </c>
    </row>
    <row r="7544">
      <c r="A7544" s="311">
        <v>7543</v>
      </c>
      <c r="B7544" s="396" t="s">
        <v>14350</v>
      </c>
      <c r="C7544" s="396" t="s">
        <v>14351</v>
      </c>
      <c r="D7544" s="396" t="s">
        <v>14340</v>
      </c>
      <c r="E7544" s="396" t="s">
        <v>14341</v>
      </c>
      <c r="F7544" s="396" t="s">
        <v>14268</v>
      </c>
    </row>
    <row r="7545">
      <c r="A7545" s="311">
        <v>7544</v>
      </c>
      <c r="B7545" s="396" t="s">
        <v>14352</v>
      </c>
      <c r="C7545" s="396" t="s">
        <v>14353</v>
      </c>
      <c r="D7545" s="396" t="s">
        <v>14340</v>
      </c>
      <c r="E7545" s="396" t="s">
        <v>14341</v>
      </c>
      <c r="F7545" s="396" t="s">
        <v>14268</v>
      </c>
    </row>
    <row r="7546">
      <c r="A7546" s="311">
        <v>7545</v>
      </c>
      <c r="B7546" s="396" t="s">
        <v>14354</v>
      </c>
      <c r="C7546" s="396" t="s">
        <v>13961</v>
      </c>
      <c r="D7546" s="396" t="s">
        <v>14340</v>
      </c>
      <c r="E7546" s="396" t="s">
        <v>14341</v>
      </c>
      <c r="F7546" s="396" t="s">
        <v>14268</v>
      </c>
    </row>
    <row r="7547">
      <c r="A7547" s="311">
        <v>7546</v>
      </c>
      <c r="B7547" s="396" t="s">
        <v>14355</v>
      </c>
      <c r="C7547" s="396" t="s">
        <v>14356</v>
      </c>
      <c r="D7547" s="396" t="s">
        <v>14340</v>
      </c>
      <c r="E7547" s="396" t="s">
        <v>14341</v>
      </c>
      <c r="F7547" s="396" t="s">
        <v>14268</v>
      </c>
    </row>
    <row r="7548">
      <c r="A7548" s="311">
        <v>7547</v>
      </c>
      <c r="B7548" s="396" t="s">
        <v>14357</v>
      </c>
      <c r="C7548" s="396" t="s">
        <v>14358</v>
      </c>
      <c r="D7548" s="396" t="s">
        <v>14340</v>
      </c>
      <c r="E7548" s="396" t="s">
        <v>14341</v>
      </c>
      <c r="F7548" s="396" t="s">
        <v>14268</v>
      </c>
    </row>
    <row r="7549">
      <c r="A7549" s="311">
        <v>7548</v>
      </c>
      <c r="B7549" s="396" t="s">
        <v>14359</v>
      </c>
      <c r="C7549" s="396" t="s">
        <v>14360</v>
      </c>
      <c r="D7549" s="396" t="s">
        <v>14340</v>
      </c>
      <c r="E7549" s="396" t="s">
        <v>14341</v>
      </c>
      <c r="F7549" s="396" t="s">
        <v>14268</v>
      </c>
    </row>
    <row r="7550">
      <c r="A7550" s="311">
        <v>7549</v>
      </c>
      <c r="B7550" s="396" t="s">
        <v>14361</v>
      </c>
      <c r="C7550" s="396" t="s">
        <v>6720</v>
      </c>
      <c r="D7550" s="396" t="s">
        <v>14340</v>
      </c>
      <c r="E7550" s="396" t="s">
        <v>14341</v>
      </c>
      <c r="F7550" s="396" t="s">
        <v>14268</v>
      </c>
    </row>
    <row r="7551">
      <c r="A7551" s="311">
        <v>7550</v>
      </c>
      <c r="B7551" s="396" t="s">
        <v>14362</v>
      </c>
      <c r="C7551" s="396" t="s">
        <v>8325</v>
      </c>
      <c r="D7551" s="396" t="s">
        <v>14340</v>
      </c>
      <c r="E7551" s="396" t="s">
        <v>14341</v>
      </c>
      <c r="F7551" s="396" t="s">
        <v>14268</v>
      </c>
    </row>
    <row r="7552">
      <c r="A7552" s="311">
        <v>7551</v>
      </c>
      <c r="B7552" s="396" t="s">
        <v>14363</v>
      </c>
      <c r="C7552" s="396" t="s">
        <v>1193</v>
      </c>
      <c r="D7552" s="396" t="s">
        <v>14340</v>
      </c>
      <c r="E7552" s="396" t="s">
        <v>14341</v>
      </c>
      <c r="F7552" s="396" t="s">
        <v>14268</v>
      </c>
    </row>
    <row r="7553">
      <c r="A7553" s="311">
        <v>7552</v>
      </c>
      <c r="B7553" s="396" t="s">
        <v>14364</v>
      </c>
      <c r="C7553" s="396" t="s">
        <v>14365</v>
      </c>
      <c r="D7553" s="396" t="s">
        <v>14340</v>
      </c>
      <c r="E7553" s="396" t="s">
        <v>14341</v>
      </c>
      <c r="F7553" s="396" t="s">
        <v>14268</v>
      </c>
    </row>
    <row r="7554">
      <c r="A7554" s="311">
        <v>7553</v>
      </c>
      <c r="B7554" s="396" t="s">
        <v>14366</v>
      </c>
      <c r="C7554" s="396" t="s">
        <v>7855</v>
      </c>
      <c r="D7554" s="396" t="s">
        <v>14340</v>
      </c>
      <c r="E7554" s="396" t="s">
        <v>14341</v>
      </c>
      <c r="F7554" s="396" t="s">
        <v>14268</v>
      </c>
    </row>
    <row r="7555">
      <c r="A7555" s="311">
        <v>7554</v>
      </c>
      <c r="B7555" s="396" t="s">
        <v>14367</v>
      </c>
      <c r="C7555" s="396" t="s">
        <v>14368</v>
      </c>
      <c r="D7555" s="396" t="s">
        <v>14369</v>
      </c>
      <c r="E7555" s="396" t="s">
        <v>14370</v>
      </c>
      <c r="F7555" s="396" t="s">
        <v>14268</v>
      </c>
    </row>
    <row r="7556">
      <c r="A7556" s="311">
        <v>7555</v>
      </c>
      <c r="B7556" s="396" t="s">
        <v>14371</v>
      </c>
      <c r="C7556" s="396" t="s">
        <v>14372</v>
      </c>
      <c r="D7556" s="396" t="s">
        <v>14369</v>
      </c>
      <c r="E7556" s="396" t="s">
        <v>14370</v>
      </c>
      <c r="F7556" s="396" t="s">
        <v>14268</v>
      </c>
    </row>
    <row r="7557">
      <c r="A7557" s="311">
        <v>7556</v>
      </c>
      <c r="B7557" s="396" t="s">
        <v>14373</v>
      </c>
      <c r="C7557" s="396" t="s">
        <v>14374</v>
      </c>
      <c r="D7557" s="396" t="s">
        <v>14369</v>
      </c>
      <c r="E7557" s="396" t="s">
        <v>14370</v>
      </c>
      <c r="F7557" s="396" t="s">
        <v>14268</v>
      </c>
    </row>
    <row r="7558">
      <c r="A7558" s="311">
        <v>7557</v>
      </c>
      <c r="B7558" s="396" t="s">
        <v>14375</v>
      </c>
      <c r="C7558" s="396" t="s">
        <v>14376</v>
      </c>
      <c r="D7558" s="396" t="s">
        <v>14369</v>
      </c>
      <c r="E7558" s="396" t="s">
        <v>14370</v>
      </c>
      <c r="F7558" s="396" t="s">
        <v>14268</v>
      </c>
    </row>
    <row r="7559">
      <c r="A7559" s="311">
        <v>7558</v>
      </c>
      <c r="B7559" s="396" t="s">
        <v>14377</v>
      </c>
      <c r="C7559" s="396" t="s">
        <v>11730</v>
      </c>
      <c r="D7559" s="396" t="s">
        <v>14369</v>
      </c>
      <c r="E7559" s="396" t="s">
        <v>14370</v>
      </c>
      <c r="F7559" s="396" t="s">
        <v>14268</v>
      </c>
    </row>
    <row r="7560">
      <c r="A7560" s="311">
        <v>7559</v>
      </c>
      <c r="B7560" s="396" t="s">
        <v>14378</v>
      </c>
      <c r="C7560" s="396" t="s">
        <v>14379</v>
      </c>
      <c r="D7560" s="396" t="s">
        <v>14369</v>
      </c>
      <c r="E7560" s="396" t="s">
        <v>14370</v>
      </c>
      <c r="F7560" s="396" t="s">
        <v>14268</v>
      </c>
    </row>
    <row r="7561">
      <c r="A7561" s="311">
        <v>7560</v>
      </c>
      <c r="B7561" s="396" t="s">
        <v>14380</v>
      </c>
      <c r="C7561" s="396" t="s">
        <v>14381</v>
      </c>
      <c r="D7561" s="396" t="s">
        <v>14369</v>
      </c>
      <c r="E7561" s="396" t="s">
        <v>14370</v>
      </c>
      <c r="F7561" s="396" t="s">
        <v>14268</v>
      </c>
    </row>
    <row r="7562">
      <c r="A7562" s="311">
        <v>7561</v>
      </c>
      <c r="B7562" s="396" t="s">
        <v>14382</v>
      </c>
      <c r="C7562" s="396" t="s">
        <v>14383</v>
      </c>
      <c r="D7562" s="396" t="s">
        <v>14369</v>
      </c>
      <c r="E7562" s="396" t="s">
        <v>14370</v>
      </c>
      <c r="F7562" s="396" t="s">
        <v>14268</v>
      </c>
    </row>
    <row r="7563">
      <c r="A7563" s="311">
        <v>7562</v>
      </c>
      <c r="B7563" s="396" t="s">
        <v>14384</v>
      </c>
      <c r="C7563" s="396" t="s">
        <v>14385</v>
      </c>
      <c r="D7563" s="396" t="s">
        <v>14369</v>
      </c>
      <c r="E7563" s="396" t="s">
        <v>14370</v>
      </c>
      <c r="F7563" s="396" t="s">
        <v>14268</v>
      </c>
    </row>
    <row r="7564">
      <c r="A7564" s="311">
        <v>7563</v>
      </c>
      <c r="B7564" s="396" t="s">
        <v>14386</v>
      </c>
      <c r="C7564" s="396" t="s">
        <v>14387</v>
      </c>
      <c r="D7564" s="396" t="s">
        <v>14369</v>
      </c>
      <c r="E7564" s="396" t="s">
        <v>14370</v>
      </c>
      <c r="F7564" s="396" t="s">
        <v>14268</v>
      </c>
    </row>
    <row r="7565">
      <c r="A7565" s="311">
        <v>7564</v>
      </c>
      <c r="B7565" s="396" t="s">
        <v>14388</v>
      </c>
      <c r="C7565" s="396" t="s">
        <v>14389</v>
      </c>
      <c r="D7565" s="396" t="s">
        <v>14369</v>
      </c>
      <c r="E7565" s="396" t="s">
        <v>14370</v>
      </c>
      <c r="F7565" s="396" t="s">
        <v>14268</v>
      </c>
    </row>
    <row r="7566">
      <c r="A7566" s="311">
        <v>7565</v>
      </c>
      <c r="B7566" s="396" t="s">
        <v>14390</v>
      </c>
      <c r="C7566" s="396" t="s">
        <v>14391</v>
      </c>
      <c r="D7566" s="396" t="s">
        <v>14369</v>
      </c>
      <c r="E7566" s="396" t="s">
        <v>14370</v>
      </c>
      <c r="F7566" s="396" t="s">
        <v>14268</v>
      </c>
    </row>
    <row r="7567">
      <c r="A7567" s="311">
        <v>7566</v>
      </c>
      <c r="B7567" s="396" t="s">
        <v>14392</v>
      </c>
      <c r="C7567" s="396" t="s">
        <v>1093</v>
      </c>
      <c r="D7567" s="396" t="s">
        <v>14369</v>
      </c>
      <c r="E7567" s="396" t="s">
        <v>14370</v>
      </c>
      <c r="F7567" s="396" t="s">
        <v>14268</v>
      </c>
    </row>
    <row r="7568">
      <c r="A7568" s="311">
        <v>7567</v>
      </c>
      <c r="B7568" s="396" t="s">
        <v>14393</v>
      </c>
      <c r="C7568" s="396" t="s">
        <v>14394</v>
      </c>
      <c r="D7568" s="396" t="s">
        <v>14369</v>
      </c>
      <c r="E7568" s="396" t="s">
        <v>14370</v>
      </c>
      <c r="F7568" s="396" t="s">
        <v>14268</v>
      </c>
    </row>
    <row r="7569">
      <c r="A7569" s="311">
        <v>7568</v>
      </c>
      <c r="B7569" s="396" t="s">
        <v>14395</v>
      </c>
      <c r="C7569" s="396" t="s">
        <v>14396</v>
      </c>
      <c r="D7569" s="396" t="s">
        <v>14397</v>
      </c>
      <c r="E7569" s="396" t="s">
        <v>14398</v>
      </c>
      <c r="F7569" s="396" t="s">
        <v>14268</v>
      </c>
    </row>
    <row r="7570">
      <c r="A7570" s="311">
        <v>7569</v>
      </c>
      <c r="B7570" s="396" t="s">
        <v>14399</v>
      </c>
      <c r="C7570" s="396" t="s">
        <v>14400</v>
      </c>
      <c r="D7570" s="396" t="s">
        <v>14397</v>
      </c>
      <c r="E7570" s="396" t="s">
        <v>14398</v>
      </c>
      <c r="F7570" s="396" t="s">
        <v>14268</v>
      </c>
    </row>
    <row r="7571">
      <c r="A7571" s="311">
        <v>7570</v>
      </c>
      <c r="B7571" s="396" t="s">
        <v>14401</v>
      </c>
      <c r="C7571" s="396" t="s">
        <v>14402</v>
      </c>
      <c r="D7571" s="396" t="s">
        <v>14397</v>
      </c>
      <c r="E7571" s="396" t="s">
        <v>14398</v>
      </c>
      <c r="F7571" s="396" t="s">
        <v>14268</v>
      </c>
    </row>
    <row r="7572">
      <c r="A7572" s="311">
        <v>7571</v>
      </c>
      <c r="B7572" s="396" t="s">
        <v>14403</v>
      </c>
      <c r="C7572" s="396" t="s">
        <v>14404</v>
      </c>
      <c r="D7572" s="396" t="s">
        <v>14397</v>
      </c>
      <c r="E7572" s="396" t="s">
        <v>14398</v>
      </c>
      <c r="F7572" s="396" t="s">
        <v>14268</v>
      </c>
    </row>
    <row r="7573">
      <c r="A7573" s="311">
        <v>7572</v>
      </c>
      <c r="B7573" s="396" t="s">
        <v>14405</v>
      </c>
      <c r="C7573" s="396" t="s">
        <v>11700</v>
      </c>
      <c r="D7573" s="396" t="s">
        <v>14397</v>
      </c>
      <c r="E7573" s="396" t="s">
        <v>14398</v>
      </c>
      <c r="F7573" s="396" t="s">
        <v>14268</v>
      </c>
    </row>
    <row r="7574">
      <c r="A7574" s="311">
        <v>7573</v>
      </c>
      <c r="B7574" s="396" t="s">
        <v>14406</v>
      </c>
      <c r="C7574" s="396" t="s">
        <v>14407</v>
      </c>
      <c r="D7574" s="396" t="s">
        <v>14397</v>
      </c>
      <c r="E7574" s="396" t="s">
        <v>14398</v>
      </c>
      <c r="F7574" s="396" t="s">
        <v>14268</v>
      </c>
    </row>
    <row r="7575">
      <c r="A7575" s="311">
        <v>7574</v>
      </c>
      <c r="B7575" s="396" t="s">
        <v>14408</v>
      </c>
      <c r="C7575" s="396" t="s">
        <v>14409</v>
      </c>
      <c r="D7575" s="396" t="s">
        <v>14397</v>
      </c>
      <c r="E7575" s="396" t="s">
        <v>14398</v>
      </c>
      <c r="F7575" s="396" t="s">
        <v>14268</v>
      </c>
    </row>
    <row r="7576">
      <c r="A7576" s="311">
        <v>7575</v>
      </c>
      <c r="B7576" s="396" t="s">
        <v>14410</v>
      </c>
      <c r="C7576" s="396" t="s">
        <v>14411</v>
      </c>
      <c r="D7576" s="396" t="s">
        <v>14397</v>
      </c>
      <c r="E7576" s="396" t="s">
        <v>14398</v>
      </c>
      <c r="F7576" s="396" t="s">
        <v>14268</v>
      </c>
    </row>
    <row r="7577">
      <c r="A7577" s="311">
        <v>7576</v>
      </c>
      <c r="B7577" s="396" t="s">
        <v>14412</v>
      </c>
      <c r="C7577" s="396" t="s">
        <v>14413</v>
      </c>
      <c r="D7577" s="396" t="s">
        <v>14397</v>
      </c>
      <c r="E7577" s="396" t="s">
        <v>14398</v>
      </c>
      <c r="F7577" s="396" t="s">
        <v>14268</v>
      </c>
    </row>
    <row r="7578">
      <c r="A7578" s="311">
        <v>7577</v>
      </c>
      <c r="B7578" s="396" t="s">
        <v>14414</v>
      </c>
      <c r="C7578" s="396" t="s">
        <v>14415</v>
      </c>
      <c r="D7578" s="396" t="s">
        <v>14397</v>
      </c>
      <c r="E7578" s="396" t="s">
        <v>14398</v>
      </c>
      <c r="F7578" s="396" t="s">
        <v>14268</v>
      </c>
    </row>
    <row r="7579">
      <c r="A7579" s="311">
        <v>7578</v>
      </c>
      <c r="B7579" s="396" t="s">
        <v>14416</v>
      </c>
      <c r="C7579" s="396" t="s">
        <v>14417</v>
      </c>
      <c r="D7579" s="396" t="s">
        <v>14397</v>
      </c>
      <c r="E7579" s="396" t="s">
        <v>14398</v>
      </c>
      <c r="F7579" s="396" t="s">
        <v>14268</v>
      </c>
    </row>
    <row r="7580">
      <c r="A7580" s="311">
        <v>7579</v>
      </c>
      <c r="B7580" s="396" t="s">
        <v>14418</v>
      </c>
      <c r="C7580" s="396" t="s">
        <v>14419</v>
      </c>
      <c r="D7580" s="396" t="s">
        <v>14420</v>
      </c>
      <c r="E7580" s="396" t="s">
        <v>14421</v>
      </c>
      <c r="F7580" s="396" t="s">
        <v>14268</v>
      </c>
    </row>
    <row r="7581">
      <c r="A7581" s="311">
        <v>7580</v>
      </c>
      <c r="B7581" s="396" t="s">
        <v>14422</v>
      </c>
      <c r="C7581" s="396" t="s">
        <v>14423</v>
      </c>
      <c r="D7581" s="396" t="s">
        <v>14420</v>
      </c>
      <c r="E7581" s="396" t="s">
        <v>14421</v>
      </c>
      <c r="F7581" s="396" t="s">
        <v>14268</v>
      </c>
    </row>
    <row r="7582">
      <c r="A7582" s="311">
        <v>7581</v>
      </c>
      <c r="B7582" s="396" t="s">
        <v>14424</v>
      </c>
      <c r="C7582" s="396" t="s">
        <v>14425</v>
      </c>
      <c r="D7582" s="396" t="s">
        <v>14420</v>
      </c>
      <c r="E7582" s="396" t="s">
        <v>14421</v>
      </c>
      <c r="F7582" s="396" t="s">
        <v>14268</v>
      </c>
    </row>
    <row r="7583">
      <c r="A7583" s="311">
        <v>7582</v>
      </c>
      <c r="B7583" s="396" t="s">
        <v>14426</v>
      </c>
      <c r="C7583" s="396" t="s">
        <v>7260</v>
      </c>
      <c r="D7583" s="396" t="s">
        <v>14420</v>
      </c>
      <c r="E7583" s="396" t="s">
        <v>14421</v>
      </c>
      <c r="F7583" s="396" t="s">
        <v>14268</v>
      </c>
    </row>
    <row r="7584">
      <c r="A7584" s="311">
        <v>7583</v>
      </c>
      <c r="B7584" s="396" t="s">
        <v>14427</v>
      </c>
      <c r="C7584" s="396" t="s">
        <v>8100</v>
      </c>
      <c r="D7584" s="396" t="s">
        <v>14420</v>
      </c>
      <c r="E7584" s="396" t="s">
        <v>14421</v>
      </c>
      <c r="F7584" s="396" t="s">
        <v>14268</v>
      </c>
    </row>
    <row r="7585">
      <c r="A7585" s="311">
        <v>7584</v>
      </c>
      <c r="B7585" s="396" t="s">
        <v>14428</v>
      </c>
      <c r="C7585" s="396" t="s">
        <v>1161</v>
      </c>
      <c r="D7585" s="396" t="s">
        <v>14420</v>
      </c>
      <c r="E7585" s="396" t="s">
        <v>14421</v>
      </c>
      <c r="F7585" s="396" t="s">
        <v>14268</v>
      </c>
    </row>
    <row r="7586">
      <c r="A7586" s="311">
        <v>7585</v>
      </c>
      <c r="B7586" s="396" t="s">
        <v>14429</v>
      </c>
      <c r="C7586" s="396" t="s">
        <v>14430</v>
      </c>
      <c r="D7586" s="396" t="s">
        <v>14420</v>
      </c>
      <c r="E7586" s="396" t="s">
        <v>14421</v>
      </c>
      <c r="F7586" s="396" t="s">
        <v>14268</v>
      </c>
    </row>
    <row r="7587">
      <c r="A7587" s="311">
        <v>7586</v>
      </c>
      <c r="B7587" s="396" t="s">
        <v>14431</v>
      </c>
      <c r="C7587" s="396" t="s">
        <v>14432</v>
      </c>
      <c r="D7587" s="396" t="s">
        <v>14420</v>
      </c>
      <c r="E7587" s="396" t="s">
        <v>14421</v>
      </c>
      <c r="F7587" s="396" t="s">
        <v>14268</v>
      </c>
    </row>
    <row r="7588">
      <c r="A7588" s="311">
        <v>7587</v>
      </c>
      <c r="B7588" s="396" t="s">
        <v>14433</v>
      </c>
      <c r="C7588" s="396" t="s">
        <v>14434</v>
      </c>
      <c r="D7588" s="396" t="s">
        <v>14420</v>
      </c>
      <c r="E7588" s="396" t="s">
        <v>14421</v>
      </c>
      <c r="F7588" s="396" t="s">
        <v>14268</v>
      </c>
    </row>
    <row r="7589">
      <c r="A7589" s="311">
        <v>7588</v>
      </c>
      <c r="B7589" s="396" t="s">
        <v>14435</v>
      </c>
      <c r="C7589" s="396" t="s">
        <v>14436</v>
      </c>
      <c r="D7589" s="396" t="s">
        <v>14420</v>
      </c>
      <c r="E7589" s="396" t="s">
        <v>14421</v>
      </c>
      <c r="F7589" s="396" t="s">
        <v>14268</v>
      </c>
    </row>
    <row r="7590">
      <c r="A7590" s="311">
        <v>7589</v>
      </c>
      <c r="B7590" s="396" t="s">
        <v>14437</v>
      </c>
      <c r="C7590" s="396" t="s">
        <v>14438</v>
      </c>
      <c r="D7590" s="396" t="s">
        <v>14420</v>
      </c>
      <c r="E7590" s="396" t="s">
        <v>14421</v>
      </c>
      <c r="F7590" s="396" t="s">
        <v>14268</v>
      </c>
    </row>
    <row r="7591">
      <c r="A7591" s="311">
        <v>7590</v>
      </c>
      <c r="B7591" s="396" t="s">
        <v>14439</v>
      </c>
      <c r="C7591" s="396" t="s">
        <v>14440</v>
      </c>
      <c r="D7591" s="396" t="s">
        <v>14441</v>
      </c>
      <c r="E7591" s="396" t="s">
        <v>14442</v>
      </c>
      <c r="F7591" s="396" t="s">
        <v>14268</v>
      </c>
    </row>
    <row r="7592">
      <c r="A7592" s="311">
        <v>7591</v>
      </c>
      <c r="B7592" s="396" t="s">
        <v>14443</v>
      </c>
      <c r="C7592" s="396" t="s">
        <v>14444</v>
      </c>
      <c r="D7592" s="396" t="s">
        <v>14441</v>
      </c>
      <c r="E7592" s="396" t="s">
        <v>14442</v>
      </c>
      <c r="F7592" s="396" t="s">
        <v>14268</v>
      </c>
    </row>
    <row r="7593">
      <c r="A7593" s="311">
        <v>7592</v>
      </c>
      <c r="B7593" s="396" t="s">
        <v>14445</v>
      </c>
      <c r="C7593" s="396" t="s">
        <v>14446</v>
      </c>
      <c r="D7593" s="396" t="s">
        <v>14441</v>
      </c>
      <c r="E7593" s="396" t="s">
        <v>14442</v>
      </c>
      <c r="F7593" s="396" t="s">
        <v>14268</v>
      </c>
    </row>
    <row r="7594">
      <c r="A7594" s="311">
        <v>7593</v>
      </c>
      <c r="B7594" s="396" t="s">
        <v>14447</v>
      </c>
      <c r="C7594" s="396" t="s">
        <v>14448</v>
      </c>
      <c r="D7594" s="396" t="s">
        <v>14441</v>
      </c>
      <c r="E7594" s="396" t="s">
        <v>14442</v>
      </c>
      <c r="F7594" s="396" t="s">
        <v>14268</v>
      </c>
    </row>
    <row r="7595">
      <c r="A7595" s="311">
        <v>7594</v>
      </c>
      <c r="B7595" s="396" t="s">
        <v>14449</v>
      </c>
      <c r="C7595" s="396" t="s">
        <v>2385</v>
      </c>
      <c r="D7595" s="396" t="s">
        <v>14441</v>
      </c>
      <c r="E7595" s="396" t="s">
        <v>14442</v>
      </c>
      <c r="F7595" s="396" t="s">
        <v>14268</v>
      </c>
    </row>
    <row r="7596">
      <c r="A7596" s="311">
        <v>7595</v>
      </c>
      <c r="B7596" s="396" t="s">
        <v>14450</v>
      </c>
      <c r="C7596" s="396" t="s">
        <v>14451</v>
      </c>
      <c r="D7596" s="396" t="s">
        <v>14441</v>
      </c>
      <c r="E7596" s="396" t="s">
        <v>14442</v>
      </c>
      <c r="F7596" s="396" t="s">
        <v>14268</v>
      </c>
    </row>
    <row r="7597">
      <c r="A7597" s="311">
        <v>7596</v>
      </c>
      <c r="B7597" s="396" t="s">
        <v>14452</v>
      </c>
      <c r="C7597" s="396" t="s">
        <v>14453</v>
      </c>
      <c r="D7597" s="396" t="s">
        <v>14441</v>
      </c>
      <c r="E7597" s="396" t="s">
        <v>14442</v>
      </c>
      <c r="F7597" s="396" t="s">
        <v>14268</v>
      </c>
    </row>
    <row r="7598">
      <c r="A7598" s="311">
        <v>7597</v>
      </c>
      <c r="B7598" s="396" t="s">
        <v>14454</v>
      </c>
      <c r="C7598" s="396" t="s">
        <v>14455</v>
      </c>
      <c r="D7598" s="396" t="s">
        <v>14441</v>
      </c>
      <c r="E7598" s="396" t="s">
        <v>14442</v>
      </c>
      <c r="F7598" s="396" t="s">
        <v>14268</v>
      </c>
    </row>
    <row r="7599">
      <c r="A7599" s="311">
        <v>7598</v>
      </c>
      <c r="B7599" s="396" t="s">
        <v>14456</v>
      </c>
      <c r="C7599" s="396" t="s">
        <v>5198</v>
      </c>
      <c r="D7599" s="396" t="s">
        <v>14441</v>
      </c>
      <c r="E7599" s="396" t="s">
        <v>14442</v>
      </c>
      <c r="F7599" s="396" t="s">
        <v>14268</v>
      </c>
    </row>
    <row r="7600">
      <c r="A7600" s="311">
        <v>7599</v>
      </c>
      <c r="B7600" s="396" t="s">
        <v>14457</v>
      </c>
      <c r="C7600" s="396" t="s">
        <v>14458</v>
      </c>
      <c r="D7600" s="396" t="s">
        <v>14459</v>
      </c>
      <c r="E7600" s="396" t="s">
        <v>14460</v>
      </c>
      <c r="F7600" s="396" t="s">
        <v>14268</v>
      </c>
    </row>
    <row r="7601">
      <c r="A7601" s="311">
        <v>7600</v>
      </c>
      <c r="B7601" s="396" t="s">
        <v>14461</v>
      </c>
      <c r="C7601" s="396" t="s">
        <v>14462</v>
      </c>
      <c r="D7601" s="396" t="s">
        <v>14459</v>
      </c>
      <c r="E7601" s="396" t="s">
        <v>14460</v>
      </c>
      <c r="F7601" s="396" t="s">
        <v>14268</v>
      </c>
    </row>
    <row r="7602">
      <c r="A7602" s="311">
        <v>7601</v>
      </c>
      <c r="B7602" s="396" t="s">
        <v>14463</v>
      </c>
      <c r="C7602" s="396" t="s">
        <v>14464</v>
      </c>
      <c r="D7602" s="396" t="s">
        <v>14459</v>
      </c>
      <c r="E7602" s="396" t="s">
        <v>14460</v>
      </c>
      <c r="F7602" s="396" t="s">
        <v>14268</v>
      </c>
    </row>
    <row r="7603">
      <c r="A7603" s="311">
        <v>7602</v>
      </c>
      <c r="B7603" s="396" t="s">
        <v>14465</v>
      </c>
      <c r="C7603" s="396" t="s">
        <v>14466</v>
      </c>
      <c r="D7603" s="396" t="s">
        <v>14459</v>
      </c>
      <c r="E7603" s="396" t="s">
        <v>14460</v>
      </c>
      <c r="F7603" s="396" t="s">
        <v>14268</v>
      </c>
    </row>
    <row r="7604">
      <c r="A7604" s="311">
        <v>7603</v>
      </c>
      <c r="B7604" s="396" t="s">
        <v>14467</v>
      </c>
      <c r="C7604" s="396" t="s">
        <v>14468</v>
      </c>
      <c r="D7604" s="396" t="s">
        <v>14459</v>
      </c>
      <c r="E7604" s="396" t="s">
        <v>14460</v>
      </c>
      <c r="F7604" s="396" t="s">
        <v>14268</v>
      </c>
    </row>
    <row r="7605">
      <c r="A7605" s="311">
        <v>7604</v>
      </c>
      <c r="B7605" s="396" t="s">
        <v>14469</v>
      </c>
      <c r="C7605" s="396" t="s">
        <v>14470</v>
      </c>
      <c r="D7605" s="396" t="s">
        <v>14459</v>
      </c>
      <c r="E7605" s="396" t="s">
        <v>14460</v>
      </c>
      <c r="F7605" s="396" t="s">
        <v>14268</v>
      </c>
    </row>
    <row r="7606">
      <c r="A7606" s="311">
        <v>7605</v>
      </c>
      <c r="B7606" s="396" t="s">
        <v>14471</v>
      </c>
      <c r="C7606" s="396" t="s">
        <v>14472</v>
      </c>
      <c r="D7606" s="396" t="s">
        <v>14459</v>
      </c>
      <c r="E7606" s="396" t="s">
        <v>14460</v>
      </c>
      <c r="F7606" s="396" t="s">
        <v>14268</v>
      </c>
    </row>
    <row r="7607">
      <c r="A7607" s="311">
        <v>7606</v>
      </c>
      <c r="B7607" s="396" t="s">
        <v>14473</v>
      </c>
      <c r="C7607" s="396" t="s">
        <v>14474</v>
      </c>
      <c r="D7607" s="396" t="s">
        <v>14459</v>
      </c>
      <c r="E7607" s="396" t="s">
        <v>14460</v>
      </c>
      <c r="F7607" s="396" t="s">
        <v>14268</v>
      </c>
    </row>
    <row r="7608">
      <c r="A7608" s="311">
        <v>7607</v>
      </c>
      <c r="B7608" s="396" t="s">
        <v>14475</v>
      </c>
      <c r="C7608" s="396" t="s">
        <v>14476</v>
      </c>
      <c r="D7608" s="396" t="s">
        <v>14459</v>
      </c>
      <c r="E7608" s="396" t="s">
        <v>14460</v>
      </c>
      <c r="F7608" s="396" t="s">
        <v>14268</v>
      </c>
    </row>
    <row r="7609">
      <c r="A7609" s="311">
        <v>7608</v>
      </c>
      <c r="B7609" s="396" t="s">
        <v>14477</v>
      </c>
      <c r="C7609" s="396" t="s">
        <v>14478</v>
      </c>
      <c r="D7609" s="396" t="s">
        <v>14459</v>
      </c>
      <c r="E7609" s="396" t="s">
        <v>14460</v>
      </c>
      <c r="F7609" s="396" t="s">
        <v>14268</v>
      </c>
    </row>
    <row r="7610">
      <c r="A7610" s="311">
        <v>7609</v>
      </c>
      <c r="B7610" s="396" t="s">
        <v>14479</v>
      </c>
      <c r="C7610" s="396" t="s">
        <v>14480</v>
      </c>
      <c r="D7610" s="396" t="s">
        <v>14481</v>
      </c>
      <c r="E7610" s="396" t="s">
        <v>14482</v>
      </c>
      <c r="F7610" s="396" t="s">
        <v>14483</v>
      </c>
    </row>
    <row r="7611">
      <c r="A7611" s="311">
        <v>7610</v>
      </c>
      <c r="B7611" s="396" t="s">
        <v>14484</v>
      </c>
      <c r="C7611" s="396" t="s">
        <v>14485</v>
      </c>
      <c r="D7611" s="396" t="s">
        <v>14481</v>
      </c>
      <c r="E7611" s="396" t="s">
        <v>14482</v>
      </c>
      <c r="F7611" s="396" t="s">
        <v>14483</v>
      </c>
    </row>
    <row r="7612">
      <c r="A7612" s="311">
        <v>7611</v>
      </c>
      <c r="B7612" s="396" t="s">
        <v>14486</v>
      </c>
      <c r="C7612" s="396" t="s">
        <v>14487</v>
      </c>
      <c r="D7612" s="396" t="s">
        <v>14481</v>
      </c>
      <c r="E7612" s="396" t="s">
        <v>14482</v>
      </c>
      <c r="F7612" s="396" t="s">
        <v>14483</v>
      </c>
    </row>
    <row r="7613">
      <c r="A7613" s="311">
        <v>7612</v>
      </c>
      <c r="B7613" s="396" t="s">
        <v>14488</v>
      </c>
      <c r="C7613" s="396" t="s">
        <v>14489</v>
      </c>
      <c r="D7613" s="396" t="s">
        <v>14481</v>
      </c>
      <c r="E7613" s="396" t="s">
        <v>14482</v>
      </c>
      <c r="F7613" s="396" t="s">
        <v>14483</v>
      </c>
    </row>
    <row r="7614">
      <c r="A7614" s="311">
        <v>7613</v>
      </c>
      <c r="B7614" s="396" t="s">
        <v>14490</v>
      </c>
      <c r="C7614" s="396" t="s">
        <v>14491</v>
      </c>
      <c r="D7614" s="396" t="s">
        <v>14481</v>
      </c>
      <c r="E7614" s="396" t="s">
        <v>14482</v>
      </c>
      <c r="F7614" s="396" t="s">
        <v>14483</v>
      </c>
    </row>
    <row r="7615">
      <c r="A7615" s="311">
        <v>7614</v>
      </c>
      <c r="B7615" s="396" t="s">
        <v>14492</v>
      </c>
      <c r="C7615" s="396" t="s">
        <v>14493</v>
      </c>
      <c r="D7615" s="396" t="s">
        <v>14481</v>
      </c>
      <c r="E7615" s="396" t="s">
        <v>14482</v>
      </c>
      <c r="F7615" s="396" t="s">
        <v>14483</v>
      </c>
    </row>
    <row r="7616">
      <c r="A7616" s="311">
        <v>7615</v>
      </c>
      <c r="B7616" s="396" t="s">
        <v>14494</v>
      </c>
      <c r="C7616" s="396" t="s">
        <v>14495</v>
      </c>
      <c r="D7616" s="396" t="s">
        <v>14481</v>
      </c>
      <c r="E7616" s="396" t="s">
        <v>14482</v>
      </c>
      <c r="F7616" s="396" t="s">
        <v>14483</v>
      </c>
    </row>
    <row r="7617">
      <c r="A7617" s="311">
        <v>7616</v>
      </c>
      <c r="B7617" s="396" t="s">
        <v>14496</v>
      </c>
      <c r="C7617" s="396" t="s">
        <v>14497</v>
      </c>
      <c r="D7617" s="396" t="s">
        <v>14481</v>
      </c>
      <c r="E7617" s="396" t="s">
        <v>14482</v>
      </c>
      <c r="F7617" s="396" t="s">
        <v>14483</v>
      </c>
    </row>
    <row r="7618">
      <c r="A7618" s="311">
        <v>7617</v>
      </c>
      <c r="B7618" s="396" t="s">
        <v>14498</v>
      </c>
      <c r="C7618" s="396" t="s">
        <v>14499</v>
      </c>
      <c r="D7618" s="396" t="s">
        <v>14481</v>
      </c>
      <c r="E7618" s="396" t="s">
        <v>14482</v>
      </c>
      <c r="F7618" s="396" t="s">
        <v>14483</v>
      </c>
    </row>
    <row r="7619">
      <c r="A7619" s="311">
        <v>7618</v>
      </c>
      <c r="B7619" s="396" t="s">
        <v>14500</v>
      </c>
      <c r="C7619" s="396" t="s">
        <v>14501</v>
      </c>
      <c r="D7619" s="396" t="s">
        <v>14481</v>
      </c>
      <c r="E7619" s="396" t="s">
        <v>14482</v>
      </c>
      <c r="F7619" s="396" t="s">
        <v>14483</v>
      </c>
    </row>
    <row r="7620">
      <c r="A7620" s="311">
        <v>7619</v>
      </c>
      <c r="B7620" s="396" t="s">
        <v>14502</v>
      </c>
      <c r="C7620" s="396" t="s">
        <v>14503</v>
      </c>
      <c r="D7620" s="396" t="s">
        <v>14481</v>
      </c>
      <c r="E7620" s="396" t="s">
        <v>14482</v>
      </c>
      <c r="F7620" s="396" t="s">
        <v>14483</v>
      </c>
    </row>
    <row r="7621">
      <c r="A7621" s="311">
        <v>7620</v>
      </c>
      <c r="B7621" s="396" t="s">
        <v>14504</v>
      </c>
      <c r="C7621" s="396" t="s">
        <v>14505</v>
      </c>
      <c r="D7621" s="396" t="s">
        <v>14481</v>
      </c>
      <c r="E7621" s="396" t="s">
        <v>14482</v>
      </c>
      <c r="F7621" s="396" t="s">
        <v>14483</v>
      </c>
    </row>
    <row r="7622">
      <c r="A7622" s="311">
        <v>7621</v>
      </c>
      <c r="B7622" s="396" t="s">
        <v>14506</v>
      </c>
      <c r="C7622" s="396" t="s">
        <v>14507</v>
      </c>
      <c r="D7622" s="396" t="s">
        <v>14481</v>
      </c>
      <c r="E7622" s="396" t="s">
        <v>14482</v>
      </c>
      <c r="F7622" s="396" t="s">
        <v>14483</v>
      </c>
    </row>
    <row r="7623">
      <c r="A7623" s="311">
        <v>7622</v>
      </c>
      <c r="B7623" s="396" t="s">
        <v>14508</v>
      </c>
      <c r="C7623" s="396" t="s">
        <v>14509</v>
      </c>
      <c r="D7623" s="396" t="s">
        <v>14481</v>
      </c>
      <c r="E7623" s="396" t="s">
        <v>14482</v>
      </c>
      <c r="F7623" s="396" t="s">
        <v>14483</v>
      </c>
    </row>
    <row r="7624">
      <c r="A7624" s="311">
        <v>7623</v>
      </c>
      <c r="B7624" s="396" t="s">
        <v>14510</v>
      </c>
      <c r="C7624" s="396" t="s">
        <v>4584</v>
      </c>
      <c r="D7624" s="396" t="s">
        <v>14481</v>
      </c>
      <c r="E7624" s="396" t="s">
        <v>14482</v>
      </c>
      <c r="F7624" s="396" t="s">
        <v>14483</v>
      </c>
    </row>
    <row r="7625">
      <c r="A7625" s="311">
        <v>7624</v>
      </c>
      <c r="B7625" s="396" t="s">
        <v>14511</v>
      </c>
      <c r="C7625" s="396" t="s">
        <v>13126</v>
      </c>
      <c r="D7625" s="396" t="s">
        <v>14481</v>
      </c>
      <c r="E7625" s="396" t="s">
        <v>14482</v>
      </c>
      <c r="F7625" s="396" t="s">
        <v>14483</v>
      </c>
    </row>
    <row r="7626">
      <c r="A7626" s="311">
        <v>7625</v>
      </c>
      <c r="B7626" s="396" t="s">
        <v>14512</v>
      </c>
      <c r="C7626" s="396" t="s">
        <v>14513</v>
      </c>
      <c r="D7626" s="396" t="s">
        <v>14481</v>
      </c>
      <c r="E7626" s="396" t="s">
        <v>14482</v>
      </c>
      <c r="F7626" s="396" t="s">
        <v>14483</v>
      </c>
    </row>
    <row r="7627">
      <c r="A7627" s="311">
        <v>7626</v>
      </c>
      <c r="B7627" s="396" t="s">
        <v>14514</v>
      </c>
      <c r="C7627" s="396" t="s">
        <v>14515</v>
      </c>
      <c r="D7627" s="396" t="s">
        <v>14481</v>
      </c>
      <c r="E7627" s="396" t="s">
        <v>14482</v>
      </c>
      <c r="F7627" s="396" t="s">
        <v>14483</v>
      </c>
    </row>
    <row r="7628">
      <c r="A7628" s="311">
        <v>7627</v>
      </c>
      <c r="B7628" s="396" t="s">
        <v>14516</v>
      </c>
      <c r="C7628" s="396" t="s">
        <v>14517</v>
      </c>
      <c r="D7628" s="396" t="s">
        <v>14481</v>
      </c>
      <c r="E7628" s="396" t="s">
        <v>14482</v>
      </c>
      <c r="F7628" s="396" t="s">
        <v>14483</v>
      </c>
    </row>
    <row r="7629">
      <c r="A7629" s="311">
        <v>7628</v>
      </c>
      <c r="B7629" s="396" t="s">
        <v>14518</v>
      </c>
      <c r="C7629" s="396" t="s">
        <v>14519</v>
      </c>
      <c r="D7629" s="396" t="s">
        <v>14481</v>
      </c>
      <c r="E7629" s="396" t="s">
        <v>14482</v>
      </c>
      <c r="F7629" s="396" t="s">
        <v>14483</v>
      </c>
    </row>
    <row r="7630">
      <c r="A7630" s="311">
        <v>7629</v>
      </c>
      <c r="B7630" s="396" t="s">
        <v>14520</v>
      </c>
      <c r="C7630" s="396" t="s">
        <v>14521</v>
      </c>
      <c r="D7630" s="396" t="s">
        <v>14481</v>
      </c>
      <c r="E7630" s="396" t="s">
        <v>14482</v>
      </c>
      <c r="F7630" s="396" t="s">
        <v>14483</v>
      </c>
    </row>
    <row r="7631">
      <c r="A7631" s="311">
        <v>7630</v>
      </c>
      <c r="B7631" s="396" t="s">
        <v>14522</v>
      </c>
      <c r="C7631" s="396" t="s">
        <v>370</v>
      </c>
      <c r="D7631" s="396" t="s">
        <v>14481</v>
      </c>
      <c r="E7631" s="396" t="s">
        <v>14482</v>
      </c>
      <c r="F7631" s="396" t="s">
        <v>14483</v>
      </c>
    </row>
    <row r="7632">
      <c r="A7632" s="311">
        <v>7631</v>
      </c>
      <c r="B7632" s="396" t="s">
        <v>14523</v>
      </c>
      <c r="C7632" s="396" t="s">
        <v>14524</v>
      </c>
      <c r="D7632" s="396" t="s">
        <v>14481</v>
      </c>
      <c r="E7632" s="396" t="s">
        <v>14482</v>
      </c>
      <c r="F7632" s="396" t="s">
        <v>14483</v>
      </c>
    </row>
    <row r="7633">
      <c r="A7633" s="311">
        <v>7632</v>
      </c>
      <c r="B7633" s="396" t="s">
        <v>14525</v>
      </c>
      <c r="C7633" s="396" t="s">
        <v>5385</v>
      </c>
      <c r="D7633" s="396" t="s">
        <v>14481</v>
      </c>
      <c r="E7633" s="396" t="s">
        <v>14482</v>
      </c>
      <c r="F7633" s="396" t="s">
        <v>14483</v>
      </c>
    </row>
    <row r="7634">
      <c r="A7634" s="311">
        <v>7633</v>
      </c>
      <c r="B7634" s="396" t="s">
        <v>14526</v>
      </c>
      <c r="C7634" s="396" t="s">
        <v>14124</v>
      </c>
      <c r="D7634" s="396" t="s">
        <v>14481</v>
      </c>
      <c r="E7634" s="396" t="s">
        <v>14482</v>
      </c>
      <c r="F7634" s="396" t="s">
        <v>14483</v>
      </c>
    </row>
    <row r="7635">
      <c r="A7635" s="311">
        <v>7634</v>
      </c>
      <c r="B7635" s="396" t="s">
        <v>14527</v>
      </c>
      <c r="C7635" s="396" t="s">
        <v>12472</v>
      </c>
      <c r="D7635" s="396" t="s">
        <v>14481</v>
      </c>
      <c r="E7635" s="396" t="s">
        <v>14482</v>
      </c>
      <c r="F7635" s="396" t="s">
        <v>14483</v>
      </c>
    </row>
    <row r="7636">
      <c r="A7636" s="311">
        <v>7635</v>
      </c>
      <c r="B7636" s="396" t="s">
        <v>14528</v>
      </c>
      <c r="C7636" s="396" t="s">
        <v>14529</v>
      </c>
      <c r="D7636" s="396" t="s">
        <v>14481</v>
      </c>
      <c r="E7636" s="396" t="s">
        <v>14482</v>
      </c>
      <c r="F7636" s="396" t="s">
        <v>14483</v>
      </c>
    </row>
    <row r="7637">
      <c r="A7637" s="311">
        <v>7636</v>
      </c>
      <c r="B7637" s="396" t="s">
        <v>14530</v>
      </c>
      <c r="C7637" s="396" t="s">
        <v>14531</v>
      </c>
      <c r="D7637" s="396" t="s">
        <v>14532</v>
      </c>
      <c r="E7637" s="396" t="s">
        <v>14533</v>
      </c>
      <c r="F7637" s="396" t="s">
        <v>14483</v>
      </c>
    </row>
    <row r="7638">
      <c r="A7638" s="311">
        <v>7637</v>
      </c>
      <c r="B7638" s="396" t="s">
        <v>14534</v>
      </c>
      <c r="C7638" s="396" t="s">
        <v>14535</v>
      </c>
      <c r="D7638" s="396" t="s">
        <v>14532</v>
      </c>
      <c r="E7638" s="396" t="s">
        <v>14533</v>
      </c>
      <c r="F7638" s="396" t="s">
        <v>14483</v>
      </c>
    </row>
    <row r="7639">
      <c r="A7639" s="311">
        <v>7638</v>
      </c>
      <c r="B7639" s="396" t="s">
        <v>14536</v>
      </c>
      <c r="C7639" s="396" t="s">
        <v>14537</v>
      </c>
      <c r="D7639" s="396" t="s">
        <v>14532</v>
      </c>
      <c r="E7639" s="396" t="s">
        <v>14533</v>
      </c>
      <c r="F7639" s="396" t="s">
        <v>14483</v>
      </c>
    </row>
    <row r="7640">
      <c r="A7640" s="311">
        <v>7639</v>
      </c>
      <c r="B7640" s="396" t="s">
        <v>14538</v>
      </c>
      <c r="C7640" s="396" t="s">
        <v>14539</v>
      </c>
      <c r="D7640" s="396" t="s">
        <v>14532</v>
      </c>
      <c r="E7640" s="396" t="s">
        <v>14533</v>
      </c>
      <c r="F7640" s="396" t="s">
        <v>14483</v>
      </c>
    </row>
    <row r="7641">
      <c r="A7641" s="311">
        <v>7640</v>
      </c>
      <c r="B7641" s="396" t="s">
        <v>14540</v>
      </c>
      <c r="C7641" s="396" t="s">
        <v>14541</v>
      </c>
      <c r="D7641" s="396" t="s">
        <v>14532</v>
      </c>
      <c r="E7641" s="396" t="s">
        <v>14533</v>
      </c>
      <c r="F7641" s="396" t="s">
        <v>14483</v>
      </c>
    </row>
    <row r="7642">
      <c r="A7642" s="311">
        <v>7641</v>
      </c>
      <c r="B7642" s="396" t="s">
        <v>14542</v>
      </c>
      <c r="C7642" s="396" t="s">
        <v>14543</v>
      </c>
      <c r="D7642" s="396" t="s">
        <v>14532</v>
      </c>
      <c r="E7642" s="396" t="s">
        <v>14533</v>
      </c>
      <c r="F7642" s="396" t="s">
        <v>14483</v>
      </c>
    </row>
    <row r="7643">
      <c r="A7643" s="311">
        <v>7642</v>
      </c>
      <c r="B7643" s="396" t="s">
        <v>14544</v>
      </c>
      <c r="C7643" s="396" t="s">
        <v>14545</v>
      </c>
      <c r="D7643" s="396" t="s">
        <v>14532</v>
      </c>
      <c r="E7643" s="396" t="s">
        <v>14533</v>
      </c>
      <c r="F7643" s="396" t="s">
        <v>14483</v>
      </c>
    </row>
    <row r="7644">
      <c r="A7644" s="311">
        <v>7643</v>
      </c>
      <c r="B7644" s="396" t="s">
        <v>14546</v>
      </c>
      <c r="C7644" s="396" t="s">
        <v>14547</v>
      </c>
      <c r="D7644" s="396" t="s">
        <v>14532</v>
      </c>
      <c r="E7644" s="396" t="s">
        <v>14533</v>
      </c>
      <c r="F7644" s="396" t="s">
        <v>14483</v>
      </c>
    </row>
    <row r="7645">
      <c r="A7645" s="311">
        <v>7644</v>
      </c>
      <c r="B7645" s="396" t="s">
        <v>14548</v>
      </c>
      <c r="C7645" s="396" t="s">
        <v>14549</v>
      </c>
      <c r="D7645" s="396" t="s">
        <v>14532</v>
      </c>
      <c r="E7645" s="396" t="s">
        <v>14533</v>
      </c>
      <c r="F7645" s="396" t="s">
        <v>14483</v>
      </c>
    </row>
    <row r="7646">
      <c r="A7646" s="311">
        <v>7645</v>
      </c>
      <c r="B7646" s="396" t="s">
        <v>14550</v>
      </c>
      <c r="C7646" s="396" t="s">
        <v>14551</v>
      </c>
      <c r="D7646" s="396" t="s">
        <v>14532</v>
      </c>
      <c r="E7646" s="396" t="s">
        <v>14533</v>
      </c>
      <c r="F7646" s="396" t="s">
        <v>14483</v>
      </c>
    </row>
    <row r="7647">
      <c r="A7647" s="311">
        <v>7646</v>
      </c>
      <c r="B7647" s="396" t="s">
        <v>14552</v>
      </c>
      <c r="C7647" s="396" t="s">
        <v>14553</v>
      </c>
      <c r="D7647" s="396" t="s">
        <v>14532</v>
      </c>
      <c r="E7647" s="396" t="s">
        <v>14533</v>
      </c>
      <c r="F7647" s="396" t="s">
        <v>14483</v>
      </c>
    </row>
    <row r="7648">
      <c r="A7648" s="311">
        <v>7647</v>
      </c>
      <c r="B7648" s="396" t="s">
        <v>14554</v>
      </c>
      <c r="C7648" s="396" t="s">
        <v>14555</v>
      </c>
      <c r="D7648" s="396" t="s">
        <v>14532</v>
      </c>
      <c r="E7648" s="396" t="s">
        <v>14533</v>
      </c>
      <c r="F7648" s="396" t="s">
        <v>14483</v>
      </c>
    </row>
    <row r="7649">
      <c r="A7649" s="311">
        <v>7648</v>
      </c>
      <c r="B7649" s="396" t="s">
        <v>14556</v>
      </c>
      <c r="C7649" s="396" t="s">
        <v>14557</v>
      </c>
      <c r="D7649" s="396" t="s">
        <v>14532</v>
      </c>
      <c r="E7649" s="396" t="s">
        <v>14533</v>
      </c>
      <c r="F7649" s="396" t="s">
        <v>14483</v>
      </c>
    </row>
    <row r="7650">
      <c r="A7650" s="311">
        <v>7649</v>
      </c>
      <c r="B7650" s="396" t="s">
        <v>14558</v>
      </c>
      <c r="C7650" s="396" t="s">
        <v>14559</v>
      </c>
      <c r="D7650" s="396" t="s">
        <v>14532</v>
      </c>
      <c r="E7650" s="396" t="s">
        <v>14533</v>
      </c>
      <c r="F7650" s="396" t="s">
        <v>14483</v>
      </c>
    </row>
    <row r="7651">
      <c r="A7651" s="311">
        <v>7650</v>
      </c>
      <c r="B7651" s="396" t="s">
        <v>14560</v>
      </c>
      <c r="C7651" s="396" t="s">
        <v>14561</v>
      </c>
      <c r="D7651" s="396" t="s">
        <v>14532</v>
      </c>
      <c r="E7651" s="396" t="s">
        <v>14533</v>
      </c>
      <c r="F7651" s="396" t="s">
        <v>14483</v>
      </c>
    </row>
    <row r="7652">
      <c r="A7652" s="311">
        <v>7651</v>
      </c>
      <c r="B7652" s="396" t="s">
        <v>14562</v>
      </c>
      <c r="C7652" s="396" t="s">
        <v>14563</v>
      </c>
      <c r="D7652" s="396" t="s">
        <v>14564</v>
      </c>
      <c r="E7652" s="396" t="s">
        <v>14565</v>
      </c>
      <c r="F7652" s="396" t="s">
        <v>14483</v>
      </c>
    </row>
    <row r="7653">
      <c r="A7653" s="311">
        <v>7652</v>
      </c>
      <c r="B7653" s="396" t="s">
        <v>14566</v>
      </c>
      <c r="C7653" s="396" t="s">
        <v>14567</v>
      </c>
      <c r="D7653" s="396" t="s">
        <v>14564</v>
      </c>
      <c r="E7653" s="396" t="s">
        <v>14565</v>
      </c>
      <c r="F7653" s="396" t="s">
        <v>14483</v>
      </c>
    </row>
    <row r="7654">
      <c r="A7654" s="311">
        <v>7653</v>
      </c>
      <c r="B7654" s="396" t="s">
        <v>14568</v>
      </c>
      <c r="C7654" s="396" t="s">
        <v>14569</v>
      </c>
      <c r="D7654" s="396" t="s">
        <v>14564</v>
      </c>
      <c r="E7654" s="396" t="s">
        <v>14565</v>
      </c>
      <c r="F7654" s="396" t="s">
        <v>14483</v>
      </c>
    </row>
    <row r="7655">
      <c r="A7655" s="311">
        <v>7654</v>
      </c>
      <c r="B7655" s="396" t="s">
        <v>14570</v>
      </c>
      <c r="C7655" s="396" t="s">
        <v>14571</v>
      </c>
      <c r="D7655" s="396" t="s">
        <v>14564</v>
      </c>
      <c r="E7655" s="396" t="s">
        <v>14565</v>
      </c>
      <c r="F7655" s="396" t="s">
        <v>14483</v>
      </c>
    </row>
    <row r="7656">
      <c r="A7656" s="311">
        <v>7655</v>
      </c>
      <c r="B7656" s="396" t="s">
        <v>14572</v>
      </c>
      <c r="C7656" s="396" t="s">
        <v>11706</v>
      </c>
      <c r="D7656" s="396" t="s">
        <v>14564</v>
      </c>
      <c r="E7656" s="396" t="s">
        <v>14565</v>
      </c>
      <c r="F7656" s="396" t="s">
        <v>14483</v>
      </c>
    </row>
    <row r="7657">
      <c r="A7657" s="311">
        <v>7656</v>
      </c>
      <c r="B7657" s="396" t="s">
        <v>14573</v>
      </c>
      <c r="C7657" s="396" t="s">
        <v>14574</v>
      </c>
      <c r="D7657" s="396" t="s">
        <v>14564</v>
      </c>
      <c r="E7657" s="396" t="s">
        <v>14565</v>
      </c>
      <c r="F7657" s="396" t="s">
        <v>14483</v>
      </c>
    </row>
    <row r="7658">
      <c r="A7658" s="311">
        <v>7657</v>
      </c>
      <c r="B7658" s="396" t="s">
        <v>14575</v>
      </c>
      <c r="C7658" s="396" t="s">
        <v>14576</v>
      </c>
      <c r="D7658" s="396" t="s">
        <v>14564</v>
      </c>
      <c r="E7658" s="396" t="s">
        <v>14565</v>
      </c>
      <c r="F7658" s="396" t="s">
        <v>14483</v>
      </c>
    </row>
    <row r="7659">
      <c r="A7659" s="311">
        <v>7658</v>
      </c>
      <c r="B7659" s="396" t="s">
        <v>14577</v>
      </c>
      <c r="C7659" s="396" t="s">
        <v>14578</v>
      </c>
      <c r="D7659" s="396" t="s">
        <v>14564</v>
      </c>
      <c r="E7659" s="396" t="s">
        <v>14565</v>
      </c>
      <c r="F7659" s="396" t="s">
        <v>14483</v>
      </c>
    </row>
    <row r="7660">
      <c r="A7660" s="311">
        <v>7659</v>
      </c>
      <c r="B7660" s="396" t="s">
        <v>14579</v>
      </c>
      <c r="C7660" s="396" t="s">
        <v>14580</v>
      </c>
      <c r="D7660" s="396" t="s">
        <v>14564</v>
      </c>
      <c r="E7660" s="396" t="s">
        <v>14565</v>
      </c>
      <c r="F7660" s="396" t="s">
        <v>14483</v>
      </c>
    </row>
    <row r="7661">
      <c r="A7661" s="311">
        <v>7660</v>
      </c>
      <c r="B7661" s="396" t="s">
        <v>14581</v>
      </c>
      <c r="C7661" s="396" t="s">
        <v>14582</v>
      </c>
      <c r="D7661" s="396" t="s">
        <v>14564</v>
      </c>
      <c r="E7661" s="396" t="s">
        <v>14565</v>
      </c>
      <c r="F7661" s="396" t="s">
        <v>14483</v>
      </c>
    </row>
    <row r="7662">
      <c r="A7662" s="311">
        <v>7661</v>
      </c>
      <c r="B7662" s="396" t="s">
        <v>14583</v>
      </c>
      <c r="C7662" s="396" t="s">
        <v>14584</v>
      </c>
      <c r="D7662" s="396" t="s">
        <v>14564</v>
      </c>
      <c r="E7662" s="396" t="s">
        <v>14565</v>
      </c>
      <c r="F7662" s="396" t="s">
        <v>14483</v>
      </c>
    </row>
    <row r="7663">
      <c r="A7663" s="311">
        <v>7662</v>
      </c>
      <c r="B7663" s="396" t="s">
        <v>14585</v>
      </c>
      <c r="C7663" s="396" t="s">
        <v>14586</v>
      </c>
      <c r="D7663" s="396" t="s">
        <v>14564</v>
      </c>
      <c r="E7663" s="396" t="s">
        <v>14565</v>
      </c>
      <c r="F7663" s="396" t="s">
        <v>14483</v>
      </c>
    </row>
    <row r="7664">
      <c r="A7664" s="311">
        <v>7663</v>
      </c>
      <c r="B7664" s="396" t="s">
        <v>14587</v>
      </c>
      <c r="C7664" s="396" t="s">
        <v>14588</v>
      </c>
      <c r="D7664" s="396" t="s">
        <v>14564</v>
      </c>
      <c r="E7664" s="396" t="s">
        <v>14565</v>
      </c>
      <c r="F7664" s="396" t="s">
        <v>14483</v>
      </c>
    </row>
    <row r="7665">
      <c r="A7665" s="311">
        <v>7664</v>
      </c>
      <c r="B7665" s="396" t="s">
        <v>14589</v>
      </c>
      <c r="C7665" s="396" t="s">
        <v>14590</v>
      </c>
      <c r="D7665" s="396" t="s">
        <v>14564</v>
      </c>
      <c r="E7665" s="396" t="s">
        <v>14565</v>
      </c>
      <c r="F7665" s="396" t="s">
        <v>14483</v>
      </c>
    </row>
    <row r="7666">
      <c r="A7666" s="311">
        <v>7665</v>
      </c>
      <c r="B7666" s="396" t="s">
        <v>14591</v>
      </c>
      <c r="C7666" s="396" t="s">
        <v>14592</v>
      </c>
      <c r="D7666" s="396" t="s">
        <v>14593</v>
      </c>
      <c r="E7666" s="396" t="s">
        <v>14594</v>
      </c>
      <c r="F7666" s="396" t="s">
        <v>14483</v>
      </c>
    </row>
    <row r="7667">
      <c r="A7667" s="311">
        <v>7666</v>
      </c>
      <c r="B7667" s="396" t="s">
        <v>14595</v>
      </c>
      <c r="C7667" s="396" t="s">
        <v>13225</v>
      </c>
      <c r="D7667" s="396" t="s">
        <v>14593</v>
      </c>
      <c r="E7667" s="396" t="s">
        <v>14594</v>
      </c>
      <c r="F7667" s="396" t="s">
        <v>14483</v>
      </c>
    </row>
    <row r="7668">
      <c r="A7668" s="311">
        <v>7667</v>
      </c>
      <c r="B7668" s="396" t="s">
        <v>14596</v>
      </c>
      <c r="C7668" s="396" t="s">
        <v>14597</v>
      </c>
      <c r="D7668" s="396" t="s">
        <v>14593</v>
      </c>
      <c r="E7668" s="396" t="s">
        <v>14594</v>
      </c>
      <c r="F7668" s="396" t="s">
        <v>14483</v>
      </c>
    </row>
    <row r="7669">
      <c r="A7669" s="311">
        <v>7668</v>
      </c>
      <c r="B7669" s="396" t="s">
        <v>14598</v>
      </c>
      <c r="C7669" s="396" t="s">
        <v>14599</v>
      </c>
      <c r="D7669" s="396" t="s">
        <v>14593</v>
      </c>
      <c r="E7669" s="396" t="s">
        <v>14594</v>
      </c>
      <c r="F7669" s="396" t="s">
        <v>14483</v>
      </c>
    </row>
    <row r="7670">
      <c r="A7670" s="311">
        <v>7669</v>
      </c>
      <c r="B7670" s="396" t="s">
        <v>14600</v>
      </c>
      <c r="C7670" s="396" t="s">
        <v>14601</v>
      </c>
      <c r="D7670" s="396" t="s">
        <v>14593</v>
      </c>
      <c r="E7670" s="396" t="s">
        <v>14594</v>
      </c>
      <c r="F7670" s="396" t="s">
        <v>14483</v>
      </c>
    </row>
    <row r="7671">
      <c r="A7671" s="311">
        <v>7670</v>
      </c>
      <c r="B7671" s="396" t="s">
        <v>14602</v>
      </c>
      <c r="C7671" s="396" t="s">
        <v>4829</v>
      </c>
      <c r="D7671" s="396" t="s">
        <v>14593</v>
      </c>
      <c r="E7671" s="396" t="s">
        <v>14594</v>
      </c>
      <c r="F7671" s="396" t="s">
        <v>14483</v>
      </c>
    </row>
    <row r="7672">
      <c r="A7672" s="311">
        <v>7671</v>
      </c>
      <c r="B7672" s="396" t="s">
        <v>14603</v>
      </c>
      <c r="C7672" s="396" t="s">
        <v>14604</v>
      </c>
      <c r="D7672" s="396" t="s">
        <v>14593</v>
      </c>
      <c r="E7672" s="396" t="s">
        <v>14594</v>
      </c>
      <c r="F7672" s="396" t="s">
        <v>14483</v>
      </c>
    </row>
    <row r="7673">
      <c r="A7673" s="311">
        <v>7672</v>
      </c>
      <c r="B7673" s="396" t="s">
        <v>14605</v>
      </c>
      <c r="C7673" s="396" t="s">
        <v>14606</v>
      </c>
      <c r="D7673" s="396" t="s">
        <v>14593</v>
      </c>
      <c r="E7673" s="396" t="s">
        <v>14594</v>
      </c>
      <c r="F7673" s="396" t="s">
        <v>14483</v>
      </c>
    </row>
    <row r="7674">
      <c r="A7674" s="311">
        <v>7673</v>
      </c>
      <c r="B7674" s="396" t="s">
        <v>14607</v>
      </c>
      <c r="C7674" s="396" t="s">
        <v>14608</v>
      </c>
      <c r="D7674" s="396" t="s">
        <v>14593</v>
      </c>
      <c r="E7674" s="396" t="s">
        <v>14594</v>
      </c>
      <c r="F7674" s="396" t="s">
        <v>14483</v>
      </c>
    </row>
    <row r="7675">
      <c r="A7675" s="311">
        <v>7674</v>
      </c>
      <c r="B7675" s="396" t="s">
        <v>14609</v>
      </c>
      <c r="C7675" s="396" t="s">
        <v>627</v>
      </c>
      <c r="D7675" s="396" t="s">
        <v>14593</v>
      </c>
      <c r="E7675" s="396" t="s">
        <v>14594</v>
      </c>
      <c r="F7675" s="396" t="s">
        <v>14483</v>
      </c>
    </row>
    <row r="7676">
      <c r="A7676" s="311">
        <v>7675</v>
      </c>
      <c r="B7676" s="396" t="s">
        <v>14610</v>
      </c>
      <c r="C7676" s="396" t="s">
        <v>14611</v>
      </c>
      <c r="D7676" s="396" t="s">
        <v>14593</v>
      </c>
      <c r="E7676" s="396" t="s">
        <v>14594</v>
      </c>
      <c r="F7676" s="396" t="s">
        <v>14483</v>
      </c>
    </row>
    <row r="7677">
      <c r="A7677" s="311">
        <v>7676</v>
      </c>
      <c r="B7677" s="396" t="s">
        <v>14612</v>
      </c>
      <c r="C7677" s="396" t="s">
        <v>605</v>
      </c>
      <c r="D7677" s="396" t="s">
        <v>14593</v>
      </c>
      <c r="E7677" s="396" t="s">
        <v>14594</v>
      </c>
      <c r="F7677" s="396" t="s">
        <v>14483</v>
      </c>
    </row>
    <row r="7678">
      <c r="A7678" s="311">
        <v>7677</v>
      </c>
      <c r="B7678" s="396" t="s">
        <v>14613</v>
      </c>
      <c r="C7678" s="396" t="s">
        <v>14614</v>
      </c>
      <c r="D7678" s="396" t="s">
        <v>14593</v>
      </c>
      <c r="E7678" s="396" t="s">
        <v>14594</v>
      </c>
      <c r="F7678" s="396" t="s">
        <v>14483</v>
      </c>
    </row>
    <row r="7679">
      <c r="A7679" s="311">
        <v>7678</v>
      </c>
      <c r="B7679" s="396" t="s">
        <v>14615</v>
      </c>
      <c r="C7679" s="396" t="s">
        <v>14616</v>
      </c>
      <c r="D7679" s="396" t="s">
        <v>14617</v>
      </c>
      <c r="E7679" s="396" t="s">
        <v>14618</v>
      </c>
      <c r="F7679" s="396" t="s">
        <v>14483</v>
      </c>
    </row>
    <row r="7680">
      <c r="A7680" s="311">
        <v>7679</v>
      </c>
      <c r="B7680" s="396" t="s">
        <v>14619</v>
      </c>
      <c r="C7680" s="396" t="s">
        <v>6046</v>
      </c>
      <c r="D7680" s="396" t="s">
        <v>14617</v>
      </c>
      <c r="E7680" s="396" t="s">
        <v>14618</v>
      </c>
      <c r="F7680" s="396" t="s">
        <v>14483</v>
      </c>
    </row>
    <row r="7681">
      <c r="A7681" s="311">
        <v>7680</v>
      </c>
      <c r="B7681" s="396" t="s">
        <v>14620</v>
      </c>
      <c r="C7681" s="396" t="s">
        <v>14621</v>
      </c>
      <c r="D7681" s="396" t="s">
        <v>14617</v>
      </c>
      <c r="E7681" s="396" t="s">
        <v>14618</v>
      </c>
      <c r="F7681" s="396" t="s">
        <v>14483</v>
      </c>
    </row>
    <row r="7682">
      <c r="A7682" s="311">
        <v>7681</v>
      </c>
      <c r="B7682" s="396" t="s">
        <v>14622</v>
      </c>
      <c r="C7682" s="396" t="s">
        <v>14623</v>
      </c>
      <c r="D7682" s="396" t="s">
        <v>14617</v>
      </c>
      <c r="E7682" s="396" t="s">
        <v>14618</v>
      </c>
      <c r="F7682" s="396" t="s">
        <v>14483</v>
      </c>
    </row>
    <row r="7683">
      <c r="A7683" s="311">
        <v>7682</v>
      </c>
      <c r="B7683" s="396" t="s">
        <v>14624</v>
      </c>
      <c r="C7683" s="396" t="s">
        <v>9528</v>
      </c>
      <c r="D7683" s="396" t="s">
        <v>14617</v>
      </c>
      <c r="E7683" s="396" t="s">
        <v>14618</v>
      </c>
      <c r="F7683" s="396" t="s">
        <v>14483</v>
      </c>
    </row>
    <row r="7684">
      <c r="A7684" s="311">
        <v>7683</v>
      </c>
      <c r="B7684" s="396" t="s">
        <v>14625</v>
      </c>
      <c r="C7684" s="396" t="s">
        <v>14626</v>
      </c>
      <c r="D7684" s="396" t="s">
        <v>14617</v>
      </c>
      <c r="E7684" s="396" t="s">
        <v>14618</v>
      </c>
      <c r="F7684" s="396" t="s">
        <v>14483</v>
      </c>
    </row>
    <row r="7685">
      <c r="A7685" s="311">
        <v>7684</v>
      </c>
      <c r="B7685" s="396" t="s">
        <v>14627</v>
      </c>
      <c r="C7685" s="396" t="s">
        <v>14628</v>
      </c>
      <c r="D7685" s="396" t="s">
        <v>14617</v>
      </c>
      <c r="E7685" s="396" t="s">
        <v>14618</v>
      </c>
      <c r="F7685" s="396" t="s">
        <v>14483</v>
      </c>
    </row>
    <row r="7686">
      <c r="A7686" s="311">
        <v>7685</v>
      </c>
      <c r="B7686" s="396" t="s">
        <v>14629</v>
      </c>
      <c r="C7686" s="396" t="s">
        <v>14630</v>
      </c>
      <c r="D7686" s="396" t="s">
        <v>14617</v>
      </c>
      <c r="E7686" s="396" t="s">
        <v>14618</v>
      </c>
      <c r="F7686" s="396" t="s">
        <v>14483</v>
      </c>
    </row>
    <row r="7687">
      <c r="A7687" s="311">
        <v>7686</v>
      </c>
      <c r="B7687" s="396" t="s">
        <v>14631</v>
      </c>
      <c r="C7687" s="396" t="s">
        <v>14632</v>
      </c>
      <c r="D7687" s="396" t="s">
        <v>14617</v>
      </c>
      <c r="E7687" s="396" t="s">
        <v>14618</v>
      </c>
      <c r="F7687" s="396" t="s">
        <v>14483</v>
      </c>
    </row>
    <row r="7688">
      <c r="A7688" s="311">
        <v>7687</v>
      </c>
      <c r="B7688" s="396" t="s">
        <v>14633</v>
      </c>
      <c r="C7688" s="396" t="s">
        <v>9521</v>
      </c>
      <c r="D7688" s="396" t="s">
        <v>14617</v>
      </c>
      <c r="E7688" s="396" t="s">
        <v>14618</v>
      </c>
      <c r="F7688" s="396" t="s">
        <v>14483</v>
      </c>
    </row>
    <row r="7689">
      <c r="A7689" s="311">
        <v>7688</v>
      </c>
      <c r="B7689" s="396" t="s">
        <v>14634</v>
      </c>
      <c r="C7689" s="396" t="s">
        <v>14635</v>
      </c>
      <c r="D7689" s="396" t="s">
        <v>14617</v>
      </c>
      <c r="E7689" s="396" t="s">
        <v>14618</v>
      </c>
      <c r="F7689" s="396" t="s">
        <v>14483</v>
      </c>
    </row>
    <row r="7690">
      <c r="A7690" s="311">
        <v>7689</v>
      </c>
      <c r="B7690" s="396" t="s">
        <v>14636</v>
      </c>
      <c r="C7690" s="396" t="s">
        <v>14637</v>
      </c>
      <c r="D7690" s="396" t="s">
        <v>14617</v>
      </c>
      <c r="E7690" s="396" t="s">
        <v>14618</v>
      </c>
      <c r="F7690" s="396" t="s">
        <v>14483</v>
      </c>
    </row>
    <row r="7691">
      <c r="A7691" s="311">
        <v>7690</v>
      </c>
      <c r="B7691" s="396" t="s">
        <v>14638</v>
      </c>
      <c r="C7691" s="396" t="s">
        <v>14639</v>
      </c>
      <c r="D7691" s="396" t="s">
        <v>14617</v>
      </c>
      <c r="E7691" s="396" t="s">
        <v>14618</v>
      </c>
      <c r="F7691" s="396" t="s">
        <v>14483</v>
      </c>
    </row>
    <row r="7692">
      <c r="A7692" s="311">
        <v>7691</v>
      </c>
      <c r="B7692" s="396" t="s">
        <v>14640</v>
      </c>
      <c r="C7692" s="396" t="s">
        <v>14641</v>
      </c>
      <c r="D7692" s="396" t="s">
        <v>14617</v>
      </c>
      <c r="E7692" s="396" t="s">
        <v>14618</v>
      </c>
      <c r="F7692" s="396" t="s">
        <v>14483</v>
      </c>
    </row>
    <row r="7693">
      <c r="A7693" s="311">
        <v>7692</v>
      </c>
      <c r="B7693" s="396" t="s">
        <v>14642</v>
      </c>
      <c r="C7693" s="396" t="s">
        <v>14643</v>
      </c>
      <c r="D7693" s="396" t="s">
        <v>14617</v>
      </c>
      <c r="E7693" s="396" t="s">
        <v>14618</v>
      </c>
      <c r="F7693" s="396" t="s">
        <v>14483</v>
      </c>
    </row>
    <row r="7694">
      <c r="A7694" s="311">
        <v>7693</v>
      </c>
      <c r="B7694" s="396" t="s">
        <v>14644</v>
      </c>
      <c r="C7694" s="396" t="s">
        <v>14645</v>
      </c>
      <c r="D7694" s="396" t="s">
        <v>14617</v>
      </c>
      <c r="E7694" s="396" t="s">
        <v>14618</v>
      </c>
      <c r="F7694" s="396" t="s">
        <v>14483</v>
      </c>
    </row>
    <row r="7695">
      <c r="A7695" s="311">
        <v>7694</v>
      </c>
      <c r="B7695" s="396" t="s">
        <v>14646</v>
      </c>
      <c r="C7695" s="396" t="s">
        <v>14647</v>
      </c>
      <c r="D7695" s="396" t="s">
        <v>14617</v>
      </c>
      <c r="E7695" s="396" t="s">
        <v>14618</v>
      </c>
      <c r="F7695" s="396" t="s">
        <v>14483</v>
      </c>
    </row>
    <row r="7696">
      <c r="A7696" s="311">
        <v>7695</v>
      </c>
      <c r="B7696" s="396" t="s">
        <v>14648</v>
      </c>
      <c r="C7696" s="396" t="s">
        <v>14649</v>
      </c>
      <c r="D7696" s="396" t="s">
        <v>14617</v>
      </c>
      <c r="E7696" s="396" t="s">
        <v>14618</v>
      </c>
      <c r="F7696" s="396" t="s">
        <v>14483</v>
      </c>
    </row>
    <row r="7697">
      <c r="A7697" s="311">
        <v>7696</v>
      </c>
      <c r="B7697" s="396" t="s">
        <v>14650</v>
      </c>
      <c r="C7697" s="396" t="s">
        <v>14651</v>
      </c>
      <c r="D7697" s="396" t="s">
        <v>14617</v>
      </c>
      <c r="E7697" s="396" t="s">
        <v>14618</v>
      </c>
      <c r="F7697" s="396" t="s">
        <v>14483</v>
      </c>
    </row>
    <row r="7698">
      <c r="A7698" s="311">
        <v>7697</v>
      </c>
      <c r="B7698" s="396" t="s">
        <v>14652</v>
      </c>
      <c r="C7698" s="396" t="s">
        <v>14653</v>
      </c>
      <c r="D7698" s="396" t="s">
        <v>14617</v>
      </c>
      <c r="E7698" s="396" t="s">
        <v>14618</v>
      </c>
      <c r="F7698" s="396" t="s">
        <v>14483</v>
      </c>
    </row>
    <row r="7699">
      <c r="A7699" s="311">
        <v>7698</v>
      </c>
      <c r="B7699" s="396" t="s">
        <v>14654</v>
      </c>
      <c r="C7699" s="396" t="s">
        <v>14655</v>
      </c>
      <c r="D7699" s="396" t="s">
        <v>14617</v>
      </c>
      <c r="E7699" s="396" t="s">
        <v>14618</v>
      </c>
      <c r="F7699" s="396" t="s">
        <v>14483</v>
      </c>
    </row>
    <row r="7700">
      <c r="A7700" s="311">
        <v>7699</v>
      </c>
      <c r="B7700" s="396" t="s">
        <v>14656</v>
      </c>
      <c r="C7700" s="396" t="s">
        <v>14657</v>
      </c>
      <c r="D7700" s="396" t="s">
        <v>14617</v>
      </c>
      <c r="E7700" s="396" t="s">
        <v>14618</v>
      </c>
      <c r="F7700" s="396" t="s">
        <v>14483</v>
      </c>
    </row>
    <row r="7701">
      <c r="A7701" s="311">
        <v>7700</v>
      </c>
      <c r="B7701" s="396" t="s">
        <v>14658</v>
      </c>
      <c r="C7701" s="396" t="s">
        <v>14659</v>
      </c>
      <c r="D7701" s="396" t="s">
        <v>14617</v>
      </c>
      <c r="E7701" s="396" t="s">
        <v>14618</v>
      </c>
      <c r="F7701" s="396" t="s">
        <v>14483</v>
      </c>
    </row>
    <row r="7702">
      <c r="A7702" s="311">
        <v>7701</v>
      </c>
      <c r="B7702" s="396" t="s">
        <v>14660</v>
      </c>
      <c r="C7702" s="396" t="s">
        <v>14661</v>
      </c>
      <c r="D7702" s="396" t="s">
        <v>14617</v>
      </c>
      <c r="E7702" s="396" t="s">
        <v>14618</v>
      </c>
      <c r="F7702" s="396" t="s">
        <v>14483</v>
      </c>
    </row>
    <row r="7703">
      <c r="A7703" s="311">
        <v>7702</v>
      </c>
      <c r="B7703" s="396" t="s">
        <v>14662</v>
      </c>
      <c r="C7703" s="396" t="s">
        <v>14663</v>
      </c>
      <c r="D7703" s="396" t="s">
        <v>14617</v>
      </c>
      <c r="E7703" s="396" t="s">
        <v>14618</v>
      </c>
      <c r="F7703" s="396" t="s">
        <v>14483</v>
      </c>
    </row>
    <row r="7704">
      <c r="A7704" s="311">
        <v>7703</v>
      </c>
      <c r="B7704" s="396" t="s">
        <v>14664</v>
      </c>
      <c r="C7704" s="396" t="s">
        <v>14665</v>
      </c>
      <c r="D7704" s="396" t="s">
        <v>14617</v>
      </c>
      <c r="E7704" s="396" t="s">
        <v>14618</v>
      </c>
      <c r="F7704" s="396" t="s">
        <v>14483</v>
      </c>
    </row>
    <row r="7705">
      <c r="A7705" s="311">
        <v>7704</v>
      </c>
      <c r="B7705" s="396" t="s">
        <v>14666</v>
      </c>
      <c r="C7705" s="396" t="s">
        <v>9526</v>
      </c>
      <c r="D7705" s="396" t="s">
        <v>14617</v>
      </c>
      <c r="E7705" s="396" t="s">
        <v>14618</v>
      </c>
      <c r="F7705" s="396" t="s">
        <v>14483</v>
      </c>
    </row>
    <row r="7706">
      <c r="A7706" s="311">
        <v>7705</v>
      </c>
      <c r="B7706" s="396" t="s">
        <v>14667</v>
      </c>
      <c r="C7706" s="396" t="s">
        <v>14668</v>
      </c>
      <c r="D7706" s="396" t="s">
        <v>14669</v>
      </c>
      <c r="E7706" s="396" t="s">
        <v>14670</v>
      </c>
      <c r="F7706" s="396" t="s">
        <v>14483</v>
      </c>
    </row>
    <row r="7707">
      <c r="A7707" s="311">
        <v>7706</v>
      </c>
      <c r="B7707" s="396" t="s">
        <v>14671</v>
      </c>
      <c r="C7707" s="396" t="s">
        <v>14672</v>
      </c>
      <c r="D7707" s="396" t="s">
        <v>14669</v>
      </c>
      <c r="E7707" s="396" t="s">
        <v>14670</v>
      </c>
      <c r="F7707" s="396" t="s">
        <v>14483</v>
      </c>
    </row>
    <row r="7708">
      <c r="A7708" s="311">
        <v>7707</v>
      </c>
      <c r="B7708" s="396" t="s">
        <v>14673</v>
      </c>
      <c r="C7708" s="396" t="s">
        <v>14674</v>
      </c>
      <c r="D7708" s="396" t="s">
        <v>14669</v>
      </c>
      <c r="E7708" s="396" t="s">
        <v>14670</v>
      </c>
      <c r="F7708" s="396" t="s">
        <v>14483</v>
      </c>
    </row>
    <row r="7709">
      <c r="A7709" s="311">
        <v>7708</v>
      </c>
      <c r="B7709" s="396" t="s">
        <v>14675</v>
      </c>
      <c r="C7709" s="396" t="s">
        <v>9550</v>
      </c>
      <c r="D7709" s="396" t="s">
        <v>14669</v>
      </c>
      <c r="E7709" s="396" t="s">
        <v>14670</v>
      </c>
      <c r="F7709" s="396" t="s">
        <v>14483</v>
      </c>
    </row>
    <row r="7710">
      <c r="A7710" s="311">
        <v>7709</v>
      </c>
      <c r="B7710" s="396" t="s">
        <v>14676</v>
      </c>
      <c r="C7710" s="396" t="s">
        <v>14677</v>
      </c>
      <c r="D7710" s="396" t="s">
        <v>14669</v>
      </c>
      <c r="E7710" s="396" t="s">
        <v>14670</v>
      </c>
      <c r="F7710" s="396" t="s">
        <v>14483</v>
      </c>
    </row>
    <row r="7711">
      <c r="A7711" s="311">
        <v>7710</v>
      </c>
      <c r="B7711" s="396" t="s">
        <v>14678</v>
      </c>
      <c r="C7711" s="396" t="s">
        <v>679</v>
      </c>
      <c r="D7711" s="396" t="s">
        <v>14669</v>
      </c>
      <c r="E7711" s="396" t="s">
        <v>14670</v>
      </c>
      <c r="F7711" s="396" t="s">
        <v>14483</v>
      </c>
    </row>
    <row r="7712">
      <c r="A7712" s="311">
        <v>7711</v>
      </c>
      <c r="B7712" s="396" t="s">
        <v>14679</v>
      </c>
      <c r="C7712" s="396" t="s">
        <v>14680</v>
      </c>
      <c r="D7712" s="396" t="s">
        <v>14669</v>
      </c>
      <c r="E7712" s="396" t="s">
        <v>14670</v>
      </c>
      <c r="F7712" s="396" t="s">
        <v>14483</v>
      </c>
    </row>
    <row r="7713">
      <c r="A7713" s="311">
        <v>7712</v>
      </c>
      <c r="B7713" s="396" t="s">
        <v>14681</v>
      </c>
      <c r="C7713" s="396" t="s">
        <v>14682</v>
      </c>
      <c r="D7713" s="396" t="s">
        <v>14669</v>
      </c>
      <c r="E7713" s="396" t="s">
        <v>14670</v>
      </c>
      <c r="F7713" s="396" t="s">
        <v>14483</v>
      </c>
    </row>
    <row r="7714">
      <c r="A7714" s="311">
        <v>7713</v>
      </c>
      <c r="B7714" s="396" t="s">
        <v>14683</v>
      </c>
      <c r="C7714" s="396" t="s">
        <v>14684</v>
      </c>
      <c r="D7714" s="396" t="s">
        <v>14669</v>
      </c>
      <c r="E7714" s="396" t="s">
        <v>14670</v>
      </c>
      <c r="F7714" s="396" t="s">
        <v>14483</v>
      </c>
    </row>
    <row r="7715">
      <c r="A7715" s="311">
        <v>7714</v>
      </c>
      <c r="B7715" s="396" t="s">
        <v>14685</v>
      </c>
      <c r="C7715" s="396" t="s">
        <v>14686</v>
      </c>
      <c r="D7715" s="396" t="s">
        <v>14669</v>
      </c>
      <c r="E7715" s="396" t="s">
        <v>14670</v>
      </c>
      <c r="F7715" s="396" t="s">
        <v>14483</v>
      </c>
    </row>
    <row r="7716">
      <c r="A7716" s="311">
        <v>7715</v>
      </c>
      <c r="B7716" s="396" t="s">
        <v>14687</v>
      </c>
      <c r="C7716" s="396" t="s">
        <v>14688</v>
      </c>
      <c r="D7716" s="396" t="s">
        <v>14669</v>
      </c>
      <c r="E7716" s="396" t="s">
        <v>14670</v>
      </c>
      <c r="F7716" s="396" t="s">
        <v>14483</v>
      </c>
    </row>
    <row r="7717">
      <c r="A7717" s="311">
        <v>7716</v>
      </c>
      <c r="B7717" s="396" t="s">
        <v>14689</v>
      </c>
      <c r="C7717" s="396" t="s">
        <v>9560</v>
      </c>
      <c r="D7717" s="396" t="s">
        <v>14669</v>
      </c>
      <c r="E7717" s="396" t="s">
        <v>14670</v>
      </c>
      <c r="F7717" s="396" t="s">
        <v>14483</v>
      </c>
    </row>
    <row r="7718">
      <c r="A7718" s="311">
        <v>7717</v>
      </c>
      <c r="B7718" s="396" t="s">
        <v>14690</v>
      </c>
      <c r="C7718" s="396" t="s">
        <v>9536</v>
      </c>
      <c r="D7718" s="396" t="s">
        <v>14669</v>
      </c>
      <c r="E7718" s="396" t="s">
        <v>14670</v>
      </c>
      <c r="F7718" s="396" t="s">
        <v>14483</v>
      </c>
    </row>
    <row r="7719">
      <c r="A7719" s="311">
        <v>7718</v>
      </c>
      <c r="B7719" s="396" t="s">
        <v>14691</v>
      </c>
      <c r="C7719" s="396" t="s">
        <v>14692</v>
      </c>
      <c r="D7719" s="396" t="s">
        <v>14669</v>
      </c>
      <c r="E7719" s="396" t="s">
        <v>14670</v>
      </c>
      <c r="F7719" s="396" t="s">
        <v>14483</v>
      </c>
    </row>
    <row r="7720">
      <c r="A7720" s="311">
        <v>7719</v>
      </c>
      <c r="B7720" s="396" t="s">
        <v>14693</v>
      </c>
      <c r="C7720" s="396" t="s">
        <v>14694</v>
      </c>
      <c r="D7720" s="396" t="s">
        <v>14695</v>
      </c>
      <c r="E7720" s="396" t="s">
        <v>14696</v>
      </c>
      <c r="F7720" s="396" t="s">
        <v>14483</v>
      </c>
    </row>
    <row r="7721">
      <c r="A7721" s="311">
        <v>7720</v>
      </c>
      <c r="B7721" s="396" t="s">
        <v>14697</v>
      </c>
      <c r="C7721" s="396" t="s">
        <v>14698</v>
      </c>
      <c r="D7721" s="396" t="s">
        <v>14695</v>
      </c>
      <c r="E7721" s="396" t="s">
        <v>14696</v>
      </c>
      <c r="F7721" s="396" t="s">
        <v>14483</v>
      </c>
    </row>
    <row r="7722">
      <c r="A7722" s="311">
        <v>7721</v>
      </c>
      <c r="B7722" s="396" t="s">
        <v>14699</v>
      </c>
      <c r="C7722" s="396" t="s">
        <v>14700</v>
      </c>
      <c r="D7722" s="396" t="s">
        <v>14695</v>
      </c>
      <c r="E7722" s="396" t="s">
        <v>14696</v>
      </c>
      <c r="F7722" s="396" t="s">
        <v>14483</v>
      </c>
    </row>
    <row r="7723">
      <c r="A7723" s="311">
        <v>7722</v>
      </c>
      <c r="B7723" s="396" t="s">
        <v>14701</v>
      </c>
      <c r="C7723" s="396" t="s">
        <v>14702</v>
      </c>
      <c r="D7723" s="396" t="s">
        <v>14695</v>
      </c>
      <c r="E7723" s="396" t="s">
        <v>14696</v>
      </c>
      <c r="F7723" s="396" t="s">
        <v>14483</v>
      </c>
    </row>
    <row r="7724">
      <c r="A7724" s="311">
        <v>7723</v>
      </c>
      <c r="B7724" s="396" t="s">
        <v>14703</v>
      </c>
      <c r="C7724" s="396" t="s">
        <v>14704</v>
      </c>
      <c r="D7724" s="396" t="s">
        <v>14695</v>
      </c>
      <c r="E7724" s="396" t="s">
        <v>14696</v>
      </c>
      <c r="F7724" s="396" t="s">
        <v>14483</v>
      </c>
    </row>
    <row r="7725">
      <c r="A7725" s="311">
        <v>7724</v>
      </c>
      <c r="B7725" s="396" t="s">
        <v>14705</v>
      </c>
      <c r="C7725" s="396" t="s">
        <v>14706</v>
      </c>
      <c r="D7725" s="396" t="s">
        <v>14695</v>
      </c>
      <c r="E7725" s="396" t="s">
        <v>14696</v>
      </c>
      <c r="F7725" s="396" t="s">
        <v>14483</v>
      </c>
    </row>
    <row r="7726">
      <c r="A7726" s="311">
        <v>7725</v>
      </c>
      <c r="B7726" s="396" t="s">
        <v>14707</v>
      </c>
      <c r="C7726" s="396" t="s">
        <v>14708</v>
      </c>
      <c r="D7726" s="396" t="s">
        <v>14695</v>
      </c>
      <c r="E7726" s="396" t="s">
        <v>14696</v>
      </c>
      <c r="F7726" s="396" t="s">
        <v>14483</v>
      </c>
    </row>
    <row r="7727">
      <c r="A7727" s="311">
        <v>7726</v>
      </c>
      <c r="B7727" s="396" t="s">
        <v>14709</v>
      </c>
      <c r="C7727" s="396" t="s">
        <v>14710</v>
      </c>
      <c r="D7727" s="396" t="s">
        <v>14695</v>
      </c>
      <c r="E7727" s="396" t="s">
        <v>14696</v>
      </c>
      <c r="F7727" s="396" t="s">
        <v>14483</v>
      </c>
    </row>
    <row r="7728">
      <c r="A7728" s="311">
        <v>7727</v>
      </c>
      <c r="B7728" s="396" t="s">
        <v>14711</v>
      </c>
      <c r="C7728" s="396" t="s">
        <v>14712</v>
      </c>
      <c r="D7728" s="396" t="s">
        <v>14695</v>
      </c>
      <c r="E7728" s="396" t="s">
        <v>14696</v>
      </c>
      <c r="F7728" s="396" t="s">
        <v>14483</v>
      </c>
    </row>
    <row r="7729">
      <c r="A7729" s="311">
        <v>7728</v>
      </c>
      <c r="B7729" s="396" t="s">
        <v>14713</v>
      </c>
      <c r="C7729" s="396" t="s">
        <v>14714</v>
      </c>
      <c r="D7729" s="396" t="s">
        <v>14695</v>
      </c>
      <c r="E7729" s="396" t="s">
        <v>14696</v>
      </c>
      <c r="F7729" s="396" t="s">
        <v>14483</v>
      </c>
    </row>
    <row r="7730">
      <c r="A7730" s="311">
        <v>7729</v>
      </c>
      <c r="B7730" s="396" t="s">
        <v>14715</v>
      </c>
      <c r="C7730" s="396" t="s">
        <v>14716</v>
      </c>
      <c r="D7730" s="396" t="s">
        <v>14695</v>
      </c>
      <c r="E7730" s="396" t="s">
        <v>14696</v>
      </c>
      <c r="F7730" s="396" t="s">
        <v>14483</v>
      </c>
    </row>
    <row r="7731">
      <c r="A7731" s="311">
        <v>7730</v>
      </c>
      <c r="B7731" s="396" t="s">
        <v>14717</v>
      </c>
      <c r="C7731" s="396" t="s">
        <v>14718</v>
      </c>
      <c r="D7731" s="396" t="s">
        <v>14695</v>
      </c>
      <c r="E7731" s="396" t="s">
        <v>14696</v>
      </c>
      <c r="F7731" s="396" t="s">
        <v>14483</v>
      </c>
    </row>
    <row r="7732">
      <c r="A7732" s="311">
        <v>7731</v>
      </c>
      <c r="B7732" s="396" t="s">
        <v>14719</v>
      </c>
      <c r="C7732" s="396" t="s">
        <v>14720</v>
      </c>
      <c r="D7732" s="396" t="s">
        <v>14695</v>
      </c>
      <c r="E7732" s="396" t="s">
        <v>14696</v>
      </c>
      <c r="F7732" s="396" t="s">
        <v>14483</v>
      </c>
    </row>
    <row r="7733">
      <c r="A7733" s="311">
        <v>7732</v>
      </c>
      <c r="B7733" s="396" t="s">
        <v>14721</v>
      </c>
      <c r="C7733" s="396" t="s">
        <v>14722</v>
      </c>
      <c r="D7733" s="396" t="s">
        <v>14695</v>
      </c>
      <c r="E7733" s="396" t="s">
        <v>14696</v>
      </c>
      <c r="F7733" s="396" t="s">
        <v>14483</v>
      </c>
    </row>
    <row r="7734">
      <c r="A7734" s="311">
        <v>7733</v>
      </c>
      <c r="B7734" s="396" t="s">
        <v>14723</v>
      </c>
      <c r="C7734" s="396" t="s">
        <v>14724</v>
      </c>
      <c r="D7734" s="396" t="s">
        <v>14695</v>
      </c>
      <c r="E7734" s="396" t="s">
        <v>14696</v>
      </c>
      <c r="F7734" s="396" t="s">
        <v>14483</v>
      </c>
    </row>
    <row r="7735">
      <c r="A7735" s="311">
        <v>7734</v>
      </c>
      <c r="B7735" s="396" t="s">
        <v>14725</v>
      </c>
      <c r="C7735" s="396" t="s">
        <v>14726</v>
      </c>
      <c r="D7735" s="396" t="s">
        <v>14695</v>
      </c>
      <c r="E7735" s="396" t="s">
        <v>14696</v>
      </c>
      <c r="F7735" s="396" t="s">
        <v>14483</v>
      </c>
    </row>
    <row r="7736">
      <c r="A7736" s="311">
        <v>7735</v>
      </c>
      <c r="B7736" s="396" t="s">
        <v>14727</v>
      </c>
      <c r="C7736" s="396" t="s">
        <v>14728</v>
      </c>
      <c r="D7736" s="396" t="s">
        <v>14695</v>
      </c>
      <c r="E7736" s="396" t="s">
        <v>14696</v>
      </c>
      <c r="F7736" s="396" t="s">
        <v>14483</v>
      </c>
    </row>
    <row r="7737">
      <c r="A7737" s="311">
        <v>7736</v>
      </c>
      <c r="B7737" s="396" t="s">
        <v>14729</v>
      </c>
      <c r="C7737" s="396" t="s">
        <v>14730</v>
      </c>
      <c r="D7737" s="396" t="s">
        <v>14695</v>
      </c>
      <c r="E7737" s="396" t="s">
        <v>14696</v>
      </c>
      <c r="F7737" s="396" t="s">
        <v>14483</v>
      </c>
    </row>
    <row r="7738">
      <c r="A7738" s="311">
        <v>7737</v>
      </c>
      <c r="B7738" s="396" t="s">
        <v>14731</v>
      </c>
      <c r="C7738" s="396" t="s">
        <v>14732</v>
      </c>
      <c r="D7738" s="396" t="s">
        <v>14695</v>
      </c>
      <c r="E7738" s="396" t="s">
        <v>14696</v>
      </c>
      <c r="F7738" s="396" t="s">
        <v>14483</v>
      </c>
    </row>
    <row r="7739">
      <c r="A7739" s="311">
        <v>7738</v>
      </c>
      <c r="B7739" s="396" t="s">
        <v>14733</v>
      </c>
      <c r="C7739" s="396" t="s">
        <v>14734</v>
      </c>
      <c r="D7739" s="396" t="s">
        <v>14735</v>
      </c>
      <c r="E7739" s="396" t="s">
        <v>14736</v>
      </c>
      <c r="F7739" s="396" t="s">
        <v>14483</v>
      </c>
    </row>
    <row r="7740">
      <c r="A7740" s="311">
        <v>7739</v>
      </c>
      <c r="B7740" s="396" t="s">
        <v>14737</v>
      </c>
      <c r="C7740" s="396" t="s">
        <v>9767</v>
      </c>
      <c r="D7740" s="396" t="s">
        <v>14735</v>
      </c>
      <c r="E7740" s="396" t="s">
        <v>14736</v>
      </c>
      <c r="F7740" s="396" t="s">
        <v>14483</v>
      </c>
    </row>
    <row r="7741">
      <c r="A7741" s="311">
        <v>7740</v>
      </c>
      <c r="B7741" s="396" t="s">
        <v>14738</v>
      </c>
      <c r="C7741" s="396" t="s">
        <v>11693</v>
      </c>
      <c r="D7741" s="396" t="s">
        <v>14735</v>
      </c>
      <c r="E7741" s="396" t="s">
        <v>14736</v>
      </c>
      <c r="F7741" s="396" t="s">
        <v>14483</v>
      </c>
    </row>
    <row r="7742">
      <c r="A7742" s="311">
        <v>7741</v>
      </c>
      <c r="B7742" s="396" t="s">
        <v>14739</v>
      </c>
      <c r="C7742" s="396" t="s">
        <v>14740</v>
      </c>
      <c r="D7742" s="396" t="s">
        <v>14735</v>
      </c>
      <c r="E7742" s="396" t="s">
        <v>14736</v>
      </c>
      <c r="F7742" s="396" t="s">
        <v>14483</v>
      </c>
    </row>
    <row r="7743">
      <c r="A7743" s="311">
        <v>7742</v>
      </c>
      <c r="B7743" s="396" t="s">
        <v>14741</v>
      </c>
      <c r="C7743" s="396" t="s">
        <v>3201</v>
      </c>
      <c r="D7743" s="396" t="s">
        <v>14735</v>
      </c>
      <c r="E7743" s="396" t="s">
        <v>14736</v>
      </c>
      <c r="F7743" s="396" t="s">
        <v>14483</v>
      </c>
    </row>
    <row r="7744">
      <c r="A7744" s="311">
        <v>7743</v>
      </c>
      <c r="B7744" s="396" t="s">
        <v>14742</v>
      </c>
      <c r="C7744" s="396" t="s">
        <v>11719</v>
      </c>
      <c r="D7744" s="396" t="s">
        <v>14735</v>
      </c>
      <c r="E7744" s="396" t="s">
        <v>14736</v>
      </c>
      <c r="F7744" s="396" t="s">
        <v>14483</v>
      </c>
    </row>
    <row r="7745">
      <c r="A7745" s="311">
        <v>7744</v>
      </c>
      <c r="B7745" s="396" t="s">
        <v>14743</v>
      </c>
      <c r="C7745" s="396" t="s">
        <v>14744</v>
      </c>
      <c r="D7745" s="396" t="s">
        <v>14735</v>
      </c>
      <c r="E7745" s="396" t="s">
        <v>14736</v>
      </c>
      <c r="F7745" s="396" t="s">
        <v>14483</v>
      </c>
    </row>
    <row r="7746">
      <c r="A7746" s="311">
        <v>7745</v>
      </c>
      <c r="B7746" s="396" t="s">
        <v>14745</v>
      </c>
      <c r="C7746" s="396" t="s">
        <v>14746</v>
      </c>
      <c r="D7746" s="396" t="s">
        <v>14735</v>
      </c>
      <c r="E7746" s="396" t="s">
        <v>14736</v>
      </c>
      <c r="F7746" s="396" t="s">
        <v>14483</v>
      </c>
    </row>
    <row r="7747">
      <c r="A7747" s="311">
        <v>7746</v>
      </c>
      <c r="B7747" s="396" t="s">
        <v>14747</v>
      </c>
      <c r="C7747" s="396" t="s">
        <v>14748</v>
      </c>
      <c r="D7747" s="396" t="s">
        <v>14749</v>
      </c>
      <c r="E7747" s="396" t="s">
        <v>14750</v>
      </c>
      <c r="F7747" s="396" t="s">
        <v>14483</v>
      </c>
    </row>
    <row r="7748">
      <c r="A7748" s="311">
        <v>7747</v>
      </c>
      <c r="B7748" s="396" t="s">
        <v>14751</v>
      </c>
      <c r="C7748" s="396" t="s">
        <v>14752</v>
      </c>
      <c r="D7748" s="396" t="s">
        <v>14749</v>
      </c>
      <c r="E7748" s="396" t="s">
        <v>14750</v>
      </c>
      <c r="F7748" s="396" t="s">
        <v>14483</v>
      </c>
    </row>
    <row r="7749">
      <c r="A7749" s="311">
        <v>7748</v>
      </c>
      <c r="B7749" s="396" t="s">
        <v>14753</v>
      </c>
      <c r="C7749" s="396" t="s">
        <v>14754</v>
      </c>
      <c r="D7749" s="396" t="s">
        <v>14749</v>
      </c>
      <c r="E7749" s="396" t="s">
        <v>14750</v>
      </c>
      <c r="F7749" s="396" t="s">
        <v>14483</v>
      </c>
    </row>
    <row r="7750">
      <c r="A7750" s="311">
        <v>7749</v>
      </c>
      <c r="B7750" s="396" t="s">
        <v>14755</v>
      </c>
      <c r="C7750" s="396" t="s">
        <v>14756</v>
      </c>
      <c r="D7750" s="396" t="s">
        <v>14757</v>
      </c>
      <c r="E7750" s="396" t="s">
        <v>14758</v>
      </c>
      <c r="F7750" s="396" t="s">
        <v>14759</v>
      </c>
    </row>
    <row r="7751">
      <c r="A7751" s="311">
        <v>7750</v>
      </c>
      <c r="B7751" s="396" t="s">
        <v>14760</v>
      </c>
      <c r="C7751" s="396" t="s">
        <v>13071</v>
      </c>
      <c r="D7751" s="396" t="s">
        <v>14757</v>
      </c>
      <c r="E7751" s="396" t="s">
        <v>14758</v>
      </c>
      <c r="F7751" s="396" t="s">
        <v>14759</v>
      </c>
    </row>
    <row r="7752">
      <c r="A7752" s="311">
        <v>7751</v>
      </c>
      <c r="B7752" s="396" t="s">
        <v>14761</v>
      </c>
      <c r="C7752" s="396" t="s">
        <v>14762</v>
      </c>
      <c r="D7752" s="396" t="s">
        <v>14757</v>
      </c>
      <c r="E7752" s="396" t="s">
        <v>14758</v>
      </c>
      <c r="F7752" s="396" t="s">
        <v>14759</v>
      </c>
    </row>
    <row r="7753">
      <c r="A7753" s="311">
        <v>7752</v>
      </c>
      <c r="B7753" s="396" t="s">
        <v>14763</v>
      </c>
      <c r="C7753" s="396" t="s">
        <v>14764</v>
      </c>
      <c r="D7753" s="396" t="s">
        <v>14757</v>
      </c>
      <c r="E7753" s="396" t="s">
        <v>14758</v>
      </c>
      <c r="F7753" s="396" t="s">
        <v>14759</v>
      </c>
    </row>
    <row r="7754">
      <c r="A7754" s="311">
        <v>7753</v>
      </c>
      <c r="B7754" s="396" t="s">
        <v>14765</v>
      </c>
      <c r="C7754" s="396" t="s">
        <v>5426</v>
      </c>
      <c r="D7754" s="396" t="s">
        <v>14757</v>
      </c>
      <c r="E7754" s="396" t="s">
        <v>14758</v>
      </c>
      <c r="F7754" s="396" t="s">
        <v>14759</v>
      </c>
    </row>
    <row r="7755">
      <c r="A7755" s="311">
        <v>7754</v>
      </c>
      <c r="B7755" s="396" t="s">
        <v>14766</v>
      </c>
      <c r="C7755" s="396" t="s">
        <v>14767</v>
      </c>
      <c r="D7755" s="396" t="s">
        <v>14757</v>
      </c>
      <c r="E7755" s="396" t="s">
        <v>14758</v>
      </c>
      <c r="F7755" s="396" t="s">
        <v>14759</v>
      </c>
    </row>
    <row r="7756">
      <c r="A7756" s="311">
        <v>7755</v>
      </c>
      <c r="B7756" s="396" t="s">
        <v>14768</v>
      </c>
      <c r="C7756" s="396" t="s">
        <v>14769</v>
      </c>
      <c r="D7756" s="396" t="s">
        <v>14757</v>
      </c>
      <c r="E7756" s="396" t="s">
        <v>14758</v>
      </c>
      <c r="F7756" s="396" t="s">
        <v>14759</v>
      </c>
    </row>
    <row r="7757">
      <c r="A7757" s="311">
        <v>7756</v>
      </c>
      <c r="B7757" s="396" t="s">
        <v>14770</v>
      </c>
      <c r="C7757" s="396" t="s">
        <v>14771</v>
      </c>
      <c r="D7757" s="396" t="s">
        <v>14757</v>
      </c>
      <c r="E7757" s="396" t="s">
        <v>14758</v>
      </c>
      <c r="F7757" s="396" t="s">
        <v>14759</v>
      </c>
    </row>
    <row r="7758">
      <c r="A7758" s="311">
        <v>7757</v>
      </c>
      <c r="B7758" s="396" t="s">
        <v>14772</v>
      </c>
      <c r="C7758" s="396" t="s">
        <v>14773</v>
      </c>
      <c r="D7758" s="396" t="s">
        <v>14757</v>
      </c>
      <c r="E7758" s="396" t="s">
        <v>14758</v>
      </c>
      <c r="F7758" s="396" t="s">
        <v>14759</v>
      </c>
    </row>
    <row r="7759">
      <c r="A7759" s="311">
        <v>7758</v>
      </c>
      <c r="B7759" s="396" t="s">
        <v>14774</v>
      </c>
      <c r="C7759" s="396" t="s">
        <v>14775</v>
      </c>
      <c r="D7759" s="396" t="s">
        <v>14757</v>
      </c>
      <c r="E7759" s="396" t="s">
        <v>14758</v>
      </c>
      <c r="F7759" s="396" t="s">
        <v>14759</v>
      </c>
    </row>
    <row r="7760">
      <c r="A7760" s="311">
        <v>7759</v>
      </c>
      <c r="B7760" s="396" t="s">
        <v>14776</v>
      </c>
      <c r="C7760" s="396" t="s">
        <v>7664</v>
      </c>
      <c r="D7760" s="396" t="s">
        <v>14757</v>
      </c>
      <c r="E7760" s="396" t="s">
        <v>14758</v>
      </c>
      <c r="F7760" s="396" t="s">
        <v>14759</v>
      </c>
    </row>
    <row r="7761">
      <c r="A7761" s="311">
        <v>7760</v>
      </c>
      <c r="B7761" s="396" t="s">
        <v>14777</v>
      </c>
      <c r="C7761" s="396" t="s">
        <v>14778</v>
      </c>
      <c r="D7761" s="396" t="s">
        <v>14757</v>
      </c>
      <c r="E7761" s="396" t="s">
        <v>14758</v>
      </c>
      <c r="F7761" s="396" t="s">
        <v>14759</v>
      </c>
    </row>
    <row r="7762">
      <c r="A7762" s="311">
        <v>7761</v>
      </c>
      <c r="B7762" s="396" t="s">
        <v>14779</v>
      </c>
      <c r="C7762" s="396" t="s">
        <v>14780</v>
      </c>
      <c r="D7762" s="396" t="s">
        <v>14757</v>
      </c>
      <c r="E7762" s="396" t="s">
        <v>14758</v>
      </c>
      <c r="F7762" s="396" t="s">
        <v>14759</v>
      </c>
    </row>
    <row r="7763">
      <c r="A7763" s="311">
        <v>7762</v>
      </c>
      <c r="B7763" s="396" t="s">
        <v>14781</v>
      </c>
      <c r="C7763" s="396" t="s">
        <v>14782</v>
      </c>
      <c r="D7763" s="396" t="s">
        <v>14757</v>
      </c>
      <c r="E7763" s="396" t="s">
        <v>14758</v>
      </c>
      <c r="F7763" s="396" t="s">
        <v>14759</v>
      </c>
    </row>
    <row r="7764">
      <c r="A7764" s="311">
        <v>7763</v>
      </c>
      <c r="B7764" s="396" t="s">
        <v>14783</v>
      </c>
      <c r="C7764" s="396" t="s">
        <v>14784</v>
      </c>
      <c r="D7764" s="396" t="s">
        <v>14757</v>
      </c>
      <c r="E7764" s="396" t="s">
        <v>14758</v>
      </c>
      <c r="F7764" s="396" t="s">
        <v>14759</v>
      </c>
    </row>
    <row r="7765">
      <c r="A7765" s="311">
        <v>7764</v>
      </c>
      <c r="B7765" s="396" t="s">
        <v>14785</v>
      </c>
      <c r="C7765" s="396" t="s">
        <v>14786</v>
      </c>
      <c r="D7765" s="396" t="s">
        <v>14757</v>
      </c>
      <c r="E7765" s="396" t="s">
        <v>14758</v>
      </c>
      <c r="F7765" s="396" t="s">
        <v>14759</v>
      </c>
    </row>
    <row r="7766">
      <c r="A7766" s="311">
        <v>7765</v>
      </c>
      <c r="B7766" s="396" t="s">
        <v>14787</v>
      </c>
      <c r="C7766" s="396" t="s">
        <v>14788</v>
      </c>
      <c r="D7766" s="396" t="s">
        <v>14789</v>
      </c>
      <c r="E7766" s="396" t="s">
        <v>14790</v>
      </c>
      <c r="F7766" s="396" t="s">
        <v>14759</v>
      </c>
    </row>
    <row r="7767">
      <c r="A7767" s="311">
        <v>7766</v>
      </c>
      <c r="B7767" s="396" t="s">
        <v>14791</v>
      </c>
      <c r="C7767" s="396" t="s">
        <v>13384</v>
      </c>
      <c r="D7767" s="396" t="s">
        <v>14789</v>
      </c>
      <c r="E7767" s="396" t="s">
        <v>14790</v>
      </c>
      <c r="F7767" s="396" t="s">
        <v>14759</v>
      </c>
    </row>
    <row r="7768">
      <c r="A7768" s="311">
        <v>7767</v>
      </c>
      <c r="B7768" s="396" t="s">
        <v>14792</v>
      </c>
      <c r="C7768" s="396" t="s">
        <v>14372</v>
      </c>
      <c r="D7768" s="396" t="s">
        <v>14789</v>
      </c>
      <c r="E7768" s="396" t="s">
        <v>14790</v>
      </c>
      <c r="F7768" s="396" t="s">
        <v>14759</v>
      </c>
    </row>
    <row r="7769">
      <c r="A7769" s="311">
        <v>7768</v>
      </c>
      <c r="B7769" s="396" t="s">
        <v>14793</v>
      </c>
      <c r="C7769" s="396" t="s">
        <v>14794</v>
      </c>
      <c r="D7769" s="396" t="s">
        <v>14789</v>
      </c>
      <c r="E7769" s="396" t="s">
        <v>14790</v>
      </c>
      <c r="F7769" s="396" t="s">
        <v>14759</v>
      </c>
    </row>
    <row r="7770">
      <c r="A7770" s="311">
        <v>7769</v>
      </c>
      <c r="B7770" s="396" t="s">
        <v>14795</v>
      </c>
      <c r="C7770" s="396" t="s">
        <v>14232</v>
      </c>
      <c r="D7770" s="396" t="s">
        <v>14789</v>
      </c>
      <c r="E7770" s="396" t="s">
        <v>14790</v>
      </c>
      <c r="F7770" s="396" t="s">
        <v>14759</v>
      </c>
    </row>
    <row r="7771">
      <c r="A7771" s="311">
        <v>7770</v>
      </c>
      <c r="B7771" s="396" t="s">
        <v>14796</v>
      </c>
      <c r="C7771" s="396" t="s">
        <v>13400</v>
      </c>
      <c r="D7771" s="396" t="s">
        <v>14789</v>
      </c>
      <c r="E7771" s="396" t="s">
        <v>14790</v>
      </c>
      <c r="F7771" s="396" t="s">
        <v>14759</v>
      </c>
    </row>
    <row r="7772">
      <c r="A7772" s="311">
        <v>7771</v>
      </c>
      <c r="B7772" s="396" t="s">
        <v>14797</v>
      </c>
      <c r="C7772" s="396" t="s">
        <v>14798</v>
      </c>
      <c r="D7772" s="396" t="s">
        <v>14789</v>
      </c>
      <c r="E7772" s="396" t="s">
        <v>14790</v>
      </c>
      <c r="F7772" s="396" t="s">
        <v>14759</v>
      </c>
    </row>
    <row r="7773">
      <c r="A7773" s="311">
        <v>7772</v>
      </c>
      <c r="B7773" s="396" t="s">
        <v>14799</v>
      </c>
      <c r="C7773" s="396" t="s">
        <v>14800</v>
      </c>
      <c r="D7773" s="396" t="s">
        <v>14789</v>
      </c>
      <c r="E7773" s="396" t="s">
        <v>14790</v>
      </c>
      <c r="F7773" s="396" t="s">
        <v>14759</v>
      </c>
    </row>
    <row r="7774">
      <c r="A7774" s="311">
        <v>7773</v>
      </c>
      <c r="B7774" s="396" t="s">
        <v>14801</v>
      </c>
      <c r="C7774" s="396" t="s">
        <v>14802</v>
      </c>
      <c r="D7774" s="396" t="s">
        <v>14789</v>
      </c>
      <c r="E7774" s="396" t="s">
        <v>14790</v>
      </c>
      <c r="F7774" s="396" t="s">
        <v>14759</v>
      </c>
    </row>
    <row r="7775">
      <c r="A7775" s="311">
        <v>7774</v>
      </c>
      <c r="B7775" s="396" t="s">
        <v>14803</v>
      </c>
      <c r="C7775" s="396" t="s">
        <v>14804</v>
      </c>
      <c r="D7775" s="396" t="s">
        <v>14805</v>
      </c>
      <c r="E7775" s="396" t="s">
        <v>14806</v>
      </c>
      <c r="F7775" s="396" t="s">
        <v>14759</v>
      </c>
    </row>
    <row r="7776">
      <c r="A7776" s="311">
        <v>7775</v>
      </c>
      <c r="B7776" s="396" t="s">
        <v>14807</v>
      </c>
      <c r="C7776" s="396" t="s">
        <v>4258</v>
      </c>
      <c r="D7776" s="396" t="s">
        <v>14805</v>
      </c>
      <c r="E7776" s="396" t="s">
        <v>14806</v>
      </c>
      <c r="F7776" s="396" t="s">
        <v>14759</v>
      </c>
    </row>
    <row r="7777">
      <c r="A7777" s="311">
        <v>7776</v>
      </c>
      <c r="B7777" s="396" t="s">
        <v>14808</v>
      </c>
      <c r="C7777" s="396" t="s">
        <v>2803</v>
      </c>
      <c r="D7777" s="396" t="s">
        <v>14805</v>
      </c>
      <c r="E7777" s="396" t="s">
        <v>14806</v>
      </c>
      <c r="F7777" s="396" t="s">
        <v>14759</v>
      </c>
    </row>
    <row r="7778">
      <c r="A7778" s="311">
        <v>7777</v>
      </c>
      <c r="B7778" s="396" t="s">
        <v>14809</v>
      </c>
      <c r="C7778" s="396" t="s">
        <v>5511</v>
      </c>
      <c r="D7778" s="396" t="s">
        <v>14805</v>
      </c>
      <c r="E7778" s="396" t="s">
        <v>14806</v>
      </c>
      <c r="F7778" s="396" t="s">
        <v>14759</v>
      </c>
    </row>
    <row r="7779">
      <c r="A7779" s="311">
        <v>7778</v>
      </c>
      <c r="B7779" s="396" t="s">
        <v>14810</v>
      </c>
      <c r="C7779" s="396" t="s">
        <v>11412</v>
      </c>
      <c r="D7779" s="396" t="s">
        <v>14805</v>
      </c>
      <c r="E7779" s="396" t="s">
        <v>14806</v>
      </c>
      <c r="F7779" s="396" t="s">
        <v>14759</v>
      </c>
    </row>
    <row r="7780">
      <c r="A7780" s="311">
        <v>7779</v>
      </c>
      <c r="B7780" s="396" t="s">
        <v>14811</v>
      </c>
      <c r="C7780" s="396" t="s">
        <v>4260</v>
      </c>
      <c r="D7780" s="396" t="s">
        <v>14805</v>
      </c>
      <c r="E7780" s="396" t="s">
        <v>14806</v>
      </c>
      <c r="F7780" s="396" t="s">
        <v>14759</v>
      </c>
    </row>
    <row r="7781">
      <c r="A7781" s="311">
        <v>7780</v>
      </c>
      <c r="B7781" s="396" t="s">
        <v>14812</v>
      </c>
      <c r="C7781" s="396" t="s">
        <v>14813</v>
      </c>
      <c r="D7781" s="396" t="s">
        <v>14805</v>
      </c>
      <c r="E7781" s="396" t="s">
        <v>14806</v>
      </c>
      <c r="F7781" s="396" t="s">
        <v>14759</v>
      </c>
    </row>
    <row r="7782">
      <c r="A7782" s="311">
        <v>7781</v>
      </c>
      <c r="B7782" s="396" t="s">
        <v>14814</v>
      </c>
      <c r="C7782" s="396" t="s">
        <v>14815</v>
      </c>
      <c r="D7782" s="396" t="s">
        <v>14805</v>
      </c>
      <c r="E7782" s="396" t="s">
        <v>14806</v>
      </c>
      <c r="F7782" s="396" t="s">
        <v>14759</v>
      </c>
    </row>
    <row r="7783">
      <c r="A7783" s="311">
        <v>7782</v>
      </c>
      <c r="B7783" s="396" t="s">
        <v>14816</v>
      </c>
      <c r="C7783" s="396" t="s">
        <v>14817</v>
      </c>
      <c r="D7783" s="396" t="s">
        <v>14818</v>
      </c>
      <c r="E7783" s="396" t="s">
        <v>14819</v>
      </c>
      <c r="F7783" s="396" t="s">
        <v>14759</v>
      </c>
    </row>
    <row r="7784">
      <c r="A7784" s="311">
        <v>7783</v>
      </c>
      <c r="B7784" s="396" t="s">
        <v>14820</v>
      </c>
      <c r="C7784" s="396" t="s">
        <v>14821</v>
      </c>
      <c r="D7784" s="396" t="s">
        <v>14818</v>
      </c>
      <c r="E7784" s="396" t="s">
        <v>14819</v>
      </c>
      <c r="F7784" s="396" t="s">
        <v>14759</v>
      </c>
    </row>
    <row r="7785">
      <c r="A7785" s="311">
        <v>7784</v>
      </c>
      <c r="B7785" s="396" t="s">
        <v>14822</v>
      </c>
      <c r="C7785" s="396" t="s">
        <v>14823</v>
      </c>
      <c r="D7785" s="396" t="s">
        <v>14818</v>
      </c>
      <c r="E7785" s="396" t="s">
        <v>14819</v>
      </c>
      <c r="F7785" s="396" t="s">
        <v>14759</v>
      </c>
    </row>
    <row r="7786">
      <c r="A7786" s="311">
        <v>7785</v>
      </c>
      <c r="B7786" s="396" t="s">
        <v>14824</v>
      </c>
      <c r="C7786" s="396" t="s">
        <v>14825</v>
      </c>
      <c r="D7786" s="396" t="s">
        <v>14818</v>
      </c>
      <c r="E7786" s="396" t="s">
        <v>14819</v>
      </c>
      <c r="F7786" s="396" t="s">
        <v>14759</v>
      </c>
    </row>
    <row r="7787">
      <c r="A7787" s="311">
        <v>7786</v>
      </c>
      <c r="B7787" s="396" t="s">
        <v>14826</v>
      </c>
      <c r="C7787" s="396" t="s">
        <v>11834</v>
      </c>
      <c r="D7787" s="396" t="s">
        <v>14818</v>
      </c>
      <c r="E7787" s="396" t="s">
        <v>14819</v>
      </c>
      <c r="F7787" s="396" t="s">
        <v>14759</v>
      </c>
    </row>
    <row r="7788">
      <c r="A7788" s="311">
        <v>7787</v>
      </c>
      <c r="B7788" s="396" t="s">
        <v>14827</v>
      </c>
      <c r="C7788" s="396" t="s">
        <v>14828</v>
      </c>
      <c r="D7788" s="396" t="s">
        <v>14818</v>
      </c>
      <c r="E7788" s="396" t="s">
        <v>14819</v>
      </c>
      <c r="F7788" s="396" t="s">
        <v>14759</v>
      </c>
    </row>
    <row r="7789">
      <c r="A7789" s="311">
        <v>7788</v>
      </c>
      <c r="B7789" s="396" t="s">
        <v>14829</v>
      </c>
      <c r="C7789" s="396" t="s">
        <v>14830</v>
      </c>
      <c r="D7789" s="396" t="s">
        <v>14818</v>
      </c>
      <c r="E7789" s="396" t="s">
        <v>14819</v>
      </c>
      <c r="F7789" s="396" t="s">
        <v>14759</v>
      </c>
    </row>
    <row r="7790">
      <c r="A7790" s="311">
        <v>7789</v>
      </c>
      <c r="B7790" s="396" t="s">
        <v>14831</v>
      </c>
      <c r="C7790" s="396" t="s">
        <v>13996</v>
      </c>
      <c r="D7790" s="396" t="s">
        <v>14818</v>
      </c>
      <c r="E7790" s="396" t="s">
        <v>14819</v>
      </c>
      <c r="F7790" s="396" t="s">
        <v>14759</v>
      </c>
    </row>
    <row r="7791">
      <c r="A7791" s="311">
        <v>7790</v>
      </c>
      <c r="B7791" s="396" t="s">
        <v>14832</v>
      </c>
      <c r="C7791" s="396" t="s">
        <v>5899</v>
      </c>
      <c r="D7791" s="396" t="s">
        <v>14818</v>
      </c>
      <c r="E7791" s="396" t="s">
        <v>14819</v>
      </c>
      <c r="F7791" s="396" t="s">
        <v>14759</v>
      </c>
    </row>
    <row r="7792">
      <c r="A7792" s="311">
        <v>7791</v>
      </c>
      <c r="B7792" s="396" t="s">
        <v>14833</v>
      </c>
      <c r="C7792" s="396" t="s">
        <v>14834</v>
      </c>
      <c r="D7792" s="396" t="s">
        <v>14835</v>
      </c>
      <c r="E7792" s="396" t="s">
        <v>14836</v>
      </c>
      <c r="F7792" s="396" t="s">
        <v>14759</v>
      </c>
    </row>
    <row r="7793">
      <c r="A7793" s="311">
        <v>7792</v>
      </c>
      <c r="B7793" s="396" t="s">
        <v>14837</v>
      </c>
      <c r="C7793" s="396" t="s">
        <v>14239</v>
      </c>
      <c r="D7793" s="396" t="s">
        <v>14835</v>
      </c>
      <c r="E7793" s="396" t="s">
        <v>14836</v>
      </c>
      <c r="F7793" s="396" t="s">
        <v>14759</v>
      </c>
    </row>
    <row r="7794">
      <c r="A7794" s="311">
        <v>7793</v>
      </c>
      <c r="B7794" s="396" t="s">
        <v>14838</v>
      </c>
      <c r="C7794" s="396" t="s">
        <v>14839</v>
      </c>
      <c r="D7794" s="396" t="s">
        <v>14835</v>
      </c>
      <c r="E7794" s="396" t="s">
        <v>14836</v>
      </c>
      <c r="F7794" s="396" t="s">
        <v>14759</v>
      </c>
    </row>
    <row r="7795">
      <c r="A7795" s="311">
        <v>7794</v>
      </c>
      <c r="B7795" s="396" t="s">
        <v>14840</v>
      </c>
      <c r="C7795" s="396" t="s">
        <v>14841</v>
      </c>
      <c r="D7795" s="396" t="s">
        <v>14835</v>
      </c>
      <c r="E7795" s="396" t="s">
        <v>14836</v>
      </c>
      <c r="F7795" s="396" t="s">
        <v>14759</v>
      </c>
    </row>
    <row r="7796">
      <c r="A7796" s="311">
        <v>7795</v>
      </c>
      <c r="B7796" s="396" t="s">
        <v>14842</v>
      </c>
      <c r="C7796" s="396" t="s">
        <v>14245</v>
      </c>
      <c r="D7796" s="396" t="s">
        <v>14835</v>
      </c>
      <c r="E7796" s="396" t="s">
        <v>14836</v>
      </c>
      <c r="F7796" s="396" t="s">
        <v>14759</v>
      </c>
    </row>
    <row r="7797">
      <c r="A7797" s="311">
        <v>7796</v>
      </c>
      <c r="B7797" s="396" t="s">
        <v>14843</v>
      </c>
      <c r="C7797" s="396" t="s">
        <v>13961</v>
      </c>
      <c r="D7797" s="396" t="s">
        <v>14835</v>
      </c>
      <c r="E7797" s="396" t="s">
        <v>14836</v>
      </c>
      <c r="F7797" s="396" t="s">
        <v>14759</v>
      </c>
    </row>
    <row r="7798">
      <c r="A7798" s="311">
        <v>7797</v>
      </c>
      <c r="B7798" s="396" t="s">
        <v>14844</v>
      </c>
      <c r="C7798" s="396" t="s">
        <v>14845</v>
      </c>
      <c r="D7798" s="396" t="s">
        <v>14835</v>
      </c>
      <c r="E7798" s="396" t="s">
        <v>14836</v>
      </c>
      <c r="F7798" s="396" t="s">
        <v>14759</v>
      </c>
    </row>
    <row r="7799">
      <c r="A7799" s="311">
        <v>7798</v>
      </c>
      <c r="B7799" s="396" t="s">
        <v>14846</v>
      </c>
      <c r="C7799" s="396" t="s">
        <v>14847</v>
      </c>
      <c r="D7799" s="396" t="s">
        <v>14835</v>
      </c>
      <c r="E7799" s="396" t="s">
        <v>14836</v>
      </c>
      <c r="F7799" s="396" t="s">
        <v>14759</v>
      </c>
    </row>
    <row r="7800">
      <c r="A7800" s="311">
        <v>7799</v>
      </c>
      <c r="B7800" s="396" t="s">
        <v>14848</v>
      </c>
      <c r="C7800" s="396" t="s">
        <v>14849</v>
      </c>
      <c r="D7800" s="396" t="s">
        <v>14835</v>
      </c>
      <c r="E7800" s="396" t="s">
        <v>14836</v>
      </c>
      <c r="F7800" s="396" t="s">
        <v>14759</v>
      </c>
    </row>
    <row r="7801">
      <c r="A7801" s="311">
        <v>7800</v>
      </c>
      <c r="B7801" s="396" t="s">
        <v>14850</v>
      </c>
      <c r="C7801" s="396" t="s">
        <v>14851</v>
      </c>
      <c r="D7801" s="396" t="s">
        <v>14852</v>
      </c>
      <c r="E7801" s="396" t="s">
        <v>14853</v>
      </c>
      <c r="F7801" s="396" t="s">
        <v>14759</v>
      </c>
    </row>
    <row r="7802">
      <c r="A7802" s="311">
        <v>7801</v>
      </c>
      <c r="B7802" s="396" t="s">
        <v>14854</v>
      </c>
      <c r="C7802" s="396" t="s">
        <v>14855</v>
      </c>
      <c r="D7802" s="396" t="s">
        <v>14852</v>
      </c>
      <c r="E7802" s="396" t="s">
        <v>14853</v>
      </c>
      <c r="F7802" s="396" t="s">
        <v>14759</v>
      </c>
    </row>
    <row r="7803">
      <c r="A7803" s="311">
        <v>7802</v>
      </c>
      <c r="B7803" s="396" t="s">
        <v>14856</v>
      </c>
      <c r="C7803" s="396" t="s">
        <v>14857</v>
      </c>
      <c r="D7803" s="396" t="s">
        <v>14852</v>
      </c>
      <c r="E7803" s="396" t="s">
        <v>14853</v>
      </c>
      <c r="F7803" s="396" t="s">
        <v>14759</v>
      </c>
    </row>
    <row r="7804">
      <c r="A7804" s="311">
        <v>7803</v>
      </c>
      <c r="B7804" s="396" t="s">
        <v>14858</v>
      </c>
      <c r="C7804" s="396" t="s">
        <v>14859</v>
      </c>
      <c r="D7804" s="396" t="s">
        <v>14852</v>
      </c>
      <c r="E7804" s="396" t="s">
        <v>14853</v>
      </c>
      <c r="F7804" s="396" t="s">
        <v>14759</v>
      </c>
    </row>
    <row r="7805">
      <c r="A7805" s="311">
        <v>7804</v>
      </c>
      <c r="B7805" s="396" t="s">
        <v>14860</v>
      </c>
      <c r="C7805" s="396" t="s">
        <v>286</v>
      </c>
      <c r="D7805" s="396" t="s">
        <v>14852</v>
      </c>
      <c r="E7805" s="396" t="s">
        <v>14853</v>
      </c>
      <c r="F7805" s="396" t="s">
        <v>14759</v>
      </c>
    </row>
    <row r="7806">
      <c r="A7806" s="311">
        <v>7805</v>
      </c>
      <c r="B7806" s="396" t="s">
        <v>14861</v>
      </c>
      <c r="C7806" s="396" t="s">
        <v>3625</v>
      </c>
      <c r="D7806" s="396" t="s">
        <v>14852</v>
      </c>
      <c r="E7806" s="396" t="s">
        <v>14853</v>
      </c>
      <c r="F7806" s="396" t="s">
        <v>14759</v>
      </c>
    </row>
    <row r="7807">
      <c r="A7807" s="311">
        <v>7806</v>
      </c>
      <c r="B7807" s="396" t="s">
        <v>14862</v>
      </c>
      <c r="C7807" s="396" t="s">
        <v>14863</v>
      </c>
      <c r="D7807" s="396" t="s">
        <v>14864</v>
      </c>
      <c r="E7807" s="396" t="s">
        <v>14865</v>
      </c>
      <c r="F7807" s="396" t="s">
        <v>14759</v>
      </c>
    </row>
    <row r="7808">
      <c r="A7808" s="311">
        <v>7807</v>
      </c>
      <c r="B7808" s="396" t="s">
        <v>14866</v>
      </c>
      <c r="C7808" s="396" t="s">
        <v>14867</v>
      </c>
      <c r="D7808" s="396" t="s">
        <v>14864</v>
      </c>
      <c r="E7808" s="396" t="s">
        <v>14865</v>
      </c>
      <c r="F7808" s="396" t="s">
        <v>14759</v>
      </c>
    </row>
    <row r="7809">
      <c r="A7809" s="311">
        <v>7808</v>
      </c>
      <c r="B7809" s="396" t="s">
        <v>14868</v>
      </c>
      <c r="C7809" s="396" t="s">
        <v>13603</v>
      </c>
      <c r="D7809" s="396" t="s">
        <v>14864</v>
      </c>
      <c r="E7809" s="396" t="s">
        <v>14865</v>
      </c>
      <c r="F7809" s="396" t="s">
        <v>14759</v>
      </c>
    </row>
    <row r="7810">
      <c r="A7810" s="311">
        <v>7809</v>
      </c>
      <c r="B7810" s="396" t="s">
        <v>14869</v>
      </c>
      <c r="C7810" s="396" t="s">
        <v>14870</v>
      </c>
      <c r="D7810" s="396" t="s">
        <v>14864</v>
      </c>
      <c r="E7810" s="396" t="s">
        <v>14865</v>
      </c>
      <c r="F7810" s="396" t="s">
        <v>14759</v>
      </c>
    </row>
    <row r="7811">
      <c r="A7811" s="311">
        <v>7810</v>
      </c>
      <c r="B7811" s="396" t="s">
        <v>14871</v>
      </c>
      <c r="C7811" s="396" t="s">
        <v>14872</v>
      </c>
      <c r="D7811" s="396" t="s">
        <v>14864</v>
      </c>
      <c r="E7811" s="396" t="s">
        <v>14865</v>
      </c>
      <c r="F7811" s="396" t="s">
        <v>14759</v>
      </c>
    </row>
    <row r="7812">
      <c r="A7812" s="311">
        <v>7811</v>
      </c>
      <c r="B7812" s="396" t="s">
        <v>14873</v>
      </c>
      <c r="C7812" s="396" t="s">
        <v>14874</v>
      </c>
      <c r="D7812" s="396" t="s">
        <v>14864</v>
      </c>
      <c r="E7812" s="396" t="s">
        <v>14865</v>
      </c>
      <c r="F7812" s="396" t="s">
        <v>14759</v>
      </c>
    </row>
    <row r="7813">
      <c r="A7813" s="311">
        <v>7812</v>
      </c>
      <c r="B7813" s="396" t="s">
        <v>14875</v>
      </c>
      <c r="C7813" s="396" t="s">
        <v>14876</v>
      </c>
      <c r="D7813" s="396" t="s">
        <v>14864</v>
      </c>
      <c r="E7813" s="396" t="s">
        <v>14865</v>
      </c>
      <c r="F7813" s="396" t="s">
        <v>14759</v>
      </c>
    </row>
    <row r="7814">
      <c r="A7814" s="311">
        <v>7813</v>
      </c>
      <c r="B7814" s="396" t="s">
        <v>14877</v>
      </c>
      <c r="C7814" s="396" t="s">
        <v>14878</v>
      </c>
      <c r="D7814" s="396" t="s">
        <v>14864</v>
      </c>
      <c r="E7814" s="396" t="s">
        <v>14865</v>
      </c>
      <c r="F7814" s="396" t="s">
        <v>14759</v>
      </c>
    </row>
    <row r="7815">
      <c r="A7815" s="311">
        <v>7814</v>
      </c>
      <c r="B7815" s="396" t="s">
        <v>14879</v>
      </c>
      <c r="C7815" s="396" t="s">
        <v>14880</v>
      </c>
      <c r="D7815" s="396" t="s">
        <v>14881</v>
      </c>
      <c r="E7815" s="396" t="s">
        <v>14882</v>
      </c>
      <c r="F7815" s="396" t="s">
        <v>14883</v>
      </c>
    </row>
    <row r="7816">
      <c r="A7816" s="311">
        <v>7815</v>
      </c>
      <c r="B7816" s="396" t="s">
        <v>14884</v>
      </c>
      <c r="C7816" s="396" t="s">
        <v>14885</v>
      </c>
      <c r="D7816" s="396" t="s">
        <v>14881</v>
      </c>
      <c r="E7816" s="396" t="s">
        <v>14882</v>
      </c>
      <c r="F7816" s="396" t="s">
        <v>14883</v>
      </c>
    </row>
    <row r="7817">
      <c r="A7817" s="311">
        <v>7816</v>
      </c>
      <c r="B7817" s="396" t="s">
        <v>14886</v>
      </c>
      <c r="C7817" s="396" t="s">
        <v>14887</v>
      </c>
      <c r="D7817" s="396" t="s">
        <v>14881</v>
      </c>
      <c r="E7817" s="396" t="s">
        <v>14882</v>
      </c>
      <c r="F7817" s="396" t="s">
        <v>14883</v>
      </c>
    </row>
    <row r="7818">
      <c r="A7818" s="311">
        <v>7817</v>
      </c>
      <c r="B7818" s="396" t="s">
        <v>14888</v>
      </c>
      <c r="C7818" s="396" t="s">
        <v>14889</v>
      </c>
      <c r="D7818" s="396" t="s">
        <v>14881</v>
      </c>
      <c r="E7818" s="396" t="s">
        <v>14882</v>
      </c>
      <c r="F7818" s="396" t="s">
        <v>14883</v>
      </c>
    </row>
    <row r="7819">
      <c r="A7819" s="311">
        <v>7818</v>
      </c>
      <c r="B7819" s="396" t="s">
        <v>14890</v>
      </c>
      <c r="C7819" s="396" t="s">
        <v>14891</v>
      </c>
      <c r="D7819" s="396" t="s">
        <v>14881</v>
      </c>
      <c r="E7819" s="396" t="s">
        <v>14882</v>
      </c>
      <c r="F7819" s="396" t="s">
        <v>14883</v>
      </c>
    </row>
    <row r="7820">
      <c r="A7820" s="311">
        <v>7819</v>
      </c>
      <c r="B7820" s="396" t="s">
        <v>14892</v>
      </c>
      <c r="C7820" s="396" t="s">
        <v>14893</v>
      </c>
      <c r="D7820" s="396" t="s">
        <v>14881</v>
      </c>
      <c r="E7820" s="396" t="s">
        <v>14882</v>
      </c>
      <c r="F7820" s="396" t="s">
        <v>14883</v>
      </c>
    </row>
    <row r="7821">
      <c r="A7821" s="311">
        <v>7820</v>
      </c>
      <c r="B7821" s="396" t="s">
        <v>14894</v>
      </c>
      <c r="C7821" s="396" t="s">
        <v>14895</v>
      </c>
      <c r="D7821" s="396" t="s">
        <v>14881</v>
      </c>
      <c r="E7821" s="396" t="s">
        <v>14882</v>
      </c>
      <c r="F7821" s="396" t="s">
        <v>14883</v>
      </c>
    </row>
    <row r="7822">
      <c r="A7822" s="311">
        <v>7821</v>
      </c>
      <c r="B7822" s="396" t="s">
        <v>14896</v>
      </c>
      <c r="C7822" s="396" t="s">
        <v>14897</v>
      </c>
      <c r="D7822" s="396" t="s">
        <v>14881</v>
      </c>
      <c r="E7822" s="396" t="s">
        <v>14882</v>
      </c>
      <c r="F7822" s="396" t="s">
        <v>14883</v>
      </c>
    </row>
    <row r="7823">
      <c r="A7823" s="311">
        <v>7822</v>
      </c>
      <c r="B7823" s="396" t="s">
        <v>14898</v>
      </c>
      <c r="C7823" s="396" t="s">
        <v>14899</v>
      </c>
      <c r="D7823" s="396" t="s">
        <v>14881</v>
      </c>
      <c r="E7823" s="396" t="s">
        <v>14882</v>
      </c>
      <c r="F7823" s="396" t="s">
        <v>14883</v>
      </c>
    </row>
    <row r="7824">
      <c r="A7824" s="311">
        <v>7823</v>
      </c>
      <c r="B7824" s="396" t="s">
        <v>14900</v>
      </c>
      <c r="C7824" s="396" t="s">
        <v>14901</v>
      </c>
      <c r="D7824" s="396" t="s">
        <v>14881</v>
      </c>
      <c r="E7824" s="396" t="s">
        <v>14882</v>
      </c>
      <c r="F7824" s="396" t="s">
        <v>14883</v>
      </c>
    </row>
    <row r="7825">
      <c r="A7825" s="311">
        <v>7824</v>
      </c>
      <c r="B7825" s="396" t="s">
        <v>14902</v>
      </c>
      <c r="C7825" s="396" t="s">
        <v>14903</v>
      </c>
      <c r="D7825" s="396" t="s">
        <v>14881</v>
      </c>
      <c r="E7825" s="396" t="s">
        <v>14882</v>
      </c>
      <c r="F7825" s="396" t="s">
        <v>14883</v>
      </c>
    </row>
    <row r="7826">
      <c r="A7826" s="311">
        <v>7825</v>
      </c>
      <c r="B7826" s="396" t="s">
        <v>14904</v>
      </c>
      <c r="C7826" s="396" t="s">
        <v>496</v>
      </c>
      <c r="D7826" s="396" t="s">
        <v>14881</v>
      </c>
      <c r="E7826" s="396" t="s">
        <v>14882</v>
      </c>
      <c r="F7826" s="396" t="s">
        <v>14883</v>
      </c>
    </row>
    <row r="7827">
      <c r="A7827" s="311">
        <v>7826</v>
      </c>
      <c r="B7827" s="396" t="s">
        <v>14905</v>
      </c>
      <c r="C7827" s="396" t="s">
        <v>14906</v>
      </c>
      <c r="D7827" s="396" t="s">
        <v>14881</v>
      </c>
      <c r="E7827" s="396" t="s">
        <v>14882</v>
      </c>
      <c r="F7827" s="396" t="s">
        <v>14883</v>
      </c>
    </row>
    <row r="7828">
      <c r="A7828" s="311">
        <v>7827</v>
      </c>
      <c r="B7828" s="396" t="s">
        <v>14907</v>
      </c>
      <c r="C7828" s="396" t="s">
        <v>14908</v>
      </c>
      <c r="D7828" s="396" t="s">
        <v>14881</v>
      </c>
      <c r="E7828" s="396" t="s">
        <v>14882</v>
      </c>
      <c r="F7828" s="396" t="s">
        <v>14883</v>
      </c>
    </row>
    <row r="7829">
      <c r="A7829" s="311">
        <v>7828</v>
      </c>
      <c r="B7829" s="396" t="s">
        <v>14909</v>
      </c>
      <c r="C7829" s="396" t="s">
        <v>14910</v>
      </c>
      <c r="D7829" s="396" t="s">
        <v>14881</v>
      </c>
      <c r="E7829" s="396" t="s">
        <v>14882</v>
      </c>
      <c r="F7829" s="396" t="s">
        <v>14883</v>
      </c>
    </row>
    <row r="7830">
      <c r="A7830" s="311">
        <v>7829</v>
      </c>
      <c r="B7830" s="396" t="s">
        <v>14911</v>
      </c>
      <c r="C7830" s="396" t="s">
        <v>14912</v>
      </c>
      <c r="D7830" s="396" t="s">
        <v>14881</v>
      </c>
      <c r="E7830" s="396" t="s">
        <v>14882</v>
      </c>
      <c r="F7830" s="396" t="s">
        <v>14883</v>
      </c>
    </row>
    <row r="7831">
      <c r="A7831" s="311">
        <v>7830</v>
      </c>
      <c r="B7831" s="396" t="s">
        <v>14913</v>
      </c>
      <c r="C7831" s="396" t="s">
        <v>14914</v>
      </c>
      <c r="D7831" s="396" t="s">
        <v>14881</v>
      </c>
      <c r="E7831" s="396" t="s">
        <v>14882</v>
      </c>
      <c r="F7831" s="396" t="s">
        <v>14883</v>
      </c>
    </row>
    <row r="7832">
      <c r="A7832" s="311">
        <v>7831</v>
      </c>
      <c r="B7832" s="396" t="s">
        <v>14915</v>
      </c>
      <c r="C7832" s="396" t="s">
        <v>11305</v>
      </c>
      <c r="D7832" s="396" t="s">
        <v>14881</v>
      </c>
      <c r="E7832" s="396" t="s">
        <v>14882</v>
      </c>
      <c r="F7832" s="396" t="s">
        <v>14883</v>
      </c>
    </row>
    <row r="7833">
      <c r="A7833" s="311">
        <v>7832</v>
      </c>
      <c r="B7833" s="396" t="s">
        <v>14916</v>
      </c>
      <c r="C7833" s="396" t="s">
        <v>14917</v>
      </c>
      <c r="D7833" s="396" t="s">
        <v>14918</v>
      </c>
      <c r="E7833" s="396" t="s">
        <v>14919</v>
      </c>
      <c r="F7833" s="396" t="s">
        <v>14883</v>
      </c>
    </row>
    <row r="7834">
      <c r="A7834" s="311">
        <v>7833</v>
      </c>
      <c r="B7834" s="396" t="s">
        <v>14920</v>
      </c>
      <c r="C7834" s="396" t="s">
        <v>14921</v>
      </c>
      <c r="D7834" s="396" t="s">
        <v>14918</v>
      </c>
      <c r="E7834" s="396" t="s">
        <v>14919</v>
      </c>
      <c r="F7834" s="396" t="s">
        <v>14883</v>
      </c>
    </row>
    <row r="7835">
      <c r="A7835" s="311">
        <v>7834</v>
      </c>
      <c r="B7835" s="396" t="s">
        <v>14922</v>
      </c>
      <c r="C7835" s="396" t="s">
        <v>14923</v>
      </c>
      <c r="D7835" s="396" t="s">
        <v>14918</v>
      </c>
      <c r="E7835" s="396" t="s">
        <v>14919</v>
      </c>
      <c r="F7835" s="396" t="s">
        <v>14883</v>
      </c>
    </row>
    <row r="7836">
      <c r="A7836" s="311">
        <v>7835</v>
      </c>
      <c r="B7836" s="396" t="s">
        <v>14924</v>
      </c>
      <c r="C7836" s="396" t="s">
        <v>3855</v>
      </c>
      <c r="D7836" s="396" t="s">
        <v>14918</v>
      </c>
      <c r="E7836" s="396" t="s">
        <v>14919</v>
      </c>
      <c r="F7836" s="396" t="s">
        <v>14883</v>
      </c>
    </row>
    <row r="7837">
      <c r="A7837" s="311">
        <v>7836</v>
      </c>
      <c r="B7837" s="396" t="s">
        <v>14925</v>
      </c>
      <c r="C7837" s="396" t="s">
        <v>14926</v>
      </c>
      <c r="D7837" s="396" t="s">
        <v>14918</v>
      </c>
      <c r="E7837" s="396" t="s">
        <v>14919</v>
      </c>
      <c r="F7837" s="396" t="s">
        <v>14883</v>
      </c>
    </row>
    <row r="7838">
      <c r="A7838" s="311">
        <v>7837</v>
      </c>
      <c r="B7838" s="396" t="s">
        <v>14927</v>
      </c>
      <c r="C7838" s="396" t="s">
        <v>14825</v>
      </c>
      <c r="D7838" s="396" t="s">
        <v>14918</v>
      </c>
      <c r="E7838" s="396" t="s">
        <v>14919</v>
      </c>
      <c r="F7838" s="396" t="s">
        <v>14883</v>
      </c>
    </row>
    <row r="7839">
      <c r="A7839" s="311">
        <v>7838</v>
      </c>
      <c r="B7839" s="396" t="s">
        <v>14928</v>
      </c>
      <c r="C7839" s="396" t="s">
        <v>926</v>
      </c>
      <c r="D7839" s="396" t="s">
        <v>14918</v>
      </c>
      <c r="E7839" s="396" t="s">
        <v>14919</v>
      </c>
      <c r="F7839" s="396" t="s">
        <v>14883</v>
      </c>
    </row>
    <row r="7840">
      <c r="A7840" s="311">
        <v>7839</v>
      </c>
      <c r="B7840" s="396" t="s">
        <v>14929</v>
      </c>
      <c r="C7840" s="396" t="s">
        <v>5492</v>
      </c>
      <c r="D7840" s="396" t="s">
        <v>14918</v>
      </c>
      <c r="E7840" s="396" t="s">
        <v>14919</v>
      </c>
      <c r="F7840" s="396" t="s">
        <v>14883</v>
      </c>
    </row>
    <row r="7841">
      <c r="A7841" s="311">
        <v>7840</v>
      </c>
      <c r="B7841" s="396" t="s">
        <v>14930</v>
      </c>
      <c r="C7841" s="396" t="s">
        <v>14931</v>
      </c>
      <c r="D7841" s="396" t="s">
        <v>14918</v>
      </c>
      <c r="E7841" s="396" t="s">
        <v>14919</v>
      </c>
      <c r="F7841" s="396" t="s">
        <v>14883</v>
      </c>
    </row>
    <row r="7842">
      <c r="A7842" s="311">
        <v>7841</v>
      </c>
      <c r="B7842" s="396" t="s">
        <v>14932</v>
      </c>
      <c r="C7842" s="396" t="s">
        <v>14933</v>
      </c>
      <c r="D7842" s="396" t="s">
        <v>14934</v>
      </c>
      <c r="E7842" s="396" t="s">
        <v>14935</v>
      </c>
      <c r="F7842" s="396" t="s">
        <v>14883</v>
      </c>
    </row>
    <row r="7843">
      <c r="A7843" s="311">
        <v>7842</v>
      </c>
      <c r="B7843" s="396" t="s">
        <v>14936</v>
      </c>
      <c r="C7843" s="396" t="s">
        <v>14937</v>
      </c>
      <c r="D7843" s="396" t="s">
        <v>14934</v>
      </c>
      <c r="E7843" s="396" t="s">
        <v>14935</v>
      </c>
      <c r="F7843" s="396" t="s">
        <v>14883</v>
      </c>
    </row>
    <row r="7844">
      <c r="A7844" s="311">
        <v>7843</v>
      </c>
      <c r="B7844" s="396" t="s">
        <v>14938</v>
      </c>
      <c r="C7844" s="396" t="s">
        <v>14939</v>
      </c>
      <c r="D7844" s="396" t="s">
        <v>14934</v>
      </c>
      <c r="E7844" s="396" t="s">
        <v>14935</v>
      </c>
      <c r="F7844" s="396" t="s">
        <v>14883</v>
      </c>
    </row>
    <row r="7845">
      <c r="A7845" s="311">
        <v>7844</v>
      </c>
      <c r="B7845" s="396" t="s">
        <v>14940</v>
      </c>
      <c r="C7845" s="396" t="s">
        <v>4380</v>
      </c>
      <c r="D7845" s="396" t="s">
        <v>14934</v>
      </c>
      <c r="E7845" s="396" t="s">
        <v>14935</v>
      </c>
      <c r="F7845" s="396" t="s">
        <v>14883</v>
      </c>
    </row>
    <row r="7846">
      <c r="A7846" s="311">
        <v>7845</v>
      </c>
      <c r="B7846" s="396" t="s">
        <v>14941</v>
      </c>
      <c r="C7846" s="396" t="s">
        <v>1581</v>
      </c>
      <c r="D7846" s="396" t="s">
        <v>14934</v>
      </c>
      <c r="E7846" s="396" t="s">
        <v>14935</v>
      </c>
      <c r="F7846" s="396" t="s">
        <v>14883</v>
      </c>
    </row>
    <row r="7847">
      <c r="A7847" s="311">
        <v>7846</v>
      </c>
      <c r="B7847" s="396" t="s">
        <v>14942</v>
      </c>
      <c r="C7847" s="396" t="s">
        <v>10080</v>
      </c>
      <c r="D7847" s="396" t="s">
        <v>14934</v>
      </c>
      <c r="E7847" s="396" t="s">
        <v>14935</v>
      </c>
      <c r="F7847" s="396" t="s">
        <v>14883</v>
      </c>
    </row>
    <row r="7848">
      <c r="A7848" s="311">
        <v>7847</v>
      </c>
      <c r="B7848" s="396" t="s">
        <v>14943</v>
      </c>
      <c r="C7848" s="396" t="s">
        <v>4798</v>
      </c>
      <c r="D7848" s="396" t="s">
        <v>14934</v>
      </c>
      <c r="E7848" s="396" t="s">
        <v>14935</v>
      </c>
      <c r="F7848" s="396" t="s">
        <v>14883</v>
      </c>
    </row>
    <row r="7849">
      <c r="A7849" s="311">
        <v>7848</v>
      </c>
      <c r="B7849" s="396" t="s">
        <v>14944</v>
      </c>
      <c r="C7849" s="396" t="s">
        <v>14945</v>
      </c>
      <c r="D7849" s="396" t="s">
        <v>14934</v>
      </c>
      <c r="E7849" s="396" t="s">
        <v>14935</v>
      </c>
      <c r="F7849" s="396" t="s">
        <v>14883</v>
      </c>
    </row>
    <row r="7850">
      <c r="A7850" s="311">
        <v>7849</v>
      </c>
      <c r="B7850" s="396" t="s">
        <v>14946</v>
      </c>
      <c r="C7850" s="396" t="s">
        <v>14947</v>
      </c>
      <c r="D7850" s="396" t="s">
        <v>14934</v>
      </c>
      <c r="E7850" s="396" t="s">
        <v>14935</v>
      </c>
      <c r="F7850" s="396" t="s">
        <v>14883</v>
      </c>
    </row>
    <row r="7851">
      <c r="A7851" s="311">
        <v>7850</v>
      </c>
      <c r="B7851" s="396" t="s">
        <v>14948</v>
      </c>
      <c r="C7851" s="396" t="s">
        <v>14949</v>
      </c>
      <c r="D7851" s="396" t="s">
        <v>14934</v>
      </c>
      <c r="E7851" s="396" t="s">
        <v>14935</v>
      </c>
      <c r="F7851" s="396" t="s">
        <v>14883</v>
      </c>
    </row>
    <row r="7852">
      <c r="A7852" s="311">
        <v>7851</v>
      </c>
      <c r="B7852" s="396" t="s">
        <v>14950</v>
      </c>
      <c r="C7852" s="396" t="s">
        <v>13660</v>
      </c>
      <c r="D7852" s="396" t="s">
        <v>14934</v>
      </c>
      <c r="E7852" s="396" t="s">
        <v>14935</v>
      </c>
      <c r="F7852" s="396" t="s">
        <v>14883</v>
      </c>
    </row>
    <row r="7853">
      <c r="A7853" s="311">
        <v>7852</v>
      </c>
      <c r="B7853" s="396" t="s">
        <v>14951</v>
      </c>
      <c r="C7853" s="396" t="s">
        <v>1161</v>
      </c>
      <c r="D7853" s="396" t="s">
        <v>14934</v>
      </c>
      <c r="E7853" s="396" t="s">
        <v>14935</v>
      </c>
      <c r="F7853" s="396" t="s">
        <v>14883</v>
      </c>
    </row>
    <row r="7854">
      <c r="A7854" s="311">
        <v>7853</v>
      </c>
      <c r="B7854" s="396" t="s">
        <v>14952</v>
      </c>
      <c r="C7854" s="396" t="s">
        <v>14953</v>
      </c>
      <c r="D7854" s="396" t="s">
        <v>14954</v>
      </c>
      <c r="E7854" s="396" t="s">
        <v>14955</v>
      </c>
      <c r="F7854" s="396" t="s">
        <v>14883</v>
      </c>
    </row>
    <row r="7855">
      <c r="A7855" s="311">
        <v>7854</v>
      </c>
      <c r="B7855" s="396" t="s">
        <v>14956</v>
      </c>
      <c r="C7855" s="396" t="s">
        <v>14957</v>
      </c>
      <c r="D7855" s="396" t="s">
        <v>14954</v>
      </c>
      <c r="E7855" s="396" t="s">
        <v>14955</v>
      </c>
      <c r="F7855" s="396" t="s">
        <v>14883</v>
      </c>
    </row>
    <row r="7856">
      <c r="A7856" s="311">
        <v>7855</v>
      </c>
      <c r="B7856" s="396" t="s">
        <v>14958</v>
      </c>
      <c r="C7856" s="396" t="s">
        <v>14959</v>
      </c>
      <c r="D7856" s="396" t="s">
        <v>14954</v>
      </c>
      <c r="E7856" s="396" t="s">
        <v>14955</v>
      </c>
      <c r="F7856" s="396" t="s">
        <v>14883</v>
      </c>
    </row>
    <row r="7857">
      <c r="A7857" s="311">
        <v>7856</v>
      </c>
      <c r="B7857" s="396" t="s">
        <v>14960</v>
      </c>
      <c r="C7857" s="396" t="s">
        <v>2319</v>
      </c>
      <c r="D7857" s="396" t="s">
        <v>14954</v>
      </c>
      <c r="E7857" s="396" t="s">
        <v>14955</v>
      </c>
      <c r="F7857" s="396" t="s">
        <v>14883</v>
      </c>
    </row>
    <row r="7858">
      <c r="A7858" s="311">
        <v>7857</v>
      </c>
      <c r="B7858" s="396" t="s">
        <v>14961</v>
      </c>
      <c r="C7858" s="396" t="s">
        <v>14962</v>
      </c>
      <c r="D7858" s="396" t="s">
        <v>14954</v>
      </c>
      <c r="E7858" s="396" t="s">
        <v>14955</v>
      </c>
      <c r="F7858" s="396" t="s">
        <v>14883</v>
      </c>
    </row>
    <row r="7859">
      <c r="A7859" s="311">
        <v>7858</v>
      </c>
      <c r="B7859" s="396" t="s">
        <v>14963</v>
      </c>
      <c r="C7859" s="396" t="s">
        <v>9370</v>
      </c>
      <c r="D7859" s="396" t="s">
        <v>14954</v>
      </c>
      <c r="E7859" s="396" t="s">
        <v>14955</v>
      </c>
      <c r="F7859" s="396" t="s">
        <v>14883</v>
      </c>
    </row>
    <row r="7860">
      <c r="A7860" s="311">
        <v>7859</v>
      </c>
      <c r="B7860" s="396" t="s">
        <v>14964</v>
      </c>
      <c r="C7860" s="396" t="s">
        <v>14965</v>
      </c>
      <c r="D7860" s="396" t="s">
        <v>14954</v>
      </c>
      <c r="E7860" s="396" t="s">
        <v>14955</v>
      </c>
      <c r="F7860" s="396" t="s">
        <v>14883</v>
      </c>
    </row>
    <row r="7861">
      <c r="A7861" s="311">
        <v>7860</v>
      </c>
      <c r="B7861" s="396" t="s">
        <v>14966</v>
      </c>
      <c r="C7861" s="396" t="s">
        <v>14967</v>
      </c>
      <c r="D7861" s="396" t="s">
        <v>14954</v>
      </c>
      <c r="E7861" s="396" t="s">
        <v>14955</v>
      </c>
      <c r="F7861" s="396" t="s">
        <v>14883</v>
      </c>
    </row>
    <row r="7862">
      <c r="A7862" s="311">
        <v>7861</v>
      </c>
      <c r="B7862" s="396" t="s">
        <v>14968</v>
      </c>
      <c r="C7862" s="396" t="s">
        <v>14969</v>
      </c>
      <c r="D7862" s="396" t="s">
        <v>14954</v>
      </c>
      <c r="E7862" s="396" t="s">
        <v>14955</v>
      </c>
      <c r="F7862" s="396" t="s">
        <v>14883</v>
      </c>
    </row>
    <row r="7863">
      <c r="A7863" s="311">
        <v>7862</v>
      </c>
      <c r="B7863" s="396" t="s">
        <v>14970</v>
      </c>
      <c r="C7863" s="396" t="s">
        <v>4254</v>
      </c>
      <c r="D7863" s="396" t="s">
        <v>14954</v>
      </c>
      <c r="E7863" s="396" t="s">
        <v>14955</v>
      </c>
      <c r="F7863" s="396" t="s">
        <v>14883</v>
      </c>
    </row>
    <row r="7864">
      <c r="A7864" s="311">
        <v>7863</v>
      </c>
      <c r="B7864" s="396" t="s">
        <v>14971</v>
      </c>
      <c r="C7864" s="396" t="s">
        <v>14972</v>
      </c>
      <c r="D7864" s="396" t="s">
        <v>14954</v>
      </c>
      <c r="E7864" s="396" t="s">
        <v>14955</v>
      </c>
      <c r="F7864" s="396" t="s">
        <v>14883</v>
      </c>
    </row>
    <row r="7865">
      <c r="A7865" s="311">
        <v>7864</v>
      </c>
      <c r="B7865" s="396" t="s">
        <v>14973</v>
      </c>
      <c r="C7865" s="396" t="s">
        <v>1693</v>
      </c>
      <c r="D7865" s="396" t="s">
        <v>14954</v>
      </c>
      <c r="E7865" s="396" t="s">
        <v>14955</v>
      </c>
      <c r="F7865" s="396" t="s">
        <v>14883</v>
      </c>
    </row>
    <row r="7866">
      <c r="A7866" s="311">
        <v>7865</v>
      </c>
      <c r="B7866" s="396" t="s">
        <v>14974</v>
      </c>
      <c r="C7866" s="396" t="s">
        <v>1082</v>
      </c>
      <c r="D7866" s="396" t="s">
        <v>14954</v>
      </c>
      <c r="E7866" s="396" t="s">
        <v>14955</v>
      </c>
      <c r="F7866" s="396" t="s">
        <v>14883</v>
      </c>
    </row>
    <row r="7867">
      <c r="A7867" s="311">
        <v>7866</v>
      </c>
      <c r="B7867" s="396" t="s">
        <v>14975</v>
      </c>
      <c r="C7867" s="396" t="s">
        <v>14976</v>
      </c>
      <c r="D7867" s="396" t="s">
        <v>14954</v>
      </c>
      <c r="E7867" s="396" t="s">
        <v>14955</v>
      </c>
      <c r="F7867" s="396" t="s">
        <v>14883</v>
      </c>
    </row>
    <row r="7868">
      <c r="A7868" s="311">
        <v>7867</v>
      </c>
      <c r="B7868" s="396" t="s">
        <v>14977</v>
      </c>
      <c r="C7868" s="396" t="s">
        <v>13691</v>
      </c>
      <c r="D7868" s="396" t="s">
        <v>14954</v>
      </c>
      <c r="E7868" s="396" t="s">
        <v>14955</v>
      </c>
      <c r="F7868" s="396" t="s">
        <v>14883</v>
      </c>
    </row>
    <row r="7869">
      <c r="A7869" s="311">
        <v>7868</v>
      </c>
      <c r="B7869" s="396" t="s">
        <v>14978</v>
      </c>
      <c r="C7869" s="396" t="s">
        <v>14979</v>
      </c>
      <c r="D7869" s="396" t="s">
        <v>14954</v>
      </c>
      <c r="E7869" s="396" t="s">
        <v>14955</v>
      </c>
      <c r="F7869" s="396" t="s">
        <v>14883</v>
      </c>
    </row>
    <row r="7870">
      <c r="A7870" s="311">
        <v>7869</v>
      </c>
      <c r="B7870" s="396" t="s">
        <v>14980</v>
      </c>
      <c r="C7870" s="396" t="s">
        <v>5198</v>
      </c>
      <c r="D7870" s="396" t="s">
        <v>14954</v>
      </c>
      <c r="E7870" s="396" t="s">
        <v>14955</v>
      </c>
      <c r="F7870" s="396" t="s">
        <v>14883</v>
      </c>
    </row>
    <row r="7871">
      <c r="A7871" s="311">
        <v>7870</v>
      </c>
      <c r="B7871" s="396" t="s">
        <v>14981</v>
      </c>
      <c r="C7871" s="396" t="s">
        <v>944</v>
      </c>
      <c r="D7871" s="396" t="s">
        <v>14954</v>
      </c>
      <c r="E7871" s="396" t="s">
        <v>14955</v>
      </c>
      <c r="F7871" s="396" t="s">
        <v>14883</v>
      </c>
    </row>
    <row r="7872">
      <c r="A7872" s="311">
        <v>7871</v>
      </c>
      <c r="B7872" s="396" t="s">
        <v>14982</v>
      </c>
      <c r="C7872" s="396" t="s">
        <v>14983</v>
      </c>
      <c r="D7872" s="396" t="s">
        <v>14984</v>
      </c>
      <c r="E7872" s="396" t="s">
        <v>14985</v>
      </c>
      <c r="F7872" s="396" t="s">
        <v>14883</v>
      </c>
    </row>
    <row r="7873">
      <c r="A7873" s="311">
        <v>7872</v>
      </c>
      <c r="B7873" s="396" t="s">
        <v>14986</v>
      </c>
      <c r="C7873" s="396" t="s">
        <v>14987</v>
      </c>
      <c r="D7873" s="396" t="s">
        <v>14984</v>
      </c>
      <c r="E7873" s="396" t="s">
        <v>14985</v>
      </c>
      <c r="F7873" s="396" t="s">
        <v>14883</v>
      </c>
    </row>
    <row r="7874">
      <c r="A7874" s="311">
        <v>7873</v>
      </c>
      <c r="B7874" s="396" t="s">
        <v>14988</v>
      </c>
      <c r="C7874" s="396" t="s">
        <v>14989</v>
      </c>
      <c r="D7874" s="396" t="s">
        <v>14984</v>
      </c>
      <c r="E7874" s="396" t="s">
        <v>14985</v>
      </c>
      <c r="F7874" s="396" t="s">
        <v>14883</v>
      </c>
    </row>
    <row r="7875">
      <c r="A7875" s="311">
        <v>7874</v>
      </c>
      <c r="B7875" s="396" t="s">
        <v>14990</v>
      </c>
      <c r="C7875" s="396" t="s">
        <v>6942</v>
      </c>
      <c r="D7875" s="396" t="s">
        <v>14984</v>
      </c>
      <c r="E7875" s="396" t="s">
        <v>14985</v>
      </c>
      <c r="F7875" s="396" t="s">
        <v>14883</v>
      </c>
    </row>
    <row r="7876">
      <c r="A7876" s="311">
        <v>7875</v>
      </c>
      <c r="B7876" s="396" t="s">
        <v>14991</v>
      </c>
      <c r="C7876" s="396" t="s">
        <v>1391</v>
      </c>
      <c r="D7876" s="396" t="s">
        <v>14984</v>
      </c>
      <c r="E7876" s="396" t="s">
        <v>14985</v>
      </c>
      <c r="F7876" s="396" t="s">
        <v>14883</v>
      </c>
    </row>
    <row r="7877">
      <c r="A7877" s="311">
        <v>7876</v>
      </c>
      <c r="B7877" s="396" t="s">
        <v>14992</v>
      </c>
      <c r="C7877" s="396" t="s">
        <v>8461</v>
      </c>
      <c r="D7877" s="396" t="s">
        <v>14984</v>
      </c>
      <c r="E7877" s="396" t="s">
        <v>14985</v>
      </c>
      <c r="F7877" s="396" t="s">
        <v>14883</v>
      </c>
    </row>
    <row r="7878">
      <c r="A7878" s="311">
        <v>7877</v>
      </c>
      <c r="B7878" s="396" t="s">
        <v>14993</v>
      </c>
      <c r="C7878" s="396" t="s">
        <v>14994</v>
      </c>
      <c r="D7878" s="396" t="s">
        <v>14984</v>
      </c>
      <c r="E7878" s="396" t="s">
        <v>14985</v>
      </c>
      <c r="F7878" s="396" t="s">
        <v>14883</v>
      </c>
    </row>
    <row r="7879">
      <c r="A7879" s="311">
        <v>7878</v>
      </c>
      <c r="B7879" s="396" t="s">
        <v>14995</v>
      </c>
      <c r="C7879" s="396" t="s">
        <v>14996</v>
      </c>
      <c r="D7879" s="396" t="s">
        <v>14984</v>
      </c>
      <c r="E7879" s="396" t="s">
        <v>14985</v>
      </c>
      <c r="F7879" s="396" t="s">
        <v>14883</v>
      </c>
    </row>
    <row r="7880">
      <c r="A7880" s="311">
        <v>7879</v>
      </c>
      <c r="B7880" s="396" t="s">
        <v>14997</v>
      </c>
      <c r="C7880" s="396" t="s">
        <v>14998</v>
      </c>
      <c r="D7880" s="396" t="s">
        <v>14984</v>
      </c>
      <c r="E7880" s="396" t="s">
        <v>14985</v>
      </c>
      <c r="F7880" s="396" t="s">
        <v>14883</v>
      </c>
    </row>
    <row r="7881">
      <c r="A7881" s="311">
        <v>7880</v>
      </c>
      <c r="B7881" s="396" t="s">
        <v>14999</v>
      </c>
      <c r="C7881" s="396" t="s">
        <v>1195</v>
      </c>
      <c r="D7881" s="396" t="s">
        <v>14984</v>
      </c>
      <c r="E7881" s="396" t="s">
        <v>14985</v>
      </c>
      <c r="F7881" s="396" t="s">
        <v>14883</v>
      </c>
    </row>
    <row r="7882">
      <c r="A7882" s="311">
        <v>7881</v>
      </c>
      <c r="B7882" s="396" t="s">
        <v>15000</v>
      </c>
      <c r="C7882" s="396" t="s">
        <v>15001</v>
      </c>
      <c r="D7882" s="396" t="s">
        <v>14984</v>
      </c>
      <c r="E7882" s="396" t="s">
        <v>14985</v>
      </c>
      <c r="F7882" s="396" t="s">
        <v>14883</v>
      </c>
    </row>
    <row r="7883">
      <c r="A7883" s="311">
        <v>7882</v>
      </c>
      <c r="B7883" s="396" t="s">
        <v>15002</v>
      </c>
      <c r="C7883" s="396" t="s">
        <v>15003</v>
      </c>
      <c r="D7883" s="396" t="s">
        <v>14984</v>
      </c>
      <c r="E7883" s="396" t="s">
        <v>14985</v>
      </c>
      <c r="F7883" s="396" t="s">
        <v>14883</v>
      </c>
    </row>
    <row r="7884">
      <c r="A7884" s="311">
        <v>7883</v>
      </c>
      <c r="B7884" s="396" t="s">
        <v>15004</v>
      </c>
      <c r="C7884" s="396" t="s">
        <v>15005</v>
      </c>
      <c r="D7884" s="396" t="s">
        <v>14984</v>
      </c>
      <c r="E7884" s="396" t="s">
        <v>14985</v>
      </c>
      <c r="F7884" s="396" t="s">
        <v>14883</v>
      </c>
    </row>
    <row r="7885">
      <c r="A7885" s="311">
        <v>7884</v>
      </c>
      <c r="B7885" s="396" t="s">
        <v>15006</v>
      </c>
      <c r="C7885" s="396" t="s">
        <v>15007</v>
      </c>
      <c r="D7885" s="396" t="s">
        <v>14984</v>
      </c>
      <c r="E7885" s="396" t="s">
        <v>14985</v>
      </c>
      <c r="F7885" s="396" t="s">
        <v>14883</v>
      </c>
    </row>
    <row r="7886">
      <c r="A7886" s="311">
        <v>7885</v>
      </c>
      <c r="B7886" s="396" t="s">
        <v>15008</v>
      </c>
      <c r="C7886" s="396" t="s">
        <v>15009</v>
      </c>
      <c r="D7886" s="396" t="s">
        <v>14984</v>
      </c>
      <c r="E7886" s="396" t="s">
        <v>14985</v>
      </c>
      <c r="F7886" s="396" t="s">
        <v>14883</v>
      </c>
    </row>
    <row r="7887">
      <c r="A7887" s="311">
        <v>7886</v>
      </c>
      <c r="B7887" s="396" t="s">
        <v>15010</v>
      </c>
      <c r="C7887" s="396" t="s">
        <v>15011</v>
      </c>
      <c r="D7887" s="396" t="s">
        <v>14984</v>
      </c>
      <c r="E7887" s="396" t="s">
        <v>14985</v>
      </c>
      <c r="F7887" s="396" t="s">
        <v>14883</v>
      </c>
    </row>
    <row r="7888">
      <c r="A7888" s="311">
        <v>7887</v>
      </c>
      <c r="B7888" s="396" t="s">
        <v>15012</v>
      </c>
      <c r="C7888" s="396" t="s">
        <v>15013</v>
      </c>
      <c r="D7888" s="396" t="s">
        <v>14984</v>
      </c>
      <c r="E7888" s="396" t="s">
        <v>14985</v>
      </c>
      <c r="F7888" s="396" t="s">
        <v>14883</v>
      </c>
    </row>
    <row r="7889">
      <c r="A7889" s="311">
        <v>7888</v>
      </c>
      <c r="B7889" s="396" t="s">
        <v>15014</v>
      </c>
      <c r="C7889" s="396" t="s">
        <v>15015</v>
      </c>
      <c r="D7889" s="396" t="s">
        <v>15016</v>
      </c>
      <c r="E7889" s="396" t="s">
        <v>15017</v>
      </c>
      <c r="F7889" s="396" t="s">
        <v>14883</v>
      </c>
    </row>
    <row r="7890">
      <c r="A7890" s="311">
        <v>7889</v>
      </c>
      <c r="B7890" s="396" t="s">
        <v>15018</v>
      </c>
      <c r="C7890" s="396" t="s">
        <v>15019</v>
      </c>
      <c r="D7890" s="396" t="s">
        <v>15016</v>
      </c>
      <c r="E7890" s="396" t="s">
        <v>15017</v>
      </c>
      <c r="F7890" s="396" t="s">
        <v>14883</v>
      </c>
    </row>
    <row r="7891">
      <c r="A7891" s="311">
        <v>7890</v>
      </c>
      <c r="B7891" s="396" t="s">
        <v>15020</v>
      </c>
      <c r="C7891" s="396" t="s">
        <v>15021</v>
      </c>
      <c r="D7891" s="396" t="s">
        <v>15016</v>
      </c>
      <c r="E7891" s="396" t="s">
        <v>15017</v>
      </c>
      <c r="F7891" s="396" t="s">
        <v>14883</v>
      </c>
    </row>
    <row r="7892">
      <c r="A7892" s="311">
        <v>7891</v>
      </c>
      <c r="B7892" s="396" t="s">
        <v>15022</v>
      </c>
      <c r="C7892" s="396" t="s">
        <v>15023</v>
      </c>
      <c r="D7892" s="396" t="s">
        <v>15016</v>
      </c>
      <c r="E7892" s="396" t="s">
        <v>15017</v>
      </c>
      <c r="F7892" s="396" t="s">
        <v>14883</v>
      </c>
    </row>
    <row r="7893">
      <c r="A7893" s="311">
        <v>7892</v>
      </c>
      <c r="B7893" s="396" t="s">
        <v>15024</v>
      </c>
      <c r="C7893" s="396" t="s">
        <v>15025</v>
      </c>
      <c r="D7893" s="396" t="s">
        <v>15016</v>
      </c>
      <c r="E7893" s="396" t="s">
        <v>15017</v>
      </c>
      <c r="F7893" s="396" t="s">
        <v>14883</v>
      </c>
    </row>
    <row r="7894">
      <c r="A7894" s="311">
        <v>7893</v>
      </c>
      <c r="B7894" s="396" t="s">
        <v>15026</v>
      </c>
      <c r="C7894" s="396" t="s">
        <v>15027</v>
      </c>
      <c r="D7894" s="396" t="s">
        <v>15016</v>
      </c>
      <c r="E7894" s="396" t="s">
        <v>15017</v>
      </c>
      <c r="F7894" s="396" t="s">
        <v>14883</v>
      </c>
    </row>
    <row r="7895">
      <c r="A7895" s="311">
        <v>7894</v>
      </c>
      <c r="B7895" s="396" t="s">
        <v>15028</v>
      </c>
      <c r="C7895" s="396" t="s">
        <v>15029</v>
      </c>
      <c r="D7895" s="396" t="s">
        <v>15016</v>
      </c>
      <c r="E7895" s="396" t="s">
        <v>15017</v>
      </c>
      <c r="F7895" s="396" t="s">
        <v>14883</v>
      </c>
    </row>
    <row r="7896">
      <c r="A7896" s="311">
        <v>7895</v>
      </c>
      <c r="B7896" s="396" t="s">
        <v>15030</v>
      </c>
      <c r="C7896" s="396" t="s">
        <v>15031</v>
      </c>
      <c r="D7896" s="396" t="s">
        <v>15016</v>
      </c>
      <c r="E7896" s="396" t="s">
        <v>15017</v>
      </c>
      <c r="F7896" s="396" t="s">
        <v>14883</v>
      </c>
    </row>
    <row r="7897">
      <c r="A7897" s="311">
        <v>7896</v>
      </c>
      <c r="B7897" s="396" t="s">
        <v>15032</v>
      </c>
      <c r="C7897" s="396" t="s">
        <v>752</v>
      </c>
      <c r="D7897" s="396" t="s">
        <v>15016</v>
      </c>
      <c r="E7897" s="396" t="s">
        <v>15017</v>
      </c>
      <c r="F7897" s="396" t="s">
        <v>14883</v>
      </c>
    </row>
    <row r="7898">
      <c r="A7898" s="311">
        <v>7897</v>
      </c>
      <c r="B7898" s="396" t="s">
        <v>15033</v>
      </c>
      <c r="C7898" s="396" t="s">
        <v>15034</v>
      </c>
      <c r="D7898" s="396" t="s">
        <v>15016</v>
      </c>
      <c r="E7898" s="396" t="s">
        <v>15017</v>
      </c>
      <c r="F7898" s="396" t="s">
        <v>14883</v>
      </c>
    </row>
    <row r="7899">
      <c r="A7899" s="311">
        <v>7898</v>
      </c>
      <c r="B7899" s="396" t="s">
        <v>15035</v>
      </c>
      <c r="C7899" s="396" t="s">
        <v>15036</v>
      </c>
      <c r="D7899" s="396" t="s">
        <v>15016</v>
      </c>
      <c r="E7899" s="396" t="s">
        <v>15017</v>
      </c>
      <c r="F7899" s="396" t="s">
        <v>14883</v>
      </c>
    </row>
    <row r="7900">
      <c r="A7900" s="311">
        <v>7899</v>
      </c>
      <c r="B7900" s="396" t="s">
        <v>15037</v>
      </c>
      <c r="C7900" s="396" t="s">
        <v>15038</v>
      </c>
      <c r="D7900" s="396" t="s">
        <v>15016</v>
      </c>
      <c r="E7900" s="396" t="s">
        <v>15017</v>
      </c>
      <c r="F7900" s="396" t="s">
        <v>14883</v>
      </c>
    </row>
    <row r="7901">
      <c r="A7901" s="311">
        <v>7900</v>
      </c>
      <c r="B7901" s="396" t="s">
        <v>15039</v>
      </c>
      <c r="C7901" s="396" t="s">
        <v>1552</v>
      </c>
      <c r="D7901" s="396" t="s">
        <v>15016</v>
      </c>
      <c r="E7901" s="396" t="s">
        <v>15017</v>
      </c>
      <c r="F7901" s="396" t="s">
        <v>14883</v>
      </c>
    </row>
    <row r="7902">
      <c r="A7902" s="311">
        <v>7901</v>
      </c>
      <c r="B7902" s="396" t="s">
        <v>15040</v>
      </c>
      <c r="C7902" s="396" t="s">
        <v>15041</v>
      </c>
      <c r="D7902" s="396" t="s">
        <v>15042</v>
      </c>
      <c r="E7902" s="396" t="s">
        <v>15043</v>
      </c>
      <c r="F7902" s="396" t="s">
        <v>14883</v>
      </c>
    </row>
    <row r="7903">
      <c r="A7903" s="311">
        <v>7902</v>
      </c>
      <c r="B7903" s="396" t="s">
        <v>15044</v>
      </c>
      <c r="C7903" s="396" t="s">
        <v>15045</v>
      </c>
      <c r="D7903" s="396" t="s">
        <v>15042</v>
      </c>
      <c r="E7903" s="396" t="s">
        <v>15043</v>
      </c>
      <c r="F7903" s="396" t="s">
        <v>14883</v>
      </c>
    </row>
    <row r="7904">
      <c r="A7904" s="311">
        <v>7903</v>
      </c>
      <c r="B7904" s="396" t="s">
        <v>15046</v>
      </c>
      <c r="C7904" s="396" t="s">
        <v>15047</v>
      </c>
      <c r="D7904" s="396" t="s">
        <v>15042</v>
      </c>
      <c r="E7904" s="396" t="s">
        <v>15043</v>
      </c>
      <c r="F7904" s="396" t="s">
        <v>14883</v>
      </c>
    </row>
    <row r="7905">
      <c r="A7905" s="311">
        <v>7904</v>
      </c>
      <c r="B7905" s="396" t="s">
        <v>15048</v>
      </c>
      <c r="C7905" s="396" t="s">
        <v>15049</v>
      </c>
      <c r="D7905" s="396" t="s">
        <v>15042</v>
      </c>
      <c r="E7905" s="396" t="s">
        <v>15043</v>
      </c>
      <c r="F7905" s="396" t="s">
        <v>14883</v>
      </c>
    </row>
    <row r="7906">
      <c r="A7906" s="311">
        <v>7905</v>
      </c>
      <c r="B7906" s="396" t="s">
        <v>15050</v>
      </c>
      <c r="C7906" s="396" t="s">
        <v>15051</v>
      </c>
      <c r="D7906" s="396" t="s">
        <v>15042</v>
      </c>
      <c r="E7906" s="396" t="s">
        <v>15043</v>
      </c>
      <c r="F7906" s="396" t="s">
        <v>14883</v>
      </c>
    </row>
    <row r="7907">
      <c r="A7907" s="311">
        <v>7906</v>
      </c>
      <c r="B7907" s="396" t="s">
        <v>15052</v>
      </c>
      <c r="C7907" s="396" t="s">
        <v>15053</v>
      </c>
      <c r="D7907" s="396" t="s">
        <v>15042</v>
      </c>
      <c r="E7907" s="396" t="s">
        <v>15043</v>
      </c>
      <c r="F7907" s="396" t="s">
        <v>14883</v>
      </c>
    </row>
    <row r="7908">
      <c r="A7908" s="311">
        <v>7907</v>
      </c>
      <c r="B7908" s="396" t="s">
        <v>15054</v>
      </c>
      <c r="C7908" s="396" t="s">
        <v>13876</v>
      </c>
      <c r="D7908" s="396" t="s">
        <v>15042</v>
      </c>
      <c r="E7908" s="396" t="s">
        <v>15043</v>
      </c>
      <c r="F7908" s="396" t="s">
        <v>14883</v>
      </c>
    </row>
    <row r="7909">
      <c r="A7909" s="311">
        <v>7908</v>
      </c>
      <c r="B7909" s="396" t="s">
        <v>15055</v>
      </c>
      <c r="C7909" s="396" t="s">
        <v>13878</v>
      </c>
      <c r="D7909" s="396" t="s">
        <v>15042</v>
      </c>
      <c r="E7909" s="396" t="s">
        <v>15043</v>
      </c>
      <c r="F7909" s="396" t="s">
        <v>14883</v>
      </c>
    </row>
    <row r="7910">
      <c r="A7910" s="311">
        <v>7909</v>
      </c>
      <c r="B7910" s="396" t="s">
        <v>15056</v>
      </c>
      <c r="C7910" s="396" t="s">
        <v>15057</v>
      </c>
      <c r="D7910" s="396" t="s">
        <v>15042</v>
      </c>
      <c r="E7910" s="396" t="s">
        <v>15043</v>
      </c>
      <c r="F7910" s="396" t="s">
        <v>14883</v>
      </c>
    </row>
    <row r="7911">
      <c r="A7911" s="311">
        <v>7910</v>
      </c>
      <c r="B7911" s="396" t="s">
        <v>15058</v>
      </c>
      <c r="C7911" s="396" t="s">
        <v>15059</v>
      </c>
      <c r="D7911" s="396" t="s">
        <v>15042</v>
      </c>
      <c r="E7911" s="396" t="s">
        <v>15043</v>
      </c>
      <c r="F7911" s="396" t="s">
        <v>14883</v>
      </c>
    </row>
    <row r="7912">
      <c r="A7912" s="311">
        <v>7911</v>
      </c>
      <c r="B7912" s="396" t="s">
        <v>15060</v>
      </c>
      <c r="C7912" s="396" t="s">
        <v>15061</v>
      </c>
      <c r="D7912" s="396" t="s">
        <v>15042</v>
      </c>
      <c r="E7912" s="396" t="s">
        <v>15043</v>
      </c>
      <c r="F7912" s="396" t="s">
        <v>14883</v>
      </c>
    </row>
    <row r="7913">
      <c r="A7913" s="311">
        <v>7912</v>
      </c>
      <c r="B7913" s="396" t="s">
        <v>15062</v>
      </c>
      <c r="C7913" s="396" t="s">
        <v>15063</v>
      </c>
      <c r="D7913" s="396" t="s">
        <v>15042</v>
      </c>
      <c r="E7913" s="396" t="s">
        <v>15043</v>
      </c>
      <c r="F7913" s="396" t="s">
        <v>14883</v>
      </c>
    </row>
    <row r="7914">
      <c r="A7914" s="311">
        <v>7913</v>
      </c>
      <c r="B7914" s="396" t="s">
        <v>15064</v>
      </c>
      <c r="C7914" s="396" t="s">
        <v>15065</v>
      </c>
      <c r="D7914" s="396" t="s">
        <v>15042</v>
      </c>
      <c r="E7914" s="396" t="s">
        <v>15043</v>
      </c>
      <c r="F7914" s="396" t="s">
        <v>14883</v>
      </c>
    </row>
    <row r="7915">
      <c r="A7915" s="311">
        <v>7914</v>
      </c>
      <c r="B7915" s="396" t="s">
        <v>15066</v>
      </c>
      <c r="C7915" s="396" t="s">
        <v>15067</v>
      </c>
      <c r="D7915" s="396" t="s">
        <v>15042</v>
      </c>
      <c r="E7915" s="396" t="s">
        <v>15043</v>
      </c>
      <c r="F7915" s="396" t="s">
        <v>14883</v>
      </c>
    </row>
    <row r="7916">
      <c r="A7916" s="311">
        <v>7915</v>
      </c>
      <c r="B7916" s="396" t="s">
        <v>15068</v>
      </c>
      <c r="C7916" s="396" t="s">
        <v>15069</v>
      </c>
      <c r="D7916" s="396" t="s">
        <v>15070</v>
      </c>
      <c r="E7916" s="396" t="s">
        <v>15071</v>
      </c>
      <c r="F7916" s="396" t="s">
        <v>14883</v>
      </c>
    </row>
    <row r="7917">
      <c r="A7917" s="311">
        <v>7916</v>
      </c>
      <c r="B7917" s="396" t="s">
        <v>15072</v>
      </c>
      <c r="C7917" s="396" t="s">
        <v>15073</v>
      </c>
      <c r="D7917" s="396" t="s">
        <v>15070</v>
      </c>
      <c r="E7917" s="396" t="s">
        <v>15071</v>
      </c>
      <c r="F7917" s="396" t="s">
        <v>14883</v>
      </c>
    </row>
    <row r="7918">
      <c r="A7918" s="311">
        <v>7917</v>
      </c>
      <c r="B7918" s="396" t="s">
        <v>15074</v>
      </c>
      <c r="C7918" s="396" t="s">
        <v>15075</v>
      </c>
      <c r="D7918" s="396" t="s">
        <v>15070</v>
      </c>
      <c r="E7918" s="396" t="s">
        <v>15071</v>
      </c>
      <c r="F7918" s="396" t="s">
        <v>14883</v>
      </c>
    </row>
    <row r="7919">
      <c r="A7919" s="311">
        <v>7918</v>
      </c>
      <c r="B7919" s="396" t="s">
        <v>15076</v>
      </c>
      <c r="C7919" s="396" t="s">
        <v>15077</v>
      </c>
      <c r="D7919" s="396" t="s">
        <v>15070</v>
      </c>
      <c r="E7919" s="396" t="s">
        <v>15071</v>
      </c>
      <c r="F7919" s="396" t="s">
        <v>14883</v>
      </c>
    </row>
    <row r="7920">
      <c r="A7920" s="311">
        <v>7919</v>
      </c>
      <c r="B7920" s="396" t="s">
        <v>15078</v>
      </c>
      <c r="C7920" s="396" t="s">
        <v>15079</v>
      </c>
      <c r="D7920" s="396" t="s">
        <v>15070</v>
      </c>
      <c r="E7920" s="396" t="s">
        <v>15071</v>
      </c>
      <c r="F7920" s="396" t="s">
        <v>14883</v>
      </c>
    </row>
    <row r="7921">
      <c r="A7921" s="311">
        <v>7920</v>
      </c>
      <c r="B7921" s="396" t="s">
        <v>15080</v>
      </c>
      <c r="C7921" s="396" t="s">
        <v>7219</v>
      </c>
      <c r="D7921" s="396" t="s">
        <v>15070</v>
      </c>
      <c r="E7921" s="396" t="s">
        <v>15071</v>
      </c>
      <c r="F7921" s="396" t="s">
        <v>14883</v>
      </c>
    </row>
    <row r="7922">
      <c r="A7922" s="311">
        <v>7921</v>
      </c>
      <c r="B7922" s="396" t="s">
        <v>15081</v>
      </c>
      <c r="C7922" s="396" t="s">
        <v>7374</v>
      </c>
      <c r="D7922" s="396" t="s">
        <v>15070</v>
      </c>
      <c r="E7922" s="396" t="s">
        <v>15071</v>
      </c>
      <c r="F7922" s="396" t="s">
        <v>14883</v>
      </c>
    </row>
    <row r="7923">
      <c r="A7923" s="311">
        <v>7922</v>
      </c>
      <c r="B7923" s="396" t="s">
        <v>15082</v>
      </c>
      <c r="C7923" s="396" t="s">
        <v>1648</v>
      </c>
      <c r="D7923" s="396" t="s">
        <v>15070</v>
      </c>
      <c r="E7923" s="396" t="s">
        <v>15071</v>
      </c>
      <c r="F7923" s="396" t="s">
        <v>14883</v>
      </c>
    </row>
    <row r="7924">
      <c r="A7924" s="311">
        <v>7923</v>
      </c>
      <c r="B7924" s="396" t="s">
        <v>15083</v>
      </c>
      <c r="C7924" s="396" t="s">
        <v>15084</v>
      </c>
      <c r="D7924" s="396" t="s">
        <v>15070</v>
      </c>
      <c r="E7924" s="396" t="s">
        <v>15071</v>
      </c>
      <c r="F7924" s="396" t="s">
        <v>14883</v>
      </c>
    </row>
    <row r="7925">
      <c r="A7925" s="311">
        <v>7924</v>
      </c>
      <c r="B7925" s="396" t="s">
        <v>15085</v>
      </c>
      <c r="C7925" s="396" t="s">
        <v>8691</v>
      </c>
      <c r="D7925" s="396" t="s">
        <v>15070</v>
      </c>
      <c r="E7925" s="396" t="s">
        <v>15071</v>
      </c>
      <c r="F7925" s="396" t="s">
        <v>14883</v>
      </c>
    </row>
    <row r="7926">
      <c r="A7926" s="311">
        <v>7925</v>
      </c>
      <c r="B7926" s="396" t="s">
        <v>15086</v>
      </c>
      <c r="C7926" s="396" t="s">
        <v>15087</v>
      </c>
      <c r="D7926" s="396" t="s">
        <v>15070</v>
      </c>
      <c r="E7926" s="396" t="s">
        <v>15071</v>
      </c>
      <c r="F7926" s="396" t="s">
        <v>14883</v>
      </c>
    </row>
    <row r="7927">
      <c r="A7927" s="311">
        <v>7926</v>
      </c>
      <c r="B7927" s="396" t="s">
        <v>15088</v>
      </c>
      <c r="C7927" s="396" t="s">
        <v>1366</v>
      </c>
      <c r="D7927" s="396" t="s">
        <v>15070</v>
      </c>
      <c r="E7927" s="396" t="s">
        <v>15071</v>
      </c>
      <c r="F7927" s="396" t="s">
        <v>14883</v>
      </c>
    </row>
    <row r="7928">
      <c r="A7928" s="311">
        <v>7927</v>
      </c>
      <c r="B7928" s="396" t="s">
        <v>15089</v>
      </c>
      <c r="C7928" s="396" t="s">
        <v>13513</v>
      </c>
      <c r="D7928" s="396" t="s">
        <v>15070</v>
      </c>
      <c r="E7928" s="396" t="s">
        <v>15071</v>
      </c>
      <c r="F7928" s="396" t="s">
        <v>14883</v>
      </c>
    </row>
    <row r="7929">
      <c r="A7929" s="311">
        <v>7928</v>
      </c>
      <c r="B7929" s="396" t="s">
        <v>15090</v>
      </c>
      <c r="C7929" s="396" t="s">
        <v>15091</v>
      </c>
      <c r="D7929" s="396" t="s">
        <v>15092</v>
      </c>
      <c r="E7929" s="396" t="s">
        <v>15093</v>
      </c>
      <c r="F7929" s="396" t="s">
        <v>14883</v>
      </c>
    </row>
    <row r="7930">
      <c r="A7930" s="311">
        <v>7929</v>
      </c>
      <c r="B7930" s="396" t="s">
        <v>15094</v>
      </c>
      <c r="C7930" s="396" t="s">
        <v>15095</v>
      </c>
      <c r="D7930" s="396" t="s">
        <v>15092</v>
      </c>
      <c r="E7930" s="396" t="s">
        <v>15093</v>
      </c>
      <c r="F7930" s="396" t="s">
        <v>14883</v>
      </c>
    </row>
    <row r="7931">
      <c r="A7931" s="311">
        <v>7930</v>
      </c>
      <c r="B7931" s="396" t="s">
        <v>15096</v>
      </c>
      <c r="C7931" s="396" t="s">
        <v>15097</v>
      </c>
      <c r="D7931" s="396" t="s">
        <v>15092</v>
      </c>
      <c r="E7931" s="396" t="s">
        <v>15093</v>
      </c>
      <c r="F7931" s="396" t="s">
        <v>14883</v>
      </c>
    </row>
    <row r="7932">
      <c r="A7932" s="311">
        <v>7931</v>
      </c>
      <c r="B7932" s="396" t="s">
        <v>15098</v>
      </c>
      <c r="C7932" s="396" t="s">
        <v>8126</v>
      </c>
      <c r="D7932" s="396" t="s">
        <v>15092</v>
      </c>
      <c r="E7932" s="396" t="s">
        <v>15093</v>
      </c>
      <c r="F7932" s="396" t="s">
        <v>14883</v>
      </c>
    </row>
    <row r="7933">
      <c r="A7933" s="311">
        <v>7932</v>
      </c>
      <c r="B7933" s="396" t="s">
        <v>15099</v>
      </c>
      <c r="C7933" s="396" t="s">
        <v>4894</v>
      </c>
      <c r="D7933" s="396" t="s">
        <v>15092</v>
      </c>
      <c r="E7933" s="396" t="s">
        <v>15093</v>
      </c>
      <c r="F7933" s="396" t="s">
        <v>14883</v>
      </c>
    </row>
    <row r="7934">
      <c r="A7934" s="311">
        <v>7933</v>
      </c>
      <c r="B7934" s="396" t="s">
        <v>15100</v>
      </c>
      <c r="C7934" s="396" t="s">
        <v>11126</v>
      </c>
      <c r="D7934" s="396" t="s">
        <v>15092</v>
      </c>
      <c r="E7934" s="396" t="s">
        <v>15093</v>
      </c>
      <c r="F7934" s="396" t="s">
        <v>14883</v>
      </c>
    </row>
    <row r="7935">
      <c r="A7935" s="311">
        <v>7934</v>
      </c>
      <c r="B7935" s="396" t="s">
        <v>15101</v>
      </c>
      <c r="C7935" s="396" t="s">
        <v>15102</v>
      </c>
      <c r="D7935" s="396" t="s">
        <v>15092</v>
      </c>
      <c r="E7935" s="396" t="s">
        <v>15093</v>
      </c>
      <c r="F7935" s="396" t="s">
        <v>14883</v>
      </c>
    </row>
    <row r="7936">
      <c r="A7936" s="311">
        <v>7935</v>
      </c>
      <c r="B7936" s="396" t="s">
        <v>15103</v>
      </c>
      <c r="C7936" s="396" t="s">
        <v>15087</v>
      </c>
      <c r="D7936" s="396" t="s">
        <v>15092</v>
      </c>
      <c r="E7936" s="396" t="s">
        <v>15093</v>
      </c>
      <c r="F7936" s="396" t="s">
        <v>14883</v>
      </c>
    </row>
    <row r="7937">
      <c r="A7937" s="311">
        <v>7936</v>
      </c>
      <c r="B7937" s="396" t="s">
        <v>15104</v>
      </c>
      <c r="C7937" s="396" t="s">
        <v>3815</v>
      </c>
      <c r="D7937" s="396" t="s">
        <v>15092</v>
      </c>
      <c r="E7937" s="396" t="s">
        <v>15093</v>
      </c>
      <c r="F7937" s="396" t="s">
        <v>14883</v>
      </c>
    </row>
    <row r="7938">
      <c r="A7938" s="311">
        <v>7937</v>
      </c>
      <c r="B7938" s="396" t="s">
        <v>15105</v>
      </c>
      <c r="C7938" s="396" t="s">
        <v>11708</v>
      </c>
      <c r="D7938" s="396" t="s">
        <v>15092</v>
      </c>
      <c r="E7938" s="396" t="s">
        <v>15093</v>
      </c>
      <c r="F7938" s="396" t="s">
        <v>14883</v>
      </c>
    </row>
    <row r="7939">
      <c r="A7939" s="311">
        <v>7938</v>
      </c>
      <c r="B7939" s="396" t="s">
        <v>15106</v>
      </c>
      <c r="C7939" s="396" t="s">
        <v>15107</v>
      </c>
      <c r="D7939" s="396" t="s">
        <v>15108</v>
      </c>
      <c r="E7939" s="396" t="s">
        <v>15109</v>
      </c>
      <c r="F7939" s="396" t="s">
        <v>14883</v>
      </c>
    </row>
    <row r="7940">
      <c r="A7940" s="311">
        <v>7939</v>
      </c>
      <c r="B7940" s="396" t="s">
        <v>15110</v>
      </c>
      <c r="C7940" s="396" t="s">
        <v>15111</v>
      </c>
      <c r="D7940" s="396" t="s">
        <v>15108</v>
      </c>
      <c r="E7940" s="396" t="s">
        <v>15109</v>
      </c>
      <c r="F7940" s="396" t="s">
        <v>14883</v>
      </c>
    </row>
    <row r="7941">
      <c r="A7941" s="311">
        <v>7940</v>
      </c>
      <c r="B7941" s="396" t="s">
        <v>15112</v>
      </c>
      <c r="C7941" s="396" t="s">
        <v>6628</v>
      </c>
      <c r="D7941" s="396" t="s">
        <v>15108</v>
      </c>
      <c r="E7941" s="396" t="s">
        <v>15109</v>
      </c>
      <c r="F7941" s="396" t="s">
        <v>14883</v>
      </c>
    </row>
    <row r="7942">
      <c r="A7942" s="311">
        <v>7941</v>
      </c>
      <c r="B7942" s="396" t="s">
        <v>15113</v>
      </c>
      <c r="C7942" s="396" t="s">
        <v>168</v>
      </c>
      <c r="D7942" s="396" t="s">
        <v>15114</v>
      </c>
      <c r="E7942" s="396" t="s">
        <v>15115</v>
      </c>
      <c r="F7942" s="396" t="s">
        <v>15116</v>
      </c>
    </row>
    <row r="7943">
      <c r="A7943" s="311">
        <v>7942</v>
      </c>
      <c r="B7943" s="396" t="s">
        <v>15117</v>
      </c>
      <c r="C7943" s="396" t="s">
        <v>15118</v>
      </c>
      <c r="D7943" s="396" t="s">
        <v>15114</v>
      </c>
      <c r="E7943" s="396" t="s">
        <v>15115</v>
      </c>
      <c r="F7943" s="396" t="s">
        <v>15116</v>
      </c>
    </row>
    <row r="7944">
      <c r="A7944" s="311">
        <v>7943</v>
      </c>
      <c r="B7944" s="396" t="s">
        <v>15119</v>
      </c>
      <c r="C7944" s="396" t="s">
        <v>3169</v>
      </c>
      <c r="D7944" s="396" t="s">
        <v>15114</v>
      </c>
      <c r="E7944" s="396" t="s">
        <v>15115</v>
      </c>
      <c r="F7944" s="396" t="s">
        <v>15116</v>
      </c>
    </row>
    <row r="7945">
      <c r="A7945" s="311">
        <v>7944</v>
      </c>
      <c r="B7945" s="396" t="s">
        <v>15120</v>
      </c>
      <c r="C7945" s="396" t="s">
        <v>15121</v>
      </c>
      <c r="D7945" s="396" t="s">
        <v>15114</v>
      </c>
      <c r="E7945" s="396" t="s">
        <v>15115</v>
      </c>
      <c r="F7945" s="396" t="s">
        <v>15116</v>
      </c>
    </row>
    <row r="7946">
      <c r="A7946" s="311">
        <v>7945</v>
      </c>
      <c r="B7946" s="396" t="s">
        <v>15122</v>
      </c>
      <c r="C7946" s="396" t="s">
        <v>4635</v>
      </c>
      <c r="D7946" s="396" t="s">
        <v>15114</v>
      </c>
      <c r="E7946" s="396" t="s">
        <v>15115</v>
      </c>
      <c r="F7946" s="396" t="s">
        <v>15116</v>
      </c>
    </row>
    <row r="7947">
      <c r="A7947" s="311">
        <v>7946</v>
      </c>
      <c r="B7947" s="396" t="s">
        <v>15123</v>
      </c>
      <c r="C7947" s="396" t="s">
        <v>13981</v>
      </c>
      <c r="D7947" s="396" t="s">
        <v>15114</v>
      </c>
      <c r="E7947" s="396" t="s">
        <v>15115</v>
      </c>
      <c r="F7947" s="396" t="s">
        <v>15116</v>
      </c>
    </row>
    <row r="7948">
      <c r="A7948" s="311">
        <v>7947</v>
      </c>
      <c r="B7948" s="396" t="s">
        <v>15124</v>
      </c>
      <c r="C7948" s="396" t="s">
        <v>2579</v>
      </c>
      <c r="D7948" s="396" t="s">
        <v>15114</v>
      </c>
      <c r="E7948" s="396" t="s">
        <v>15115</v>
      </c>
      <c r="F7948" s="396" t="s">
        <v>15116</v>
      </c>
    </row>
    <row r="7949">
      <c r="A7949" s="311">
        <v>7948</v>
      </c>
      <c r="B7949" s="396" t="s">
        <v>15125</v>
      </c>
      <c r="C7949" s="396" t="s">
        <v>588</v>
      </c>
      <c r="D7949" s="396" t="s">
        <v>15114</v>
      </c>
      <c r="E7949" s="396" t="s">
        <v>15115</v>
      </c>
      <c r="F7949" s="396" t="s">
        <v>15116</v>
      </c>
    </row>
    <row r="7950">
      <c r="A7950" s="311">
        <v>7949</v>
      </c>
      <c r="B7950" s="396" t="s">
        <v>15126</v>
      </c>
      <c r="C7950" s="396" t="s">
        <v>553</v>
      </c>
      <c r="D7950" s="396" t="s">
        <v>15114</v>
      </c>
      <c r="E7950" s="396" t="s">
        <v>15115</v>
      </c>
      <c r="F7950" s="396" t="s">
        <v>15116</v>
      </c>
    </row>
    <row r="7951">
      <c r="A7951" s="311">
        <v>7950</v>
      </c>
      <c r="B7951" s="396" t="s">
        <v>15127</v>
      </c>
      <c r="C7951" s="396" t="s">
        <v>70</v>
      </c>
      <c r="D7951" s="396" t="s">
        <v>15114</v>
      </c>
      <c r="E7951" s="396" t="s">
        <v>15115</v>
      </c>
      <c r="F7951" s="396" t="s">
        <v>15116</v>
      </c>
    </row>
    <row r="7952">
      <c r="A7952" s="311">
        <v>7951</v>
      </c>
      <c r="B7952" s="396" t="s">
        <v>15128</v>
      </c>
      <c r="C7952" s="396" t="s">
        <v>15129</v>
      </c>
      <c r="D7952" s="396" t="s">
        <v>15114</v>
      </c>
      <c r="E7952" s="396" t="s">
        <v>15115</v>
      </c>
      <c r="F7952" s="396" t="s">
        <v>15116</v>
      </c>
    </row>
    <row r="7953">
      <c r="A7953" s="311">
        <v>7952</v>
      </c>
      <c r="B7953" s="396" t="s">
        <v>15130</v>
      </c>
      <c r="C7953" s="396" t="s">
        <v>15131</v>
      </c>
      <c r="D7953" s="396" t="s">
        <v>15114</v>
      </c>
      <c r="E7953" s="396" t="s">
        <v>15115</v>
      </c>
      <c r="F7953" s="396" t="s">
        <v>15116</v>
      </c>
    </row>
    <row r="7954">
      <c r="A7954" s="311">
        <v>7953</v>
      </c>
      <c r="B7954" s="396" t="s">
        <v>15132</v>
      </c>
      <c r="C7954" s="396" t="s">
        <v>15133</v>
      </c>
      <c r="D7954" s="396" t="s">
        <v>15114</v>
      </c>
      <c r="E7954" s="396" t="s">
        <v>15115</v>
      </c>
      <c r="F7954" s="396" t="s">
        <v>15116</v>
      </c>
    </row>
    <row r="7955">
      <c r="A7955" s="311">
        <v>7954</v>
      </c>
      <c r="B7955" s="396" t="s">
        <v>15134</v>
      </c>
      <c r="C7955" s="396" t="s">
        <v>2387</v>
      </c>
      <c r="D7955" s="396" t="s">
        <v>15114</v>
      </c>
      <c r="E7955" s="396" t="s">
        <v>15115</v>
      </c>
      <c r="F7955" s="396" t="s">
        <v>15116</v>
      </c>
    </row>
    <row r="7956">
      <c r="A7956" s="311">
        <v>7955</v>
      </c>
      <c r="B7956" s="396" t="s">
        <v>15135</v>
      </c>
      <c r="C7956" s="396" t="s">
        <v>15136</v>
      </c>
      <c r="D7956" s="396" t="s">
        <v>15114</v>
      </c>
      <c r="E7956" s="396" t="s">
        <v>15115</v>
      </c>
      <c r="F7956" s="396" t="s">
        <v>15116</v>
      </c>
    </row>
    <row r="7957">
      <c r="A7957" s="311">
        <v>7956</v>
      </c>
      <c r="B7957" s="396" t="s">
        <v>15137</v>
      </c>
      <c r="C7957" s="396" t="s">
        <v>15138</v>
      </c>
      <c r="D7957" s="396" t="s">
        <v>15114</v>
      </c>
      <c r="E7957" s="396" t="s">
        <v>15115</v>
      </c>
      <c r="F7957" s="396" t="s">
        <v>15116</v>
      </c>
    </row>
    <row r="7958">
      <c r="A7958" s="311">
        <v>7957</v>
      </c>
      <c r="B7958" s="396" t="s">
        <v>15139</v>
      </c>
      <c r="C7958" s="396" t="s">
        <v>15140</v>
      </c>
      <c r="D7958" s="396" t="s">
        <v>15114</v>
      </c>
      <c r="E7958" s="396" t="s">
        <v>15115</v>
      </c>
      <c r="F7958" s="396" t="s">
        <v>15116</v>
      </c>
    </row>
    <row r="7959">
      <c r="A7959" s="311">
        <v>7958</v>
      </c>
      <c r="B7959" s="396" t="s">
        <v>15141</v>
      </c>
      <c r="C7959" s="396" t="s">
        <v>4218</v>
      </c>
      <c r="D7959" s="396" t="s">
        <v>15114</v>
      </c>
      <c r="E7959" s="396" t="s">
        <v>15115</v>
      </c>
      <c r="F7959" s="396" t="s">
        <v>15116</v>
      </c>
    </row>
    <row r="7960">
      <c r="A7960" s="311">
        <v>7959</v>
      </c>
      <c r="B7960" s="396" t="s">
        <v>15142</v>
      </c>
      <c r="C7960" s="396" t="s">
        <v>15143</v>
      </c>
      <c r="D7960" s="396" t="s">
        <v>15114</v>
      </c>
      <c r="E7960" s="396" t="s">
        <v>15115</v>
      </c>
      <c r="F7960" s="396" t="s">
        <v>15116</v>
      </c>
    </row>
    <row r="7961">
      <c r="A7961" s="311">
        <v>7960</v>
      </c>
      <c r="B7961" s="396" t="s">
        <v>15144</v>
      </c>
      <c r="C7961" s="396" t="s">
        <v>15145</v>
      </c>
      <c r="D7961" s="396" t="s">
        <v>15114</v>
      </c>
      <c r="E7961" s="396" t="s">
        <v>15115</v>
      </c>
      <c r="F7961" s="396" t="s">
        <v>15116</v>
      </c>
    </row>
    <row r="7962">
      <c r="A7962" s="311">
        <v>7961</v>
      </c>
      <c r="B7962" s="396" t="s">
        <v>15146</v>
      </c>
      <c r="C7962" s="396" t="s">
        <v>1014</v>
      </c>
      <c r="D7962" s="396" t="s">
        <v>15114</v>
      </c>
      <c r="E7962" s="396" t="s">
        <v>15115</v>
      </c>
      <c r="F7962" s="396" t="s">
        <v>15116</v>
      </c>
    </row>
    <row r="7963">
      <c r="A7963" s="311">
        <v>7962</v>
      </c>
      <c r="B7963" s="396" t="s">
        <v>15147</v>
      </c>
      <c r="C7963" s="396" t="s">
        <v>15148</v>
      </c>
      <c r="D7963" s="396" t="s">
        <v>15149</v>
      </c>
      <c r="E7963" s="396" t="s">
        <v>15150</v>
      </c>
      <c r="F7963" s="396" t="s">
        <v>15116</v>
      </c>
    </row>
    <row r="7964">
      <c r="A7964" s="311">
        <v>7963</v>
      </c>
      <c r="B7964" s="396" t="s">
        <v>15151</v>
      </c>
      <c r="C7964" s="396" t="s">
        <v>15152</v>
      </c>
      <c r="D7964" s="396" t="s">
        <v>15149</v>
      </c>
      <c r="E7964" s="396" t="s">
        <v>15150</v>
      </c>
      <c r="F7964" s="396" t="s">
        <v>15116</v>
      </c>
    </row>
    <row r="7965">
      <c r="A7965" s="311">
        <v>7964</v>
      </c>
      <c r="B7965" s="396" t="s">
        <v>15153</v>
      </c>
      <c r="C7965" s="396" t="s">
        <v>15154</v>
      </c>
      <c r="D7965" s="396" t="s">
        <v>15149</v>
      </c>
      <c r="E7965" s="396" t="s">
        <v>15150</v>
      </c>
      <c r="F7965" s="396" t="s">
        <v>15116</v>
      </c>
    </row>
    <row r="7966">
      <c r="A7966" s="311">
        <v>7965</v>
      </c>
      <c r="B7966" s="396" t="s">
        <v>15155</v>
      </c>
      <c r="C7966" s="396" t="s">
        <v>15156</v>
      </c>
      <c r="D7966" s="396" t="s">
        <v>15149</v>
      </c>
      <c r="E7966" s="396" t="s">
        <v>15150</v>
      </c>
      <c r="F7966" s="396" t="s">
        <v>15116</v>
      </c>
    </row>
    <row r="7967">
      <c r="A7967" s="311">
        <v>7966</v>
      </c>
      <c r="B7967" s="396" t="s">
        <v>15157</v>
      </c>
      <c r="C7967" s="396" t="s">
        <v>15158</v>
      </c>
      <c r="D7967" s="396" t="s">
        <v>15149</v>
      </c>
      <c r="E7967" s="396" t="s">
        <v>15150</v>
      </c>
      <c r="F7967" s="396" t="s">
        <v>15116</v>
      </c>
    </row>
    <row r="7968">
      <c r="A7968" s="311">
        <v>7967</v>
      </c>
      <c r="B7968" s="396" t="s">
        <v>15159</v>
      </c>
      <c r="C7968" s="396" t="s">
        <v>15160</v>
      </c>
      <c r="D7968" s="396" t="s">
        <v>15149</v>
      </c>
      <c r="E7968" s="396" t="s">
        <v>15150</v>
      </c>
      <c r="F7968" s="396" t="s">
        <v>15116</v>
      </c>
    </row>
    <row r="7969">
      <c r="A7969" s="311">
        <v>7968</v>
      </c>
      <c r="B7969" s="396" t="s">
        <v>15161</v>
      </c>
      <c r="C7969" s="396" t="s">
        <v>15162</v>
      </c>
      <c r="D7969" s="396" t="s">
        <v>15149</v>
      </c>
      <c r="E7969" s="396" t="s">
        <v>15150</v>
      </c>
      <c r="F7969" s="396" t="s">
        <v>15116</v>
      </c>
    </row>
    <row r="7970">
      <c r="A7970" s="311">
        <v>7969</v>
      </c>
      <c r="B7970" s="396" t="s">
        <v>15163</v>
      </c>
      <c r="C7970" s="396" t="s">
        <v>15164</v>
      </c>
      <c r="D7970" s="396" t="s">
        <v>15149</v>
      </c>
      <c r="E7970" s="396" t="s">
        <v>15150</v>
      </c>
      <c r="F7970" s="396" t="s">
        <v>15116</v>
      </c>
    </row>
    <row r="7971">
      <c r="A7971" s="311">
        <v>7970</v>
      </c>
      <c r="B7971" s="396" t="s">
        <v>15165</v>
      </c>
      <c r="C7971" s="396" t="s">
        <v>1419</v>
      </c>
      <c r="D7971" s="396" t="s">
        <v>15149</v>
      </c>
      <c r="E7971" s="396" t="s">
        <v>15150</v>
      </c>
      <c r="F7971" s="396" t="s">
        <v>15116</v>
      </c>
    </row>
    <row r="7972">
      <c r="A7972" s="311">
        <v>7971</v>
      </c>
      <c r="B7972" s="396" t="s">
        <v>15166</v>
      </c>
      <c r="C7972" s="396" t="s">
        <v>15167</v>
      </c>
      <c r="D7972" s="396" t="s">
        <v>15149</v>
      </c>
      <c r="E7972" s="396" t="s">
        <v>15150</v>
      </c>
      <c r="F7972" s="396" t="s">
        <v>15116</v>
      </c>
    </row>
    <row r="7973">
      <c r="A7973" s="311">
        <v>7972</v>
      </c>
      <c r="B7973" s="396" t="s">
        <v>15168</v>
      </c>
      <c r="C7973" s="396" t="s">
        <v>15169</v>
      </c>
      <c r="D7973" s="396" t="s">
        <v>15149</v>
      </c>
      <c r="E7973" s="396" t="s">
        <v>15150</v>
      </c>
      <c r="F7973" s="396" t="s">
        <v>15116</v>
      </c>
    </row>
    <row r="7974">
      <c r="A7974" s="311">
        <v>7973</v>
      </c>
      <c r="B7974" s="396" t="s">
        <v>15170</v>
      </c>
      <c r="C7974" s="396" t="s">
        <v>15171</v>
      </c>
      <c r="D7974" s="396" t="s">
        <v>15149</v>
      </c>
      <c r="E7974" s="396" t="s">
        <v>15150</v>
      </c>
      <c r="F7974" s="396" t="s">
        <v>15116</v>
      </c>
    </row>
    <row r="7975">
      <c r="A7975" s="311">
        <v>7974</v>
      </c>
      <c r="B7975" s="396" t="s">
        <v>15172</v>
      </c>
      <c r="C7975" s="396" t="s">
        <v>15173</v>
      </c>
      <c r="D7975" s="396" t="s">
        <v>15174</v>
      </c>
      <c r="E7975" s="396" t="s">
        <v>15175</v>
      </c>
      <c r="F7975" s="396" t="s">
        <v>15116</v>
      </c>
    </row>
    <row r="7976">
      <c r="A7976" s="311">
        <v>7975</v>
      </c>
      <c r="B7976" s="396" t="s">
        <v>15176</v>
      </c>
      <c r="C7976" s="396" t="s">
        <v>15177</v>
      </c>
      <c r="D7976" s="396" t="s">
        <v>15174</v>
      </c>
      <c r="E7976" s="396" t="s">
        <v>15175</v>
      </c>
      <c r="F7976" s="396" t="s">
        <v>15116</v>
      </c>
    </row>
    <row r="7977">
      <c r="A7977" s="311">
        <v>7976</v>
      </c>
      <c r="B7977" s="396" t="s">
        <v>15178</v>
      </c>
      <c r="C7977" s="396" t="s">
        <v>15179</v>
      </c>
      <c r="D7977" s="396" t="s">
        <v>15174</v>
      </c>
      <c r="E7977" s="396" t="s">
        <v>15175</v>
      </c>
      <c r="F7977" s="396" t="s">
        <v>15116</v>
      </c>
    </row>
    <row r="7978">
      <c r="A7978" s="311">
        <v>7977</v>
      </c>
      <c r="B7978" s="396" t="s">
        <v>15180</v>
      </c>
      <c r="C7978" s="396" t="s">
        <v>15181</v>
      </c>
      <c r="D7978" s="396" t="s">
        <v>15174</v>
      </c>
      <c r="E7978" s="396" t="s">
        <v>15175</v>
      </c>
      <c r="F7978" s="396" t="s">
        <v>15116</v>
      </c>
    </row>
    <row r="7979">
      <c r="A7979" s="311">
        <v>7978</v>
      </c>
      <c r="B7979" s="396" t="s">
        <v>15182</v>
      </c>
      <c r="C7979" s="396" t="s">
        <v>15183</v>
      </c>
      <c r="D7979" s="396" t="s">
        <v>15174</v>
      </c>
      <c r="E7979" s="396" t="s">
        <v>15175</v>
      </c>
      <c r="F7979" s="396" t="s">
        <v>15116</v>
      </c>
    </row>
    <row r="7980">
      <c r="A7980" s="311">
        <v>7979</v>
      </c>
      <c r="B7980" s="396" t="s">
        <v>15184</v>
      </c>
      <c r="C7980" s="396" t="s">
        <v>15185</v>
      </c>
      <c r="D7980" s="396" t="s">
        <v>15174</v>
      </c>
      <c r="E7980" s="396" t="s">
        <v>15175</v>
      </c>
      <c r="F7980" s="396" t="s">
        <v>15116</v>
      </c>
    </row>
    <row r="7981">
      <c r="A7981" s="311">
        <v>7980</v>
      </c>
      <c r="B7981" s="396" t="s">
        <v>15186</v>
      </c>
      <c r="C7981" s="396" t="s">
        <v>15187</v>
      </c>
      <c r="D7981" s="396" t="s">
        <v>15174</v>
      </c>
      <c r="E7981" s="396" t="s">
        <v>15175</v>
      </c>
      <c r="F7981" s="396" t="s">
        <v>15116</v>
      </c>
    </row>
    <row r="7982">
      <c r="A7982" s="311">
        <v>7981</v>
      </c>
      <c r="B7982" s="396" t="s">
        <v>15188</v>
      </c>
      <c r="C7982" s="396" t="s">
        <v>15189</v>
      </c>
      <c r="D7982" s="396" t="s">
        <v>15174</v>
      </c>
      <c r="E7982" s="396" t="s">
        <v>15175</v>
      </c>
      <c r="F7982" s="396" t="s">
        <v>15116</v>
      </c>
    </row>
    <row r="7983">
      <c r="A7983" s="311">
        <v>7982</v>
      </c>
      <c r="B7983" s="396" t="s">
        <v>15190</v>
      </c>
      <c r="C7983" s="396" t="s">
        <v>15191</v>
      </c>
      <c r="D7983" s="396" t="s">
        <v>15192</v>
      </c>
      <c r="E7983" s="396" t="s">
        <v>15193</v>
      </c>
      <c r="F7983" s="396" t="s">
        <v>15116</v>
      </c>
    </row>
    <row r="7984">
      <c r="A7984" s="311">
        <v>7983</v>
      </c>
      <c r="B7984" s="396" t="s">
        <v>15194</v>
      </c>
      <c r="C7984" s="396" t="s">
        <v>15195</v>
      </c>
      <c r="D7984" s="396" t="s">
        <v>15192</v>
      </c>
      <c r="E7984" s="396" t="s">
        <v>15193</v>
      </c>
      <c r="F7984" s="396" t="s">
        <v>15116</v>
      </c>
    </row>
    <row r="7985">
      <c r="A7985" s="311">
        <v>7984</v>
      </c>
      <c r="B7985" s="396" t="s">
        <v>15196</v>
      </c>
      <c r="C7985" s="396" t="s">
        <v>15197</v>
      </c>
      <c r="D7985" s="396" t="s">
        <v>15192</v>
      </c>
      <c r="E7985" s="396" t="s">
        <v>15193</v>
      </c>
      <c r="F7985" s="396" t="s">
        <v>15116</v>
      </c>
    </row>
    <row r="7986">
      <c r="A7986" s="311">
        <v>7985</v>
      </c>
      <c r="B7986" s="396" t="s">
        <v>15198</v>
      </c>
      <c r="C7986" s="396" t="s">
        <v>15199</v>
      </c>
      <c r="D7986" s="396" t="s">
        <v>15192</v>
      </c>
      <c r="E7986" s="396" t="s">
        <v>15193</v>
      </c>
      <c r="F7986" s="396" t="s">
        <v>15116</v>
      </c>
    </row>
    <row r="7987">
      <c r="A7987" s="311">
        <v>7986</v>
      </c>
      <c r="B7987" s="396" t="s">
        <v>15200</v>
      </c>
      <c r="C7987" s="396" t="s">
        <v>15201</v>
      </c>
      <c r="D7987" s="396" t="s">
        <v>15192</v>
      </c>
      <c r="E7987" s="396" t="s">
        <v>15193</v>
      </c>
      <c r="F7987" s="396" t="s">
        <v>15116</v>
      </c>
    </row>
    <row r="7988">
      <c r="A7988" s="311">
        <v>7987</v>
      </c>
      <c r="B7988" s="396" t="s">
        <v>15202</v>
      </c>
      <c r="C7988" s="396" t="s">
        <v>15203</v>
      </c>
      <c r="D7988" s="396" t="s">
        <v>15192</v>
      </c>
      <c r="E7988" s="396" t="s">
        <v>15193</v>
      </c>
      <c r="F7988" s="396" t="s">
        <v>15116</v>
      </c>
    </row>
    <row r="7989">
      <c r="A7989" s="311">
        <v>7988</v>
      </c>
      <c r="B7989" s="396" t="s">
        <v>15204</v>
      </c>
      <c r="C7989" s="396" t="s">
        <v>15205</v>
      </c>
      <c r="D7989" s="396" t="s">
        <v>15192</v>
      </c>
      <c r="E7989" s="396" t="s">
        <v>15193</v>
      </c>
      <c r="F7989" s="396" t="s">
        <v>15116</v>
      </c>
    </row>
    <row r="7990">
      <c r="A7990" s="311">
        <v>7989</v>
      </c>
      <c r="B7990" s="396" t="s">
        <v>15206</v>
      </c>
      <c r="C7990" s="396" t="s">
        <v>14726</v>
      </c>
      <c r="D7990" s="396" t="s">
        <v>15192</v>
      </c>
      <c r="E7990" s="396" t="s">
        <v>15193</v>
      </c>
      <c r="F7990" s="396" t="s">
        <v>15116</v>
      </c>
    </row>
    <row r="7991">
      <c r="A7991" s="311">
        <v>7990</v>
      </c>
      <c r="B7991" s="396" t="s">
        <v>15207</v>
      </c>
      <c r="C7991" s="396" t="s">
        <v>15208</v>
      </c>
      <c r="D7991" s="396" t="s">
        <v>15192</v>
      </c>
      <c r="E7991" s="396" t="s">
        <v>15193</v>
      </c>
      <c r="F7991" s="396" t="s">
        <v>15116</v>
      </c>
    </row>
    <row r="7992">
      <c r="A7992" s="311">
        <v>7991</v>
      </c>
      <c r="B7992" s="396" t="s">
        <v>15209</v>
      </c>
      <c r="C7992" s="396" t="s">
        <v>15210</v>
      </c>
      <c r="D7992" s="396" t="s">
        <v>15211</v>
      </c>
      <c r="E7992" s="396" t="s">
        <v>15212</v>
      </c>
      <c r="F7992" s="396" t="s">
        <v>15116</v>
      </c>
    </row>
    <row r="7993">
      <c r="A7993" s="311">
        <v>7992</v>
      </c>
      <c r="B7993" s="396" t="s">
        <v>15213</v>
      </c>
      <c r="C7993" s="396" t="s">
        <v>15214</v>
      </c>
      <c r="D7993" s="396" t="s">
        <v>15211</v>
      </c>
      <c r="E7993" s="396" t="s">
        <v>15212</v>
      </c>
      <c r="F7993" s="396" t="s">
        <v>15116</v>
      </c>
    </row>
    <row r="7994">
      <c r="A7994" s="311">
        <v>7993</v>
      </c>
      <c r="B7994" s="396" t="s">
        <v>15215</v>
      </c>
      <c r="C7994" s="396" t="s">
        <v>15216</v>
      </c>
      <c r="D7994" s="396" t="s">
        <v>15211</v>
      </c>
      <c r="E7994" s="396" t="s">
        <v>15212</v>
      </c>
      <c r="F7994" s="396" t="s">
        <v>15116</v>
      </c>
    </row>
    <row r="7995">
      <c r="A7995" s="311">
        <v>7994</v>
      </c>
      <c r="B7995" s="396" t="s">
        <v>15217</v>
      </c>
      <c r="C7995" s="396" t="s">
        <v>15218</v>
      </c>
      <c r="D7995" s="396" t="s">
        <v>15211</v>
      </c>
      <c r="E7995" s="396" t="s">
        <v>15212</v>
      </c>
      <c r="F7995" s="396" t="s">
        <v>15116</v>
      </c>
    </row>
    <row r="7996">
      <c r="A7996" s="311">
        <v>7995</v>
      </c>
      <c r="B7996" s="396" t="s">
        <v>15219</v>
      </c>
      <c r="C7996" s="396" t="s">
        <v>15220</v>
      </c>
      <c r="D7996" s="396" t="s">
        <v>15211</v>
      </c>
      <c r="E7996" s="396" t="s">
        <v>15212</v>
      </c>
      <c r="F7996" s="396" t="s">
        <v>15116</v>
      </c>
    </row>
    <row r="7997">
      <c r="A7997" s="311">
        <v>7996</v>
      </c>
      <c r="B7997" s="396" t="s">
        <v>15221</v>
      </c>
      <c r="C7997" s="396" t="s">
        <v>15222</v>
      </c>
      <c r="D7997" s="396" t="s">
        <v>15211</v>
      </c>
      <c r="E7997" s="396" t="s">
        <v>15212</v>
      </c>
      <c r="F7997" s="396" t="s">
        <v>15116</v>
      </c>
    </row>
    <row r="7998">
      <c r="A7998" s="311">
        <v>7997</v>
      </c>
      <c r="B7998" s="396" t="s">
        <v>15223</v>
      </c>
      <c r="C7998" s="396" t="s">
        <v>15224</v>
      </c>
      <c r="D7998" s="396" t="s">
        <v>15211</v>
      </c>
      <c r="E7998" s="396" t="s">
        <v>15212</v>
      </c>
      <c r="F7998" s="396" t="s">
        <v>15116</v>
      </c>
    </row>
    <row r="7999">
      <c r="A7999" s="311">
        <v>7998</v>
      </c>
      <c r="B7999" s="396" t="s">
        <v>15225</v>
      </c>
      <c r="C7999" s="396" t="s">
        <v>15167</v>
      </c>
      <c r="D7999" s="396" t="s">
        <v>15211</v>
      </c>
      <c r="E7999" s="396" t="s">
        <v>15212</v>
      </c>
      <c r="F7999" s="396" t="s">
        <v>15116</v>
      </c>
    </row>
    <row r="8000">
      <c r="A8000" s="311">
        <v>7999</v>
      </c>
      <c r="B8000" s="396" t="s">
        <v>15226</v>
      </c>
      <c r="C8000" s="396" t="s">
        <v>15227</v>
      </c>
      <c r="D8000" s="396" t="s">
        <v>15211</v>
      </c>
      <c r="E8000" s="396" t="s">
        <v>15212</v>
      </c>
      <c r="F8000" s="396" t="s">
        <v>15116</v>
      </c>
    </row>
    <row r="8001">
      <c r="A8001" s="311">
        <v>8000</v>
      </c>
      <c r="B8001" s="396" t="s">
        <v>15228</v>
      </c>
      <c r="C8001" s="396" t="s">
        <v>15229</v>
      </c>
      <c r="D8001" s="396" t="s">
        <v>15230</v>
      </c>
      <c r="E8001" s="396" t="s">
        <v>15231</v>
      </c>
      <c r="F8001" s="396" t="s">
        <v>15116</v>
      </c>
    </row>
    <row r="8002">
      <c r="A8002" s="311">
        <v>8001</v>
      </c>
      <c r="B8002" s="396" t="s">
        <v>15232</v>
      </c>
      <c r="C8002" s="396" t="s">
        <v>15233</v>
      </c>
      <c r="D8002" s="396" t="s">
        <v>15230</v>
      </c>
      <c r="E8002" s="396" t="s">
        <v>15231</v>
      </c>
      <c r="F8002" s="396" t="s">
        <v>15116</v>
      </c>
    </row>
    <row r="8003">
      <c r="A8003" s="311">
        <v>8002</v>
      </c>
      <c r="B8003" s="396" t="s">
        <v>15234</v>
      </c>
      <c r="C8003" s="396" t="s">
        <v>15235</v>
      </c>
      <c r="D8003" s="396" t="s">
        <v>15230</v>
      </c>
      <c r="E8003" s="396" t="s">
        <v>15231</v>
      </c>
      <c r="F8003" s="396" t="s">
        <v>15116</v>
      </c>
    </row>
    <row r="8004">
      <c r="A8004" s="311">
        <v>8003</v>
      </c>
      <c r="B8004" s="396" t="s">
        <v>15236</v>
      </c>
      <c r="C8004" s="396" t="s">
        <v>15237</v>
      </c>
      <c r="D8004" s="396" t="s">
        <v>15230</v>
      </c>
      <c r="E8004" s="396" t="s">
        <v>15231</v>
      </c>
      <c r="F8004" s="396" t="s">
        <v>15116</v>
      </c>
    </row>
    <row r="8005">
      <c r="A8005" s="311">
        <v>8004</v>
      </c>
      <c r="B8005" s="396" t="s">
        <v>15238</v>
      </c>
      <c r="C8005" s="396" t="s">
        <v>15239</v>
      </c>
      <c r="D8005" s="396" t="s">
        <v>15230</v>
      </c>
      <c r="E8005" s="396" t="s">
        <v>15231</v>
      </c>
      <c r="F8005" s="396" t="s">
        <v>15116</v>
      </c>
    </row>
    <row r="8006">
      <c r="A8006" s="311">
        <v>8005</v>
      </c>
      <c r="B8006" s="396" t="s">
        <v>15240</v>
      </c>
      <c r="C8006" s="396" t="s">
        <v>15241</v>
      </c>
      <c r="D8006" s="396" t="s">
        <v>15230</v>
      </c>
      <c r="E8006" s="396" t="s">
        <v>15231</v>
      </c>
      <c r="F8006" s="396" t="s">
        <v>15116</v>
      </c>
    </row>
    <row r="8007">
      <c r="A8007" s="311">
        <v>8006</v>
      </c>
      <c r="B8007" s="396" t="s">
        <v>15242</v>
      </c>
      <c r="C8007" s="396" t="s">
        <v>752</v>
      </c>
      <c r="D8007" s="396" t="s">
        <v>15230</v>
      </c>
      <c r="E8007" s="396" t="s">
        <v>15231</v>
      </c>
      <c r="F8007" s="396" t="s">
        <v>15116</v>
      </c>
    </row>
    <row r="8008">
      <c r="A8008" s="311">
        <v>8007</v>
      </c>
      <c r="B8008" s="396" t="s">
        <v>15243</v>
      </c>
      <c r="C8008" s="396" t="s">
        <v>15244</v>
      </c>
      <c r="D8008" s="396" t="s">
        <v>15245</v>
      </c>
      <c r="E8008" s="396" t="s">
        <v>15246</v>
      </c>
      <c r="F8008" s="396" t="s">
        <v>15116</v>
      </c>
    </row>
    <row r="8009">
      <c r="A8009" s="311">
        <v>8008</v>
      </c>
      <c r="B8009" s="396" t="s">
        <v>15247</v>
      </c>
      <c r="C8009" s="396" t="s">
        <v>15248</v>
      </c>
      <c r="D8009" s="396" t="s">
        <v>15245</v>
      </c>
      <c r="E8009" s="396" t="s">
        <v>15246</v>
      </c>
      <c r="F8009" s="396" t="s">
        <v>15116</v>
      </c>
    </row>
    <row r="8010">
      <c r="A8010" s="311">
        <v>8009</v>
      </c>
      <c r="B8010" s="396" t="s">
        <v>15249</v>
      </c>
      <c r="C8010" s="396" t="s">
        <v>15250</v>
      </c>
      <c r="D8010" s="396" t="s">
        <v>15245</v>
      </c>
      <c r="E8010" s="396" t="s">
        <v>15246</v>
      </c>
      <c r="F8010" s="396" t="s">
        <v>15116</v>
      </c>
    </row>
    <row r="8011">
      <c r="A8011" s="311">
        <v>8010</v>
      </c>
      <c r="B8011" s="396" t="s">
        <v>15251</v>
      </c>
      <c r="C8011" s="396" t="s">
        <v>15252</v>
      </c>
      <c r="D8011" s="396" t="s">
        <v>15245</v>
      </c>
      <c r="E8011" s="396" t="s">
        <v>15246</v>
      </c>
      <c r="F8011" s="396" t="s">
        <v>15116</v>
      </c>
    </row>
    <row r="8012">
      <c r="A8012" s="311">
        <v>8011</v>
      </c>
      <c r="B8012" s="396" t="s">
        <v>15253</v>
      </c>
      <c r="C8012" s="396" t="s">
        <v>15254</v>
      </c>
      <c r="D8012" s="396" t="s">
        <v>15245</v>
      </c>
      <c r="E8012" s="396" t="s">
        <v>15246</v>
      </c>
      <c r="F8012" s="396" t="s">
        <v>15116</v>
      </c>
    </row>
    <row r="8013">
      <c r="A8013" s="311">
        <v>8012</v>
      </c>
      <c r="B8013" s="396" t="s">
        <v>15255</v>
      </c>
      <c r="C8013" s="396" t="s">
        <v>15256</v>
      </c>
      <c r="D8013" s="396" t="s">
        <v>15245</v>
      </c>
      <c r="E8013" s="396" t="s">
        <v>15246</v>
      </c>
      <c r="F8013" s="396" t="s">
        <v>15116</v>
      </c>
    </row>
    <row r="8014">
      <c r="A8014" s="311">
        <v>8013</v>
      </c>
      <c r="B8014" s="396" t="s">
        <v>15257</v>
      </c>
      <c r="C8014" s="396" t="s">
        <v>15258</v>
      </c>
      <c r="D8014" s="396" t="s">
        <v>15245</v>
      </c>
      <c r="E8014" s="396" t="s">
        <v>15246</v>
      </c>
      <c r="F8014" s="396" t="s">
        <v>15116</v>
      </c>
    </row>
    <row r="8015">
      <c r="A8015" s="311">
        <v>8014</v>
      </c>
      <c r="B8015" s="396" t="s">
        <v>15259</v>
      </c>
      <c r="C8015" s="396" t="s">
        <v>15260</v>
      </c>
      <c r="D8015" s="396" t="s">
        <v>15245</v>
      </c>
      <c r="E8015" s="396" t="s">
        <v>15246</v>
      </c>
      <c r="F8015" s="396" t="s">
        <v>15116</v>
      </c>
    </row>
    <row r="8016">
      <c r="A8016" s="311">
        <v>8015</v>
      </c>
      <c r="B8016" s="396" t="s">
        <v>15261</v>
      </c>
      <c r="C8016" s="396" t="s">
        <v>15262</v>
      </c>
      <c r="D8016" s="396" t="s">
        <v>15245</v>
      </c>
      <c r="E8016" s="396" t="s">
        <v>15246</v>
      </c>
      <c r="F8016" s="396" t="s">
        <v>15116</v>
      </c>
    </row>
    <row r="8017">
      <c r="A8017" s="311">
        <v>8016</v>
      </c>
      <c r="B8017" s="396" t="s">
        <v>15263</v>
      </c>
      <c r="C8017" s="396" t="s">
        <v>15264</v>
      </c>
      <c r="D8017" s="396" t="s">
        <v>15245</v>
      </c>
      <c r="E8017" s="396" t="s">
        <v>15246</v>
      </c>
      <c r="F8017" s="396" t="s">
        <v>15116</v>
      </c>
    </row>
    <row r="8018">
      <c r="A8018" s="311">
        <v>8017</v>
      </c>
      <c r="B8018" s="396" t="s">
        <v>15265</v>
      </c>
      <c r="C8018" s="396" t="s">
        <v>15266</v>
      </c>
      <c r="D8018" s="396" t="s">
        <v>15245</v>
      </c>
      <c r="E8018" s="396" t="s">
        <v>15246</v>
      </c>
      <c r="F8018" s="396" t="s">
        <v>15116</v>
      </c>
    </row>
    <row r="8019">
      <c r="A8019" s="311">
        <v>8018</v>
      </c>
      <c r="B8019" s="396" t="s">
        <v>15267</v>
      </c>
      <c r="C8019" s="396" t="s">
        <v>15268</v>
      </c>
      <c r="D8019" s="396" t="s">
        <v>15269</v>
      </c>
      <c r="E8019" s="396" t="s">
        <v>15270</v>
      </c>
      <c r="F8019" s="396" t="s">
        <v>15116</v>
      </c>
    </row>
    <row r="8020">
      <c r="A8020" s="311">
        <v>8019</v>
      </c>
      <c r="B8020" s="396" t="s">
        <v>15271</v>
      </c>
      <c r="C8020" s="396" t="s">
        <v>15272</v>
      </c>
      <c r="D8020" s="396" t="s">
        <v>15269</v>
      </c>
      <c r="E8020" s="396" t="s">
        <v>15270</v>
      </c>
      <c r="F8020" s="396" t="s">
        <v>15116</v>
      </c>
    </row>
    <row r="8021">
      <c r="A8021" s="311">
        <v>8020</v>
      </c>
      <c r="B8021" s="396" t="s">
        <v>15273</v>
      </c>
      <c r="C8021" s="396" t="s">
        <v>15274</v>
      </c>
      <c r="D8021" s="396" t="s">
        <v>15269</v>
      </c>
      <c r="E8021" s="396" t="s">
        <v>15270</v>
      </c>
      <c r="F8021" s="396" t="s">
        <v>15116</v>
      </c>
    </row>
    <row r="8022">
      <c r="A8022" s="311">
        <v>8021</v>
      </c>
      <c r="B8022" s="396" t="s">
        <v>15275</v>
      </c>
      <c r="C8022" s="396" t="s">
        <v>15276</v>
      </c>
      <c r="D8022" s="396" t="s">
        <v>15269</v>
      </c>
      <c r="E8022" s="396" t="s">
        <v>15270</v>
      </c>
      <c r="F8022" s="396" t="s">
        <v>15116</v>
      </c>
    </row>
    <row r="8023">
      <c r="A8023" s="311">
        <v>8022</v>
      </c>
      <c r="B8023" s="396" t="s">
        <v>15277</v>
      </c>
      <c r="C8023" s="396" t="s">
        <v>15278</v>
      </c>
      <c r="D8023" s="396" t="s">
        <v>15269</v>
      </c>
      <c r="E8023" s="396" t="s">
        <v>15270</v>
      </c>
      <c r="F8023" s="396" t="s">
        <v>15116</v>
      </c>
    </row>
    <row r="8024">
      <c r="A8024" s="311">
        <v>8023</v>
      </c>
      <c r="B8024" s="396" t="s">
        <v>15279</v>
      </c>
      <c r="C8024" s="396" t="s">
        <v>15280</v>
      </c>
      <c r="D8024" s="396" t="s">
        <v>15269</v>
      </c>
      <c r="E8024" s="396" t="s">
        <v>15270</v>
      </c>
      <c r="F8024" s="396" t="s">
        <v>15116</v>
      </c>
    </row>
    <row r="8025">
      <c r="A8025" s="311">
        <v>8024</v>
      </c>
      <c r="B8025" s="396" t="s">
        <v>15281</v>
      </c>
      <c r="C8025" s="396" t="s">
        <v>15282</v>
      </c>
      <c r="D8025" s="396" t="s">
        <v>15269</v>
      </c>
      <c r="E8025" s="396" t="s">
        <v>15270</v>
      </c>
      <c r="F8025" s="396" t="s">
        <v>15116</v>
      </c>
    </row>
    <row r="8026">
      <c r="A8026" s="311">
        <v>8025</v>
      </c>
      <c r="B8026" s="396" t="s">
        <v>15283</v>
      </c>
      <c r="C8026" s="396" t="s">
        <v>15284</v>
      </c>
      <c r="D8026" s="396" t="s">
        <v>15269</v>
      </c>
      <c r="E8026" s="396" t="s">
        <v>15270</v>
      </c>
      <c r="F8026" s="396" t="s">
        <v>15116</v>
      </c>
    </row>
    <row r="8027">
      <c r="A8027" s="311">
        <v>8026</v>
      </c>
      <c r="B8027" s="396" t="s">
        <v>15285</v>
      </c>
      <c r="C8027" s="396" t="s">
        <v>15286</v>
      </c>
      <c r="D8027" s="396" t="s">
        <v>15269</v>
      </c>
      <c r="E8027" s="396" t="s">
        <v>15270</v>
      </c>
      <c r="F8027" s="396" t="s">
        <v>15116</v>
      </c>
    </row>
    <row r="8028">
      <c r="A8028" s="311">
        <v>8027</v>
      </c>
      <c r="B8028" s="396" t="s">
        <v>15287</v>
      </c>
      <c r="C8028" s="396" t="s">
        <v>15288</v>
      </c>
      <c r="D8028" s="396" t="s">
        <v>15269</v>
      </c>
      <c r="E8028" s="396" t="s">
        <v>15270</v>
      </c>
      <c r="F8028" s="396" t="s">
        <v>15116</v>
      </c>
    </row>
    <row r="8029">
      <c r="A8029" s="311">
        <v>8028</v>
      </c>
      <c r="B8029" s="396" t="s">
        <v>15289</v>
      </c>
      <c r="C8029" s="396" t="s">
        <v>15290</v>
      </c>
      <c r="D8029" s="396" t="s">
        <v>15269</v>
      </c>
      <c r="E8029" s="396" t="s">
        <v>15270</v>
      </c>
      <c r="F8029" s="396" t="s">
        <v>15116</v>
      </c>
    </row>
    <row r="8030">
      <c r="A8030" s="311">
        <v>8029</v>
      </c>
      <c r="B8030" s="396" t="s">
        <v>15291</v>
      </c>
      <c r="C8030" s="396" t="s">
        <v>15292</v>
      </c>
      <c r="D8030" s="396" t="s">
        <v>15293</v>
      </c>
      <c r="E8030" s="396" t="s">
        <v>15294</v>
      </c>
      <c r="F8030" s="396" t="s">
        <v>15116</v>
      </c>
    </row>
    <row r="8031">
      <c r="A8031" s="311">
        <v>8030</v>
      </c>
      <c r="B8031" s="396" t="s">
        <v>15295</v>
      </c>
      <c r="C8031" s="396" t="s">
        <v>15296</v>
      </c>
      <c r="D8031" s="396" t="s">
        <v>15293</v>
      </c>
      <c r="E8031" s="396" t="s">
        <v>15294</v>
      </c>
      <c r="F8031" s="396" t="s">
        <v>15116</v>
      </c>
    </row>
    <row r="8032">
      <c r="A8032" s="311">
        <v>8031</v>
      </c>
      <c r="B8032" s="396" t="s">
        <v>15297</v>
      </c>
      <c r="C8032" s="396" t="s">
        <v>15298</v>
      </c>
      <c r="D8032" s="396" t="s">
        <v>15293</v>
      </c>
      <c r="E8032" s="396" t="s">
        <v>15294</v>
      </c>
      <c r="F8032" s="396" t="s">
        <v>15116</v>
      </c>
    </row>
    <row r="8033">
      <c r="A8033" s="311">
        <v>8032</v>
      </c>
      <c r="B8033" s="396" t="s">
        <v>15299</v>
      </c>
      <c r="C8033" s="396" t="s">
        <v>15300</v>
      </c>
      <c r="D8033" s="396" t="s">
        <v>15293</v>
      </c>
      <c r="E8033" s="396" t="s">
        <v>15294</v>
      </c>
      <c r="F8033" s="396" t="s">
        <v>15116</v>
      </c>
    </row>
    <row r="8034">
      <c r="A8034" s="311">
        <v>8033</v>
      </c>
      <c r="B8034" s="396" t="s">
        <v>15301</v>
      </c>
      <c r="C8034" s="396" t="s">
        <v>15302</v>
      </c>
      <c r="D8034" s="396" t="s">
        <v>15293</v>
      </c>
      <c r="E8034" s="396" t="s">
        <v>15294</v>
      </c>
      <c r="F8034" s="396" t="s">
        <v>15116</v>
      </c>
    </row>
    <row r="8035">
      <c r="A8035" s="311">
        <v>8034</v>
      </c>
      <c r="B8035" s="396" t="s">
        <v>15303</v>
      </c>
      <c r="C8035" s="396" t="s">
        <v>15304</v>
      </c>
      <c r="D8035" s="396" t="s">
        <v>15293</v>
      </c>
      <c r="E8035" s="396" t="s">
        <v>15294</v>
      </c>
      <c r="F8035" s="396" t="s">
        <v>15116</v>
      </c>
    </row>
    <row r="8036">
      <c r="A8036" s="311">
        <v>8035</v>
      </c>
      <c r="B8036" s="396" t="s">
        <v>15305</v>
      </c>
      <c r="C8036" s="396" t="s">
        <v>15306</v>
      </c>
      <c r="D8036" s="396" t="s">
        <v>15293</v>
      </c>
      <c r="E8036" s="396" t="s">
        <v>15294</v>
      </c>
      <c r="F8036" s="396" t="s">
        <v>15116</v>
      </c>
    </row>
    <row r="8037">
      <c r="A8037" s="311">
        <v>8036</v>
      </c>
      <c r="B8037" s="396" t="s">
        <v>15307</v>
      </c>
      <c r="C8037" s="396" t="s">
        <v>15308</v>
      </c>
      <c r="D8037" s="396" t="s">
        <v>15293</v>
      </c>
      <c r="E8037" s="396" t="s">
        <v>15294</v>
      </c>
      <c r="F8037" s="396" t="s">
        <v>15116</v>
      </c>
    </row>
    <row r="8038">
      <c r="A8038" s="311">
        <v>8037</v>
      </c>
      <c r="B8038" s="396" t="s">
        <v>15309</v>
      </c>
      <c r="C8038" s="396" t="s">
        <v>15310</v>
      </c>
      <c r="D8038" s="396" t="s">
        <v>15293</v>
      </c>
      <c r="E8038" s="396" t="s">
        <v>15294</v>
      </c>
      <c r="F8038" s="396" t="s">
        <v>15116</v>
      </c>
    </row>
    <row r="8039">
      <c r="A8039" s="311">
        <v>8038</v>
      </c>
      <c r="B8039" s="396" t="s">
        <v>15311</v>
      </c>
      <c r="C8039" s="396" t="s">
        <v>15312</v>
      </c>
      <c r="D8039" s="396" t="s">
        <v>15293</v>
      </c>
      <c r="E8039" s="396" t="s">
        <v>15294</v>
      </c>
      <c r="F8039" s="396" t="s">
        <v>15116</v>
      </c>
    </row>
    <row r="8040">
      <c r="A8040" s="311">
        <v>8039</v>
      </c>
      <c r="B8040" s="396" t="s">
        <v>15313</v>
      </c>
      <c r="C8040" s="396" t="s">
        <v>15314</v>
      </c>
      <c r="D8040" s="396" t="s">
        <v>15293</v>
      </c>
      <c r="E8040" s="396" t="s">
        <v>15294</v>
      </c>
      <c r="F8040" s="396" t="s">
        <v>15116</v>
      </c>
    </row>
    <row r="8041">
      <c r="A8041" s="311">
        <v>8040</v>
      </c>
      <c r="B8041" s="396" t="s">
        <v>15315</v>
      </c>
      <c r="C8041" s="396" t="s">
        <v>15316</v>
      </c>
      <c r="D8041" s="396" t="s">
        <v>15317</v>
      </c>
      <c r="E8041" s="396" t="s">
        <v>15318</v>
      </c>
      <c r="F8041" s="396" t="s">
        <v>15116</v>
      </c>
    </row>
    <row r="8042">
      <c r="A8042" s="311">
        <v>8041</v>
      </c>
      <c r="B8042" s="396" t="s">
        <v>15319</v>
      </c>
      <c r="C8042" s="396" t="s">
        <v>15320</v>
      </c>
      <c r="D8042" s="396" t="s">
        <v>15317</v>
      </c>
      <c r="E8042" s="396" t="s">
        <v>15318</v>
      </c>
      <c r="F8042" s="396" t="s">
        <v>15116</v>
      </c>
    </row>
    <row r="8043">
      <c r="A8043" s="311">
        <v>8042</v>
      </c>
      <c r="B8043" s="396" t="s">
        <v>15321</v>
      </c>
      <c r="C8043" s="396" t="s">
        <v>15322</v>
      </c>
      <c r="D8043" s="396" t="s">
        <v>15317</v>
      </c>
      <c r="E8043" s="396" t="s">
        <v>15318</v>
      </c>
      <c r="F8043" s="396" t="s">
        <v>15116</v>
      </c>
    </row>
    <row r="8044">
      <c r="A8044" s="311">
        <v>8043</v>
      </c>
      <c r="B8044" s="396" t="s">
        <v>15323</v>
      </c>
      <c r="C8044" s="396" t="s">
        <v>15324</v>
      </c>
      <c r="D8044" s="396" t="s">
        <v>15325</v>
      </c>
      <c r="E8044" s="396" t="s">
        <v>15326</v>
      </c>
      <c r="F8044" s="396" t="s">
        <v>15327</v>
      </c>
    </row>
    <row r="8045">
      <c r="A8045" s="311">
        <v>8044</v>
      </c>
      <c r="B8045" s="396" t="s">
        <v>15328</v>
      </c>
      <c r="C8045" s="396" t="s">
        <v>15329</v>
      </c>
      <c r="D8045" s="396" t="s">
        <v>15325</v>
      </c>
      <c r="E8045" s="396" t="s">
        <v>15326</v>
      </c>
      <c r="F8045" s="396" t="s">
        <v>15327</v>
      </c>
    </row>
    <row r="8046">
      <c r="A8046" s="311">
        <v>8045</v>
      </c>
      <c r="B8046" s="396" t="s">
        <v>15330</v>
      </c>
      <c r="C8046" s="396" t="s">
        <v>15331</v>
      </c>
      <c r="D8046" s="396" t="s">
        <v>15325</v>
      </c>
      <c r="E8046" s="396" t="s">
        <v>15326</v>
      </c>
      <c r="F8046" s="396" t="s">
        <v>15327</v>
      </c>
    </row>
    <row r="8047">
      <c r="A8047" s="311">
        <v>8046</v>
      </c>
      <c r="B8047" s="396" t="s">
        <v>15332</v>
      </c>
      <c r="C8047" s="396" t="s">
        <v>15333</v>
      </c>
      <c r="D8047" s="396" t="s">
        <v>15325</v>
      </c>
      <c r="E8047" s="396" t="s">
        <v>15326</v>
      </c>
      <c r="F8047" s="396" t="s">
        <v>15327</v>
      </c>
    </row>
    <row r="8048">
      <c r="A8048" s="311">
        <v>8047</v>
      </c>
      <c r="B8048" s="396" t="s">
        <v>15334</v>
      </c>
      <c r="C8048" s="396" t="s">
        <v>15335</v>
      </c>
      <c r="D8048" s="396" t="s">
        <v>15325</v>
      </c>
      <c r="E8048" s="396" t="s">
        <v>15326</v>
      </c>
      <c r="F8048" s="396" t="s">
        <v>15327</v>
      </c>
    </row>
    <row r="8049">
      <c r="A8049" s="311">
        <v>8048</v>
      </c>
      <c r="B8049" s="396" t="s">
        <v>15336</v>
      </c>
      <c r="C8049" s="396" t="s">
        <v>15337</v>
      </c>
      <c r="D8049" s="396" t="s">
        <v>15325</v>
      </c>
      <c r="E8049" s="396" t="s">
        <v>15326</v>
      </c>
      <c r="F8049" s="396" t="s">
        <v>15327</v>
      </c>
    </row>
    <row r="8050">
      <c r="A8050" s="311">
        <v>8049</v>
      </c>
      <c r="B8050" s="396" t="s">
        <v>15338</v>
      </c>
      <c r="C8050" s="396" t="s">
        <v>15339</v>
      </c>
      <c r="D8050" s="396" t="s">
        <v>15325</v>
      </c>
      <c r="E8050" s="396" t="s">
        <v>15326</v>
      </c>
      <c r="F8050" s="396" t="s">
        <v>15327</v>
      </c>
    </row>
    <row r="8051">
      <c r="A8051" s="311">
        <v>8050</v>
      </c>
      <c r="B8051" s="396" t="s">
        <v>15340</v>
      </c>
      <c r="C8051" s="396" t="s">
        <v>9415</v>
      </c>
      <c r="D8051" s="396" t="s">
        <v>15325</v>
      </c>
      <c r="E8051" s="396" t="s">
        <v>15326</v>
      </c>
      <c r="F8051" s="396" t="s">
        <v>15327</v>
      </c>
    </row>
    <row r="8052">
      <c r="A8052" s="311">
        <v>8051</v>
      </c>
      <c r="B8052" s="396" t="s">
        <v>15341</v>
      </c>
      <c r="C8052" s="396" t="s">
        <v>2579</v>
      </c>
      <c r="D8052" s="396" t="s">
        <v>15325</v>
      </c>
      <c r="E8052" s="396" t="s">
        <v>15326</v>
      </c>
      <c r="F8052" s="396" t="s">
        <v>15327</v>
      </c>
    </row>
    <row r="8053">
      <c r="A8053" s="311">
        <v>8052</v>
      </c>
      <c r="B8053" s="396" t="s">
        <v>15342</v>
      </c>
      <c r="C8053" s="396" t="s">
        <v>6641</v>
      </c>
      <c r="D8053" s="396" t="s">
        <v>15325</v>
      </c>
      <c r="E8053" s="396" t="s">
        <v>15326</v>
      </c>
      <c r="F8053" s="396" t="s">
        <v>15327</v>
      </c>
    </row>
    <row r="8054">
      <c r="A8054" s="311">
        <v>8053</v>
      </c>
      <c r="B8054" s="396" t="s">
        <v>15343</v>
      </c>
      <c r="C8054" s="396" t="s">
        <v>15344</v>
      </c>
      <c r="D8054" s="396" t="s">
        <v>15325</v>
      </c>
      <c r="E8054" s="396" t="s">
        <v>15326</v>
      </c>
      <c r="F8054" s="396" t="s">
        <v>15327</v>
      </c>
    </row>
    <row r="8055">
      <c r="A8055" s="311">
        <v>8054</v>
      </c>
      <c r="B8055" s="396" t="s">
        <v>15345</v>
      </c>
      <c r="C8055" s="396" t="s">
        <v>4635</v>
      </c>
      <c r="D8055" s="396" t="s">
        <v>15325</v>
      </c>
      <c r="E8055" s="396" t="s">
        <v>15326</v>
      </c>
      <c r="F8055" s="396" t="s">
        <v>15327</v>
      </c>
    </row>
    <row r="8056">
      <c r="A8056" s="311">
        <v>8055</v>
      </c>
      <c r="B8056" s="396" t="s">
        <v>15346</v>
      </c>
      <c r="C8056" s="396" t="s">
        <v>15347</v>
      </c>
      <c r="D8056" s="396" t="s">
        <v>15325</v>
      </c>
      <c r="E8056" s="396" t="s">
        <v>15326</v>
      </c>
      <c r="F8056" s="396" t="s">
        <v>15327</v>
      </c>
    </row>
    <row r="8057">
      <c r="A8057" s="311">
        <v>8056</v>
      </c>
      <c r="B8057" s="396" t="s">
        <v>15348</v>
      </c>
      <c r="C8057" s="396" t="s">
        <v>4920</v>
      </c>
      <c r="D8057" s="396" t="s">
        <v>15325</v>
      </c>
      <c r="E8057" s="396" t="s">
        <v>15326</v>
      </c>
      <c r="F8057" s="396" t="s">
        <v>15327</v>
      </c>
    </row>
    <row r="8058">
      <c r="A8058" s="311">
        <v>8057</v>
      </c>
      <c r="B8058" s="396" t="s">
        <v>15349</v>
      </c>
      <c r="C8058" s="396" t="s">
        <v>15350</v>
      </c>
      <c r="D8058" s="396" t="s">
        <v>15325</v>
      </c>
      <c r="E8058" s="396" t="s">
        <v>15326</v>
      </c>
      <c r="F8058" s="396" t="s">
        <v>15327</v>
      </c>
    </row>
    <row r="8059">
      <c r="A8059" s="311">
        <v>8058</v>
      </c>
      <c r="B8059" s="396" t="s">
        <v>15351</v>
      </c>
      <c r="C8059" s="396" t="s">
        <v>15352</v>
      </c>
      <c r="D8059" s="396" t="s">
        <v>15325</v>
      </c>
      <c r="E8059" s="396" t="s">
        <v>15326</v>
      </c>
      <c r="F8059" s="396" t="s">
        <v>15327</v>
      </c>
    </row>
    <row r="8060">
      <c r="A8060" s="311">
        <v>8059</v>
      </c>
      <c r="B8060" s="396" t="s">
        <v>15353</v>
      </c>
      <c r="C8060" s="396" t="s">
        <v>2206</v>
      </c>
      <c r="D8060" s="396" t="s">
        <v>15325</v>
      </c>
      <c r="E8060" s="396" t="s">
        <v>15326</v>
      </c>
      <c r="F8060" s="396" t="s">
        <v>15327</v>
      </c>
    </row>
    <row r="8061">
      <c r="A8061" s="311">
        <v>8060</v>
      </c>
      <c r="B8061" s="396" t="s">
        <v>15354</v>
      </c>
      <c r="C8061" s="396" t="s">
        <v>15355</v>
      </c>
      <c r="D8061" s="396" t="s">
        <v>15325</v>
      </c>
      <c r="E8061" s="396" t="s">
        <v>15326</v>
      </c>
      <c r="F8061" s="396" t="s">
        <v>15327</v>
      </c>
    </row>
    <row r="8062">
      <c r="A8062" s="311">
        <v>8061</v>
      </c>
      <c r="B8062" s="396" t="s">
        <v>15356</v>
      </c>
      <c r="C8062" s="396" t="s">
        <v>15357</v>
      </c>
      <c r="D8062" s="396" t="s">
        <v>15325</v>
      </c>
      <c r="E8062" s="396" t="s">
        <v>15326</v>
      </c>
      <c r="F8062" s="396" t="s">
        <v>15327</v>
      </c>
    </row>
    <row r="8063">
      <c r="A8063" s="311">
        <v>8062</v>
      </c>
      <c r="B8063" s="396" t="s">
        <v>15358</v>
      </c>
      <c r="C8063" s="396" t="s">
        <v>1220</v>
      </c>
      <c r="D8063" s="396" t="s">
        <v>15325</v>
      </c>
      <c r="E8063" s="396" t="s">
        <v>15326</v>
      </c>
      <c r="F8063" s="396" t="s">
        <v>15327</v>
      </c>
    </row>
    <row r="8064">
      <c r="A8064" s="311">
        <v>8063</v>
      </c>
      <c r="B8064" s="396" t="s">
        <v>15359</v>
      </c>
      <c r="C8064" s="396" t="s">
        <v>14708</v>
      </c>
      <c r="D8064" s="396" t="s">
        <v>15325</v>
      </c>
      <c r="E8064" s="396" t="s">
        <v>15326</v>
      </c>
      <c r="F8064" s="396" t="s">
        <v>15327</v>
      </c>
    </row>
    <row r="8065">
      <c r="A8065" s="311">
        <v>8064</v>
      </c>
      <c r="B8065" s="396" t="s">
        <v>15360</v>
      </c>
      <c r="C8065" s="396" t="s">
        <v>15361</v>
      </c>
      <c r="D8065" s="396" t="s">
        <v>15325</v>
      </c>
      <c r="E8065" s="396" t="s">
        <v>15326</v>
      </c>
      <c r="F8065" s="396" t="s">
        <v>15327</v>
      </c>
    </row>
    <row r="8066">
      <c r="A8066" s="311">
        <v>8065</v>
      </c>
      <c r="B8066" s="396" t="s">
        <v>15362</v>
      </c>
      <c r="C8066" s="396" t="s">
        <v>15363</v>
      </c>
      <c r="D8066" s="396" t="s">
        <v>15325</v>
      </c>
      <c r="E8066" s="396" t="s">
        <v>15326</v>
      </c>
      <c r="F8066" s="396" t="s">
        <v>15327</v>
      </c>
    </row>
    <row r="8067">
      <c r="A8067" s="311">
        <v>8066</v>
      </c>
      <c r="B8067" s="396" t="s">
        <v>15364</v>
      </c>
      <c r="C8067" s="396" t="s">
        <v>15365</v>
      </c>
      <c r="D8067" s="396" t="s">
        <v>15366</v>
      </c>
      <c r="E8067" s="396" t="s">
        <v>15367</v>
      </c>
      <c r="F8067" s="396" t="s">
        <v>15327</v>
      </c>
    </row>
    <row r="8068">
      <c r="A8068" s="311">
        <v>8067</v>
      </c>
      <c r="B8068" s="396" t="s">
        <v>15368</v>
      </c>
      <c r="C8068" s="396" t="s">
        <v>9415</v>
      </c>
      <c r="D8068" s="396" t="s">
        <v>15366</v>
      </c>
      <c r="E8068" s="396" t="s">
        <v>15367</v>
      </c>
      <c r="F8068" s="396" t="s">
        <v>15327</v>
      </c>
    </row>
    <row r="8069">
      <c r="A8069" s="311">
        <v>8068</v>
      </c>
      <c r="B8069" s="396" t="s">
        <v>15369</v>
      </c>
      <c r="C8069" s="396" t="s">
        <v>13138</v>
      </c>
      <c r="D8069" s="396" t="s">
        <v>15366</v>
      </c>
      <c r="E8069" s="396" t="s">
        <v>15367</v>
      </c>
      <c r="F8069" s="396" t="s">
        <v>15327</v>
      </c>
    </row>
    <row r="8070">
      <c r="A8070" s="311">
        <v>8069</v>
      </c>
      <c r="B8070" s="396" t="s">
        <v>15370</v>
      </c>
      <c r="C8070" s="396" t="s">
        <v>15371</v>
      </c>
      <c r="D8070" s="396" t="s">
        <v>15366</v>
      </c>
      <c r="E8070" s="396" t="s">
        <v>15367</v>
      </c>
      <c r="F8070" s="396" t="s">
        <v>15327</v>
      </c>
    </row>
    <row r="8071">
      <c r="A8071" s="311">
        <v>8070</v>
      </c>
      <c r="B8071" s="396" t="s">
        <v>15372</v>
      </c>
      <c r="C8071" s="396" t="s">
        <v>15373</v>
      </c>
      <c r="D8071" s="396" t="s">
        <v>15366</v>
      </c>
      <c r="E8071" s="396" t="s">
        <v>15367</v>
      </c>
      <c r="F8071" s="396" t="s">
        <v>15327</v>
      </c>
    </row>
    <row r="8072">
      <c r="A8072" s="311">
        <v>8071</v>
      </c>
      <c r="B8072" s="396" t="s">
        <v>15374</v>
      </c>
      <c r="C8072" s="396" t="s">
        <v>6381</v>
      </c>
      <c r="D8072" s="396" t="s">
        <v>15366</v>
      </c>
      <c r="E8072" s="396" t="s">
        <v>15367</v>
      </c>
      <c r="F8072" s="396" t="s">
        <v>15327</v>
      </c>
    </row>
    <row r="8073">
      <c r="A8073" s="311">
        <v>8072</v>
      </c>
      <c r="B8073" s="396" t="s">
        <v>15375</v>
      </c>
      <c r="C8073" s="396" t="s">
        <v>15376</v>
      </c>
      <c r="D8073" s="396" t="s">
        <v>15366</v>
      </c>
      <c r="E8073" s="396" t="s">
        <v>15367</v>
      </c>
      <c r="F8073" s="396" t="s">
        <v>15327</v>
      </c>
    </row>
    <row r="8074">
      <c r="A8074" s="311">
        <v>8073</v>
      </c>
      <c r="B8074" s="396" t="s">
        <v>15377</v>
      </c>
      <c r="C8074" s="396" t="s">
        <v>15378</v>
      </c>
      <c r="D8074" s="396" t="s">
        <v>15366</v>
      </c>
      <c r="E8074" s="396" t="s">
        <v>15367</v>
      </c>
      <c r="F8074" s="396" t="s">
        <v>15327</v>
      </c>
    </row>
    <row r="8075">
      <c r="A8075" s="311">
        <v>8074</v>
      </c>
      <c r="B8075" s="396" t="s">
        <v>15379</v>
      </c>
      <c r="C8075" s="396" t="s">
        <v>8735</v>
      </c>
      <c r="D8075" s="396" t="s">
        <v>15366</v>
      </c>
      <c r="E8075" s="396" t="s">
        <v>15367</v>
      </c>
      <c r="F8075" s="396" t="s">
        <v>15327</v>
      </c>
    </row>
    <row r="8076">
      <c r="A8076" s="311">
        <v>8075</v>
      </c>
      <c r="B8076" s="396" t="s">
        <v>15380</v>
      </c>
      <c r="C8076" s="396" t="s">
        <v>13981</v>
      </c>
      <c r="D8076" s="396" t="s">
        <v>15366</v>
      </c>
      <c r="E8076" s="396" t="s">
        <v>15367</v>
      </c>
      <c r="F8076" s="396" t="s">
        <v>15327</v>
      </c>
    </row>
    <row r="8077">
      <c r="A8077" s="311">
        <v>8076</v>
      </c>
      <c r="B8077" s="396" t="s">
        <v>15381</v>
      </c>
      <c r="C8077" s="396" t="s">
        <v>9998</v>
      </c>
      <c r="D8077" s="396" t="s">
        <v>15366</v>
      </c>
      <c r="E8077" s="396" t="s">
        <v>15367</v>
      </c>
      <c r="F8077" s="396" t="s">
        <v>15327</v>
      </c>
    </row>
    <row r="8078">
      <c r="A8078" s="311">
        <v>8077</v>
      </c>
      <c r="B8078" s="396" t="s">
        <v>15382</v>
      </c>
      <c r="C8078" s="396" t="s">
        <v>15383</v>
      </c>
      <c r="D8078" s="396" t="s">
        <v>15384</v>
      </c>
      <c r="E8078" s="396" t="s">
        <v>15385</v>
      </c>
      <c r="F8078" s="396" t="s">
        <v>15327</v>
      </c>
    </row>
    <row r="8079">
      <c r="A8079" s="311">
        <v>8078</v>
      </c>
      <c r="B8079" s="396" t="s">
        <v>15386</v>
      </c>
      <c r="C8079" s="396" t="s">
        <v>15387</v>
      </c>
      <c r="D8079" s="396" t="s">
        <v>15384</v>
      </c>
      <c r="E8079" s="396" t="s">
        <v>15385</v>
      </c>
      <c r="F8079" s="396" t="s">
        <v>15327</v>
      </c>
    </row>
    <row r="8080">
      <c r="A8080" s="311">
        <v>8079</v>
      </c>
      <c r="B8080" s="396" t="s">
        <v>15388</v>
      </c>
      <c r="C8080" s="396" t="s">
        <v>3178</v>
      </c>
      <c r="D8080" s="396" t="s">
        <v>15384</v>
      </c>
      <c r="E8080" s="396" t="s">
        <v>15385</v>
      </c>
      <c r="F8080" s="396" t="s">
        <v>15327</v>
      </c>
    </row>
    <row r="8081">
      <c r="A8081" s="311">
        <v>8080</v>
      </c>
      <c r="B8081" s="396" t="s">
        <v>15389</v>
      </c>
      <c r="C8081" s="396" t="s">
        <v>15390</v>
      </c>
      <c r="D8081" s="396" t="s">
        <v>15384</v>
      </c>
      <c r="E8081" s="396" t="s">
        <v>15385</v>
      </c>
      <c r="F8081" s="396" t="s">
        <v>15327</v>
      </c>
    </row>
    <row r="8082">
      <c r="A8082" s="311">
        <v>8081</v>
      </c>
      <c r="B8082" s="396" t="s">
        <v>15391</v>
      </c>
      <c r="C8082" s="396" t="s">
        <v>15392</v>
      </c>
      <c r="D8082" s="396" t="s">
        <v>15384</v>
      </c>
      <c r="E8082" s="396" t="s">
        <v>15385</v>
      </c>
      <c r="F8082" s="396" t="s">
        <v>15327</v>
      </c>
    </row>
    <row r="8083">
      <c r="A8083" s="311">
        <v>8082</v>
      </c>
      <c r="B8083" s="396" t="s">
        <v>15393</v>
      </c>
      <c r="C8083" s="396" t="s">
        <v>15394</v>
      </c>
      <c r="D8083" s="396" t="s">
        <v>15384</v>
      </c>
      <c r="E8083" s="396" t="s">
        <v>15385</v>
      </c>
      <c r="F8083" s="396" t="s">
        <v>15327</v>
      </c>
    </row>
    <row r="8084">
      <c r="A8084" s="311">
        <v>8083</v>
      </c>
      <c r="B8084" s="396" t="s">
        <v>15395</v>
      </c>
      <c r="C8084" s="396" t="s">
        <v>15396</v>
      </c>
      <c r="D8084" s="396" t="s">
        <v>15384</v>
      </c>
      <c r="E8084" s="396" t="s">
        <v>15385</v>
      </c>
      <c r="F8084" s="396" t="s">
        <v>15327</v>
      </c>
    </row>
    <row r="8085">
      <c r="A8085" s="311">
        <v>8084</v>
      </c>
      <c r="B8085" s="396" t="s">
        <v>15397</v>
      </c>
      <c r="C8085" s="396" t="s">
        <v>15398</v>
      </c>
      <c r="D8085" s="396" t="s">
        <v>15384</v>
      </c>
      <c r="E8085" s="396" t="s">
        <v>15385</v>
      </c>
      <c r="F8085" s="396" t="s">
        <v>15327</v>
      </c>
    </row>
    <row r="8086">
      <c r="A8086" s="311">
        <v>8085</v>
      </c>
      <c r="B8086" s="396" t="s">
        <v>15399</v>
      </c>
      <c r="C8086" s="396" t="s">
        <v>15400</v>
      </c>
      <c r="D8086" s="396" t="s">
        <v>15401</v>
      </c>
      <c r="E8086" s="396" t="s">
        <v>15402</v>
      </c>
      <c r="F8086" s="396" t="s">
        <v>15327</v>
      </c>
    </row>
    <row r="8087">
      <c r="A8087" s="311">
        <v>8086</v>
      </c>
      <c r="B8087" s="396" t="s">
        <v>15403</v>
      </c>
      <c r="C8087" s="396" t="s">
        <v>15404</v>
      </c>
      <c r="D8087" s="396" t="s">
        <v>15401</v>
      </c>
      <c r="E8087" s="396" t="s">
        <v>15402</v>
      </c>
      <c r="F8087" s="396" t="s">
        <v>15327</v>
      </c>
    </row>
    <row r="8088">
      <c r="A8088" s="311">
        <v>8087</v>
      </c>
      <c r="B8088" s="396" t="s">
        <v>15405</v>
      </c>
      <c r="C8088" s="396" t="s">
        <v>15406</v>
      </c>
      <c r="D8088" s="396" t="s">
        <v>15401</v>
      </c>
      <c r="E8088" s="396" t="s">
        <v>15402</v>
      </c>
      <c r="F8088" s="396" t="s">
        <v>15327</v>
      </c>
    </row>
    <row r="8089">
      <c r="A8089" s="311">
        <v>8088</v>
      </c>
      <c r="B8089" s="396" t="s">
        <v>15407</v>
      </c>
      <c r="C8089" s="396" t="s">
        <v>15408</v>
      </c>
      <c r="D8089" s="396" t="s">
        <v>15401</v>
      </c>
      <c r="E8089" s="396" t="s">
        <v>15402</v>
      </c>
      <c r="F8089" s="396" t="s">
        <v>15327</v>
      </c>
    </row>
    <row r="8090">
      <c r="A8090" s="311">
        <v>8089</v>
      </c>
      <c r="B8090" s="396" t="s">
        <v>15409</v>
      </c>
      <c r="C8090" s="396" t="s">
        <v>15410</v>
      </c>
      <c r="D8090" s="396" t="s">
        <v>15401</v>
      </c>
      <c r="E8090" s="396" t="s">
        <v>15402</v>
      </c>
      <c r="F8090" s="396" t="s">
        <v>15327</v>
      </c>
    </row>
    <row r="8091">
      <c r="A8091" s="311">
        <v>8090</v>
      </c>
      <c r="B8091" s="396" t="s">
        <v>15411</v>
      </c>
      <c r="C8091" s="396" t="s">
        <v>15412</v>
      </c>
      <c r="D8091" s="396" t="s">
        <v>15401</v>
      </c>
      <c r="E8091" s="396" t="s">
        <v>15402</v>
      </c>
      <c r="F8091" s="396" t="s">
        <v>15327</v>
      </c>
    </row>
    <row r="8092">
      <c r="A8092" s="311">
        <v>8091</v>
      </c>
      <c r="B8092" s="396" t="s">
        <v>15413</v>
      </c>
      <c r="C8092" s="396" t="s">
        <v>15414</v>
      </c>
      <c r="D8092" s="396" t="s">
        <v>15401</v>
      </c>
      <c r="E8092" s="396" t="s">
        <v>15402</v>
      </c>
      <c r="F8092" s="396" t="s">
        <v>15327</v>
      </c>
    </row>
    <row r="8093">
      <c r="A8093" s="311">
        <v>8092</v>
      </c>
      <c r="B8093" s="396" t="s">
        <v>15415</v>
      </c>
      <c r="C8093" s="396" t="s">
        <v>15416</v>
      </c>
      <c r="D8093" s="396" t="s">
        <v>15401</v>
      </c>
      <c r="E8093" s="396" t="s">
        <v>15402</v>
      </c>
      <c r="F8093" s="396" t="s">
        <v>15327</v>
      </c>
    </row>
    <row r="8094">
      <c r="A8094" s="311">
        <v>8093</v>
      </c>
      <c r="B8094" s="396" t="s">
        <v>15417</v>
      </c>
      <c r="C8094" s="396" t="s">
        <v>15418</v>
      </c>
      <c r="D8094" s="396" t="s">
        <v>15401</v>
      </c>
      <c r="E8094" s="396" t="s">
        <v>15402</v>
      </c>
      <c r="F8094" s="396" t="s">
        <v>15327</v>
      </c>
    </row>
    <row r="8095">
      <c r="A8095" s="311">
        <v>8094</v>
      </c>
      <c r="B8095" s="396" t="s">
        <v>15419</v>
      </c>
      <c r="C8095" s="396" t="s">
        <v>3863</v>
      </c>
      <c r="D8095" s="396" t="s">
        <v>15401</v>
      </c>
      <c r="E8095" s="396" t="s">
        <v>15402</v>
      </c>
      <c r="F8095" s="396" t="s">
        <v>15327</v>
      </c>
    </row>
    <row r="8096">
      <c r="A8096" s="311">
        <v>8095</v>
      </c>
      <c r="B8096" s="396" t="s">
        <v>15420</v>
      </c>
      <c r="C8096" s="396" t="s">
        <v>15421</v>
      </c>
      <c r="D8096" s="396" t="s">
        <v>15401</v>
      </c>
      <c r="E8096" s="396" t="s">
        <v>15402</v>
      </c>
      <c r="F8096" s="396" t="s">
        <v>15327</v>
      </c>
    </row>
    <row r="8097">
      <c r="A8097" s="311">
        <v>8096</v>
      </c>
      <c r="B8097" s="396" t="s">
        <v>15422</v>
      </c>
      <c r="C8097" s="396" t="s">
        <v>15423</v>
      </c>
      <c r="D8097" s="396" t="s">
        <v>15401</v>
      </c>
      <c r="E8097" s="396" t="s">
        <v>15402</v>
      </c>
      <c r="F8097" s="396" t="s">
        <v>15327</v>
      </c>
    </row>
    <row r="8098">
      <c r="A8098" s="311">
        <v>8097</v>
      </c>
      <c r="B8098" s="396" t="s">
        <v>15424</v>
      </c>
      <c r="C8098" s="396" t="s">
        <v>15425</v>
      </c>
      <c r="D8098" s="396" t="s">
        <v>15401</v>
      </c>
      <c r="E8098" s="396" t="s">
        <v>15402</v>
      </c>
      <c r="F8098" s="396" t="s">
        <v>15327</v>
      </c>
    </row>
    <row r="8099">
      <c r="A8099" s="311">
        <v>8098</v>
      </c>
      <c r="B8099" s="396" t="s">
        <v>15426</v>
      </c>
      <c r="C8099" s="396" t="s">
        <v>15427</v>
      </c>
      <c r="D8099" s="396" t="s">
        <v>15401</v>
      </c>
      <c r="E8099" s="396" t="s">
        <v>15402</v>
      </c>
      <c r="F8099" s="396" t="s">
        <v>15327</v>
      </c>
    </row>
    <row r="8100">
      <c r="A8100" s="311">
        <v>8099</v>
      </c>
      <c r="B8100" s="396" t="s">
        <v>15428</v>
      </c>
      <c r="C8100" s="396" t="s">
        <v>15429</v>
      </c>
      <c r="D8100" s="396" t="s">
        <v>15430</v>
      </c>
      <c r="E8100" s="396" t="s">
        <v>15431</v>
      </c>
      <c r="F8100" s="396" t="s">
        <v>15327</v>
      </c>
    </row>
    <row r="8101">
      <c r="A8101" s="311">
        <v>8100</v>
      </c>
      <c r="B8101" s="396" t="s">
        <v>15432</v>
      </c>
      <c r="C8101" s="396" t="s">
        <v>10044</v>
      </c>
      <c r="D8101" s="396" t="s">
        <v>15430</v>
      </c>
      <c r="E8101" s="396" t="s">
        <v>15431</v>
      </c>
      <c r="F8101" s="396" t="s">
        <v>15327</v>
      </c>
    </row>
    <row r="8102">
      <c r="A8102" s="311">
        <v>8101</v>
      </c>
      <c r="B8102" s="396" t="s">
        <v>15433</v>
      </c>
      <c r="C8102" s="396" t="s">
        <v>15434</v>
      </c>
      <c r="D8102" s="396" t="s">
        <v>15430</v>
      </c>
      <c r="E8102" s="396" t="s">
        <v>15431</v>
      </c>
      <c r="F8102" s="396" t="s">
        <v>15327</v>
      </c>
    </row>
    <row r="8103">
      <c r="A8103" s="311">
        <v>8102</v>
      </c>
      <c r="B8103" s="396" t="s">
        <v>15435</v>
      </c>
      <c r="C8103" s="396" t="s">
        <v>15436</v>
      </c>
      <c r="D8103" s="396" t="s">
        <v>15430</v>
      </c>
      <c r="E8103" s="396" t="s">
        <v>15431</v>
      </c>
      <c r="F8103" s="396" t="s">
        <v>15327</v>
      </c>
    </row>
    <row r="8104">
      <c r="A8104" s="311">
        <v>8103</v>
      </c>
      <c r="B8104" s="396" t="s">
        <v>15437</v>
      </c>
      <c r="C8104" s="396" t="s">
        <v>15438</v>
      </c>
      <c r="D8104" s="396" t="s">
        <v>15430</v>
      </c>
      <c r="E8104" s="396" t="s">
        <v>15431</v>
      </c>
      <c r="F8104" s="396" t="s">
        <v>15327</v>
      </c>
    </row>
    <row r="8105">
      <c r="A8105" s="311">
        <v>8104</v>
      </c>
      <c r="B8105" s="396" t="s">
        <v>15439</v>
      </c>
      <c r="C8105" s="396" t="s">
        <v>15440</v>
      </c>
      <c r="D8105" s="396" t="s">
        <v>15430</v>
      </c>
      <c r="E8105" s="396" t="s">
        <v>15431</v>
      </c>
      <c r="F8105" s="396" t="s">
        <v>15327</v>
      </c>
    </row>
    <row r="8106">
      <c r="A8106" s="311">
        <v>8105</v>
      </c>
      <c r="B8106" s="396" t="s">
        <v>15441</v>
      </c>
      <c r="C8106" s="396" t="s">
        <v>15442</v>
      </c>
      <c r="D8106" s="396" t="s">
        <v>15430</v>
      </c>
      <c r="E8106" s="396" t="s">
        <v>15431</v>
      </c>
      <c r="F8106" s="396" t="s">
        <v>15327</v>
      </c>
    </row>
    <row r="8107">
      <c r="A8107" s="311">
        <v>8106</v>
      </c>
      <c r="B8107" s="396" t="s">
        <v>15443</v>
      </c>
      <c r="C8107" s="396" t="s">
        <v>15444</v>
      </c>
      <c r="D8107" s="396" t="s">
        <v>15430</v>
      </c>
      <c r="E8107" s="396" t="s">
        <v>15431</v>
      </c>
      <c r="F8107" s="396" t="s">
        <v>15327</v>
      </c>
    </row>
    <row r="8108">
      <c r="A8108" s="311">
        <v>8107</v>
      </c>
      <c r="B8108" s="396" t="s">
        <v>15445</v>
      </c>
      <c r="C8108" s="396" t="s">
        <v>15446</v>
      </c>
      <c r="D8108" s="396" t="s">
        <v>15430</v>
      </c>
      <c r="E8108" s="396" t="s">
        <v>15431</v>
      </c>
      <c r="F8108" s="396" t="s">
        <v>15327</v>
      </c>
    </row>
    <row r="8109">
      <c r="A8109" s="311">
        <v>8108</v>
      </c>
      <c r="B8109" s="396" t="s">
        <v>15447</v>
      </c>
      <c r="C8109" s="396" t="s">
        <v>15448</v>
      </c>
      <c r="D8109" s="396" t="s">
        <v>15430</v>
      </c>
      <c r="E8109" s="396" t="s">
        <v>15431</v>
      </c>
      <c r="F8109" s="396" t="s">
        <v>15327</v>
      </c>
    </row>
    <row r="8110">
      <c r="A8110" s="311">
        <v>8109</v>
      </c>
      <c r="B8110" s="396" t="s">
        <v>15449</v>
      </c>
      <c r="C8110" s="396" t="s">
        <v>5492</v>
      </c>
      <c r="D8110" s="396" t="s">
        <v>15430</v>
      </c>
      <c r="E8110" s="396" t="s">
        <v>15431</v>
      </c>
      <c r="F8110" s="396" t="s">
        <v>15327</v>
      </c>
    </row>
    <row r="8111">
      <c r="A8111" s="311">
        <v>8110</v>
      </c>
      <c r="B8111" s="396" t="s">
        <v>15450</v>
      </c>
      <c r="C8111" s="396" t="s">
        <v>15451</v>
      </c>
      <c r="D8111" s="396" t="s">
        <v>15430</v>
      </c>
      <c r="E8111" s="396" t="s">
        <v>15431</v>
      </c>
      <c r="F8111" s="396" t="s">
        <v>15327</v>
      </c>
    </row>
    <row r="8112">
      <c r="A8112" s="311">
        <v>8111</v>
      </c>
      <c r="B8112" s="396" t="s">
        <v>15452</v>
      </c>
      <c r="C8112" s="396" t="s">
        <v>15453</v>
      </c>
      <c r="D8112" s="396" t="s">
        <v>15430</v>
      </c>
      <c r="E8112" s="396" t="s">
        <v>15431</v>
      </c>
      <c r="F8112" s="396" t="s">
        <v>15327</v>
      </c>
    </row>
    <row r="8113">
      <c r="A8113" s="311">
        <v>8112</v>
      </c>
      <c r="B8113" s="396" t="s">
        <v>15454</v>
      </c>
      <c r="C8113" s="396" t="s">
        <v>15455</v>
      </c>
      <c r="D8113" s="396" t="s">
        <v>15430</v>
      </c>
      <c r="E8113" s="396" t="s">
        <v>15431</v>
      </c>
      <c r="F8113" s="396" t="s">
        <v>15327</v>
      </c>
    </row>
    <row r="8114">
      <c r="A8114" s="311">
        <v>8113</v>
      </c>
      <c r="B8114" s="396" t="s">
        <v>15456</v>
      </c>
      <c r="C8114" s="396" t="s">
        <v>15457</v>
      </c>
      <c r="D8114" s="396" t="s">
        <v>15430</v>
      </c>
      <c r="E8114" s="396" t="s">
        <v>15431</v>
      </c>
      <c r="F8114" s="396" t="s">
        <v>15327</v>
      </c>
    </row>
    <row r="8115">
      <c r="A8115" s="311">
        <v>8114</v>
      </c>
      <c r="B8115" s="396" t="s">
        <v>15458</v>
      </c>
      <c r="C8115" s="396" t="s">
        <v>15459</v>
      </c>
      <c r="D8115" s="396" t="s">
        <v>15430</v>
      </c>
      <c r="E8115" s="396" t="s">
        <v>15431</v>
      </c>
      <c r="F8115" s="396" t="s">
        <v>15327</v>
      </c>
    </row>
    <row r="8116">
      <c r="A8116" s="311">
        <v>8115</v>
      </c>
      <c r="B8116" s="396" t="s">
        <v>15460</v>
      </c>
      <c r="C8116" s="396" t="s">
        <v>15461</v>
      </c>
      <c r="D8116" s="396" t="s">
        <v>15430</v>
      </c>
      <c r="E8116" s="396" t="s">
        <v>15431</v>
      </c>
      <c r="F8116" s="396" t="s">
        <v>15327</v>
      </c>
    </row>
    <row r="8117">
      <c r="A8117" s="311">
        <v>8116</v>
      </c>
      <c r="B8117" s="396" t="s">
        <v>15462</v>
      </c>
      <c r="C8117" s="396" t="s">
        <v>15463</v>
      </c>
      <c r="D8117" s="396" t="s">
        <v>15464</v>
      </c>
      <c r="E8117" s="396" t="s">
        <v>15465</v>
      </c>
      <c r="F8117" s="396" t="s">
        <v>15327</v>
      </c>
    </row>
    <row r="8118">
      <c r="A8118" s="311">
        <v>8117</v>
      </c>
      <c r="B8118" s="396" t="s">
        <v>15466</v>
      </c>
      <c r="C8118" s="396" t="s">
        <v>15467</v>
      </c>
      <c r="D8118" s="396" t="s">
        <v>15464</v>
      </c>
      <c r="E8118" s="396" t="s">
        <v>15465</v>
      </c>
      <c r="F8118" s="396" t="s">
        <v>15327</v>
      </c>
    </row>
    <row r="8119">
      <c r="A8119" s="311">
        <v>8118</v>
      </c>
      <c r="B8119" s="396" t="s">
        <v>15468</v>
      </c>
      <c r="C8119" s="396" t="s">
        <v>15469</v>
      </c>
      <c r="D8119" s="396" t="s">
        <v>15464</v>
      </c>
      <c r="E8119" s="396" t="s">
        <v>15465</v>
      </c>
      <c r="F8119" s="396" t="s">
        <v>15327</v>
      </c>
    </row>
    <row r="8120">
      <c r="A8120" s="311">
        <v>8119</v>
      </c>
      <c r="B8120" s="396" t="s">
        <v>15470</v>
      </c>
      <c r="C8120" s="396" t="s">
        <v>15471</v>
      </c>
      <c r="D8120" s="396" t="s">
        <v>15464</v>
      </c>
      <c r="E8120" s="396" t="s">
        <v>15465</v>
      </c>
      <c r="F8120" s="396" t="s">
        <v>15327</v>
      </c>
    </row>
    <row r="8121">
      <c r="A8121" s="311">
        <v>8120</v>
      </c>
      <c r="B8121" s="396" t="s">
        <v>15472</v>
      </c>
      <c r="C8121" s="396" t="s">
        <v>15473</v>
      </c>
      <c r="D8121" s="396" t="s">
        <v>15464</v>
      </c>
      <c r="E8121" s="396" t="s">
        <v>15465</v>
      </c>
      <c r="F8121" s="396" t="s">
        <v>15327</v>
      </c>
    </row>
    <row r="8122">
      <c r="A8122" s="311">
        <v>8121</v>
      </c>
      <c r="B8122" s="396" t="s">
        <v>15474</v>
      </c>
      <c r="C8122" s="396" t="s">
        <v>15475</v>
      </c>
      <c r="D8122" s="396" t="s">
        <v>15464</v>
      </c>
      <c r="E8122" s="396" t="s">
        <v>15465</v>
      </c>
      <c r="F8122" s="396" t="s">
        <v>15327</v>
      </c>
    </row>
    <row r="8123">
      <c r="A8123" s="311">
        <v>8122</v>
      </c>
      <c r="B8123" s="396" t="s">
        <v>15476</v>
      </c>
      <c r="C8123" s="396" t="s">
        <v>15477</v>
      </c>
      <c r="D8123" s="396" t="s">
        <v>15464</v>
      </c>
      <c r="E8123" s="396" t="s">
        <v>15465</v>
      </c>
      <c r="F8123" s="396" t="s">
        <v>15327</v>
      </c>
    </row>
    <row r="8124">
      <c r="A8124" s="311">
        <v>8123</v>
      </c>
      <c r="B8124" s="396" t="s">
        <v>15478</v>
      </c>
      <c r="C8124" s="396" t="s">
        <v>15479</v>
      </c>
      <c r="D8124" s="396" t="s">
        <v>15464</v>
      </c>
      <c r="E8124" s="396" t="s">
        <v>15465</v>
      </c>
      <c r="F8124" s="396" t="s">
        <v>15327</v>
      </c>
    </row>
    <row r="8125">
      <c r="A8125" s="311">
        <v>8124</v>
      </c>
      <c r="B8125" s="396" t="s">
        <v>15480</v>
      </c>
      <c r="C8125" s="396" t="s">
        <v>1161</v>
      </c>
      <c r="D8125" s="396" t="s">
        <v>15464</v>
      </c>
      <c r="E8125" s="396" t="s">
        <v>15465</v>
      </c>
      <c r="F8125" s="396" t="s">
        <v>15327</v>
      </c>
    </row>
    <row r="8126">
      <c r="A8126" s="311">
        <v>8125</v>
      </c>
      <c r="B8126" s="396" t="s">
        <v>15481</v>
      </c>
      <c r="C8126" s="396" t="s">
        <v>15482</v>
      </c>
      <c r="D8126" s="396" t="s">
        <v>15464</v>
      </c>
      <c r="E8126" s="396" t="s">
        <v>15465</v>
      </c>
      <c r="F8126" s="396" t="s">
        <v>15327</v>
      </c>
    </row>
    <row r="8127">
      <c r="A8127" s="311">
        <v>8126</v>
      </c>
      <c r="B8127" s="396" t="s">
        <v>15483</v>
      </c>
      <c r="C8127" s="396" t="s">
        <v>15484</v>
      </c>
      <c r="D8127" s="396" t="s">
        <v>15464</v>
      </c>
      <c r="E8127" s="396" t="s">
        <v>15465</v>
      </c>
      <c r="F8127" s="396" t="s">
        <v>15327</v>
      </c>
    </row>
    <row r="8128">
      <c r="A8128" s="311">
        <v>8127</v>
      </c>
      <c r="B8128" s="396" t="s">
        <v>15485</v>
      </c>
      <c r="C8128" s="396" t="s">
        <v>15486</v>
      </c>
      <c r="D8128" s="396" t="s">
        <v>15464</v>
      </c>
      <c r="E8128" s="396" t="s">
        <v>15465</v>
      </c>
      <c r="F8128" s="396" t="s">
        <v>15327</v>
      </c>
    </row>
    <row r="8129">
      <c r="A8129" s="311">
        <v>8128</v>
      </c>
      <c r="B8129" s="396" t="s">
        <v>15487</v>
      </c>
      <c r="C8129" s="396" t="s">
        <v>5796</v>
      </c>
      <c r="D8129" s="396" t="s">
        <v>15464</v>
      </c>
      <c r="E8129" s="396" t="s">
        <v>15465</v>
      </c>
      <c r="F8129" s="396" t="s">
        <v>15327</v>
      </c>
    </row>
    <row r="8130">
      <c r="A8130" s="311">
        <v>8129</v>
      </c>
      <c r="B8130" s="396" t="s">
        <v>15488</v>
      </c>
      <c r="C8130" s="396" t="s">
        <v>15489</v>
      </c>
      <c r="D8130" s="396" t="s">
        <v>15464</v>
      </c>
      <c r="E8130" s="396" t="s">
        <v>15465</v>
      </c>
      <c r="F8130" s="396" t="s">
        <v>15327</v>
      </c>
    </row>
    <row r="8131">
      <c r="A8131" s="311">
        <v>8130</v>
      </c>
      <c r="B8131" s="396" t="s">
        <v>15490</v>
      </c>
      <c r="C8131" s="396" t="s">
        <v>5798</v>
      </c>
      <c r="D8131" s="396" t="s">
        <v>15464</v>
      </c>
      <c r="E8131" s="396" t="s">
        <v>15465</v>
      </c>
      <c r="F8131" s="396" t="s">
        <v>15327</v>
      </c>
    </row>
    <row r="8132">
      <c r="A8132" s="311">
        <v>8131</v>
      </c>
      <c r="B8132" s="396" t="s">
        <v>15491</v>
      </c>
      <c r="C8132" s="396" t="s">
        <v>15492</v>
      </c>
      <c r="D8132" s="396" t="s">
        <v>15493</v>
      </c>
      <c r="E8132" s="396" t="s">
        <v>15494</v>
      </c>
      <c r="F8132" s="396" t="s">
        <v>15327</v>
      </c>
    </row>
    <row r="8133">
      <c r="A8133" s="311">
        <v>8132</v>
      </c>
      <c r="B8133" s="396" t="s">
        <v>15495</v>
      </c>
      <c r="C8133" s="396" t="s">
        <v>15398</v>
      </c>
      <c r="D8133" s="396" t="s">
        <v>15493</v>
      </c>
      <c r="E8133" s="396" t="s">
        <v>15494</v>
      </c>
      <c r="F8133" s="396" t="s">
        <v>15327</v>
      </c>
    </row>
    <row r="8134">
      <c r="A8134" s="311">
        <v>8133</v>
      </c>
      <c r="B8134" s="396" t="s">
        <v>15496</v>
      </c>
      <c r="C8134" s="396" t="s">
        <v>15497</v>
      </c>
      <c r="D8134" s="396" t="s">
        <v>15493</v>
      </c>
      <c r="E8134" s="396" t="s">
        <v>15494</v>
      </c>
      <c r="F8134" s="396" t="s">
        <v>15327</v>
      </c>
    </row>
    <row r="8135">
      <c r="A8135" s="311">
        <v>8134</v>
      </c>
      <c r="B8135" s="396" t="s">
        <v>15498</v>
      </c>
      <c r="C8135" s="396" t="s">
        <v>15499</v>
      </c>
      <c r="D8135" s="396" t="s">
        <v>15493</v>
      </c>
      <c r="E8135" s="396" t="s">
        <v>15494</v>
      </c>
      <c r="F8135" s="396" t="s">
        <v>15327</v>
      </c>
    </row>
    <row r="8136">
      <c r="A8136" s="311">
        <v>8135</v>
      </c>
      <c r="B8136" s="396" t="s">
        <v>15500</v>
      </c>
      <c r="C8136" s="396" t="s">
        <v>15501</v>
      </c>
      <c r="D8136" s="396" t="s">
        <v>15493</v>
      </c>
      <c r="E8136" s="396" t="s">
        <v>15494</v>
      </c>
      <c r="F8136" s="396" t="s">
        <v>15327</v>
      </c>
    </row>
    <row r="8137">
      <c r="A8137" s="311">
        <v>8136</v>
      </c>
      <c r="B8137" s="396" t="s">
        <v>15502</v>
      </c>
      <c r="C8137" s="396" t="s">
        <v>15503</v>
      </c>
      <c r="D8137" s="396" t="s">
        <v>15493</v>
      </c>
      <c r="E8137" s="396" t="s">
        <v>15494</v>
      </c>
      <c r="F8137" s="396" t="s">
        <v>15327</v>
      </c>
    </row>
    <row r="8138">
      <c r="A8138" s="311">
        <v>8137</v>
      </c>
      <c r="B8138" s="396" t="s">
        <v>15504</v>
      </c>
      <c r="C8138" s="396" t="s">
        <v>15505</v>
      </c>
      <c r="D8138" s="396" t="s">
        <v>15493</v>
      </c>
      <c r="E8138" s="396" t="s">
        <v>15494</v>
      </c>
      <c r="F8138" s="396" t="s">
        <v>15327</v>
      </c>
    </row>
    <row r="8139">
      <c r="A8139" s="311">
        <v>8138</v>
      </c>
      <c r="B8139" s="396" t="s">
        <v>15506</v>
      </c>
      <c r="C8139" s="396" t="s">
        <v>15507</v>
      </c>
      <c r="D8139" s="396" t="s">
        <v>15493</v>
      </c>
      <c r="E8139" s="396" t="s">
        <v>15494</v>
      </c>
      <c r="F8139" s="396" t="s">
        <v>15327</v>
      </c>
    </row>
    <row r="8140">
      <c r="A8140" s="311">
        <v>8139</v>
      </c>
      <c r="B8140" s="396" t="s">
        <v>15508</v>
      </c>
      <c r="C8140" s="396" t="s">
        <v>15509</v>
      </c>
      <c r="D8140" s="396" t="s">
        <v>15493</v>
      </c>
      <c r="E8140" s="396" t="s">
        <v>15494</v>
      </c>
      <c r="F8140" s="396" t="s">
        <v>15327</v>
      </c>
    </row>
    <row r="8141">
      <c r="A8141" s="311">
        <v>8140</v>
      </c>
      <c r="B8141" s="396" t="s">
        <v>15510</v>
      </c>
      <c r="C8141" s="396" t="s">
        <v>15511</v>
      </c>
      <c r="D8141" s="396" t="s">
        <v>15493</v>
      </c>
      <c r="E8141" s="396" t="s">
        <v>15494</v>
      </c>
      <c r="F8141" s="396" t="s">
        <v>15327</v>
      </c>
    </row>
    <row r="8142">
      <c r="A8142" s="311">
        <v>8141</v>
      </c>
      <c r="B8142" s="396" t="s">
        <v>15512</v>
      </c>
      <c r="C8142" s="396" t="s">
        <v>15513</v>
      </c>
      <c r="D8142" s="396" t="s">
        <v>15493</v>
      </c>
      <c r="E8142" s="396" t="s">
        <v>15494</v>
      </c>
      <c r="F8142" s="396" t="s">
        <v>15327</v>
      </c>
    </row>
    <row r="8143">
      <c r="A8143" s="311">
        <v>8142</v>
      </c>
      <c r="B8143" s="396" t="s">
        <v>15514</v>
      </c>
      <c r="C8143" s="396" t="s">
        <v>15515</v>
      </c>
      <c r="D8143" s="396" t="s">
        <v>15493</v>
      </c>
      <c r="E8143" s="396" t="s">
        <v>15494</v>
      </c>
      <c r="F8143" s="396" t="s">
        <v>15327</v>
      </c>
    </row>
    <row r="8144">
      <c r="A8144" s="311">
        <v>8143</v>
      </c>
      <c r="B8144" s="396" t="s">
        <v>15516</v>
      </c>
      <c r="C8144" s="396" t="s">
        <v>15517</v>
      </c>
      <c r="D8144" s="396" t="s">
        <v>15493</v>
      </c>
      <c r="E8144" s="396" t="s">
        <v>15494</v>
      </c>
      <c r="F8144" s="396" t="s">
        <v>15327</v>
      </c>
    </row>
    <row r="8145">
      <c r="A8145" s="311">
        <v>8144</v>
      </c>
      <c r="B8145" s="396" t="s">
        <v>15518</v>
      </c>
      <c r="C8145" s="396" t="s">
        <v>15519</v>
      </c>
      <c r="D8145" s="396" t="s">
        <v>15520</v>
      </c>
      <c r="E8145" s="396" t="s">
        <v>15521</v>
      </c>
      <c r="F8145" s="396" t="s">
        <v>15327</v>
      </c>
    </row>
    <row r="8146">
      <c r="A8146" s="311">
        <v>8145</v>
      </c>
      <c r="B8146" s="396" t="s">
        <v>15522</v>
      </c>
      <c r="C8146" s="396" t="s">
        <v>15523</v>
      </c>
      <c r="D8146" s="396" t="s">
        <v>15520</v>
      </c>
      <c r="E8146" s="396" t="s">
        <v>15521</v>
      </c>
      <c r="F8146" s="396" t="s">
        <v>15327</v>
      </c>
    </row>
    <row r="8147">
      <c r="A8147" s="311">
        <v>8146</v>
      </c>
      <c r="B8147" s="396" t="s">
        <v>15524</v>
      </c>
      <c r="C8147" s="396" t="s">
        <v>15525</v>
      </c>
      <c r="D8147" s="396" t="s">
        <v>15520</v>
      </c>
      <c r="E8147" s="396" t="s">
        <v>15521</v>
      </c>
      <c r="F8147" s="396" t="s">
        <v>15327</v>
      </c>
    </row>
    <row r="8148">
      <c r="A8148" s="311">
        <v>8147</v>
      </c>
      <c r="B8148" s="396" t="s">
        <v>15526</v>
      </c>
      <c r="C8148" s="396" t="s">
        <v>15527</v>
      </c>
      <c r="D8148" s="396" t="s">
        <v>15520</v>
      </c>
      <c r="E8148" s="396" t="s">
        <v>15521</v>
      </c>
      <c r="F8148" s="396" t="s">
        <v>15327</v>
      </c>
    </row>
    <row r="8149">
      <c r="A8149" s="311">
        <v>8148</v>
      </c>
      <c r="B8149" s="396" t="s">
        <v>15528</v>
      </c>
      <c r="C8149" s="396" t="s">
        <v>15529</v>
      </c>
      <c r="D8149" s="396" t="s">
        <v>15520</v>
      </c>
      <c r="E8149" s="396" t="s">
        <v>15521</v>
      </c>
      <c r="F8149" s="396" t="s">
        <v>15327</v>
      </c>
    </row>
    <row r="8150">
      <c r="A8150" s="311">
        <v>8149</v>
      </c>
      <c r="B8150" s="396" t="s">
        <v>15530</v>
      </c>
      <c r="C8150" s="396" t="s">
        <v>15531</v>
      </c>
      <c r="D8150" s="396" t="s">
        <v>15520</v>
      </c>
      <c r="E8150" s="396" t="s">
        <v>15521</v>
      </c>
      <c r="F8150" s="396" t="s">
        <v>15327</v>
      </c>
    </row>
    <row r="8151">
      <c r="A8151" s="311">
        <v>8150</v>
      </c>
      <c r="B8151" s="396" t="s">
        <v>15532</v>
      </c>
      <c r="C8151" s="396" t="s">
        <v>15533</v>
      </c>
      <c r="D8151" s="396" t="s">
        <v>15520</v>
      </c>
      <c r="E8151" s="396" t="s">
        <v>15521</v>
      </c>
      <c r="F8151" s="396" t="s">
        <v>15327</v>
      </c>
    </row>
    <row r="8152">
      <c r="A8152" s="311">
        <v>8151</v>
      </c>
      <c r="B8152" s="396" t="s">
        <v>15534</v>
      </c>
      <c r="C8152" s="396" t="s">
        <v>15535</v>
      </c>
      <c r="D8152" s="396" t="s">
        <v>15520</v>
      </c>
      <c r="E8152" s="396" t="s">
        <v>15521</v>
      </c>
      <c r="F8152" s="396" t="s">
        <v>15327</v>
      </c>
    </row>
    <row r="8153">
      <c r="A8153" s="311">
        <v>8152</v>
      </c>
      <c r="B8153" s="396" t="s">
        <v>15536</v>
      </c>
      <c r="C8153" s="396" t="s">
        <v>15537</v>
      </c>
      <c r="D8153" s="396" t="s">
        <v>15520</v>
      </c>
      <c r="E8153" s="396" t="s">
        <v>15521</v>
      </c>
      <c r="F8153" s="396" t="s">
        <v>15327</v>
      </c>
    </row>
    <row r="8154">
      <c r="A8154" s="311">
        <v>8153</v>
      </c>
      <c r="B8154" s="396" t="s">
        <v>15538</v>
      </c>
      <c r="C8154" s="396" t="s">
        <v>15539</v>
      </c>
      <c r="D8154" s="396" t="s">
        <v>15520</v>
      </c>
      <c r="E8154" s="396" t="s">
        <v>15521</v>
      </c>
      <c r="F8154" s="396" t="s">
        <v>15327</v>
      </c>
    </row>
    <row r="8155">
      <c r="A8155" s="311">
        <v>8154</v>
      </c>
      <c r="B8155" s="396" t="s">
        <v>15540</v>
      </c>
      <c r="C8155" s="396" t="s">
        <v>15541</v>
      </c>
      <c r="D8155" s="396" t="s">
        <v>15520</v>
      </c>
      <c r="E8155" s="396" t="s">
        <v>15521</v>
      </c>
      <c r="F8155" s="396" t="s">
        <v>15327</v>
      </c>
    </row>
    <row r="8156">
      <c r="A8156" s="311">
        <v>8155</v>
      </c>
      <c r="B8156" s="396" t="s">
        <v>15542</v>
      </c>
      <c r="C8156" s="396" t="s">
        <v>15543</v>
      </c>
      <c r="D8156" s="396" t="s">
        <v>15520</v>
      </c>
      <c r="E8156" s="396" t="s">
        <v>15521</v>
      </c>
      <c r="F8156" s="396" t="s">
        <v>15327</v>
      </c>
    </row>
    <row r="8157">
      <c r="A8157" s="311">
        <v>8156</v>
      </c>
      <c r="B8157" s="396" t="s">
        <v>15544</v>
      </c>
      <c r="C8157" s="396" t="s">
        <v>15545</v>
      </c>
      <c r="D8157" s="396" t="s">
        <v>15546</v>
      </c>
      <c r="E8157" s="396" t="s">
        <v>15547</v>
      </c>
      <c r="F8157" s="396" t="s">
        <v>15327</v>
      </c>
    </row>
    <row r="8158">
      <c r="A8158" s="311">
        <v>8157</v>
      </c>
      <c r="B8158" s="396" t="s">
        <v>15548</v>
      </c>
      <c r="C8158" s="396" t="s">
        <v>15549</v>
      </c>
      <c r="D8158" s="396" t="s">
        <v>15546</v>
      </c>
      <c r="E8158" s="396" t="s">
        <v>15547</v>
      </c>
      <c r="F8158" s="396" t="s">
        <v>15327</v>
      </c>
    </row>
    <row r="8159">
      <c r="A8159" s="311">
        <v>8158</v>
      </c>
      <c r="B8159" s="396" t="s">
        <v>15550</v>
      </c>
      <c r="C8159" s="396" t="s">
        <v>14004</v>
      </c>
      <c r="D8159" s="396" t="s">
        <v>15546</v>
      </c>
      <c r="E8159" s="396" t="s">
        <v>15547</v>
      </c>
      <c r="F8159" s="396" t="s">
        <v>15327</v>
      </c>
    </row>
    <row r="8160">
      <c r="A8160" s="311">
        <v>8159</v>
      </c>
      <c r="B8160" s="396" t="s">
        <v>15551</v>
      </c>
      <c r="C8160" s="396" t="s">
        <v>15552</v>
      </c>
      <c r="D8160" s="396" t="s">
        <v>15546</v>
      </c>
      <c r="E8160" s="396" t="s">
        <v>15547</v>
      </c>
      <c r="F8160" s="396" t="s">
        <v>15327</v>
      </c>
    </row>
    <row r="8161">
      <c r="A8161" s="311">
        <v>8160</v>
      </c>
      <c r="B8161" s="396" t="s">
        <v>15553</v>
      </c>
      <c r="C8161" s="396" t="s">
        <v>15554</v>
      </c>
      <c r="D8161" s="396" t="s">
        <v>15546</v>
      </c>
      <c r="E8161" s="396" t="s">
        <v>15547</v>
      </c>
      <c r="F8161" s="396" t="s">
        <v>15327</v>
      </c>
    </row>
    <row r="8162">
      <c r="A8162" s="311">
        <v>8161</v>
      </c>
      <c r="B8162" s="396" t="s">
        <v>15555</v>
      </c>
      <c r="C8162" s="396" t="s">
        <v>15556</v>
      </c>
      <c r="D8162" s="396" t="s">
        <v>15546</v>
      </c>
      <c r="E8162" s="396" t="s">
        <v>15547</v>
      </c>
      <c r="F8162" s="396" t="s">
        <v>15327</v>
      </c>
    </row>
    <row r="8163">
      <c r="A8163" s="311">
        <v>8162</v>
      </c>
      <c r="B8163" s="396" t="s">
        <v>15557</v>
      </c>
      <c r="C8163" s="396" t="s">
        <v>15558</v>
      </c>
      <c r="D8163" s="396" t="s">
        <v>15546</v>
      </c>
      <c r="E8163" s="396" t="s">
        <v>15547</v>
      </c>
      <c r="F8163" s="396" t="s">
        <v>15327</v>
      </c>
    </row>
    <row r="8164">
      <c r="A8164" s="311">
        <v>8163</v>
      </c>
      <c r="B8164" s="396" t="s">
        <v>15559</v>
      </c>
      <c r="C8164" s="396" t="s">
        <v>15560</v>
      </c>
      <c r="D8164" s="396" t="s">
        <v>15546</v>
      </c>
      <c r="E8164" s="396" t="s">
        <v>15547</v>
      </c>
      <c r="F8164" s="396" t="s">
        <v>15327</v>
      </c>
    </row>
    <row r="8165">
      <c r="A8165" s="311">
        <v>8164</v>
      </c>
      <c r="B8165" s="396" t="s">
        <v>15561</v>
      </c>
      <c r="C8165" s="396" t="s">
        <v>15562</v>
      </c>
      <c r="D8165" s="396" t="s">
        <v>15546</v>
      </c>
      <c r="E8165" s="396" t="s">
        <v>15547</v>
      </c>
      <c r="F8165" s="396" t="s">
        <v>15327</v>
      </c>
    </row>
    <row r="8166">
      <c r="A8166" s="311">
        <v>8165</v>
      </c>
      <c r="B8166" s="396" t="s">
        <v>15563</v>
      </c>
      <c r="C8166" s="396" t="s">
        <v>15564</v>
      </c>
      <c r="D8166" s="396" t="s">
        <v>15546</v>
      </c>
      <c r="E8166" s="396" t="s">
        <v>15547</v>
      </c>
      <c r="F8166" s="396" t="s">
        <v>15327</v>
      </c>
    </row>
    <row r="8167">
      <c r="A8167" s="311">
        <v>8166</v>
      </c>
      <c r="B8167" s="396" t="s">
        <v>15565</v>
      </c>
      <c r="C8167" s="396" t="s">
        <v>15566</v>
      </c>
      <c r="D8167" s="396" t="s">
        <v>15546</v>
      </c>
      <c r="E8167" s="396" t="s">
        <v>15547</v>
      </c>
      <c r="F8167" s="396" t="s">
        <v>15327</v>
      </c>
    </row>
    <row r="8168">
      <c r="A8168" s="311">
        <v>8167</v>
      </c>
      <c r="B8168" s="396" t="s">
        <v>15567</v>
      </c>
      <c r="C8168" s="396" t="s">
        <v>15568</v>
      </c>
      <c r="D8168" s="396" t="s">
        <v>15546</v>
      </c>
      <c r="E8168" s="396" t="s">
        <v>15547</v>
      </c>
      <c r="F8168" s="396" t="s">
        <v>15327</v>
      </c>
    </row>
    <row r="8169">
      <c r="A8169" s="311">
        <v>8168</v>
      </c>
      <c r="B8169" s="396" t="s">
        <v>15569</v>
      </c>
      <c r="C8169" s="396" t="s">
        <v>15570</v>
      </c>
      <c r="D8169" s="396" t="s">
        <v>15546</v>
      </c>
      <c r="E8169" s="396" t="s">
        <v>15547</v>
      </c>
      <c r="F8169" s="396" t="s">
        <v>15327</v>
      </c>
    </row>
    <row r="8170">
      <c r="A8170" s="311">
        <v>8169</v>
      </c>
      <c r="B8170" s="396" t="s">
        <v>15571</v>
      </c>
      <c r="C8170" s="396" t="s">
        <v>15572</v>
      </c>
      <c r="D8170" s="396" t="s">
        <v>15546</v>
      </c>
      <c r="E8170" s="396" t="s">
        <v>15547</v>
      </c>
      <c r="F8170" s="396" t="s">
        <v>15327</v>
      </c>
    </row>
    <row r="8171">
      <c r="A8171" s="311">
        <v>8170</v>
      </c>
      <c r="B8171" s="396" t="s">
        <v>15573</v>
      </c>
      <c r="C8171" s="396" t="s">
        <v>15574</v>
      </c>
      <c r="D8171" s="396" t="s">
        <v>15575</v>
      </c>
      <c r="E8171" s="396" t="s">
        <v>15576</v>
      </c>
      <c r="F8171" s="396" t="s">
        <v>15327</v>
      </c>
    </row>
    <row r="8172">
      <c r="A8172" s="311">
        <v>8171</v>
      </c>
      <c r="B8172" s="396" t="s">
        <v>15577</v>
      </c>
      <c r="C8172" s="396" t="s">
        <v>15578</v>
      </c>
      <c r="D8172" s="396" t="s">
        <v>15575</v>
      </c>
      <c r="E8172" s="396" t="s">
        <v>15576</v>
      </c>
      <c r="F8172" s="396" t="s">
        <v>15327</v>
      </c>
    </row>
    <row r="8173">
      <c r="A8173" s="311">
        <v>8172</v>
      </c>
      <c r="B8173" s="396" t="s">
        <v>15579</v>
      </c>
      <c r="C8173" s="396" t="s">
        <v>15580</v>
      </c>
      <c r="D8173" s="396" t="s">
        <v>15575</v>
      </c>
      <c r="E8173" s="396" t="s">
        <v>15576</v>
      </c>
      <c r="F8173" s="396" t="s">
        <v>15327</v>
      </c>
    </row>
    <row r="8174">
      <c r="A8174" s="311">
        <v>8173</v>
      </c>
      <c r="B8174" s="396" t="s">
        <v>15581</v>
      </c>
      <c r="C8174" s="396" t="s">
        <v>15582</v>
      </c>
      <c r="D8174" s="396" t="s">
        <v>15575</v>
      </c>
      <c r="E8174" s="396" t="s">
        <v>15576</v>
      </c>
      <c r="F8174" s="396" t="s">
        <v>15327</v>
      </c>
    </row>
    <row r="8175">
      <c r="A8175" s="311">
        <v>8174</v>
      </c>
      <c r="B8175" s="396" t="s">
        <v>15583</v>
      </c>
      <c r="C8175" s="396" t="s">
        <v>15584</v>
      </c>
      <c r="D8175" s="396" t="s">
        <v>15575</v>
      </c>
      <c r="E8175" s="396" t="s">
        <v>15576</v>
      </c>
      <c r="F8175" s="396" t="s">
        <v>15327</v>
      </c>
    </row>
    <row r="8176">
      <c r="A8176" s="311">
        <v>8175</v>
      </c>
      <c r="B8176" s="396" t="s">
        <v>15585</v>
      </c>
      <c r="C8176" s="396" t="s">
        <v>15320</v>
      </c>
      <c r="D8176" s="396" t="s">
        <v>15575</v>
      </c>
      <c r="E8176" s="396" t="s">
        <v>15576</v>
      </c>
      <c r="F8176" s="396" t="s">
        <v>15327</v>
      </c>
    </row>
    <row r="8177">
      <c r="A8177" s="311">
        <v>8176</v>
      </c>
      <c r="B8177" s="396" t="s">
        <v>15586</v>
      </c>
      <c r="C8177" s="396" t="s">
        <v>15587</v>
      </c>
      <c r="D8177" s="396" t="s">
        <v>15575</v>
      </c>
      <c r="E8177" s="396" t="s">
        <v>15576</v>
      </c>
      <c r="F8177" s="396" t="s">
        <v>15327</v>
      </c>
    </row>
    <row r="8178">
      <c r="A8178" s="311">
        <v>8177</v>
      </c>
      <c r="B8178" s="396" t="s">
        <v>15588</v>
      </c>
      <c r="C8178" s="396" t="s">
        <v>15589</v>
      </c>
      <c r="D8178" s="396" t="s">
        <v>15575</v>
      </c>
      <c r="E8178" s="396" t="s">
        <v>15576</v>
      </c>
      <c r="F8178" s="396" t="s">
        <v>15327</v>
      </c>
    </row>
    <row r="8179">
      <c r="A8179" s="311">
        <v>8178</v>
      </c>
      <c r="B8179" s="396" t="s">
        <v>15590</v>
      </c>
      <c r="C8179" s="396" t="s">
        <v>15591</v>
      </c>
      <c r="D8179" s="396" t="s">
        <v>15575</v>
      </c>
      <c r="E8179" s="396" t="s">
        <v>15576</v>
      </c>
      <c r="F8179" s="396" t="s">
        <v>15327</v>
      </c>
    </row>
    <row r="8180">
      <c r="A8180" s="311">
        <v>8179</v>
      </c>
      <c r="B8180" s="396" t="s">
        <v>15592</v>
      </c>
      <c r="C8180" s="396" t="s">
        <v>15593</v>
      </c>
      <c r="D8180" s="396" t="s">
        <v>15575</v>
      </c>
      <c r="E8180" s="396" t="s">
        <v>15576</v>
      </c>
      <c r="F8180" s="396" t="s">
        <v>15327</v>
      </c>
    </row>
    <row r="8181">
      <c r="A8181" s="311">
        <v>8180</v>
      </c>
      <c r="B8181" s="396" t="s">
        <v>15594</v>
      </c>
      <c r="C8181" s="396" t="s">
        <v>15595</v>
      </c>
      <c r="D8181" s="396" t="s">
        <v>15596</v>
      </c>
      <c r="E8181" s="396" t="s">
        <v>15597</v>
      </c>
      <c r="F8181" s="396" t="s">
        <v>15327</v>
      </c>
    </row>
    <row r="8182">
      <c r="A8182" s="311">
        <v>8181</v>
      </c>
      <c r="B8182" s="396" t="s">
        <v>15598</v>
      </c>
      <c r="C8182" s="396" t="s">
        <v>15599</v>
      </c>
      <c r="D8182" s="396" t="s">
        <v>15596</v>
      </c>
      <c r="E8182" s="396" t="s">
        <v>15597</v>
      </c>
      <c r="F8182" s="396" t="s">
        <v>15327</v>
      </c>
    </row>
    <row r="8183">
      <c r="A8183" s="311">
        <v>8182</v>
      </c>
      <c r="B8183" s="396" t="s">
        <v>15600</v>
      </c>
      <c r="C8183" s="396" t="s">
        <v>15601</v>
      </c>
      <c r="D8183" s="396" t="s">
        <v>15596</v>
      </c>
      <c r="E8183" s="396" t="s">
        <v>15597</v>
      </c>
      <c r="F8183" s="396" t="s">
        <v>15327</v>
      </c>
    </row>
    <row r="8184">
      <c r="A8184" s="311">
        <v>8183</v>
      </c>
      <c r="B8184" s="396" t="s">
        <v>15602</v>
      </c>
      <c r="C8184" s="396" t="s">
        <v>15603</v>
      </c>
      <c r="D8184" s="396" t="s">
        <v>15596</v>
      </c>
      <c r="E8184" s="396" t="s">
        <v>15597</v>
      </c>
      <c r="F8184" s="396" t="s">
        <v>15327</v>
      </c>
    </row>
    <row r="8185">
      <c r="A8185" s="311">
        <v>8184</v>
      </c>
      <c r="B8185" s="396" t="s">
        <v>15604</v>
      </c>
      <c r="C8185" s="396" t="s">
        <v>15605</v>
      </c>
      <c r="D8185" s="396" t="s">
        <v>15596</v>
      </c>
      <c r="E8185" s="396" t="s">
        <v>15597</v>
      </c>
      <c r="F8185" s="396" t="s">
        <v>15327</v>
      </c>
    </row>
    <row r="8186">
      <c r="A8186" s="311">
        <v>8185</v>
      </c>
      <c r="B8186" s="396" t="s">
        <v>15606</v>
      </c>
      <c r="C8186" s="396" t="s">
        <v>15607</v>
      </c>
      <c r="D8186" s="396" t="s">
        <v>15596</v>
      </c>
      <c r="E8186" s="396" t="s">
        <v>15597</v>
      </c>
      <c r="F8186" s="396" t="s">
        <v>15327</v>
      </c>
    </row>
    <row r="8187">
      <c r="A8187" s="311">
        <v>8186</v>
      </c>
      <c r="B8187" s="396" t="s">
        <v>15608</v>
      </c>
      <c r="C8187" s="396" t="s">
        <v>15609</v>
      </c>
      <c r="D8187" s="396" t="s">
        <v>15596</v>
      </c>
      <c r="E8187" s="396" t="s">
        <v>15597</v>
      </c>
      <c r="F8187" s="396" t="s">
        <v>15327</v>
      </c>
    </row>
    <row r="8188">
      <c r="A8188" s="311">
        <v>8187</v>
      </c>
      <c r="B8188" s="396" t="s">
        <v>15610</v>
      </c>
      <c r="C8188" s="396" t="s">
        <v>15461</v>
      </c>
      <c r="D8188" s="396" t="s">
        <v>15596</v>
      </c>
      <c r="E8188" s="396" t="s">
        <v>15597</v>
      </c>
      <c r="F8188" s="396" t="s">
        <v>15327</v>
      </c>
    </row>
    <row r="8189">
      <c r="A8189" s="311">
        <v>8188</v>
      </c>
      <c r="B8189" s="396" t="s">
        <v>15611</v>
      </c>
      <c r="C8189" s="396" t="s">
        <v>15612</v>
      </c>
      <c r="D8189" s="396" t="s">
        <v>15596</v>
      </c>
      <c r="E8189" s="396" t="s">
        <v>15597</v>
      </c>
      <c r="F8189" s="396" t="s">
        <v>15327</v>
      </c>
    </row>
    <row r="8190">
      <c r="A8190" s="311">
        <v>8189</v>
      </c>
      <c r="B8190" s="396" t="s">
        <v>15613</v>
      </c>
      <c r="C8190" s="396" t="s">
        <v>15614</v>
      </c>
      <c r="D8190" s="396" t="s">
        <v>15596</v>
      </c>
      <c r="E8190" s="396" t="s">
        <v>15597</v>
      </c>
      <c r="F8190" s="396" t="s">
        <v>15327</v>
      </c>
    </row>
    <row r="8191">
      <c r="A8191" s="311">
        <v>8190</v>
      </c>
      <c r="B8191" s="396" t="s">
        <v>15615</v>
      </c>
      <c r="C8191" s="396" t="s">
        <v>15511</v>
      </c>
      <c r="D8191" s="396" t="s">
        <v>15596</v>
      </c>
      <c r="E8191" s="396" t="s">
        <v>15597</v>
      </c>
      <c r="F8191" s="396" t="s">
        <v>15327</v>
      </c>
    </row>
    <row r="8192">
      <c r="A8192" s="311">
        <v>8191</v>
      </c>
      <c r="B8192" s="396" t="s">
        <v>15616</v>
      </c>
      <c r="C8192" s="396" t="s">
        <v>15617</v>
      </c>
      <c r="D8192" s="396" t="s">
        <v>15596</v>
      </c>
      <c r="E8192" s="396" t="s">
        <v>15597</v>
      </c>
      <c r="F8192" s="396" t="s">
        <v>15327</v>
      </c>
    </row>
    <row r="8193">
      <c r="A8193" s="311">
        <v>8192</v>
      </c>
      <c r="B8193" s="396" t="s">
        <v>15618</v>
      </c>
      <c r="C8193" s="396" t="s">
        <v>15619</v>
      </c>
      <c r="D8193" s="396" t="s">
        <v>15596</v>
      </c>
      <c r="E8193" s="396" t="s">
        <v>15597</v>
      </c>
      <c r="F8193" s="396" t="s">
        <v>15327</v>
      </c>
    </row>
    <row r="8194">
      <c r="A8194" s="311">
        <v>8193</v>
      </c>
      <c r="B8194" s="396" t="s">
        <v>15620</v>
      </c>
      <c r="C8194" s="396" t="s">
        <v>15621</v>
      </c>
      <c r="D8194" s="396" t="s">
        <v>15596</v>
      </c>
      <c r="E8194" s="396" t="s">
        <v>15597</v>
      </c>
      <c r="F8194" s="396" t="s">
        <v>15327</v>
      </c>
    </row>
    <row r="8195">
      <c r="A8195" s="311">
        <v>8194</v>
      </c>
      <c r="B8195" s="396" t="s">
        <v>15622</v>
      </c>
      <c r="C8195" s="396" t="s">
        <v>15623</v>
      </c>
      <c r="D8195" s="396" t="s">
        <v>15596</v>
      </c>
      <c r="E8195" s="396" t="s">
        <v>15597</v>
      </c>
      <c r="F8195" s="396" t="s">
        <v>15327</v>
      </c>
    </row>
    <row r="8196">
      <c r="A8196" s="311">
        <v>8195</v>
      </c>
      <c r="B8196" s="396" t="s">
        <v>15624</v>
      </c>
      <c r="C8196" s="396" t="s">
        <v>15625</v>
      </c>
      <c r="D8196" s="396" t="s">
        <v>15596</v>
      </c>
      <c r="E8196" s="396" t="s">
        <v>15597</v>
      </c>
      <c r="F8196" s="396" t="s">
        <v>15327</v>
      </c>
    </row>
    <row r="8197">
      <c r="A8197" s="311">
        <v>8196</v>
      </c>
      <c r="B8197" s="396" t="s">
        <v>15626</v>
      </c>
      <c r="C8197" s="396" t="s">
        <v>15627</v>
      </c>
      <c r="D8197" s="396" t="s">
        <v>15596</v>
      </c>
      <c r="E8197" s="396" t="s">
        <v>15597</v>
      </c>
      <c r="F8197" s="396" t="s">
        <v>15327</v>
      </c>
    </row>
    <row r="8198">
      <c r="A8198" s="311">
        <v>8197</v>
      </c>
      <c r="B8198" s="396" t="s">
        <v>15628</v>
      </c>
      <c r="C8198" s="396" t="s">
        <v>15629</v>
      </c>
      <c r="D8198" s="396" t="s">
        <v>15596</v>
      </c>
      <c r="E8198" s="396" t="s">
        <v>15597</v>
      </c>
      <c r="F8198" s="396" t="s">
        <v>15327</v>
      </c>
    </row>
    <row r="8199">
      <c r="A8199" s="311">
        <v>8198</v>
      </c>
      <c r="B8199" s="396" t="s">
        <v>15630</v>
      </c>
      <c r="C8199" s="396" t="s">
        <v>15631</v>
      </c>
      <c r="D8199" s="396" t="s">
        <v>15596</v>
      </c>
      <c r="E8199" s="396" t="s">
        <v>15597</v>
      </c>
      <c r="F8199" s="396" t="s">
        <v>15327</v>
      </c>
    </row>
    <row r="8200">
      <c r="A8200" s="311">
        <v>8199</v>
      </c>
      <c r="B8200" s="396" t="s">
        <v>15632</v>
      </c>
      <c r="C8200" s="396" t="s">
        <v>15633</v>
      </c>
      <c r="D8200" s="396" t="s">
        <v>15596</v>
      </c>
      <c r="E8200" s="396" t="s">
        <v>15597</v>
      </c>
      <c r="F8200" s="396" t="s">
        <v>15327</v>
      </c>
    </row>
    <row r="8201">
      <c r="A8201" s="311">
        <v>8200</v>
      </c>
      <c r="B8201" s="396" t="s">
        <v>15634</v>
      </c>
      <c r="C8201" s="396" t="s">
        <v>15635</v>
      </c>
      <c r="D8201" s="396" t="s">
        <v>15636</v>
      </c>
      <c r="E8201" s="396" t="s">
        <v>15637</v>
      </c>
      <c r="F8201" s="396" t="s">
        <v>15327</v>
      </c>
    </row>
    <row r="8202">
      <c r="A8202" s="311">
        <v>8201</v>
      </c>
      <c r="B8202" s="396" t="s">
        <v>15638</v>
      </c>
      <c r="C8202" s="396" t="s">
        <v>15639</v>
      </c>
      <c r="D8202" s="396" t="s">
        <v>15636</v>
      </c>
      <c r="E8202" s="396" t="s">
        <v>15637</v>
      </c>
      <c r="F8202" s="396" t="s">
        <v>15327</v>
      </c>
    </row>
    <row r="8203">
      <c r="A8203" s="311">
        <v>8202</v>
      </c>
      <c r="B8203" s="396" t="s">
        <v>15640</v>
      </c>
      <c r="C8203" s="396" t="s">
        <v>15641</v>
      </c>
      <c r="D8203" s="396" t="s">
        <v>15636</v>
      </c>
      <c r="E8203" s="396" t="s">
        <v>15637</v>
      </c>
      <c r="F8203" s="396" t="s">
        <v>15327</v>
      </c>
    </row>
    <row r="8204">
      <c r="A8204" s="311">
        <v>8203</v>
      </c>
      <c r="B8204" s="396" t="s">
        <v>15642</v>
      </c>
      <c r="C8204" s="396" t="s">
        <v>15643</v>
      </c>
      <c r="D8204" s="396" t="s">
        <v>15636</v>
      </c>
      <c r="E8204" s="396" t="s">
        <v>15637</v>
      </c>
      <c r="F8204" s="396" t="s">
        <v>15327</v>
      </c>
    </row>
    <row r="8205">
      <c r="A8205" s="311">
        <v>8204</v>
      </c>
      <c r="B8205" s="396" t="s">
        <v>15644</v>
      </c>
      <c r="C8205" s="396" t="s">
        <v>15645</v>
      </c>
      <c r="D8205" s="396" t="s">
        <v>15636</v>
      </c>
      <c r="E8205" s="396" t="s">
        <v>15637</v>
      </c>
      <c r="F8205" s="396" t="s">
        <v>15327</v>
      </c>
    </row>
    <row r="8206">
      <c r="A8206" s="311">
        <v>8205</v>
      </c>
      <c r="B8206" s="396" t="s">
        <v>15646</v>
      </c>
      <c r="C8206" s="396" t="s">
        <v>15647</v>
      </c>
      <c r="D8206" s="396" t="s">
        <v>15636</v>
      </c>
      <c r="E8206" s="396" t="s">
        <v>15637</v>
      </c>
      <c r="F8206" s="396" t="s">
        <v>15327</v>
      </c>
    </row>
    <row r="8207">
      <c r="A8207" s="311">
        <v>8206</v>
      </c>
      <c r="B8207" s="396" t="s">
        <v>15648</v>
      </c>
      <c r="C8207" s="396" t="s">
        <v>15649</v>
      </c>
      <c r="D8207" s="396" t="s">
        <v>15636</v>
      </c>
      <c r="E8207" s="396" t="s">
        <v>15637</v>
      </c>
      <c r="F8207" s="396" t="s">
        <v>15327</v>
      </c>
    </row>
    <row r="8208">
      <c r="A8208" s="311">
        <v>8207</v>
      </c>
      <c r="B8208" s="396" t="s">
        <v>15650</v>
      </c>
      <c r="C8208" s="396" t="s">
        <v>15651</v>
      </c>
      <c r="D8208" s="396" t="s">
        <v>15636</v>
      </c>
      <c r="E8208" s="396" t="s">
        <v>15637</v>
      </c>
      <c r="F8208" s="396" t="s">
        <v>15327</v>
      </c>
    </row>
    <row r="8209">
      <c r="A8209" s="311">
        <v>8208</v>
      </c>
      <c r="B8209" s="396" t="s">
        <v>15652</v>
      </c>
      <c r="C8209" s="396" t="s">
        <v>15653</v>
      </c>
      <c r="D8209" s="396" t="s">
        <v>15636</v>
      </c>
      <c r="E8209" s="396" t="s">
        <v>15637</v>
      </c>
      <c r="F8209" s="396" t="s">
        <v>15327</v>
      </c>
    </row>
    <row r="8210">
      <c r="A8210" s="311">
        <v>8209</v>
      </c>
      <c r="B8210" s="396" t="s">
        <v>15654</v>
      </c>
      <c r="C8210" s="396" t="s">
        <v>15655</v>
      </c>
      <c r="D8210" s="396" t="s">
        <v>15636</v>
      </c>
      <c r="E8210" s="396" t="s">
        <v>15637</v>
      </c>
      <c r="F8210" s="396" t="s">
        <v>15327</v>
      </c>
    </row>
    <row r="8211">
      <c r="A8211" s="311">
        <v>8210</v>
      </c>
      <c r="B8211" s="396" t="s">
        <v>15656</v>
      </c>
      <c r="C8211" s="396" t="s">
        <v>15657</v>
      </c>
      <c r="D8211" s="396" t="s">
        <v>15636</v>
      </c>
      <c r="E8211" s="396" t="s">
        <v>15637</v>
      </c>
      <c r="F8211" s="396" t="s">
        <v>15327</v>
      </c>
    </row>
    <row r="8212">
      <c r="A8212" s="311">
        <v>8211</v>
      </c>
      <c r="B8212" s="396" t="s">
        <v>15658</v>
      </c>
      <c r="C8212" s="396" t="s">
        <v>15659</v>
      </c>
      <c r="D8212" s="396" t="s">
        <v>15636</v>
      </c>
      <c r="E8212" s="396" t="s">
        <v>15637</v>
      </c>
      <c r="F8212" s="396" t="s">
        <v>15327</v>
      </c>
    </row>
    <row r="8213">
      <c r="A8213" s="311">
        <v>8212</v>
      </c>
      <c r="B8213" s="396" t="s">
        <v>15660</v>
      </c>
      <c r="C8213" s="396" t="s">
        <v>15661</v>
      </c>
      <c r="D8213" s="396" t="s">
        <v>15636</v>
      </c>
      <c r="E8213" s="396" t="s">
        <v>15637</v>
      </c>
      <c r="F8213" s="396" t="s">
        <v>15327</v>
      </c>
    </row>
    <row r="8214">
      <c r="A8214" s="311">
        <v>8213</v>
      </c>
      <c r="B8214" s="396" t="s">
        <v>15662</v>
      </c>
      <c r="C8214" s="396" t="s">
        <v>15663</v>
      </c>
      <c r="D8214" s="396" t="s">
        <v>15636</v>
      </c>
      <c r="E8214" s="396" t="s">
        <v>15637</v>
      </c>
      <c r="F8214" s="396" t="s">
        <v>15327</v>
      </c>
    </row>
    <row r="8215">
      <c r="A8215" s="311">
        <v>8214</v>
      </c>
      <c r="B8215" s="396" t="s">
        <v>15664</v>
      </c>
      <c r="C8215" s="396" t="s">
        <v>15665</v>
      </c>
      <c r="D8215" s="396" t="s">
        <v>15636</v>
      </c>
      <c r="E8215" s="396" t="s">
        <v>15637</v>
      </c>
      <c r="F8215" s="396" t="s">
        <v>15327</v>
      </c>
    </row>
    <row r="8216">
      <c r="A8216" s="311">
        <v>8215</v>
      </c>
      <c r="B8216" s="396" t="s">
        <v>15666</v>
      </c>
      <c r="C8216" s="396" t="s">
        <v>15667</v>
      </c>
      <c r="D8216" s="396" t="s">
        <v>15668</v>
      </c>
      <c r="E8216" s="396" t="s">
        <v>15669</v>
      </c>
      <c r="F8216" s="396" t="s">
        <v>15327</v>
      </c>
    </row>
    <row r="8217">
      <c r="A8217" s="311">
        <v>8216</v>
      </c>
      <c r="B8217" s="396" t="s">
        <v>15670</v>
      </c>
      <c r="C8217" s="396" t="s">
        <v>15671</v>
      </c>
      <c r="D8217" s="396" t="s">
        <v>15668</v>
      </c>
      <c r="E8217" s="396" t="s">
        <v>15669</v>
      </c>
      <c r="F8217" s="396" t="s">
        <v>15327</v>
      </c>
    </row>
    <row r="8218">
      <c r="A8218" s="311">
        <v>8217</v>
      </c>
      <c r="B8218" s="396" t="s">
        <v>15672</v>
      </c>
      <c r="C8218" s="396" t="s">
        <v>15673</v>
      </c>
      <c r="D8218" s="396" t="s">
        <v>15668</v>
      </c>
      <c r="E8218" s="396" t="s">
        <v>15669</v>
      </c>
      <c r="F8218" s="396" t="s">
        <v>15327</v>
      </c>
    </row>
    <row r="8219">
      <c r="A8219" s="311">
        <v>8218</v>
      </c>
      <c r="B8219" s="396" t="s">
        <v>15674</v>
      </c>
      <c r="C8219" s="396" t="s">
        <v>15675</v>
      </c>
      <c r="D8219" s="396" t="s">
        <v>15668</v>
      </c>
      <c r="E8219" s="396" t="s">
        <v>15669</v>
      </c>
      <c r="F8219" s="396" t="s">
        <v>15327</v>
      </c>
    </row>
    <row r="8220">
      <c r="A8220" s="311">
        <v>8219</v>
      </c>
      <c r="B8220" s="396" t="s">
        <v>15676</v>
      </c>
      <c r="C8220" s="396" t="s">
        <v>15677</v>
      </c>
      <c r="D8220" s="396" t="s">
        <v>15668</v>
      </c>
      <c r="E8220" s="396" t="s">
        <v>15669</v>
      </c>
      <c r="F8220" s="396" t="s">
        <v>15327</v>
      </c>
    </row>
    <row r="8221">
      <c r="A8221" s="311">
        <v>8220</v>
      </c>
      <c r="B8221" s="396" t="s">
        <v>15678</v>
      </c>
      <c r="C8221" s="396" t="s">
        <v>2366</v>
      </c>
      <c r="D8221" s="396" t="s">
        <v>15668</v>
      </c>
      <c r="E8221" s="396" t="s">
        <v>15669</v>
      </c>
      <c r="F8221" s="396" t="s">
        <v>15327</v>
      </c>
    </row>
    <row r="8222">
      <c r="A8222" s="311">
        <v>8221</v>
      </c>
      <c r="B8222" s="396" t="s">
        <v>15679</v>
      </c>
      <c r="C8222" s="396" t="s">
        <v>12831</v>
      </c>
      <c r="D8222" s="396" t="s">
        <v>15668</v>
      </c>
      <c r="E8222" s="396" t="s">
        <v>15669</v>
      </c>
      <c r="F8222" s="396" t="s">
        <v>15327</v>
      </c>
    </row>
    <row r="8223">
      <c r="A8223" s="311">
        <v>8222</v>
      </c>
      <c r="B8223" s="396" t="s">
        <v>15680</v>
      </c>
      <c r="C8223" s="396" t="s">
        <v>15681</v>
      </c>
      <c r="D8223" s="396" t="s">
        <v>15668</v>
      </c>
      <c r="E8223" s="396" t="s">
        <v>15669</v>
      </c>
      <c r="F8223" s="396" t="s">
        <v>15327</v>
      </c>
    </row>
    <row r="8224">
      <c r="A8224" s="311">
        <v>8223</v>
      </c>
      <c r="B8224" s="396" t="s">
        <v>15682</v>
      </c>
      <c r="C8224" s="396" t="s">
        <v>15683</v>
      </c>
      <c r="D8224" s="396" t="s">
        <v>15684</v>
      </c>
      <c r="E8224" s="396" t="s">
        <v>15685</v>
      </c>
      <c r="F8224" s="396" t="s">
        <v>15327</v>
      </c>
    </row>
    <row r="8225">
      <c r="A8225" s="311">
        <v>8224</v>
      </c>
      <c r="B8225" s="396" t="s">
        <v>15686</v>
      </c>
      <c r="C8225" s="396" t="s">
        <v>15687</v>
      </c>
      <c r="D8225" s="396" t="s">
        <v>15684</v>
      </c>
      <c r="E8225" s="396" t="s">
        <v>15685</v>
      </c>
      <c r="F8225" s="396" t="s">
        <v>15327</v>
      </c>
    </row>
    <row r="8226">
      <c r="A8226" s="311">
        <v>8225</v>
      </c>
      <c r="B8226" s="396" t="s">
        <v>15688</v>
      </c>
      <c r="C8226" s="396" t="s">
        <v>15689</v>
      </c>
      <c r="D8226" s="396" t="s">
        <v>15684</v>
      </c>
      <c r="E8226" s="396" t="s">
        <v>15685</v>
      </c>
      <c r="F8226" s="396" t="s">
        <v>15327</v>
      </c>
    </row>
    <row r="8227">
      <c r="A8227" s="311">
        <v>8226</v>
      </c>
      <c r="B8227" s="396" t="s">
        <v>15690</v>
      </c>
      <c r="C8227" s="396" t="s">
        <v>7304</v>
      </c>
      <c r="D8227" s="396" t="s">
        <v>15684</v>
      </c>
      <c r="E8227" s="396" t="s">
        <v>15685</v>
      </c>
      <c r="F8227" s="396" t="s">
        <v>15327</v>
      </c>
    </row>
    <row r="8228">
      <c r="A8228" s="311">
        <v>8227</v>
      </c>
      <c r="B8228" s="396" t="s">
        <v>15691</v>
      </c>
      <c r="C8228" s="396" t="s">
        <v>15692</v>
      </c>
      <c r="D8228" s="396" t="s">
        <v>15684</v>
      </c>
      <c r="E8228" s="396" t="s">
        <v>15685</v>
      </c>
      <c r="F8228" s="396" t="s">
        <v>15327</v>
      </c>
    </row>
    <row r="8229">
      <c r="A8229" s="311">
        <v>8228</v>
      </c>
      <c r="B8229" s="396" t="s">
        <v>15693</v>
      </c>
      <c r="C8229" s="396" t="s">
        <v>15694</v>
      </c>
      <c r="D8229" s="396" t="s">
        <v>15684</v>
      </c>
      <c r="E8229" s="396" t="s">
        <v>15685</v>
      </c>
      <c r="F8229" s="396" t="s">
        <v>15327</v>
      </c>
    </row>
    <row r="8230">
      <c r="A8230" s="311">
        <v>8229</v>
      </c>
      <c r="B8230" s="396" t="s">
        <v>15695</v>
      </c>
      <c r="C8230" s="396" t="s">
        <v>15696</v>
      </c>
      <c r="D8230" s="396" t="s">
        <v>15684</v>
      </c>
      <c r="E8230" s="396" t="s">
        <v>15685</v>
      </c>
      <c r="F8230" s="396" t="s">
        <v>15327</v>
      </c>
    </row>
    <row r="8231">
      <c r="A8231" s="311">
        <v>8230</v>
      </c>
      <c r="B8231" s="396" t="s">
        <v>15697</v>
      </c>
      <c r="C8231" s="396" t="s">
        <v>15698</v>
      </c>
      <c r="D8231" s="396" t="s">
        <v>15684</v>
      </c>
      <c r="E8231" s="396" t="s">
        <v>15685</v>
      </c>
      <c r="F8231" s="396" t="s">
        <v>15327</v>
      </c>
    </row>
    <row r="8232">
      <c r="A8232" s="311">
        <v>8231</v>
      </c>
      <c r="B8232" s="396" t="s">
        <v>15699</v>
      </c>
      <c r="C8232" s="396" t="s">
        <v>15700</v>
      </c>
      <c r="D8232" s="396" t="s">
        <v>15684</v>
      </c>
      <c r="E8232" s="396" t="s">
        <v>15685</v>
      </c>
      <c r="F8232" s="396" t="s">
        <v>15327</v>
      </c>
    </row>
    <row r="8233">
      <c r="A8233" s="311">
        <v>8232</v>
      </c>
      <c r="B8233" s="396" t="s">
        <v>15701</v>
      </c>
      <c r="C8233" s="396" t="s">
        <v>15702</v>
      </c>
      <c r="D8233" s="396" t="s">
        <v>15703</v>
      </c>
      <c r="E8233" s="396" t="s">
        <v>15704</v>
      </c>
      <c r="F8233" s="396" t="s">
        <v>15327</v>
      </c>
    </row>
    <row r="8234">
      <c r="A8234" s="311">
        <v>8233</v>
      </c>
      <c r="B8234" s="396" t="s">
        <v>15705</v>
      </c>
      <c r="C8234" s="396" t="s">
        <v>15706</v>
      </c>
      <c r="D8234" s="396" t="s">
        <v>15703</v>
      </c>
      <c r="E8234" s="396" t="s">
        <v>15704</v>
      </c>
      <c r="F8234" s="396" t="s">
        <v>15327</v>
      </c>
    </row>
    <row r="8235">
      <c r="A8235" s="311">
        <v>8234</v>
      </c>
      <c r="B8235" s="396" t="s">
        <v>15707</v>
      </c>
      <c r="C8235" s="396" t="s">
        <v>15708</v>
      </c>
      <c r="D8235" s="396" t="s">
        <v>15703</v>
      </c>
      <c r="E8235" s="396" t="s">
        <v>15704</v>
      </c>
      <c r="F8235" s="396" t="s">
        <v>15327</v>
      </c>
    </row>
    <row r="8236">
      <c r="A8236" s="311">
        <v>8235</v>
      </c>
      <c r="B8236" s="396" t="s">
        <v>15709</v>
      </c>
      <c r="C8236" s="396" t="s">
        <v>15710</v>
      </c>
      <c r="D8236" s="396" t="s">
        <v>15703</v>
      </c>
      <c r="E8236" s="396" t="s">
        <v>15704</v>
      </c>
      <c r="F8236" s="396" t="s">
        <v>15327</v>
      </c>
    </row>
    <row r="8237">
      <c r="A8237" s="311">
        <v>8236</v>
      </c>
      <c r="B8237" s="396" t="s">
        <v>15711</v>
      </c>
      <c r="C8237" s="396" t="s">
        <v>15712</v>
      </c>
      <c r="D8237" s="396" t="s">
        <v>15703</v>
      </c>
      <c r="E8237" s="396" t="s">
        <v>15704</v>
      </c>
      <c r="F8237" s="396" t="s">
        <v>15327</v>
      </c>
    </row>
    <row r="8238">
      <c r="A8238" s="311">
        <v>8237</v>
      </c>
      <c r="B8238" s="396" t="s">
        <v>15713</v>
      </c>
      <c r="C8238" s="396" t="s">
        <v>15714</v>
      </c>
      <c r="D8238" s="396" t="s">
        <v>15703</v>
      </c>
      <c r="E8238" s="396" t="s">
        <v>15704</v>
      </c>
      <c r="F8238" s="396" t="s">
        <v>15327</v>
      </c>
    </row>
    <row r="8239">
      <c r="A8239" s="311">
        <v>8238</v>
      </c>
      <c r="B8239" s="396" t="s">
        <v>15715</v>
      </c>
      <c r="C8239" s="396" t="s">
        <v>15716</v>
      </c>
      <c r="D8239" s="396" t="s">
        <v>15703</v>
      </c>
      <c r="E8239" s="396" t="s">
        <v>15704</v>
      </c>
      <c r="F8239" s="396" t="s">
        <v>15327</v>
      </c>
    </row>
    <row r="8240">
      <c r="A8240" s="311">
        <v>8239</v>
      </c>
      <c r="B8240" s="396" t="s">
        <v>15717</v>
      </c>
      <c r="C8240" s="396" t="s">
        <v>15718</v>
      </c>
      <c r="D8240" s="396" t="s">
        <v>15703</v>
      </c>
      <c r="E8240" s="396" t="s">
        <v>15704</v>
      </c>
      <c r="F8240" s="396" t="s">
        <v>15327</v>
      </c>
    </row>
    <row r="8241">
      <c r="A8241" s="311">
        <v>8240</v>
      </c>
      <c r="B8241" s="396" t="s">
        <v>15719</v>
      </c>
      <c r="C8241" s="396" t="s">
        <v>15720</v>
      </c>
      <c r="D8241" s="396" t="s">
        <v>15703</v>
      </c>
      <c r="E8241" s="396" t="s">
        <v>15704</v>
      </c>
      <c r="F8241" s="396" t="s">
        <v>15327</v>
      </c>
    </row>
    <row r="8242">
      <c r="A8242" s="311">
        <v>8241</v>
      </c>
      <c r="B8242" s="396" t="s">
        <v>15721</v>
      </c>
      <c r="C8242" s="396" t="s">
        <v>15722</v>
      </c>
      <c r="D8242" s="396" t="s">
        <v>15703</v>
      </c>
      <c r="E8242" s="396" t="s">
        <v>15704</v>
      </c>
      <c r="F8242" s="396" t="s">
        <v>15327</v>
      </c>
    </row>
    <row r="8243">
      <c r="A8243" s="311">
        <v>8242</v>
      </c>
      <c r="B8243" s="396" t="s">
        <v>15723</v>
      </c>
      <c r="C8243" s="396" t="s">
        <v>15724</v>
      </c>
      <c r="D8243" s="396" t="s">
        <v>15703</v>
      </c>
      <c r="E8243" s="396" t="s">
        <v>15704</v>
      </c>
      <c r="F8243" s="396" t="s">
        <v>15327</v>
      </c>
    </row>
    <row r="8244">
      <c r="A8244" s="311">
        <v>8243</v>
      </c>
      <c r="B8244" s="396" t="s">
        <v>15725</v>
      </c>
      <c r="C8244" s="396" t="s">
        <v>15726</v>
      </c>
      <c r="D8244" s="396" t="s">
        <v>15703</v>
      </c>
      <c r="E8244" s="396" t="s">
        <v>15704</v>
      </c>
      <c r="F8244" s="396" t="s">
        <v>15327</v>
      </c>
    </row>
    <row r="8245">
      <c r="A8245" s="311">
        <v>8244</v>
      </c>
      <c r="B8245" s="396" t="s">
        <v>15727</v>
      </c>
      <c r="C8245" s="396" t="s">
        <v>15728</v>
      </c>
      <c r="D8245" s="396" t="s">
        <v>15703</v>
      </c>
      <c r="E8245" s="396" t="s">
        <v>15704</v>
      </c>
      <c r="F8245" s="396" t="s">
        <v>15327</v>
      </c>
    </row>
    <row r="8246">
      <c r="A8246" s="311">
        <v>8245</v>
      </c>
      <c r="B8246" s="396" t="s">
        <v>15729</v>
      </c>
      <c r="C8246" s="396" t="s">
        <v>15730</v>
      </c>
      <c r="D8246" s="396" t="s">
        <v>15703</v>
      </c>
      <c r="E8246" s="396" t="s">
        <v>15704</v>
      </c>
      <c r="F8246" s="396" t="s">
        <v>15327</v>
      </c>
    </row>
    <row r="8247">
      <c r="A8247" s="311">
        <v>8246</v>
      </c>
      <c r="B8247" s="396" t="s">
        <v>15731</v>
      </c>
      <c r="C8247" s="396" t="s">
        <v>15732</v>
      </c>
      <c r="D8247" s="396" t="s">
        <v>15733</v>
      </c>
      <c r="E8247" s="396" t="s">
        <v>15734</v>
      </c>
      <c r="F8247" s="396" t="s">
        <v>15327</v>
      </c>
    </row>
    <row r="8248">
      <c r="A8248" s="311">
        <v>8247</v>
      </c>
      <c r="B8248" s="396" t="s">
        <v>15735</v>
      </c>
      <c r="C8248" s="396" t="s">
        <v>15736</v>
      </c>
      <c r="D8248" s="396" t="s">
        <v>15733</v>
      </c>
      <c r="E8248" s="396" t="s">
        <v>15734</v>
      </c>
      <c r="F8248" s="396" t="s">
        <v>15327</v>
      </c>
    </row>
    <row r="8249">
      <c r="A8249" s="311">
        <v>8248</v>
      </c>
      <c r="B8249" s="396" t="s">
        <v>15737</v>
      </c>
      <c r="C8249" s="396" t="s">
        <v>15738</v>
      </c>
      <c r="D8249" s="396" t="s">
        <v>15733</v>
      </c>
      <c r="E8249" s="396" t="s">
        <v>15734</v>
      </c>
      <c r="F8249" s="396" t="s">
        <v>15327</v>
      </c>
    </row>
    <row r="8250">
      <c r="A8250" s="311">
        <v>8249</v>
      </c>
      <c r="B8250" s="396" t="s">
        <v>15739</v>
      </c>
      <c r="C8250" s="396" t="s">
        <v>15740</v>
      </c>
      <c r="D8250" s="396" t="s">
        <v>15733</v>
      </c>
      <c r="E8250" s="396" t="s">
        <v>15734</v>
      </c>
      <c r="F8250" s="396" t="s">
        <v>15327</v>
      </c>
    </row>
    <row r="8251">
      <c r="A8251" s="311">
        <v>8250</v>
      </c>
      <c r="B8251" s="396" t="s">
        <v>15741</v>
      </c>
      <c r="C8251" s="396" t="s">
        <v>15742</v>
      </c>
      <c r="D8251" s="396" t="s">
        <v>15733</v>
      </c>
      <c r="E8251" s="396" t="s">
        <v>15734</v>
      </c>
      <c r="F8251" s="396" t="s">
        <v>15327</v>
      </c>
    </row>
    <row r="8252">
      <c r="A8252" s="311">
        <v>8251</v>
      </c>
      <c r="B8252" s="396" t="s">
        <v>15743</v>
      </c>
      <c r="C8252" s="396" t="s">
        <v>15744</v>
      </c>
      <c r="D8252" s="396" t="s">
        <v>15733</v>
      </c>
      <c r="E8252" s="396" t="s">
        <v>15734</v>
      </c>
      <c r="F8252" s="396" t="s">
        <v>15327</v>
      </c>
    </row>
    <row r="8253">
      <c r="A8253" s="311">
        <v>8252</v>
      </c>
      <c r="B8253" s="396" t="s">
        <v>15745</v>
      </c>
      <c r="C8253" s="396" t="s">
        <v>15746</v>
      </c>
      <c r="D8253" s="396" t="s">
        <v>15733</v>
      </c>
      <c r="E8253" s="396" t="s">
        <v>15734</v>
      </c>
      <c r="F8253" s="396" t="s">
        <v>15327</v>
      </c>
    </row>
    <row r="8254">
      <c r="A8254" s="311">
        <v>8253</v>
      </c>
      <c r="B8254" s="396" t="s">
        <v>15747</v>
      </c>
      <c r="C8254" s="396" t="s">
        <v>15748</v>
      </c>
      <c r="D8254" s="396" t="s">
        <v>15733</v>
      </c>
      <c r="E8254" s="396" t="s">
        <v>15734</v>
      </c>
      <c r="F8254" s="396" t="s">
        <v>15327</v>
      </c>
    </row>
    <row r="8255">
      <c r="A8255" s="311">
        <v>8254</v>
      </c>
      <c r="B8255" s="396" t="s">
        <v>15749</v>
      </c>
      <c r="C8255" s="396" t="s">
        <v>15750</v>
      </c>
      <c r="D8255" s="396" t="s">
        <v>15733</v>
      </c>
      <c r="E8255" s="396" t="s">
        <v>15734</v>
      </c>
      <c r="F8255" s="396" t="s">
        <v>15327</v>
      </c>
    </row>
    <row r="8256">
      <c r="A8256" s="311">
        <v>8255</v>
      </c>
      <c r="B8256" s="396" t="s">
        <v>15751</v>
      </c>
      <c r="C8256" s="396" t="s">
        <v>15752</v>
      </c>
      <c r="D8256" s="396" t="s">
        <v>15733</v>
      </c>
      <c r="E8256" s="396" t="s">
        <v>15734</v>
      </c>
      <c r="F8256" s="396" t="s">
        <v>15327</v>
      </c>
    </row>
    <row r="8257">
      <c r="A8257" s="311">
        <v>8256</v>
      </c>
      <c r="B8257" s="396" t="s">
        <v>15753</v>
      </c>
      <c r="C8257" s="396" t="s">
        <v>15754</v>
      </c>
      <c r="D8257" s="396" t="s">
        <v>15755</v>
      </c>
      <c r="E8257" s="396" t="s">
        <v>15756</v>
      </c>
      <c r="F8257" s="396" t="s">
        <v>15327</v>
      </c>
    </row>
    <row r="8258">
      <c r="A8258" s="311">
        <v>8257</v>
      </c>
      <c r="B8258" s="396" t="s">
        <v>15757</v>
      </c>
      <c r="C8258" s="396" t="s">
        <v>15758</v>
      </c>
      <c r="D8258" s="396" t="s">
        <v>15755</v>
      </c>
      <c r="E8258" s="396" t="s">
        <v>15756</v>
      </c>
      <c r="F8258" s="396" t="s">
        <v>15327</v>
      </c>
    </row>
    <row r="8259">
      <c r="A8259" s="311">
        <v>8258</v>
      </c>
      <c r="B8259" s="396" t="s">
        <v>15759</v>
      </c>
      <c r="C8259" s="396" t="s">
        <v>15760</v>
      </c>
      <c r="D8259" s="396" t="s">
        <v>15755</v>
      </c>
      <c r="E8259" s="396" t="s">
        <v>15756</v>
      </c>
      <c r="F8259" s="396" t="s">
        <v>15327</v>
      </c>
    </row>
    <row r="8260">
      <c r="A8260" s="311">
        <v>8259</v>
      </c>
      <c r="B8260" s="396" t="s">
        <v>15761</v>
      </c>
      <c r="C8260" s="396" t="s">
        <v>15762</v>
      </c>
      <c r="D8260" s="396" t="s">
        <v>15755</v>
      </c>
      <c r="E8260" s="396" t="s">
        <v>15756</v>
      </c>
      <c r="F8260" s="396" t="s">
        <v>15327</v>
      </c>
    </row>
    <row r="8261">
      <c r="A8261" s="311">
        <v>8260</v>
      </c>
      <c r="B8261" s="396" t="s">
        <v>15763</v>
      </c>
      <c r="C8261" s="396" t="s">
        <v>15764</v>
      </c>
      <c r="D8261" s="396" t="s">
        <v>15755</v>
      </c>
      <c r="E8261" s="396" t="s">
        <v>15756</v>
      </c>
      <c r="F8261" s="396" t="s">
        <v>15327</v>
      </c>
    </row>
    <row r="8262">
      <c r="A8262" s="311">
        <v>8261</v>
      </c>
      <c r="B8262" s="396" t="s">
        <v>15765</v>
      </c>
      <c r="C8262" s="396" t="s">
        <v>15766</v>
      </c>
      <c r="D8262" s="396" t="s">
        <v>15755</v>
      </c>
      <c r="E8262" s="396" t="s">
        <v>15756</v>
      </c>
      <c r="F8262" s="396" t="s">
        <v>15327</v>
      </c>
    </row>
    <row r="8263">
      <c r="A8263" s="311">
        <v>8262</v>
      </c>
      <c r="B8263" s="396" t="s">
        <v>15767</v>
      </c>
      <c r="C8263" s="396" t="s">
        <v>15768</v>
      </c>
      <c r="D8263" s="396" t="s">
        <v>15755</v>
      </c>
      <c r="E8263" s="396" t="s">
        <v>15756</v>
      </c>
      <c r="F8263" s="396" t="s">
        <v>15327</v>
      </c>
    </row>
    <row r="8264">
      <c r="A8264" s="311">
        <v>8263</v>
      </c>
      <c r="B8264" s="396" t="s">
        <v>15769</v>
      </c>
      <c r="C8264" s="396" t="s">
        <v>15770</v>
      </c>
      <c r="D8264" s="396" t="s">
        <v>15755</v>
      </c>
      <c r="E8264" s="396" t="s">
        <v>15756</v>
      </c>
      <c r="F8264" s="396" t="s">
        <v>15327</v>
      </c>
    </row>
    <row r="8265">
      <c r="A8265" s="311">
        <v>8264</v>
      </c>
      <c r="B8265" s="396" t="s">
        <v>15771</v>
      </c>
      <c r="C8265" s="396" t="s">
        <v>15772</v>
      </c>
      <c r="D8265" s="396" t="s">
        <v>15755</v>
      </c>
      <c r="E8265" s="396" t="s">
        <v>15756</v>
      </c>
      <c r="F8265" s="396" t="s">
        <v>15327</v>
      </c>
    </row>
    <row r="8266">
      <c r="A8266" s="311">
        <v>8265</v>
      </c>
      <c r="B8266" s="396" t="s">
        <v>15773</v>
      </c>
      <c r="C8266" s="396" t="s">
        <v>4584</v>
      </c>
      <c r="D8266" s="396" t="s">
        <v>15774</v>
      </c>
      <c r="E8266" s="396" t="s">
        <v>15775</v>
      </c>
      <c r="F8266" s="396" t="s">
        <v>15776</v>
      </c>
    </row>
    <row r="8267">
      <c r="A8267" s="311">
        <v>8266</v>
      </c>
      <c r="B8267" s="396" t="s">
        <v>15777</v>
      </c>
      <c r="C8267" s="396" t="s">
        <v>4175</v>
      </c>
      <c r="D8267" s="396" t="s">
        <v>15774</v>
      </c>
      <c r="E8267" s="396" t="s">
        <v>15775</v>
      </c>
      <c r="F8267" s="396" t="s">
        <v>15776</v>
      </c>
    </row>
    <row r="8268">
      <c r="A8268" s="311">
        <v>8267</v>
      </c>
      <c r="B8268" s="396" t="s">
        <v>15778</v>
      </c>
      <c r="C8268" s="396" t="s">
        <v>3855</v>
      </c>
      <c r="D8268" s="396" t="s">
        <v>15774</v>
      </c>
      <c r="E8268" s="396" t="s">
        <v>15775</v>
      </c>
      <c r="F8268" s="396" t="s">
        <v>15776</v>
      </c>
    </row>
    <row r="8269">
      <c r="A8269" s="311">
        <v>8268</v>
      </c>
      <c r="B8269" s="396" t="s">
        <v>15779</v>
      </c>
      <c r="C8269" s="396" t="s">
        <v>2579</v>
      </c>
      <c r="D8269" s="396" t="s">
        <v>15774</v>
      </c>
      <c r="E8269" s="396" t="s">
        <v>15775</v>
      </c>
      <c r="F8269" s="396" t="s">
        <v>15776</v>
      </c>
    </row>
    <row r="8270">
      <c r="A8270" s="311">
        <v>8269</v>
      </c>
      <c r="B8270" s="396" t="s">
        <v>15780</v>
      </c>
      <c r="C8270" s="396" t="s">
        <v>15781</v>
      </c>
      <c r="D8270" s="396" t="s">
        <v>15774</v>
      </c>
      <c r="E8270" s="396" t="s">
        <v>15775</v>
      </c>
      <c r="F8270" s="396" t="s">
        <v>15776</v>
      </c>
    </row>
    <row r="8271">
      <c r="A8271" s="311">
        <v>8270</v>
      </c>
      <c r="B8271" s="396" t="s">
        <v>15782</v>
      </c>
      <c r="C8271" s="396" t="s">
        <v>4635</v>
      </c>
      <c r="D8271" s="396" t="s">
        <v>15774</v>
      </c>
      <c r="E8271" s="396" t="s">
        <v>15775</v>
      </c>
      <c r="F8271" s="396" t="s">
        <v>15776</v>
      </c>
    </row>
    <row r="8272">
      <c r="A8272" s="311">
        <v>8271</v>
      </c>
      <c r="B8272" s="396" t="s">
        <v>15783</v>
      </c>
      <c r="C8272" s="396" t="s">
        <v>15784</v>
      </c>
      <c r="D8272" s="396" t="s">
        <v>15774</v>
      </c>
      <c r="E8272" s="396" t="s">
        <v>15775</v>
      </c>
      <c r="F8272" s="396" t="s">
        <v>15776</v>
      </c>
    </row>
    <row r="8273">
      <c r="A8273" s="311">
        <v>8272</v>
      </c>
      <c r="B8273" s="396" t="s">
        <v>15785</v>
      </c>
      <c r="C8273" s="396" t="s">
        <v>36</v>
      </c>
      <c r="D8273" s="396" t="s">
        <v>15774</v>
      </c>
      <c r="E8273" s="396" t="s">
        <v>15775</v>
      </c>
      <c r="F8273" s="396" t="s">
        <v>15776</v>
      </c>
    </row>
    <row r="8274">
      <c r="A8274" s="311">
        <v>8273</v>
      </c>
      <c r="B8274" s="396" t="s">
        <v>15786</v>
      </c>
      <c r="C8274" s="396" t="s">
        <v>4594</v>
      </c>
      <c r="D8274" s="396" t="s">
        <v>15774</v>
      </c>
      <c r="E8274" s="396" t="s">
        <v>15775</v>
      </c>
      <c r="F8274" s="396" t="s">
        <v>15776</v>
      </c>
    </row>
    <row r="8275">
      <c r="A8275" s="311">
        <v>8274</v>
      </c>
      <c r="B8275" s="396" t="s">
        <v>15787</v>
      </c>
      <c r="C8275" s="396" t="s">
        <v>15788</v>
      </c>
      <c r="D8275" s="396" t="s">
        <v>15774</v>
      </c>
      <c r="E8275" s="396" t="s">
        <v>15775</v>
      </c>
      <c r="F8275" s="396" t="s">
        <v>15776</v>
      </c>
    </row>
    <row r="8276">
      <c r="A8276" s="311">
        <v>8275</v>
      </c>
      <c r="B8276" s="396" t="s">
        <v>15789</v>
      </c>
      <c r="C8276" s="396" t="s">
        <v>15790</v>
      </c>
      <c r="D8276" s="396" t="s">
        <v>15774</v>
      </c>
      <c r="E8276" s="396" t="s">
        <v>15775</v>
      </c>
      <c r="F8276" s="396" t="s">
        <v>15776</v>
      </c>
    </row>
    <row r="8277">
      <c r="A8277" s="311">
        <v>8276</v>
      </c>
      <c r="B8277" s="396" t="s">
        <v>15791</v>
      </c>
      <c r="C8277" s="396" t="s">
        <v>15792</v>
      </c>
      <c r="D8277" s="396" t="s">
        <v>15774</v>
      </c>
      <c r="E8277" s="396" t="s">
        <v>15775</v>
      </c>
      <c r="F8277" s="396" t="s">
        <v>15776</v>
      </c>
    </row>
    <row r="8278">
      <c r="A8278" s="311">
        <v>8277</v>
      </c>
      <c r="B8278" s="396" t="s">
        <v>15793</v>
      </c>
      <c r="C8278" s="396" t="s">
        <v>15794</v>
      </c>
      <c r="D8278" s="396" t="s">
        <v>15774</v>
      </c>
      <c r="E8278" s="396" t="s">
        <v>15775</v>
      </c>
      <c r="F8278" s="396" t="s">
        <v>15776</v>
      </c>
    </row>
    <row r="8279">
      <c r="A8279" s="311">
        <v>8278</v>
      </c>
      <c r="B8279" s="396" t="s">
        <v>15795</v>
      </c>
      <c r="C8279" s="396" t="s">
        <v>15796</v>
      </c>
      <c r="D8279" s="396" t="s">
        <v>15774</v>
      </c>
      <c r="E8279" s="396" t="s">
        <v>15775</v>
      </c>
      <c r="F8279" s="396" t="s">
        <v>15776</v>
      </c>
    </row>
    <row r="8280">
      <c r="A8280" s="311">
        <v>8279</v>
      </c>
      <c r="B8280" s="396" t="s">
        <v>15797</v>
      </c>
      <c r="C8280" s="396" t="s">
        <v>15798</v>
      </c>
      <c r="D8280" s="396" t="s">
        <v>15774</v>
      </c>
      <c r="E8280" s="396" t="s">
        <v>15775</v>
      </c>
      <c r="F8280" s="396" t="s">
        <v>15776</v>
      </c>
    </row>
    <row r="8281">
      <c r="A8281" s="311">
        <v>8280</v>
      </c>
      <c r="B8281" s="396" t="s">
        <v>15799</v>
      </c>
      <c r="C8281" s="396" t="s">
        <v>15800</v>
      </c>
      <c r="D8281" s="396" t="s">
        <v>15774</v>
      </c>
      <c r="E8281" s="396" t="s">
        <v>15775</v>
      </c>
      <c r="F8281" s="396" t="s">
        <v>15776</v>
      </c>
    </row>
    <row r="8282">
      <c r="A8282" s="311">
        <v>8281</v>
      </c>
      <c r="B8282" s="396" t="s">
        <v>15801</v>
      </c>
      <c r="C8282" s="396" t="s">
        <v>5198</v>
      </c>
      <c r="D8282" s="396" t="s">
        <v>15774</v>
      </c>
      <c r="E8282" s="396" t="s">
        <v>15775</v>
      </c>
      <c r="F8282" s="396" t="s">
        <v>15776</v>
      </c>
    </row>
    <row r="8283">
      <c r="A8283" s="311">
        <v>8282</v>
      </c>
      <c r="B8283" s="396" t="s">
        <v>15802</v>
      </c>
      <c r="C8283" s="396" t="s">
        <v>15803</v>
      </c>
      <c r="D8283" s="396" t="s">
        <v>15774</v>
      </c>
      <c r="E8283" s="396" t="s">
        <v>15775</v>
      </c>
      <c r="F8283" s="396" t="s">
        <v>15776</v>
      </c>
    </row>
    <row r="8284">
      <c r="A8284" s="311">
        <v>8283</v>
      </c>
      <c r="B8284" s="396" t="s">
        <v>15804</v>
      </c>
      <c r="C8284" s="396" t="s">
        <v>1161</v>
      </c>
      <c r="D8284" s="396" t="s">
        <v>15774</v>
      </c>
      <c r="E8284" s="396" t="s">
        <v>15775</v>
      </c>
      <c r="F8284" s="396" t="s">
        <v>15776</v>
      </c>
    </row>
    <row r="8285">
      <c r="A8285" s="311">
        <v>8284</v>
      </c>
      <c r="B8285" s="396" t="s">
        <v>15805</v>
      </c>
      <c r="C8285" s="396" t="s">
        <v>15806</v>
      </c>
      <c r="D8285" s="396" t="s">
        <v>15774</v>
      </c>
      <c r="E8285" s="396" t="s">
        <v>15775</v>
      </c>
      <c r="F8285" s="396" t="s">
        <v>15776</v>
      </c>
    </row>
    <row r="8286">
      <c r="A8286" s="311">
        <v>8285</v>
      </c>
      <c r="B8286" s="396" t="s">
        <v>15807</v>
      </c>
      <c r="C8286" s="396" t="s">
        <v>15808</v>
      </c>
      <c r="D8286" s="396" t="s">
        <v>15774</v>
      </c>
      <c r="E8286" s="396" t="s">
        <v>15775</v>
      </c>
      <c r="F8286" s="396" t="s">
        <v>15776</v>
      </c>
    </row>
    <row r="8287">
      <c r="A8287" s="311">
        <v>8286</v>
      </c>
      <c r="B8287" s="396" t="s">
        <v>15809</v>
      </c>
      <c r="C8287" s="396" t="s">
        <v>15810</v>
      </c>
      <c r="D8287" s="396" t="s">
        <v>15811</v>
      </c>
      <c r="E8287" s="396" t="s">
        <v>15812</v>
      </c>
      <c r="F8287" s="396" t="s">
        <v>15776</v>
      </c>
    </row>
    <row r="8288">
      <c r="A8288" s="311">
        <v>8287</v>
      </c>
      <c r="B8288" s="396" t="s">
        <v>15813</v>
      </c>
      <c r="C8288" s="396" t="s">
        <v>15365</v>
      </c>
      <c r="D8288" s="396" t="s">
        <v>15811</v>
      </c>
      <c r="E8288" s="396" t="s">
        <v>15812</v>
      </c>
      <c r="F8288" s="396" t="s">
        <v>15776</v>
      </c>
    </row>
    <row r="8289">
      <c r="A8289" s="311">
        <v>8288</v>
      </c>
      <c r="B8289" s="396" t="s">
        <v>15814</v>
      </c>
      <c r="C8289" s="396" t="s">
        <v>15815</v>
      </c>
      <c r="D8289" s="396" t="s">
        <v>15811</v>
      </c>
      <c r="E8289" s="396" t="s">
        <v>15812</v>
      </c>
      <c r="F8289" s="396" t="s">
        <v>15776</v>
      </c>
    </row>
    <row r="8290">
      <c r="A8290" s="311">
        <v>8289</v>
      </c>
      <c r="B8290" s="396" t="s">
        <v>15816</v>
      </c>
      <c r="C8290" s="396" t="s">
        <v>15817</v>
      </c>
      <c r="D8290" s="396" t="s">
        <v>15811</v>
      </c>
      <c r="E8290" s="396" t="s">
        <v>15812</v>
      </c>
      <c r="F8290" s="396" t="s">
        <v>15776</v>
      </c>
    </row>
    <row r="8291">
      <c r="A8291" s="311">
        <v>8290</v>
      </c>
      <c r="B8291" s="396" t="s">
        <v>15818</v>
      </c>
      <c r="C8291" s="396" t="s">
        <v>3178</v>
      </c>
      <c r="D8291" s="396" t="s">
        <v>15811</v>
      </c>
      <c r="E8291" s="396" t="s">
        <v>15812</v>
      </c>
      <c r="F8291" s="396" t="s">
        <v>15776</v>
      </c>
    </row>
    <row r="8292">
      <c r="A8292" s="311">
        <v>8291</v>
      </c>
      <c r="B8292" s="396" t="s">
        <v>15819</v>
      </c>
      <c r="C8292" s="396" t="s">
        <v>15820</v>
      </c>
      <c r="D8292" s="396" t="s">
        <v>15811</v>
      </c>
      <c r="E8292" s="396" t="s">
        <v>15812</v>
      </c>
      <c r="F8292" s="396" t="s">
        <v>15776</v>
      </c>
    </row>
    <row r="8293">
      <c r="A8293" s="311">
        <v>8292</v>
      </c>
      <c r="B8293" s="396" t="s">
        <v>15821</v>
      </c>
      <c r="C8293" s="396" t="s">
        <v>15822</v>
      </c>
      <c r="D8293" s="396" t="s">
        <v>15811</v>
      </c>
      <c r="E8293" s="396" t="s">
        <v>15812</v>
      </c>
      <c r="F8293" s="396" t="s">
        <v>15776</v>
      </c>
    </row>
    <row r="8294">
      <c r="A8294" s="311">
        <v>8293</v>
      </c>
      <c r="B8294" s="396" t="s">
        <v>15823</v>
      </c>
      <c r="C8294" s="396" t="s">
        <v>2579</v>
      </c>
      <c r="D8294" s="396" t="s">
        <v>15811</v>
      </c>
      <c r="E8294" s="396" t="s">
        <v>15812</v>
      </c>
      <c r="F8294" s="396" t="s">
        <v>15776</v>
      </c>
    </row>
    <row r="8295">
      <c r="A8295" s="311">
        <v>8294</v>
      </c>
      <c r="B8295" s="396" t="s">
        <v>15824</v>
      </c>
      <c r="C8295" s="396" t="s">
        <v>14926</v>
      </c>
      <c r="D8295" s="396" t="s">
        <v>15811</v>
      </c>
      <c r="E8295" s="396" t="s">
        <v>15812</v>
      </c>
      <c r="F8295" s="396" t="s">
        <v>15776</v>
      </c>
    </row>
    <row r="8296">
      <c r="A8296" s="311">
        <v>8295</v>
      </c>
      <c r="B8296" s="396" t="s">
        <v>15825</v>
      </c>
      <c r="C8296" s="396" t="s">
        <v>15826</v>
      </c>
      <c r="D8296" s="396" t="s">
        <v>15811</v>
      </c>
      <c r="E8296" s="396" t="s">
        <v>15812</v>
      </c>
      <c r="F8296" s="396" t="s">
        <v>15776</v>
      </c>
    </row>
    <row r="8297">
      <c r="A8297" s="311">
        <v>8296</v>
      </c>
      <c r="B8297" s="396" t="s">
        <v>15827</v>
      </c>
      <c r="C8297" s="396" t="s">
        <v>4114</v>
      </c>
      <c r="D8297" s="396" t="s">
        <v>15811</v>
      </c>
      <c r="E8297" s="396" t="s">
        <v>15812</v>
      </c>
      <c r="F8297" s="396" t="s">
        <v>15776</v>
      </c>
    </row>
    <row r="8298">
      <c r="A8298" s="311">
        <v>8297</v>
      </c>
      <c r="B8298" s="396" t="s">
        <v>15828</v>
      </c>
      <c r="C8298" s="396" t="s">
        <v>15829</v>
      </c>
      <c r="D8298" s="396" t="s">
        <v>15811</v>
      </c>
      <c r="E8298" s="396" t="s">
        <v>15812</v>
      </c>
      <c r="F8298" s="396" t="s">
        <v>15776</v>
      </c>
    </row>
    <row r="8299">
      <c r="A8299" s="311">
        <v>8298</v>
      </c>
      <c r="B8299" s="396" t="s">
        <v>15830</v>
      </c>
      <c r="C8299" s="396" t="s">
        <v>15831</v>
      </c>
      <c r="D8299" s="396" t="s">
        <v>15832</v>
      </c>
      <c r="E8299" s="396" t="s">
        <v>15833</v>
      </c>
      <c r="F8299" s="396" t="s">
        <v>15776</v>
      </c>
    </row>
    <row r="8300">
      <c r="A8300" s="311">
        <v>8299</v>
      </c>
      <c r="B8300" s="396" t="s">
        <v>15834</v>
      </c>
      <c r="C8300" s="396" t="s">
        <v>15835</v>
      </c>
      <c r="D8300" s="396" t="s">
        <v>15832</v>
      </c>
      <c r="E8300" s="396" t="s">
        <v>15833</v>
      </c>
      <c r="F8300" s="396" t="s">
        <v>15776</v>
      </c>
    </row>
    <row r="8301">
      <c r="A8301" s="311">
        <v>8300</v>
      </c>
      <c r="B8301" s="396" t="s">
        <v>15836</v>
      </c>
      <c r="C8301" s="396" t="s">
        <v>15837</v>
      </c>
      <c r="D8301" s="396" t="s">
        <v>15832</v>
      </c>
      <c r="E8301" s="396" t="s">
        <v>15833</v>
      </c>
      <c r="F8301" s="396" t="s">
        <v>15776</v>
      </c>
    </row>
    <row r="8302">
      <c r="A8302" s="311">
        <v>8301</v>
      </c>
      <c r="B8302" s="396" t="s">
        <v>15838</v>
      </c>
      <c r="C8302" s="396" t="s">
        <v>15839</v>
      </c>
      <c r="D8302" s="396" t="s">
        <v>15832</v>
      </c>
      <c r="E8302" s="396" t="s">
        <v>15833</v>
      </c>
      <c r="F8302" s="396" t="s">
        <v>15776</v>
      </c>
    </row>
    <row r="8303">
      <c r="A8303" s="311">
        <v>8302</v>
      </c>
      <c r="B8303" s="396" t="s">
        <v>15840</v>
      </c>
      <c r="C8303" s="396" t="s">
        <v>15841</v>
      </c>
      <c r="D8303" s="396" t="s">
        <v>15832</v>
      </c>
      <c r="E8303" s="396" t="s">
        <v>15833</v>
      </c>
      <c r="F8303" s="396" t="s">
        <v>15776</v>
      </c>
    </row>
    <row r="8304">
      <c r="A8304" s="311">
        <v>8303</v>
      </c>
      <c r="B8304" s="396" t="s">
        <v>15842</v>
      </c>
      <c r="C8304" s="396" t="s">
        <v>15843</v>
      </c>
      <c r="D8304" s="396" t="s">
        <v>15832</v>
      </c>
      <c r="E8304" s="396" t="s">
        <v>15833</v>
      </c>
      <c r="F8304" s="396" t="s">
        <v>15776</v>
      </c>
    </row>
    <row r="8305">
      <c r="A8305" s="311">
        <v>8304</v>
      </c>
      <c r="B8305" s="396" t="s">
        <v>15844</v>
      </c>
      <c r="C8305" s="396" t="s">
        <v>15845</v>
      </c>
      <c r="D8305" s="396" t="s">
        <v>15832</v>
      </c>
      <c r="E8305" s="396" t="s">
        <v>15833</v>
      </c>
      <c r="F8305" s="396" t="s">
        <v>15776</v>
      </c>
    </row>
    <row r="8306">
      <c r="A8306" s="311">
        <v>8305</v>
      </c>
      <c r="B8306" s="396" t="s">
        <v>15846</v>
      </c>
      <c r="C8306" s="396" t="s">
        <v>15847</v>
      </c>
      <c r="D8306" s="396" t="s">
        <v>15832</v>
      </c>
      <c r="E8306" s="396" t="s">
        <v>15833</v>
      </c>
      <c r="F8306" s="396" t="s">
        <v>15776</v>
      </c>
    </row>
    <row r="8307">
      <c r="A8307" s="311">
        <v>8306</v>
      </c>
      <c r="B8307" s="396" t="s">
        <v>15848</v>
      </c>
      <c r="C8307" s="396" t="s">
        <v>15849</v>
      </c>
      <c r="D8307" s="396" t="s">
        <v>15832</v>
      </c>
      <c r="E8307" s="396" t="s">
        <v>15833</v>
      </c>
      <c r="F8307" s="396" t="s">
        <v>15776</v>
      </c>
    </row>
    <row r="8308">
      <c r="A8308" s="311">
        <v>8307</v>
      </c>
      <c r="B8308" s="396" t="s">
        <v>15850</v>
      </c>
      <c r="C8308" s="396" t="s">
        <v>15851</v>
      </c>
      <c r="D8308" s="396" t="s">
        <v>15832</v>
      </c>
      <c r="E8308" s="396" t="s">
        <v>15833</v>
      </c>
      <c r="F8308" s="396" t="s">
        <v>15776</v>
      </c>
    </row>
    <row r="8309">
      <c r="A8309" s="311">
        <v>8308</v>
      </c>
      <c r="B8309" s="396" t="s">
        <v>15852</v>
      </c>
      <c r="C8309" s="396" t="s">
        <v>15853</v>
      </c>
      <c r="D8309" s="396" t="s">
        <v>15832</v>
      </c>
      <c r="E8309" s="396" t="s">
        <v>15833</v>
      </c>
      <c r="F8309" s="396" t="s">
        <v>15776</v>
      </c>
    </row>
    <row r="8310">
      <c r="A8310" s="311">
        <v>8309</v>
      </c>
      <c r="B8310" s="396" t="s">
        <v>15854</v>
      </c>
      <c r="C8310" s="396" t="s">
        <v>15855</v>
      </c>
      <c r="D8310" s="396" t="s">
        <v>15832</v>
      </c>
      <c r="E8310" s="396" t="s">
        <v>15833</v>
      </c>
      <c r="F8310" s="396" t="s">
        <v>15776</v>
      </c>
    </row>
    <row r="8311">
      <c r="A8311" s="311">
        <v>8310</v>
      </c>
      <c r="B8311" s="396" t="s">
        <v>15856</v>
      </c>
      <c r="C8311" s="396" t="s">
        <v>15857</v>
      </c>
      <c r="D8311" s="396" t="s">
        <v>15858</v>
      </c>
      <c r="E8311" s="396" t="s">
        <v>15859</v>
      </c>
      <c r="F8311" s="396" t="s">
        <v>15776</v>
      </c>
    </row>
    <row r="8312">
      <c r="A8312" s="311">
        <v>8311</v>
      </c>
      <c r="B8312" s="396" t="s">
        <v>15860</v>
      </c>
      <c r="C8312" s="396" t="s">
        <v>15861</v>
      </c>
      <c r="D8312" s="396" t="s">
        <v>15858</v>
      </c>
      <c r="E8312" s="396" t="s">
        <v>15859</v>
      </c>
      <c r="F8312" s="396" t="s">
        <v>15776</v>
      </c>
    </row>
    <row r="8313">
      <c r="A8313" s="311">
        <v>8312</v>
      </c>
      <c r="B8313" s="396" t="s">
        <v>15862</v>
      </c>
      <c r="C8313" s="396" t="s">
        <v>15863</v>
      </c>
      <c r="D8313" s="396" t="s">
        <v>15858</v>
      </c>
      <c r="E8313" s="396" t="s">
        <v>15859</v>
      </c>
      <c r="F8313" s="396" t="s">
        <v>15776</v>
      </c>
    </row>
    <row r="8314">
      <c r="A8314" s="311">
        <v>8313</v>
      </c>
      <c r="B8314" s="396" t="s">
        <v>15864</v>
      </c>
      <c r="C8314" s="396" t="s">
        <v>15865</v>
      </c>
      <c r="D8314" s="396" t="s">
        <v>15858</v>
      </c>
      <c r="E8314" s="396" t="s">
        <v>15859</v>
      </c>
      <c r="F8314" s="396" t="s">
        <v>15776</v>
      </c>
    </row>
    <row r="8315">
      <c r="A8315" s="311">
        <v>8314</v>
      </c>
      <c r="B8315" s="396" t="s">
        <v>15866</v>
      </c>
      <c r="C8315" s="396" t="s">
        <v>15867</v>
      </c>
      <c r="D8315" s="396" t="s">
        <v>15858</v>
      </c>
      <c r="E8315" s="396" t="s">
        <v>15859</v>
      </c>
      <c r="F8315" s="396" t="s">
        <v>15776</v>
      </c>
    </row>
    <row r="8316">
      <c r="A8316" s="311">
        <v>8315</v>
      </c>
      <c r="B8316" s="396" t="s">
        <v>15868</v>
      </c>
      <c r="C8316" s="396" t="s">
        <v>15869</v>
      </c>
      <c r="D8316" s="396" t="s">
        <v>15858</v>
      </c>
      <c r="E8316" s="396" t="s">
        <v>15859</v>
      </c>
      <c r="F8316" s="396" t="s">
        <v>15776</v>
      </c>
    </row>
    <row r="8317">
      <c r="A8317" s="311">
        <v>8316</v>
      </c>
      <c r="B8317" s="396" t="s">
        <v>15870</v>
      </c>
      <c r="C8317" s="396" t="s">
        <v>15871</v>
      </c>
      <c r="D8317" s="396" t="s">
        <v>15858</v>
      </c>
      <c r="E8317" s="396" t="s">
        <v>15859</v>
      </c>
      <c r="F8317" s="396" t="s">
        <v>15776</v>
      </c>
    </row>
    <row r="8318">
      <c r="A8318" s="311">
        <v>8317</v>
      </c>
      <c r="B8318" s="396" t="s">
        <v>15872</v>
      </c>
      <c r="C8318" s="396" t="s">
        <v>15873</v>
      </c>
      <c r="D8318" s="396" t="s">
        <v>15858</v>
      </c>
      <c r="E8318" s="396" t="s">
        <v>15859</v>
      </c>
      <c r="F8318" s="396" t="s">
        <v>15776</v>
      </c>
    </row>
    <row r="8319">
      <c r="A8319" s="311">
        <v>8318</v>
      </c>
      <c r="B8319" s="396" t="s">
        <v>15874</v>
      </c>
      <c r="C8319" s="396" t="s">
        <v>15875</v>
      </c>
      <c r="D8319" s="396" t="s">
        <v>15858</v>
      </c>
      <c r="E8319" s="396" t="s">
        <v>15859</v>
      </c>
      <c r="F8319" s="396" t="s">
        <v>15776</v>
      </c>
    </row>
    <row r="8320">
      <c r="A8320" s="311">
        <v>8319</v>
      </c>
      <c r="B8320" s="396" t="s">
        <v>15876</v>
      </c>
      <c r="C8320" s="396" t="s">
        <v>15877</v>
      </c>
      <c r="D8320" s="396" t="s">
        <v>15858</v>
      </c>
      <c r="E8320" s="396" t="s">
        <v>15859</v>
      </c>
      <c r="F8320" s="396" t="s">
        <v>15776</v>
      </c>
    </row>
    <row r="8321">
      <c r="A8321" s="311">
        <v>8320</v>
      </c>
      <c r="B8321" s="396" t="s">
        <v>15878</v>
      </c>
      <c r="C8321" s="396" t="s">
        <v>15879</v>
      </c>
      <c r="D8321" s="396" t="s">
        <v>15880</v>
      </c>
      <c r="E8321" s="396" t="s">
        <v>15881</v>
      </c>
      <c r="F8321" s="396" t="s">
        <v>15776</v>
      </c>
    </row>
    <row r="8322">
      <c r="A8322" s="311">
        <v>8321</v>
      </c>
      <c r="B8322" s="396" t="s">
        <v>15882</v>
      </c>
      <c r="C8322" s="396" t="s">
        <v>15883</v>
      </c>
      <c r="D8322" s="396" t="s">
        <v>15880</v>
      </c>
      <c r="E8322" s="396" t="s">
        <v>15881</v>
      </c>
      <c r="F8322" s="396" t="s">
        <v>15776</v>
      </c>
    </row>
    <row r="8323">
      <c r="A8323" s="311">
        <v>8322</v>
      </c>
      <c r="B8323" s="396" t="s">
        <v>15884</v>
      </c>
      <c r="C8323" s="396" t="s">
        <v>15885</v>
      </c>
      <c r="D8323" s="396" t="s">
        <v>15880</v>
      </c>
      <c r="E8323" s="396" t="s">
        <v>15881</v>
      </c>
      <c r="F8323" s="396" t="s">
        <v>15776</v>
      </c>
    </row>
    <row r="8324">
      <c r="A8324" s="311">
        <v>8323</v>
      </c>
      <c r="B8324" s="396" t="s">
        <v>15886</v>
      </c>
      <c r="C8324" s="396" t="s">
        <v>838</v>
      </c>
      <c r="D8324" s="396" t="s">
        <v>15880</v>
      </c>
      <c r="E8324" s="396" t="s">
        <v>15881</v>
      </c>
      <c r="F8324" s="396" t="s">
        <v>15776</v>
      </c>
    </row>
    <row r="8325">
      <c r="A8325" s="311">
        <v>8324</v>
      </c>
      <c r="B8325" s="396" t="s">
        <v>15887</v>
      </c>
      <c r="C8325" s="396" t="s">
        <v>15888</v>
      </c>
      <c r="D8325" s="396" t="s">
        <v>15880</v>
      </c>
      <c r="E8325" s="396" t="s">
        <v>15881</v>
      </c>
      <c r="F8325" s="396" t="s">
        <v>15776</v>
      </c>
    </row>
    <row r="8326">
      <c r="A8326" s="311">
        <v>8325</v>
      </c>
      <c r="B8326" s="396" t="s">
        <v>15889</v>
      </c>
      <c r="C8326" s="396" t="s">
        <v>15890</v>
      </c>
      <c r="D8326" s="396" t="s">
        <v>15880</v>
      </c>
      <c r="E8326" s="396" t="s">
        <v>15881</v>
      </c>
      <c r="F8326" s="396" t="s">
        <v>15776</v>
      </c>
    </row>
    <row r="8327">
      <c r="A8327" s="311">
        <v>8326</v>
      </c>
      <c r="B8327" s="396" t="s">
        <v>15891</v>
      </c>
      <c r="C8327" s="396" t="s">
        <v>15892</v>
      </c>
      <c r="D8327" s="396" t="s">
        <v>15880</v>
      </c>
      <c r="E8327" s="396" t="s">
        <v>15881</v>
      </c>
      <c r="F8327" s="396" t="s">
        <v>15776</v>
      </c>
    </row>
    <row r="8328">
      <c r="A8328" s="311">
        <v>8327</v>
      </c>
      <c r="B8328" s="396" t="s">
        <v>15893</v>
      </c>
      <c r="C8328" s="396" t="s">
        <v>15894</v>
      </c>
      <c r="D8328" s="396" t="s">
        <v>15895</v>
      </c>
      <c r="E8328" s="396" t="s">
        <v>15896</v>
      </c>
      <c r="F8328" s="396" t="s">
        <v>15776</v>
      </c>
    </row>
    <row r="8329">
      <c r="A8329" s="311">
        <v>8328</v>
      </c>
      <c r="B8329" s="396" t="s">
        <v>15897</v>
      </c>
      <c r="C8329" s="396" t="s">
        <v>15898</v>
      </c>
      <c r="D8329" s="396" t="s">
        <v>15895</v>
      </c>
      <c r="E8329" s="396" t="s">
        <v>15896</v>
      </c>
      <c r="F8329" s="396" t="s">
        <v>15776</v>
      </c>
    </row>
    <row r="8330">
      <c r="A8330" s="311">
        <v>8329</v>
      </c>
      <c r="B8330" s="396" t="s">
        <v>15899</v>
      </c>
      <c r="C8330" s="396" t="s">
        <v>12258</v>
      </c>
      <c r="D8330" s="396" t="s">
        <v>15895</v>
      </c>
      <c r="E8330" s="396" t="s">
        <v>15896</v>
      </c>
      <c r="F8330" s="396" t="s">
        <v>15776</v>
      </c>
    </row>
    <row r="8331">
      <c r="A8331" s="311">
        <v>8330</v>
      </c>
      <c r="B8331" s="396" t="s">
        <v>15900</v>
      </c>
      <c r="C8331" s="396" t="s">
        <v>15901</v>
      </c>
      <c r="D8331" s="396" t="s">
        <v>15895</v>
      </c>
      <c r="E8331" s="396" t="s">
        <v>15896</v>
      </c>
      <c r="F8331" s="396" t="s">
        <v>15776</v>
      </c>
    </row>
    <row r="8332">
      <c r="A8332" s="311">
        <v>8331</v>
      </c>
      <c r="B8332" s="396" t="s">
        <v>15902</v>
      </c>
      <c r="C8332" s="396" t="s">
        <v>15903</v>
      </c>
      <c r="D8332" s="396" t="s">
        <v>15895</v>
      </c>
      <c r="E8332" s="396" t="s">
        <v>15896</v>
      </c>
      <c r="F8332" s="396" t="s">
        <v>15776</v>
      </c>
    </row>
    <row r="8333">
      <c r="A8333" s="311">
        <v>8332</v>
      </c>
      <c r="B8333" s="396" t="s">
        <v>15904</v>
      </c>
      <c r="C8333" s="396" t="s">
        <v>15905</v>
      </c>
      <c r="D8333" s="396" t="s">
        <v>15895</v>
      </c>
      <c r="E8333" s="396" t="s">
        <v>15896</v>
      </c>
      <c r="F8333" s="396" t="s">
        <v>15776</v>
      </c>
    </row>
    <row r="8334">
      <c r="A8334" s="311">
        <v>8333</v>
      </c>
      <c r="B8334" s="396" t="s">
        <v>15906</v>
      </c>
      <c r="C8334" s="396" t="s">
        <v>15907</v>
      </c>
      <c r="D8334" s="396" t="s">
        <v>15895</v>
      </c>
      <c r="E8334" s="396" t="s">
        <v>15896</v>
      </c>
      <c r="F8334" s="396" t="s">
        <v>15776</v>
      </c>
    </row>
    <row r="8335">
      <c r="A8335" s="311">
        <v>8334</v>
      </c>
      <c r="B8335" s="396" t="s">
        <v>15908</v>
      </c>
      <c r="C8335" s="396" t="s">
        <v>15909</v>
      </c>
      <c r="D8335" s="396" t="s">
        <v>15895</v>
      </c>
      <c r="E8335" s="396" t="s">
        <v>15896</v>
      </c>
      <c r="F8335" s="396" t="s">
        <v>15776</v>
      </c>
    </row>
    <row r="8336">
      <c r="A8336" s="311">
        <v>8335</v>
      </c>
      <c r="B8336" s="396" t="s">
        <v>15910</v>
      </c>
      <c r="C8336" s="396" t="s">
        <v>15911</v>
      </c>
      <c r="D8336" s="396" t="s">
        <v>15895</v>
      </c>
      <c r="E8336" s="396" t="s">
        <v>15896</v>
      </c>
      <c r="F8336" s="396" t="s">
        <v>15776</v>
      </c>
    </row>
    <row r="8337">
      <c r="A8337" s="311">
        <v>8336</v>
      </c>
      <c r="B8337" s="396" t="s">
        <v>15912</v>
      </c>
      <c r="C8337" s="396" t="s">
        <v>15913</v>
      </c>
      <c r="D8337" s="396" t="s">
        <v>15895</v>
      </c>
      <c r="E8337" s="396" t="s">
        <v>15896</v>
      </c>
      <c r="F8337" s="396" t="s">
        <v>15776</v>
      </c>
    </row>
    <row r="8338">
      <c r="A8338" s="311">
        <v>8337</v>
      </c>
      <c r="B8338" s="396" t="s">
        <v>15914</v>
      </c>
      <c r="C8338" s="396" t="s">
        <v>15915</v>
      </c>
      <c r="D8338" s="396" t="s">
        <v>15895</v>
      </c>
      <c r="E8338" s="396" t="s">
        <v>15896</v>
      </c>
      <c r="F8338" s="396" t="s">
        <v>15776</v>
      </c>
    </row>
    <row r="8339">
      <c r="A8339" s="311">
        <v>8338</v>
      </c>
      <c r="B8339" s="396" t="s">
        <v>15916</v>
      </c>
      <c r="C8339" s="396" t="s">
        <v>15917</v>
      </c>
      <c r="D8339" s="396" t="s">
        <v>15895</v>
      </c>
      <c r="E8339" s="396" t="s">
        <v>15896</v>
      </c>
      <c r="F8339" s="396" t="s">
        <v>15776</v>
      </c>
    </row>
    <row r="8340">
      <c r="A8340" s="311">
        <v>8339</v>
      </c>
      <c r="B8340" s="396" t="s">
        <v>15918</v>
      </c>
      <c r="C8340" s="396" t="s">
        <v>15919</v>
      </c>
      <c r="D8340" s="396" t="s">
        <v>15895</v>
      </c>
      <c r="E8340" s="396" t="s">
        <v>15896</v>
      </c>
      <c r="F8340" s="396" t="s">
        <v>15776</v>
      </c>
    </row>
    <row r="8341">
      <c r="A8341" s="311">
        <v>8340</v>
      </c>
      <c r="B8341" s="396" t="s">
        <v>15920</v>
      </c>
      <c r="C8341" s="396" t="s">
        <v>15921</v>
      </c>
      <c r="D8341" s="396" t="s">
        <v>15895</v>
      </c>
      <c r="E8341" s="396" t="s">
        <v>15896</v>
      </c>
      <c r="F8341" s="396" t="s">
        <v>15776</v>
      </c>
    </row>
    <row r="8342">
      <c r="A8342" s="311">
        <v>8341</v>
      </c>
      <c r="B8342" s="396" t="s">
        <v>15922</v>
      </c>
      <c r="C8342" s="396" t="s">
        <v>15923</v>
      </c>
      <c r="D8342" s="396" t="s">
        <v>15895</v>
      </c>
      <c r="E8342" s="396" t="s">
        <v>15896</v>
      </c>
      <c r="F8342" s="396" t="s">
        <v>15776</v>
      </c>
    </row>
    <row r="8343">
      <c r="A8343" s="311">
        <v>8342</v>
      </c>
      <c r="B8343" s="396" t="s">
        <v>15924</v>
      </c>
      <c r="C8343" s="396" t="s">
        <v>15925</v>
      </c>
      <c r="D8343" s="396" t="s">
        <v>15895</v>
      </c>
      <c r="E8343" s="396" t="s">
        <v>15896</v>
      </c>
      <c r="F8343" s="396" t="s">
        <v>15776</v>
      </c>
    </row>
    <row r="8344">
      <c r="A8344" s="311">
        <v>8343</v>
      </c>
      <c r="B8344" s="396" t="s">
        <v>15926</v>
      </c>
      <c r="C8344" s="396" t="s">
        <v>15927</v>
      </c>
      <c r="D8344" s="396" t="s">
        <v>15895</v>
      </c>
      <c r="E8344" s="396" t="s">
        <v>15896</v>
      </c>
      <c r="F8344" s="396" t="s">
        <v>15776</v>
      </c>
    </row>
    <row r="8345">
      <c r="A8345" s="311">
        <v>8344</v>
      </c>
      <c r="B8345" s="396" t="s">
        <v>15928</v>
      </c>
      <c r="C8345" s="396" t="s">
        <v>15929</v>
      </c>
      <c r="D8345" s="396" t="s">
        <v>15930</v>
      </c>
      <c r="E8345" s="396" t="s">
        <v>15931</v>
      </c>
      <c r="F8345" s="396" t="s">
        <v>15776</v>
      </c>
    </row>
    <row r="8346">
      <c r="A8346" s="311">
        <v>8345</v>
      </c>
      <c r="B8346" s="396" t="s">
        <v>15932</v>
      </c>
      <c r="C8346" s="396" t="s">
        <v>15933</v>
      </c>
      <c r="D8346" s="396" t="s">
        <v>15930</v>
      </c>
      <c r="E8346" s="396" t="s">
        <v>15931</v>
      </c>
      <c r="F8346" s="396" t="s">
        <v>15776</v>
      </c>
    </row>
    <row r="8347">
      <c r="A8347" s="311">
        <v>8346</v>
      </c>
      <c r="B8347" s="396" t="s">
        <v>15934</v>
      </c>
      <c r="C8347" s="396" t="s">
        <v>15935</v>
      </c>
      <c r="D8347" s="396" t="s">
        <v>15930</v>
      </c>
      <c r="E8347" s="396" t="s">
        <v>15931</v>
      </c>
      <c r="F8347" s="396" t="s">
        <v>15776</v>
      </c>
    </row>
    <row r="8348">
      <c r="A8348" s="311">
        <v>8347</v>
      </c>
      <c r="B8348" s="396" t="s">
        <v>15936</v>
      </c>
      <c r="C8348" s="396" t="s">
        <v>15937</v>
      </c>
      <c r="D8348" s="396" t="s">
        <v>15930</v>
      </c>
      <c r="E8348" s="396" t="s">
        <v>15931</v>
      </c>
      <c r="F8348" s="396" t="s">
        <v>15776</v>
      </c>
    </row>
    <row r="8349">
      <c r="A8349" s="311">
        <v>8348</v>
      </c>
      <c r="B8349" s="396" t="s">
        <v>15938</v>
      </c>
      <c r="C8349" s="396" t="s">
        <v>15939</v>
      </c>
      <c r="D8349" s="396" t="s">
        <v>15930</v>
      </c>
      <c r="E8349" s="396" t="s">
        <v>15931</v>
      </c>
      <c r="F8349" s="396" t="s">
        <v>15776</v>
      </c>
    </row>
    <row r="8350">
      <c r="A8350" s="311">
        <v>8349</v>
      </c>
      <c r="B8350" s="396" t="s">
        <v>15940</v>
      </c>
      <c r="C8350" s="396" t="s">
        <v>752</v>
      </c>
      <c r="D8350" s="396" t="s">
        <v>15930</v>
      </c>
      <c r="E8350" s="396" t="s">
        <v>15931</v>
      </c>
      <c r="F8350" s="396" t="s">
        <v>15776</v>
      </c>
    </row>
    <row r="8351">
      <c r="A8351" s="311">
        <v>8350</v>
      </c>
      <c r="B8351" s="396" t="s">
        <v>15941</v>
      </c>
      <c r="C8351" s="396" t="s">
        <v>15942</v>
      </c>
      <c r="D8351" s="396" t="s">
        <v>15930</v>
      </c>
      <c r="E8351" s="396" t="s">
        <v>15931</v>
      </c>
      <c r="F8351" s="396" t="s">
        <v>15776</v>
      </c>
    </row>
    <row r="8352">
      <c r="A8352" s="311">
        <v>8351</v>
      </c>
      <c r="B8352" s="396" t="s">
        <v>15943</v>
      </c>
      <c r="C8352" s="396" t="s">
        <v>15944</v>
      </c>
      <c r="D8352" s="396" t="s">
        <v>15945</v>
      </c>
      <c r="E8352" s="396" t="s">
        <v>15946</v>
      </c>
      <c r="F8352" s="396" t="s">
        <v>15776</v>
      </c>
    </row>
    <row r="8353">
      <c r="A8353" s="311">
        <v>8352</v>
      </c>
      <c r="B8353" s="396" t="s">
        <v>15947</v>
      </c>
      <c r="C8353" s="396" t="s">
        <v>15948</v>
      </c>
      <c r="D8353" s="396" t="s">
        <v>15945</v>
      </c>
      <c r="E8353" s="396" t="s">
        <v>15946</v>
      </c>
      <c r="F8353" s="396" t="s">
        <v>15776</v>
      </c>
    </row>
    <row r="8354">
      <c r="A8354" s="311">
        <v>8353</v>
      </c>
      <c r="B8354" s="396" t="s">
        <v>15949</v>
      </c>
      <c r="C8354" s="396" t="s">
        <v>15950</v>
      </c>
      <c r="D8354" s="396" t="s">
        <v>15945</v>
      </c>
      <c r="E8354" s="396" t="s">
        <v>15946</v>
      </c>
      <c r="F8354" s="396" t="s">
        <v>15776</v>
      </c>
    </row>
    <row r="8355">
      <c r="A8355" s="311">
        <v>8354</v>
      </c>
      <c r="B8355" s="396" t="s">
        <v>15951</v>
      </c>
      <c r="C8355" s="396" t="s">
        <v>15952</v>
      </c>
      <c r="D8355" s="396" t="s">
        <v>15945</v>
      </c>
      <c r="E8355" s="396" t="s">
        <v>15946</v>
      </c>
      <c r="F8355" s="396" t="s">
        <v>15776</v>
      </c>
    </row>
    <row r="8356">
      <c r="A8356" s="311">
        <v>8355</v>
      </c>
      <c r="B8356" s="396" t="s">
        <v>15953</v>
      </c>
      <c r="C8356" s="396" t="s">
        <v>6355</v>
      </c>
      <c r="D8356" s="396" t="s">
        <v>15945</v>
      </c>
      <c r="E8356" s="396" t="s">
        <v>15946</v>
      </c>
      <c r="F8356" s="396" t="s">
        <v>15776</v>
      </c>
    </row>
    <row r="8357">
      <c r="A8357" s="311">
        <v>8356</v>
      </c>
      <c r="B8357" s="396" t="s">
        <v>15954</v>
      </c>
      <c r="C8357" s="396" t="s">
        <v>6935</v>
      </c>
      <c r="D8357" s="396" t="s">
        <v>15945</v>
      </c>
      <c r="E8357" s="396" t="s">
        <v>15946</v>
      </c>
      <c r="F8357" s="396" t="s">
        <v>15776</v>
      </c>
    </row>
    <row r="8358">
      <c r="A8358" s="311">
        <v>8357</v>
      </c>
      <c r="B8358" s="396" t="s">
        <v>15955</v>
      </c>
      <c r="C8358" s="396" t="s">
        <v>15956</v>
      </c>
      <c r="D8358" s="396" t="s">
        <v>15945</v>
      </c>
      <c r="E8358" s="396" t="s">
        <v>15946</v>
      </c>
      <c r="F8358" s="396" t="s">
        <v>15776</v>
      </c>
    </row>
    <row r="8359">
      <c r="A8359" s="311">
        <v>8358</v>
      </c>
      <c r="B8359" s="396" t="s">
        <v>15957</v>
      </c>
      <c r="C8359" s="396" t="s">
        <v>15958</v>
      </c>
      <c r="D8359" s="396" t="s">
        <v>15945</v>
      </c>
      <c r="E8359" s="396" t="s">
        <v>15946</v>
      </c>
      <c r="F8359" s="396" t="s">
        <v>15776</v>
      </c>
    </row>
    <row r="8360">
      <c r="A8360" s="311">
        <v>8359</v>
      </c>
      <c r="B8360" s="396" t="s">
        <v>15959</v>
      </c>
      <c r="C8360" s="396" t="s">
        <v>15960</v>
      </c>
      <c r="D8360" s="396" t="s">
        <v>15945</v>
      </c>
      <c r="E8360" s="396" t="s">
        <v>15946</v>
      </c>
      <c r="F8360" s="396" t="s">
        <v>15776</v>
      </c>
    </row>
    <row r="8361">
      <c r="A8361" s="311">
        <v>8360</v>
      </c>
      <c r="B8361" s="396" t="s">
        <v>15961</v>
      </c>
      <c r="C8361" s="396" t="s">
        <v>6770</v>
      </c>
      <c r="D8361" s="396" t="s">
        <v>15945</v>
      </c>
      <c r="E8361" s="396" t="s">
        <v>15946</v>
      </c>
      <c r="F8361" s="396" t="s">
        <v>15776</v>
      </c>
    </row>
    <row r="8362">
      <c r="A8362" s="311">
        <v>8361</v>
      </c>
      <c r="B8362" s="396" t="s">
        <v>15962</v>
      </c>
      <c r="C8362" s="396" t="s">
        <v>15963</v>
      </c>
      <c r="D8362" s="396" t="s">
        <v>15945</v>
      </c>
      <c r="E8362" s="396" t="s">
        <v>15946</v>
      </c>
      <c r="F8362" s="396" t="s">
        <v>15776</v>
      </c>
    </row>
    <row r="8363">
      <c r="A8363" s="311">
        <v>8362</v>
      </c>
      <c r="B8363" s="396" t="s">
        <v>15964</v>
      </c>
      <c r="C8363" s="396" t="s">
        <v>15965</v>
      </c>
      <c r="D8363" s="396" t="s">
        <v>15945</v>
      </c>
      <c r="E8363" s="396" t="s">
        <v>15946</v>
      </c>
      <c r="F8363" s="396" t="s">
        <v>15776</v>
      </c>
    </row>
    <row r="8364">
      <c r="A8364" s="311">
        <v>8363</v>
      </c>
      <c r="B8364" s="396" t="s">
        <v>15966</v>
      </c>
      <c r="C8364" s="396" t="s">
        <v>15967</v>
      </c>
      <c r="D8364" s="396" t="s">
        <v>15968</v>
      </c>
      <c r="E8364" s="396" t="s">
        <v>15969</v>
      </c>
      <c r="F8364" s="396" t="s">
        <v>15776</v>
      </c>
    </row>
    <row r="8365">
      <c r="A8365" s="311">
        <v>8364</v>
      </c>
      <c r="B8365" s="396" t="s">
        <v>15970</v>
      </c>
      <c r="C8365" s="396" t="s">
        <v>15971</v>
      </c>
      <c r="D8365" s="396" t="s">
        <v>15968</v>
      </c>
      <c r="E8365" s="396" t="s">
        <v>15969</v>
      </c>
      <c r="F8365" s="396" t="s">
        <v>15776</v>
      </c>
    </row>
    <row r="8366">
      <c r="A8366" s="311">
        <v>8365</v>
      </c>
      <c r="B8366" s="396" t="s">
        <v>15972</v>
      </c>
      <c r="C8366" s="396" t="s">
        <v>15973</v>
      </c>
      <c r="D8366" s="396" t="s">
        <v>15968</v>
      </c>
      <c r="E8366" s="396" t="s">
        <v>15969</v>
      </c>
      <c r="F8366" s="396" t="s">
        <v>15776</v>
      </c>
    </row>
    <row r="8367">
      <c r="A8367" s="311">
        <v>8366</v>
      </c>
      <c r="B8367" s="396" t="s">
        <v>15974</v>
      </c>
      <c r="C8367" s="396" t="s">
        <v>15975</v>
      </c>
      <c r="D8367" s="396" t="s">
        <v>15968</v>
      </c>
      <c r="E8367" s="396" t="s">
        <v>15969</v>
      </c>
      <c r="F8367" s="396" t="s">
        <v>15776</v>
      </c>
    </row>
    <row r="8368">
      <c r="A8368" s="311">
        <v>8367</v>
      </c>
      <c r="B8368" s="396" t="s">
        <v>15976</v>
      </c>
      <c r="C8368" s="396" t="s">
        <v>690</v>
      </c>
      <c r="D8368" s="396" t="s">
        <v>15968</v>
      </c>
      <c r="E8368" s="396" t="s">
        <v>15969</v>
      </c>
      <c r="F8368" s="396" t="s">
        <v>15776</v>
      </c>
    </row>
    <row r="8369">
      <c r="A8369" s="311">
        <v>8368</v>
      </c>
      <c r="B8369" s="396" t="s">
        <v>15977</v>
      </c>
      <c r="C8369" s="396" t="s">
        <v>15978</v>
      </c>
      <c r="D8369" s="396" t="s">
        <v>15968</v>
      </c>
      <c r="E8369" s="396" t="s">
        <v>15969</v>
      </c>
      <c r="F8369" s="396" t="s">
        <v>15776</v>
      </c>
    </row>
    <row r="8370">
      <c r="A8370" s="311">
        <v>8369</v>
      </c>
      <c r="B8370" s="396" t="s">
        <v>15979</v>
      </c>
      <c r="C8370" s="396" t="s">
        <v>15980</v>
      </c>
      <c r="D8370" s="396" t="s">
        <v>15968</v>
      </c>
      <c r="E8370" s="396" t="s">
        <v>15969</v>
      </c>
      <c r="F8370" s="396" t="s">
        <v>15776</v>
      </c>
    </row>
    <row r="8371">
      <c r="A8371" s="311">
        <v>8370</v>
      </c>
      <c r="B8371" s="396" t="s">
        <v>15981</v>
      </c>
      <c r="C8371" s="396" t="s">
        <v>15982</v>
      </c>
      <c r="D8371" s="396" t="s">
        <v>15968</v>
      </c>
      <c r="E8371" s="396" t="s">
        <v>15969</v>
      </c>
      <c r="F8371" s="396" t="s">
        <v>15776</v>
      </c>
    </row>
    <row r="8372">
      <c r="A8372" s="311">
        <v>8371</v>
      </c>
      <c r="B8372" s="396" t="s">
        <v>15983</v>
      </c>
      <c r="C8372" s="396" t="s">
        <v>15984</v>
      </c>
      <c r="D8372" s="396" t="s">
        <v>15968</v>
      </c>
      <c r="E8372" s="396" t="s">
        <v>15969</v>
      </c>
      <c r="F8372" s="396" t="s">
        <v>15776</v>
      </c>
    </row>
    <row r="8373">
      <c r="A8373" s="311">
        <v>8372</v>
      </c>
      <c r="B8373" s="396" t="s">
        <v>15985</v>
      </c>
      <c r="C8373" s="396" t="s">
        <v>15986</v>
      </c>
      <c r="D8373" s="396" t="s">
        <v>15968</v>
      </c>
      <c r="E8373" s="396" t="s">
        <v>15969</v>
      </c>
      <c r="F8373" s="396" t="s">
        <v>15776</v>
      </c>
    </row>
    <row r="8374">
      <c r="A8374" s="311">
        <v>8373</v>
      </c>
      <c r="B8374" s="396" t="s">
        <v>15987</v>
      </c>
      <c r="C8374" s="396" t="s">
        <v>15988</v>
      </c>
      <c r="D8374" s="396" t="s">
        <v>15968</v>
      </c>
      <c r="E8374" s="396" t="s">
        <v>15969</v>
      </c>
      <c r="F8374" s="396" t="s">
        <v>15776</v>
      </c>
    </row>
    <row r="8375">
      <c r="A8375" s="311">
        <v>8374</v>
      </c>
      <c r="B8375" s="396" t="s">
        <v>15989</v>
      </c>
      <c r="C8375" s="396" t="s">
        <v>15990</v>
      </c>
      <c r="D8375" s="396" t="s">
        <v>15968</v>
      </c>
      <c r="E8375" s="396" t="s">
        <v>15969</v>
      </c>
      <c r="F8375" s="396" t="s">
        <v>15776</v>
      </c>
    </row>
    <row r="8376">
      <c r="A8376" s="311">
        <v>8375</v>
      </c>
      <c r="B8376" s="396" t="s">
        <v>15991</v>
      </c>
      <c r="C8376" s="396" t="s">
        <v>15992</v>
      </c>
      <c r="D8376" s="396" t="s">
        <v>15968</v>
      </c>
      <c r="E8376" s="396" t="s">
        <v>15969</v>
      </c>
      <c r="F8376" s="396" t="s">
        <v>15776</v>
      </c>
    </row>
    <row r="8377">
      <c r="A8377" s="311">
        <v>8376</v>
      </c>
      <c r="B8377" s="396" t="s">
        <v>15993</v>
      </c>
      <c r="C8377" s="396" t="s">
        <v>15994</v>
      </c>
      <c r="D8377" s="396" t="s">
        <v>15968</v>
      </c>
      <c r="E8377" s="396" t="s">
        <v>15969</v>
      </c>
      <c r="F8377" s="396" t="s">
        <v>15776</v>
      </c>
    </row>
    <row r="8378">
      <c r="A8378" s="311">
        <v>8377</v>
      </c>
      <c r="B8378" s="396" t="s">
        <v>15995</v>
      </c>
      <c r="C8378" s="396" t="s">
        <v>15996</v>
      </c>
      <c r="D8378" s="396" t="s">
        <v>15968</v>
      </c>
      <c r="E8378" s="396" t="s">
        <v>15969</v>
      </c>
      <c r="F8378" s="396" t="s">
        <v>15776</v>
      </c>
    </row>
    <row r="8379">
      <c r="A8379" s="311">
        <v>8378</v>
      </c>
      <c r="B8379" s="396" t="s">
        <v>15997</v>
      </c>
      <c r="C8379" s="396" t="s">
        <v>15998</v>
      </c>
      <c r="D8379" s="396" t="s">
        <v>15968</v>
      </c>
      <c r="E8379" s="396" t="s">
        <v>15969</v>
      </c>
      <c r="F8379" s="396" t="s">
        <v>15776</v>
      </c>
    </row>
    <row r="8380">
      <c r="A8380" s="311">
        <v>8379</v>
      </c>
      <c r="B8380" s="396" t="s">
        <v>15999</v>
      </c>
      <c r="C8380" s="396" t="s">
        <v>16000</v>
      </c>
      <c r="D8380" s="396" t="s">
        <v>16001</v>
      </c>
      <c r="E8380" s="396" t="s">
        <v>16002</v>
      </c>
      <c r="F8380" s="396" t="s">
        <v>15776</v>
      </c>
    </row>
    <row r="8381">
      <c r="A8381" s="311">
        <v>8380</v>
      </c>
      <c r="B8381" s="396" t="s">
        <v>16003</v>
      </c>
      <c r="C8381" s="396" t="s">
        <v>16004</v>
      </c>
      <c r="D8381" s="396" t="s">
        <v>16001</v>
      </c>
      <c r="E8381" s="396" t="s">
        <v>16002</v>
      </c>
      <c r="F8381" s="396" t="s">
        <v>15776</v>
      </c>
    </row>
    <row r="8382">
      <c r="A8382" s="311">
        <v>8381</v>
      </c>
      <c r="B8382" s="396" t="s">
        <v>16005</v>
      </c>
      <c r="C8382" s="396" t="s">
        <v>16006</v>
      </c>
      <c r="D8382" s="396" t="s">
        <v>16001</v>
      </c>
      <c r="E8382" s="396" t="s">
        <v>16002</v>
      </c>
      <c r="F8382" s="396" t="s">
        <v>15776</v>
      </c>
    </row>
    <row r="8383">
      <c r="A8383" s="311">
        <v>8382</v>
      </c>
      <c r="B8383" s="396" t="s">
        <v>16007</v>
      </c>
      <c r="C8383" s="396" t="s">
        <v>16008</v>
      </c>
      <c r="D8383" s="396" t="s">
        <v>16001</v>
      </c>
      <c r="E8383" s="396" t="s">
        <v>16002</v>
      </c>
      <c r="F8383" s="396" t="s">
        <v>15776</v>
      </c>
    </row>
    <row r="8384">
      <c r="A8384" s="311">
        <v>8383</v>
      </c>
      <c r="B8384" s="396" t="s">
        <v>16009</v>
      </c>
      <c r="C8384" s="396" t="s">
        <v>16010</v>
      </c>
      <c r="D8384" s="396" t="s">
        <v>16001</v>
      </c>
      <c r="E8384" s="396" t="s">
        <v>16002</v>
      </c>
      <c r="F8384" s="396" t="s">
        <v>15776</v>
      </c>
    </row>
    <row r="8385">
      <c r="A8385" s="311">
        <v>8384</v>
      </c>
      <c r="B8385" s="396" t="s">
        <v>16011</v>
      </c>
      <c r="C8385" s="396" t="s">
        <v>16012</v>
      </c>
      <c r="D8385" s="396" t="s">
        <v>16001</v>
      </c>
      <c r="E8385" s="396" t="s">
        <v>16002</v>
      </c>
      <c r="F8385" s="396" t="s">
        <v>15776</v>
      </c>
    </row>
    <row r="8386">
      <c r="A8386" s="311">
        <v>8385</v>
      </c>
      <c r="B8386" s="396" t="s">
        <v>16013</v>
      </c>
      <c r="C8386" s="396" t="s">
        <v>16014</v>
      </c>
      <c r="D8386" s="396" t="s">
        <v>16001</v>
      </c>
      <c r="E8386" s="396" t="s">
        <v>16002</v>
      </c>
      <c r="F8386" s="396" t="s">
        <v>15776</v>
      </c>
    </row>
    <row r="8387">
      <c r="A8387" s="311">
        <v>8386</v>
      </c>
      <c r="B8387" s="396" t="s">
        <v>16015</v>
      </c>
      <c r="C8387" s="396" t="s">
        <v>16016</v>
      </c>
      <c r="D8387" s="396" t="s">
        <v>16001</v>
      </c>
      <c r="E8387" s="396" t="s">
        <v>16002</v>
      </c>
      <c r="F8387" s="396" t="s">
        <v>15776</v>
      </c>
    </row>
    <row r="8388">
      <c r="A8388" s="311">
        <v>8387</v>
      </c>
      <c r="B8388" s="396" t="s">
        <v>16017</v>
      </c>
      <c r="C8388" s="396" t="s">
        <v>16018</v>
      </c>
      <c r="D8388" s="396" t="s">
        <v>16001</v>
      </c>
      <c r="E8388" s="396" t="s">
        <v>16002</v>
      </c>
      <c r="F8388" s="396" t="s">
        <v>15776</v>
      </c>
    </row>
    <row r="8389">
      <c r="A8389" s="311">
        <v>8388</v>
      </c>
      <c r="B8389" s="396" t="s">
        <v>16019</v>
      </c>
      <c r="C8389" s="396" t="s">
        <v>16020</v>
      </c>
      <c r="D8389" s="396" t="s">
        <v>16001</v>
      </c>
      <c r="E8389" s="396" t="s">
        <v>16002</v>
      </c>
      <c r="F8389" s="396" t="s">
        <v>15776</v>
      </c>
    </row>
    <row r="8390">
      <c r="A8390" s="311">
        <v>8389</v>
      </c>
      <c r="B8390" s="396" t="s">
        <v>16021</v>
      </c>
      <c r="C8390" s="396" t="s">
        <v>16022</v>
      </c>
      <c r="D8390" s="396" t="s">
        <v>16001</v>
      </c>
      <c r="E8390" s="396" t="s">
        <v>16002</v>
      </c>
      <c r="F8390" s="396" t="s">
        <v>15776</v>
      </c>
    </row>
    <row r="8391">
      <c r="A8391" s="311">
        <v>8390</v>
      </c>
      <c r="B8391" s="396" t="s">
        <v>16023</v>
      </c>
      <c r="C8391" s="396" t="s">
        <v>16024</v>
      </c>
      <c r="D8391" s="396" t="s">
        <v>16001</v>
      </c>
      <c r="E8391" s="396" t="s">
        <v>16002</v>
      </c>
      <c r="F8391" s="396" t="s">
        <v>15776</v>
      </c>
    </row>
    <row r="8392">
      <c r="A8392" s="311">
        <v>8391</v>
      </c>
      <c r="B8392" s="396" t="s">
        <v>16025</v>
      </c>
      <c r="C8392" s="396" t="s">
        <v>16026</v>
      </c>
      <c r="D8392" s="396" t="s">
        <v>16001</v>
      </c>
      <c r="E8392" s="396" t="s">
        <v>16002</v>
      </c>
      <c r="F8392" s="396" t="s">
        <v>15776</v>
      </c>
    </row>
    <row r="8393">
      <c r="A8393" s="311">
        <v>8392</v>
      </c>
      <c r="B8393" s="396" t="s">
        <v>16027</v>
      </c>
      <c r="C8393" s="396" t="s">
        <v>16028</v>
      </c>
      <c r="D8393" s="396" t="s">
        <v>16029</v>
      </c>
      <c r="E8393" s="396" t="s">
        <v>16030</v>
      </c>
      <c r="F8393" s="396" t="s">
        <v>15776</v>
      </c>
    </row>
    <row r="8394">
      <c r="A8394" s="311">
        <v>8393</v>
      </c>
      <c r="B8394" s="396" t="s">
        <v>16031</v>
      </c>
      <c r="C8394" s="396" t="s">
        <v>16032</v>
      </c>
      <c r="D8394" s="396" t="s">
        <v>16029</v>
      </c>
      <c r="E8394" s="396" t="s">
        <v>16030</v>
      </c>
      <c r="F8394" s="396" t="s">
        <v>15776</v>
      </c>
    </row>
    <row r="8395">
      <c r="A8395" s="311">
        <v>8394</v>
      </c>
      <c r="B8395" s="396" t="s">
        <v>16033</v>
      </c>
      <c r="C8395" s="396" t="s">
        <v>16034</v>
      </c>
      <c r="D8395" s="396" t="s">
        <v>16029</v>
      </c>
      <c r="E8395" s="396" t="s">
        <v>16030</v>
      </c>
      <c r="F8395" s="396" t="s">
        <v>15776</v>
      </c>
    </row>
    <row r="8396">
      <c r="A8396" s="311">
        <v>8395</v>
      </c>
      <c r="B8396" s="396" t="s">
        <v>16035</v>
      </c>
      <c r="C8396" s="396" t="s">
        <v>14458</v>
      </c>
      <c r="D8396" s="396" t="s">
        <v>16029</v>
      </c>
      <c r="E8396" s="396" t="s">
        <v>16030</v>
      </c>
      <c r="F8396" s="396" t="s">
        <v>15776</v>
      </c>
    </row>
    <row r="8397">
      <c r="A8397" s="311">
        <v>8396</v>
      </c>
      <c r="B8397" s="396" t="s">
        <v>16036</v>
      </c>
      <c r="C8397" s="396" t="s">
        <v>16037</v>
      </c>
      <c r="D8397" s="396" t="s">
        <v>16029</v>
      </c>
      <c r="E8397" s="396" t="s">
        <v>16030</v>
      </c>
      <c r="F8397" s="396" t="s">
        <v>15776</v>
      </c>
    </row>
    <row r="8398">
      <c r="A8398" s="311">
        <v>8397</v>
      </c>
      <c r="B8398" s="396" t="s">
        <v>16038</v>
      </c>
      <c r="C8398" s="396" t="s">
        <v>8100</v>
      </c>
      <c r="D8398" s="396" t="s">
        <v>16029</v>
      </c>
      <c r="E8398" s="396" t="s">
        <v>16030</v>
      </c>
      <c r="F8398" s="396" t="s">
        <v>15776</v>
      </c>
    </row>
    <row r="8399">
      <c r="A8399" s="311">
        <v>8398</v>
      </c>
      <c r="B8399" s="396" t="s">
        <v>16039</v>
      </c>
      <c r="C8399" s="396" t="s">
        <v>16040</v>
      </c>
      <c r="D8399" s="396" t="s">
        <v>16029</v>
      </c>
      <c r="E8399" s="396" t="s">
        <v>16030</v>
      </c>
      <c r="F8399" s="396" t="s">
        <v>15776</v>
      </c>
    </row>
    <row r="8400">
      <c r="A8400" s="311">
        <v>8399</v>
      </c>
      <c r="B8400" s="396" t="s">
        <v>16041</v>
      </c>
      <c r="C8400" s="396" t="s">
        <v>16042</v>
      </c>
      <c r="D8400" s="396" t="s">
        <v>16029</v>
      </c>
      <c r="E8400" s="396" t="s">
        <v>16030</v>
      </c>
      <c r="F8400" s="396" t="s">
        <v>15776</v>
      </c>
    </row>
    <row r="8401">
      <c r="A8401" s="311">
        <v>8400</v>
      </c>
      <c r="B8401" s="396" t="s">
        <v>16043</v>
      </c>
      <c r="C8401" s="396" t="s">
        <v>16044</v>
      </c>
      <c r="D8401" s="396" t="s">
        <v>16029</v>
      </c>
      <c r="E8401" s="396" t="s">
        <v>16030</v>
      </c>
      <c r="F8401" s="396" t="s">
        <v>15776</v>
      </c>
    </row>
    <row r="8402">
      <c r="A8402" s="311">
        <v>8401</v>
      </c>
      <c r="B8402" s="396" t="s">
        <v>16045</v>
      </c>
      <c r="C8402" s="396" t="s">
        <v>16046</v>
      </c>
      <c r="D8402" s="396" t="s">
        <v>16029</v>
      </c>
      <c r="E8402" s="396" t="s">
        <v>16030</v>
      </c>
      <c r="F8402" s="396" t="s">
        <v>15776</v>
      </c>
    </row>
    <row r="8403">
      <c r="A8403" s="311">
        <v>8402</v>
      </c>
      <c r="B8403" s="396" t="s">
        <v>16047</v>
      </c>
      <c r="C8403" s="396" t="s">
        <v>16048</v>
      </c>
      <c r="D8403" s="396" t="s">
        <v>16029</v>
      </c>
      <c r="E8403" s="396" t="s">
        <v>16030</v>
      </c>
      <c r="F8403" s="396" t="s">
        <v>15776</v>
      </c>
    </row>
    <row r="8404">
      <c r="A8404" s="311">
        <v>8403</v>
      </c>
      <c r="B8404" s="396" t="s">
        <v>16049</v>
      </c>
      <c r="C8404" s="396" t="s">
        <v>4260</v>
      </c>
      <c r="D8404" s="396" t="s">
        <v>16029</v>
      </c>
      <c r="E8404" s="396" t="s">
        <v>16030</v>
      </c>
      <c r="F8404" s="396" t="s">
        <v>15776</v>
      </c>
    </row>
    <row r="8405">
      <c r="A8405" s="311">
        <v>8404</v>
      </c>
      <c r="B8405" s="396" t="s">
        <v>16050</v>
      </c>
      <c r="C8405" s="396" t="s">
        <v>16051</v>
      </c>
      <c r="D8405" s="396" t="s">
        <v>16029</v>
      </c>
      <c r="E8405" s="396" t="s">
        <v>16030</v>
      </c>
      <c r="F8405" s="396" t="s">
        <v>15776</v>
      </c>
    </row>
    <row r="8406">
      <c r="A8406" s="311">
        <v>8405</v>
      </c>
      <c r="B8406" s="396" t="s">
        <v>16052</v>
      </c>
      <c r="C8406" s="396" t="s">
        <v>16053</v>
      </c>
      <c r="D8406" s="396" t="s">
        <v>16029</v>
      </c>
      <c r="E8406" s="396" t="s">
        <v>16030</v>
      </c>
      <c r="F8406" s="396" t="s">
        <v>15776</v>
      </c>
    </row>
    <row r="8407">
      <c r="A8407" s="311">
        <v>8406</v>
      </c>
      <c r="B8407" s="396" t="s">
        <v>16054</v>
      </c>
      <c r="C8407" s="396" t="s">
        <v>16055</v>
      </c>
      <c r="D8407" s="396" t="s">
        <v>16056</v>
      </c>
      <c r="E8407" s="396" t="s">
        <v>16057</v>
      </c>
      <c r="F8407" s="396" t="s">
        <v>15776</v>
      </c>
    </row>
    <row r="8408">
      <c r="A8408" s="311">
        <v>8407</v>
      </c>
      <c r="B8408" s="396" t="s">
        <v>16058</v>
      </c>
      <c r="C8408" s="396" t="s">
        <v>16059</v>
      </c>
      <c r="D8408" s="396" t="s">
        <v>16056</v>
      </c>
      <c r="E8408" s="396" t="s">
        <v>16057</v>
      </c>
      <c r="F8408" s="396" t="s">
        <v>15776</v>
      </c>
    </row>
    <row r="8409">
      <c r="A8409" s="311">
        <v>8408</v>
      </c>
      <c r="B8409" s="396" t="s">
        <v>16060</v>
      </c>
      <c r="C8409" s="396" t="s">
        <v>16061</v>
      </c>
      <c r="D8409" s="396" t="s">
        <v>16056</v>
      </c>
      <c r="E8409" s="396" t="s">
        <v>16057</v>
      </c>
      <c r="F8409" s="396" t="s">
        <v>15776</v>
      </c>
    </row>
    <row r="8410">
      <c r="A8410" s="311">
        <v>8409</v>
      </c>
      <c r="B8410" s="396" t="s">
        <v>16062</v>
      </c>
      <c r="C8410" s="396" t="s">
        <v>16063</v>
      </c>
      <c r="D8410" s="396" t="s">
        <v>16056</v>
      </c>
      <c r="E8410" s="396" t="s">
        <v>16057</v>
      </c>
      <c r="F8410" s="396" t="s">
        <v>15776</v>
      </c>
    </row>
    <row r="8411">
      <c r="A8411" s="311">
        <v>8410</v>
      </c>
      <c r="B8411" s="396" t="s">
        <v>16064</v>
      </c>
      <c r="C8411" s="396" t="s">
        <v>16065</v>
      </c>
      <c r="D8411" s="396" t="s">
        <v>16056</v>
      </c>
      <c r="E8411" s="396" t="s">
        <v>16057</v>
      </c>
      <c r="F8411" s="396" t="s">
        <v>15776</v>
      </c>
    </row>
    <row r="8412">
      <c r="A8412" s="311">
        <v>8411</v>
      </c>
      <c r="B8412" s="396" t="s">
        <v>16066</v>
      </c>
      <c r="C8412" s="396" t="s">
        <v>16067</v>
      </c>
      <c r="D8412" s="396" t="s">
        <v>16056</v>
      </c>
      <c r="E8412" s="396" t="s">
        <v>16057</v>
      </c>
      <c r="F8412" s="396" t="s">
        <v>15776</v>
      </c>
    </row>
    <row r="8413">
      <c r="A8413" s="311">
        <v>8412</v>
      </c>
      <c r="B8413" s="396" t="s">
        <v>16068</v>
      </c>
      <c r="C8413" s="396" t="s">
        <v>16069</v>
      </c>
      <c r="D8413" s="396" t="s">
        <v>16056</v>
      </c>
      <c r="E8413" s="396" t="s">
        <v>16057</v>
      </c>
      <c r="F8413" s="396" t="s">
        <v>15776</v>
      </c>
    </row>
    <row r="8414">
      <c r="A8414" s="311">
        <v>8413</v>
      </c>
      <c r="B8414" s="396" t="s">
        <v>16070</v>
      </c>
      <c r="C8414" s="396" t="s">
        <v>2385</v>
      </c>
      <c r="D8414" s="396" t="s">
        <v>16056</v>
      </c>
      <c r="E8414" s="396" t="s">
        <v>16057</v>
      </c>
      <c r="F8414" s="396" t="s">
        <v>15776</v>
      </c>
    </row>
    <row r="8415">
      <c r="A8415" s="311">
        <v>8414</v>
      </c>
      <c r="B8415" s="396" t="s">
        <v>16071</v>
      </c>
      <c r="C8415" s="396" t="s">
        <v>16072</v>
      </c>
      <c r="D8415" s="396" t="s">
        <v>16056</v>
      </c>
      <c r="E8415" s="396" t="s">
        <v>16057</v>
      </c>
      <c r="F8415" s="396" t="s">
        <v>15776</v>
      </c>
    </row>
    <row r="8416">
      <c r="A8416" s="311">
        <v>8415</v>
      </c>
      <c r="B8416" s="396" t="s">
        <v>16073</v>
      </c>
      <c r="C8416" s="396" t="s">
        <v>16074</v>
      </c>
      <c r="D8416" s="396" t="s">
        <v>16056</v>
      </c>
      <c r="E8416" s="396" t="s">
        <v>16057</v>
      </c>
      <c r="F8416" s="396" t="s">
        <v>15776</v>
      </c>
    </row>
    <row r="8417">
      <c r="A8417" s="311">
        <v>8416</v>
      </c>
      <c r="B8417" s="396" t="s">
        <v>16075</v>
      </c>
      <c r="C8417" s="396" t="s">
        <v>16076</v>
      </c>
      <c r="D8417" s="396" t="s">
        <v>16056</v>
      </c>
      <c r="E8417" s="396" t="s">
        <v>16057</v>
      </c>
      <c r="F8417" s="396" t="s">
        <v>15776</v>
      </c>
    </row>
    <row r="8418">
      <c r="A8418" s="311">
        <v>8417</v>
      </c>
      <c r="B8418" s="396" t="s">
        <v>16077</v>
      </c>
      <c r="C8418" s="396" t="s">
        <v>6940</v>
      </c>
      <c r="D8418" s="396" t="s">
        <v>16056</v>
      </c>
      <c r="E8418" s="396" t="s">
        <v>16057</v>
      </c>
      <c r="F8418" s="396" t="s">
        <v>15776</v>
      </c>
    </row>
    <row r="8419">
      <c r="A8419" s="311">
        <v>8418</v>
      </c>
      <c r="B8419" s="396" t="s">
        <v>16078</v>
      </c>
      <c r="C8419" s="396" t="s">
        <v>926</v>
      </c>
      <c r="D8419" s="396" t="s">
        <v>16056</v>
      </c>
      <c r="E8419" s="396" t="s">
        <v>16057</v>
      </c>
      <c r="F8419" s="396" t="s">
        <v>15776</v>
      </c>
    </row>
    <row r="8420">
      <c r="A8420" s="311">
        <v>8419</v>
      </c>
      <c r="B8420" s="396" t="s">
        <v>16079</v>
      </c>
      <c r="C8420" s="396" t="s">
        <v>16080</v>
      </c>
      <c r="D8420" s="396" t="s">
        <v>16056</v>
      </c>
      <c r="E8420" s="396" t="s">
        <v>16057</v>
      </c>
      <c r="F8420" s="396" t="s">
        <v>15776</v>
      </c>
    </row>
    <row r="8421">
      <c r="A8421" s="311">
        <v>8420</v>
      </c>
      <c r="B8421" s="396" t="s">
        <v>16081</v>
      </c>
      <c r="C8421" s="396" t="s">
        <v>16082</v>
      </c>
      <c r="D8421" s="396" t="s">
        <v>16056</v>
      </c>
      <c r="E8421" s="396" t="s">
        <v>16057</v>
      </c>
      <c r="F8421" s="396" t="s">
        <v>15776</v>
      </c>
    </row>
    <row r="8422">
      <c r="A8422" s="311">
        <v>8421</v>
      </c>
      <c r="B8422" s="396" t="s">
        <v>16083</v>
      </c>
      <c r="C8422" s="396" t="s">
        <v>16084</v>
      </c>
      <c r="D8422" s="396" t="s">
        <v>16056</v>
      </c>
      <c r="E8422" s="396" t="s">
        <v>16057</v>
      </c>
      <c r="F8422" s="396" t="s">
        <v>15776</v>
      </c>
    </row>
    <row r="8423">
      <c r="A8423" s="311">
        <v>8422</v>
      </c>
      <c r="B8423" s="396" t="s">
        <v>16085</v>
      </c>
      <c r="C8423" s="396" t="s">
        <v>16086</v>
      </c>
      <c r="D8423" s="396" t="s">
        <v>16087</v>
      </c>
      <c r="E8423" s="396" t="s">
        <v>16088</v>
      </c>
      <c r="F8423" s="396" t="s">
        <v>15776</v>
      </c>
    </row>
    <row r="8424">
      <c r="A8424" s="311">
        <v>8423</v>
      </c>
      <c r="B8424" s="396" t="s">
        <v>16089</v>
      </c>
      <c r="C8424" s="396" t="s">
        <v>16090</v>
      </c>
      <c r="D8424" s="396" t="s">
        <v>16087</v>
      </c>
      <c r="E8424" s="396" t="s">
        <v>16088</v>
      </c>
      <c r="F8424" s="396" t="s">
        <v>15776</v>
      </c>
    </row>
    <row r="8425">
      <c r="A8425" s="311">
        <v>8424</v>
      </c>
      <c r="B8425" s="396" t="s">
        <v>16091</v>
      </c>
      <c r="C8425" s="396" t="s">
        <v>16092</v>
      </c>
      <c r="D8425" s="396" t="s">
        <v>16087</v>
      </c>
      <c r="E8425" s="396" t="s">
        <v>16088</v>
      </c>
      <c r="F8425" s="396" t="s">
        <v>15776</v>
      </c>
    </row>
    <row r="8426">
      <c r="A8426" s="311">
        <v>8425</v>
      </c>
      <c r="B8426" s="396" t="s">
        <v>16093</v>
      </c>
      <c r="C8426" s="396" t="s">
        <v>16094</v>
      </c>
      <c r="D8426" s="396" t="s">
        <v>16087</v>
      </c>
      <c r="E8426" s="396" t="s">
        <v>16088</v>
      </c>
      <c r="F8426" s="396" t="s">
        <v>15776</v>
      </c>
    </row>
    <row r="8427">
      <c r="A8427" s="311">
        <v>8426</v>
      </c>
      <c r="B8427" s="396" t="s">
        <v>16095</v>
      </c>
      <c r="C8427" s="396" t="s">
        <v>16096</v>
      </c>
      <c r="D8427" s="396" t="s">
        <v>16087</v>
      </c>
      <c r="E8427" s="396" t="s">
        <v>16088</v>
      </c>
      <c r="F8427" s="396" t="s">
        <v>15776</v>
      </c>
    </row>
    <row r="8428">
      <c r="A8428" s="311">
        <v>8427</v>
      </c>
      <c r="B8428" s="396" t="s">
        <v>16097</v>
      </c>
      <c r="C8428" s="396" t="s">
        <v>16098</v>
      </c>
      <c r="D8428" s="396" t="s">
        <v>16087</v>
      </c>
      <c r="E8428" s="396" t="s">
        <v>16088</v>
      </c>
      <c r="F8428" s="396" t="s">
        <v>15776</v>
      </c>
    </row>
    <row r="8429">
      <c r="A8429" s="311">
        <v>8428</v>
      </c>
      <c r="B8429" s="396" t="s">
        <v>16099</v>
      </c>
      <c r="C8429" s="396" t="s">
        <v>9282</v>
      </c>
      <c r="D8429" s="396" t="s">
        <v>16087</v>
      </c>
      <c r="E8429" s="396" t="s">
        <v>16088</v>
      </c>
      <c r="F8429" s="396" t="s">
        <v>15776</v>
      </c>
    </row>
    <row r="8430">
      <c r="A8430" s="311">
        <v>8429</v>
      </c>
      <c r="B8430" s="396" t="s">
        <v>16100</v>
      </c>
      <c r="C8430" s="396" t="s">
        <v>5533</v>
      </c>
      <c r="D8430" s="396" t="s">
        <v>16087</v>
      </c>
      <c r="E8430" s="396" t="s">
        <v>16088</v>
      </c>
      <c r="F8430" s="396" t="s">
        <v>15776</v>
      </c>
    </row>
    <row r="8431">
      <c r="A8431" s="311">
        <v>8430</v>
      </c>
      <c r="B8431" s="396" t="s">
        <v>16101</v>
      </c>
      <c r="C8431" s="396" t="s">
        <v>16102</v>
      </c>
      <c r="D8431" s="396" t="s">
        <v>16103</v>
      </c>
      <c r="E8431" s="396" t="s">
        <v>16104</v>
      </c>
      <c r="F8431" s="396" t="s">
        <v>15776</v>
      </c>
    </row>
    <row r="8432">
      <c r="A8432" s="311">
        <v>8431</v>
      </c>
      <c r="B8432" s="396" t="s">
        <v>16105</v>
      </c>
      <c r="C8432" s="396" t="s">
        <v>16106</v>
      </c>
      <c r="D8432" s="396" t="s">
        <v>16103</v>
      </c>
      <c r="E8432" s="396" t="s">
        <v>16104</v>
      </c>
      <c r="F8432" s="396" t="s">
        <v>15776</v>
      </c>
    </row>
    <row r="8433">
      <c r="A8433" s="311">
        <v>8432</v>
      </c>
      <c r="B8433" s="396" t="s">
        <v>16107</v>
      </c>
      <c r="C8433" s="396" t="s">
        <v>16108</v>
      </c>
      <c r="D8433" s="396" t="s">
        <v>16103</v>
      </c>
      <c r="E8433" s="396" t="s">
        <v>16104</v>
      </c>
      <c r="F8433" s="396" t="s">
        <v>15776</v>
      </c>
    </row>
    <row r="8434">
      <c r="A8434" s="311">
        <v>8433</v>
      </c>
      <c r="B8434" s="396" t="s">
        <v>16109</v>
      </c>
      <c r="C8434" s="396" t="s">
        <v>16110</v>
      </c>
      <c r="D8434" s="396" t="s">
        <v>16103</v>
      </c>
      <c r="E8434" s="396" t="s">
        <v>16104</v>
      </c>
      <c r="F8434" s="396" t="s">
        <v>15776</v>
      </c>
    </row>
    <row r="8435">
      <c r="A8435" s="311">
        <v>8434</v>
      </c>
      <c r="B8435" s="396" t="s">
        <v>16111</v>
      </c>
      <c r="C8435" s="396" t="s">
        <v>16112</v>
      </c>
      <c r="D8435" s="396" t="s">
        <v>16103</v>
      </c>
      <c r="E8435" s="396" t="s">
        <v>16104</v>
      </c>
      <c r="F8435" s="396" t="s">
        <v>15776</v>
      </c>
    </row>
    <row r="8436">
      <c r="A8436" s="311">
        <v>8435</v>
      </c>
      <c r="B8436" s="396" t="s">
        <v>16113</v>
      </c>
      <c r="C8436" s="396" t="s">
        <v>16114</v>
      </c>
      <c r="D8436" s="396" t="s">
        <v>16103</v>
      </c>
      <c r="E8436" s="396" t="s">
        <v>16104</v>
      </c>
      <c r="F8436" s="396" t="s">
        <v>15776</v>
      </c>
    </row>
    <row r="8437">
      <c r="A8437" s="311">
        <v>8436</v>
      </c>
      <c r="B8437" s="396" t="s">
        <v>16115</v>
      </c>
      <c r="C8437" s="396" t="s">
        <v>16116</v>
      </c>
      <c r="D8437" s="396" t="s">
        <v>16103</v>
      </c>
      <c r="E8437" s="396" t="s">
        <v>16104</v>
      </c>
      <c r="F8437" s="396" t="s">
        <v>15776</v>
      </c>
    </row>
    <row r="8438">
      <c r="A8438" s="311">
        <v>8437</v>
      </c>
      <c r="B8438" s="396" t="s">
        <v>16117</v>
      </c>
      <c r="C8438" s="396" t="s">
        <v>16118</v>
      </c>
      <c r="D8438" s="396" t="s">
        <v>16103</v>
      </c>
      <c r="E8438" s="396" t="s">
        <v>16104</v>
      </c>
      <c r="F8438" s="396" t="s">
        <v>15776</v>
      </c>
    </row>
    <row r="8439">
      <c r="A8439" s="311">
        <v>8438</v>
      </c>
      <c r="B8439" s="396" t="s">
        <v>16119</v>
      </c>
      <c r="C8439" s="396" t="s">
        <v>16120</v>
      </c>
      <c r="D8439" s="396" t="s">
        <v>16103</v>
      </c>
      <c r="E8439" s="396" t="s">
        <v>16104</v>
      </c>
      <c r="F8439" s="396" t="s">
        <v>15776</v>
      </c>
    </row>
    <row r="8440">
      <c r="A8440" s="311">
        <v>8439</v>
      </c>
      <c r="B8440" s="396" t="s">
        <v>16121</v>
      </c>
      <c r="C8440" s="396" t="s">
        <v>16122</v>
      </c>
      <c r="D8440" s="396" t="s">
        <v>16103</v>
      </c>
      <c r="E8440" s="396" t="s">
        <v>16104</v>
      </c>
      <c r="F8440" s="396" t="s">
        <v>15776</v>
      </c>
    </row>
    <row r="8441">
      <c r="A8441" s="311">
        <v>8440</v>
      </c>
      <c r="B8441" s="396" t="s">
        <v>16123</v>
      </c>
      <c r="C8441" s="396" t="s">
        <v>16124</v>
      </c>
      <c r="D8441" s="396" t="s">
        <v>16103</v>
      </c>
      <c r="E8441" s="396" t="s">
        <v>16104</v>
      </c>
      <c r="F8441" s="396" t="s">
        <v>15776</v>
      </c>
    </row>
    <row r="8442">
      <c r="A8442" s="311">
        <v>8441</v>
      </c>
      <c r="B8442" s="396" t="s">
        <v>16125</v>
      </c>
      <c r="C8442" s="396" t="s">
        <v>16126</v>
      </c>
      <c r="D8442" s="396" t="s">
        <v>16127</v>
      </c>
      <c r="E8442" s="396" t="s">
        <v>16128</v>
      </c>
      <c r="F8442" s="396" t="s">
        <v>15776</v>
      </c>
    </row>
    <row r="8443">
      <c r="A8443" s="311">
        <v>8442</v>
      </c>
      <c r="B8443" s="396" t="s">
        <v>16129</v>
      </c>
      <c r="C8443" s="396" t="s">
        <v>16130</v>
      </c>
      <c r="D8443" s="396" t="s">
        <v>16127</v>
      </c>
      <c r="E8443" s="396" t="s">
        <v>16128</v>
      </c>
      <c r="F8443" s="396" t="s">
        <v>15776</v>
      </c>
    </row>
    <row r="8444">
      <c r="A8444" s="311">
        <v>8443</v>
      </c>
      <c r="B8444" s="396" t="s">
        <v>16131</v>
      </c>
      <c r="C8444" s="396" t="s">
        <v>16132</v>
      </c>
      <c r="D8444" s="396" t="s">
        <v>16127</v>
      </c>
      <c r="E8444" s="396" t="s">
        <v>16128</v>
      </c>
      <c r="F8444" s="396" t="s">
        <v>15776</v>
      </c>
    </row>
    <row r="8445">
      <c r="A8445" s="311">
        <v>8444</v>
      </c>
      <c r="B8445" s="396" t="s">
        <v>16133</v>
      </c>
      <c r="C8445" s="396" t="s">
        <v>16134</v>
      </c>
      <c r="D8445" s="396" t="s">
        <v>16127</v>
      </c>
      <c r="E8445" s="396" t="s">
        <v>16128</v>
      </c>
      <c r="F8445" s="396" t="s">
        <v>15776</v>
      </c>
    </row>
    <row r="8446">
      <c r="A8446" s="311">
        <v>8445</v>
      </c>
      <c r="B8446" s="396" t="s">
        <v>16135</v>
      </c>
      <c r="C8446" s="396" t="s">
        <v>16136</v>
      </c>
      <c r="D8446" s="396" t="s">
        <v>16127</v>
      </c>
      <c r="E8446" s="396" t="s">
        <v>16128</v>
      </c>
      <c r="F8446" s="396" t="s">
        <v>15776</v>
      </c>
    </row>
    <row r="8447">
      <c r="A8447" s="311">
        <v>8446</v>
      </c>
      <c r="B8447" s="396" t="s">
        <v>16137</v>
      </c>
      <c r="C8447" s="396" t="s">
        <v>16138</v>
      </c>
      <c r="D8447" s="396" t="s">
        <v>16127</v>
      </c>
      <c r="E8447" s="396" t="s">
        <v>16128</v>
      </c>
      <c r="F8447" s="396" t="s">
        <v>15776</v>
      </c>
    </row>
    <row r="8448">
      <c r="A8448" s="311">
        <v>8447</v>
      </c>
      <c r="B8448" s="396" t="s">
        <v>16139</v>
      </c>
      <c r="C8448" s="396" t="s">
        <v>16140</v>
      </c>
      <c r="D8448" s="396" t="s">
        <v>16127</v>
      </c>
      <c r="E8448" s="396" t="s">
        <v>16128</v>
      </c>
      <c r="F8448" s="396" t="s">
        <v>15776</v>
      </c>
    </row>
    <row r="8449">
      <c r="A8449" s="311">
        <v>8448</v>
      </c>
      <c r="B8449" s="396" t="s">
        <v>16141</v>
      </c>
      <c r="C8449" s="396" t="s">
        <v>16142</v>
      </c>
      <c r="D8449" s="396" t="s">
        <v>16127</v>
      </c>
      <c r="E8449" s="396" t="s">
        <v>16128</v>
      </c>
      <c r="F8449" s="396" t="s">
        <v>15776</v>
      </c>
    </row>
    <row r="8450">
      <c r="A8450" s="311">
        <v>8449</v>
      </c>
      <c r="B8450" s="396" t="s">
        <v>16143</v>
      </c>
      <c r="C8450" s="396" t="s">
        <v>16144</v>
      </c>
      <c r="D8450" s="396" t="s">
        <v>16145</v>
      </c>
      <c r="E8450" s="396" t="s">
        <v>16146</v>
      </c>
      <c r="F8450" s="396" t="s">
        <v>16147</v>
      </c>
    </row>
    <row r="8451">
      <c r="A8451" s="311">
        <v>8450</v>
      </c>
      <c r="B8451" s="396" t="s">
        <v>16148</v>
      </c>
      <c r="C8451" s="396" t="s">
        <v>16149</v>
      </c>
      <c r="D8451" s="396" t="s">
        <v>16145</v>
      </c>
      <c r="E8451" s="396" t="s">
        <v>16146</v>
      </c>
      <c r="F8451" s="396" t="s">
        <v>16147</v>
      </c>
    </row>
    <row r="8452">
      <c r="A8452" s="311">
        <v>8451</v>
      </c>
      <c r="B8452" s="396" t="s">
        <v>16150</v>
      </c>
      <c r="C8452" s="396" t="s">
        <v>16151</v>
      </c>
      <c r="D8452" s="396" t="s">
        <v>16145</v>
      </c>
      <c r="E8452" s="396" t="s">
        <v>16146</v>
      </c>
      <c r="F8452" s="396" t="s">
        <v>16147</v>
      </c>
    </row>
    <row r="8453">
      <c r="A8453" s="311">
        <v>8452</v>
      </c>
      <c r="B8453" s="396" t="s">
        <v>16152</v>
      </c>
      <c r="C8453" s="396" t="s">
        <v>128</v>
      </c>
      <c r="D8453" s="396" t="s">
        <v>16145</v>
      </c>
      <c r="E8453" s="396" t="s">
        <v>16146</v>
      </c>
      <c r="F8453" s="396" t="s">
        <v>16147</v>
      </c>
    </row>
    <row r="8454">
      <c r="A8454" s="311">
        <v>8453</v>
      </c>
      <c r="B8454" s="396" t="s">
        <v>16153</v>
      </c>
      <c r="C8454" s="396" t="s">
        <v>16154</v>
      </c>
      <c r="D8454" s="396" t="s">
        <v>16145</v>
      </c>
      <c r="E8454" s="396" t="s">
        <v>16146</v>
      </c>
      <c r="F8454" s="396" t="s">
        <v>16147</v>
      </c>
    </row>
    <row r="8455">
      <c r="A8455" s="311">
        <v>8454</v>
      </c>
      <c r="B8455" s="396" t="s">
        <v>16155</v>
      </c>
      <c r="C8455" s="396" t="s">
        <v>16156</v>
      </c>
      <c r="D8455" s="396" t="s">
        <v>16145</v>
      </c>
      <c r="E8455" s="396" t="s">
        <v>16146</v>
      </c>
      <c r="F8455" s="396" t="s">
        <v>16147</v>
      </c>
    </row>
    <row r="8456">
      <c r="A8456" s="311">
        <v>8455</v>
      </c>
      <c r="B8456" s="396" t="s">
        <v>16157</v>
      </c>
      <c r="C8456" s="396" t="s">
        <v>5513</v>
      </c>
      <c r="D8456" s="396" t="s">
        <v>16145</v>
      </c>
      <c r="E8456" s="396" t="s">
        <v>16146</v>
      </c>
      <c r="F8456" s="396" t="s">
        <v>16147</v>
      </c>
    </row>
    <row r="8457">
      <c r="A8457" s="311">
        <v>8456</v>
      </c>
      <c r="B8457" s="396" t="s">
        <v>16158</v>
      </c>
      <c r="C8457" s="396" t="s">
        <v>16159</v>
      </c>
      <c r="D8457" s="396" t="s">
        <v>16145</v>
      </c>
      <c r="E8457" s="396" t="s">
        <v>16146</v>
      </c>
      <c r="F8457" s="396" t="s">
        <v>16147</v>
      </c>
    </row>
    <row r="8458">
      <c r="A8458" s="311">
        <v>8457</v>
      </c>
      <c r="B8458" s="396" t="s">
        <v>16160</v>
      </c>
      <c r="C8458" s="396" t="s">
        <v>5511</v>
      </c>
      <c r="D8458" s="396" t="s">
        <v>16161</v>
      </c>
      <c r="E8458" s="396" t="s">
        <v>16162</v>
      </c>
      <c r="F8458" s="396" t="s">
        <v>16147</v>
      </c>
    </row>
    <row r="8459">
      <c r="A8459" s="311">
        <v>8458</v>
      </c>
      <c r="B8459" s="396" t="s">
        <v>16163</v>
      </c>
      <c r="C8459" s="396" t="s">
        <v>10709</v>
      </c>
      <c r="D8459" s="396" t="s">
        <v>16161</v>
      </c>
      <c r="E8459" s="396" t="s">
        <v>16162</v>
      </c>
      <c r="F8459" s="396" t="s">
        <v>16147</v>
      </c>
    </row>
    <row r="8460">
      <c r="A8460" s="311">
        <v>8459</v>
      </c>
      <c r="B8460" s="396" t="s">
        <v>16164</v>
      </c>
      <c r="C8460" s="396" t="s">
        <v>16165</v>
      </c>
      <c r="D8460" s="396" t="s">
        <v>16161</v>
      </c>
      <c r="E8460" s="396" t="s">
        <v>16162</v>
      </c>
      <c r="F8460" s="396" t="s">
        <v>16147</v>
      </c>
    </row>
    <row r="8461">
      <c r="A8461" s="311">
        <v>8460</v>
      </c>
      <c r="B8461" s="396" t="s">
        <v>16166</v>
      </c>
      <c r="C8461" s="396" t="s">
        <v>16167</v>
      </c>
      <c r="D8461" s="396" t="s">
        <v>16161</v>
      </c>
      <c r="E8461" s="396" t="s">
        <v>16162</v>
      </c>
      <c r="F8461" s="396" t="s">
        <v>16147</v>
      </c>
    </row>
    <row r="8462">
      <c r="A8462" s="311">
        <v>8461</v>
      </c>
      <c r="B8462" s="396" t="s">
        <v>16168</v>
      </c>
      <c r="C8462" s="396" t="s">
        <v>2093</v>
      </c>
      <c r="D8462" s="396" t="s">
        <v>16161</v>
      </c>
      <c r="E8462" s="396" t="s">
        <v>16162</v>
      </c>
      <c r="F8462" s="396" t="s">
        <v>16147</v>
      </c>
    </row>
    <row r="8463">
      <c r="A8463" s="311">
        <v>8462</v>
      </c>
      <c r="B8463" s="396" t="s">
        <v>16169</v>
      </c>
      <c r="C8463" s="396" t="s">
        <v>16170</v>
      </c>
      <c r="D8463" s="396" t="s">
        <v>16161</v>
      </c>
      <c r="E8463" s="396" t="s">
        <v>16162</v>
      </c>
      <c r="F8463" s="396" t="s">
        <v>16147</v>
      </c>
    </row>
    <row r="8464">
      <c r="A8464" s="311">
        <v>8463</v>
      </c>
      <c r="B8464" s="396" t="s">
        <v>16171</v>
      </c>
      <c r="C8464" s="396" t="s">
        <v>16172</v>
      </c>
      <c r="D8464" s="396" t="s">
        <v>16161</v>
      </c>
      <c r="E8464" s="396" t="s">
        <v>16162</v>
      </c>
      <c r="F8464" s="396" t="s">
        <v>16147</v>
      </c>
    </row>
    <row r="8465">
      <c r="A8465" s="311">
        <v>8464</v>
      </c>
      <c r="B8465" s="396" t="s">
        <v>16173</v>
      </c>
      <c r="C8465" s="396" t="s">
        <v>16174</v>
      </c>
      <c r="D8465" s="396" t="s">
        <v>16175</v>
      </c>
      <c r="E8465" s="396" t="s">
        <v>16176</v>
      </c>
      <c r="F8465" s="396" t="s">
        <v>16147</v>
      </c>
    </row>
    <row r="8466">
      <c r="A8466" s="311">
        <v>8465</v>
      </c>
      <c r="B8466" s="396" t="s">
        <v>16177</v>
      </c>
      <c r="C8466" s="396" t="s">
        <v>16178</v>
      </c>
      <c r="D8466" s="396" t="s">
        <v>16175</v>
      </c>
      <c r="E8466" s="396" t="s">
        <v>16176</v>
      </c>
      <c r="F8466" s="396" t="s">
        <v>16147</v>
      </c>
    </row>
    <row r="8467">
      <c r="A8467" s="311">
        <v>8466</v>
      </c>
      <c r="B8467" s="396" t="s">
        <v>16179</v>
      </c>
      <c r="C8467" s="396" t="s">
        <v>16180</v>
      </c>
      <c r="D8467" s="396" t="s">
        <v>16175</v>
      </c>
      <c r="E8467" s="396" t="s">
        <v>16176</v>
      </c>
      <c r="F8467" s="396" t="s">
        <v>16147</v>
      </c>
    </row>
    <row r="8468">
      <c r="A8468" s="311">
        <v>8467</v>
      </c>
      <c r="B8468" s="396" t="s">
        <v>16181</v>
      </c>
      <c r="C8468" s="396" t="s">
        <v>16182</v>
      </c>
      <c r="D8468" s="396" t="s">
        <v>16175</v>
      </c>
      <c r="E8468" s="396" t="s">
        <v>16176</v>
      </c>
      <c r="F8468" s="396" t="s">
        <v>16147</v>
      </c>
    </row>
    <row r="8469">
      <c r="A8469" s="311">
        <v>8468</v>
      </c>
      <c r="B8469" s="396" t="s">
        <v>16183</v>
      </c>
      <c r="C8469" s="396" t="s">
        <v>16184</v>
      </c>
      <c r="D8469" s="396" t="s">
        <v>16175</v>
      </c>
      <c r="E8469" s="396" t="s">
        <v>16176</v>
      </c>
      <c r="F8469" s="396" t="s">
        <v>16147</v>
      </c>
    </row>
    <row r="8470">
      <c r="A8470" s="311">
        <v>8469</v>
      </c>
      <c r="B8470" s="396" t="s">
        <v>16185</v>
      </c>
      <c r="C8470" s="396" t="s">
        <v>16186</v>
      </c>
      <c r="D8470" s="396" t="s">
        <v>16175</v>
      </c>
      <c r="E8470" s="396" t="s">
        <v>16176</v>
      </c>
      <c r="F8470" s="396" t="s">
        <v>16147</v>
      </c>
    </row>
    <row r="8471">
      <c r="A8471" s="311">
        <v>8470</v>
      </c>
      <c r="B8471" s="396" t="s">
        <v>16187</v>
      </c>
      <c r="C8471" s="396" t="s">
        <v>16188</v>
      </c>
      <c r="D8471" s="396" t="s">
        <v>16175</v>
      </c>
      <c r="E8471" s="396" t="s">
        <v>16176</v>
      </c>
      <c r="F8471" s="396" t="s">
        <v>16147</v>
      </c>
    </row>
    <row r="8472">
      <c r="A8472" s="311">
        <v>8471</v>
      </c>
      <c r="B8472" s="396" t="s">
        <v>16189</v>
      </c>
      <c r="C8472" s="396" t="s">
        <v>16190</v>
      </c>
      <c r="D8472" s="396" t="s">
        <v>16175</v>
      </c>
      <c r="E8472" s="396" t="s">
        <v>16176</v>
      </c>
      <c r="F8472" s="396" t="s">
        <v>16147</v>
      </c>
    </row>
    <row r="8473">
      <c r="A8473" s="311">
        <v>8472</v>
      </c>
      <c r="B8473" s="396" t="s">
        <v>16191</v>
      </c>
      <c r="C8473" s="396" t="s">
        <v>16192</v>
      </c>
      <c r="D8473" s="396" t="s">
        <v>16193</v>
      </c>
      <c r="E8473" s="396" t="s">
        <v>16194</v>
      </c>
      <c r="F8473" s="396" t="s">
        <v>16147</v>
      </c>
    </row>
    <row r="8474">
      <c r="A8474" s="311">
        <v>8473</v>
      </c>
      <c r="B8474" s="396" t="s">
        <v>16195</v>
      </c>
      <c r="C8474" s="396" t="s">
        <v>16196</v>
      </c>
      <c r="D8474" s="396" t="s">
        <v>16193</v>
      </c>
      <c r="E8474" s="396" t="s">
        <v>16194</v>
      </c>
      <c r="F8474" s="396" t="s">
        <v>16147</v>
      </c>
    </row>
    <row r="8475">
      <c r="A8475" s="311">
        <v>8474</v>
      </c>
      <c r="B8475" s="396" t="s">
        <v>16197</v>
      </c>
      <c r="C8475" s="396" t="s">
        <v>16198</v>
      </c>
      <c r="D8475" s="396" t="s">
        <v>16193</v>
      </c>
      <c r="E8475" s="396" t="s">
        <v>16194</v>
      </c>
      <c r="F8475" s="396" t="s">
        <v>16147</v>
      </c>
    </row>
    <row r="8476">
      <c r="A8476" s="311">
        <v>8475</v>
      </c>
      <c r="B8476" s="396" t="s">
        <v>16199</v>
      </c>
      <c r="C8476" s="396" t="s">
        <v>16200</v>
      </c>
      <c r="D8476" s="396" t="s">
        <v>16193</v>
      </c>
      <c r="E8476" s="396" t="s">
        <v>16194</v>
      </c>
      <c r="F8476" s="396" t="s">
        <v>16147</v>
      </c>
    </row>
    <row r="8477">
      <c r="A8477" s="311">
        <v>8476</v>
      </c>
      <c r="B8477" s="396" t="s">
        <v>16201</v>
      </c>
      <c r="C8477" s="396" t="s">
        <v>16202</v>
      </c>
      <c r="D8477" s="396" t="s">
        <v>16193</v>
      </c>
      <c r="E8477" s="396" t="s">
        <v>16194</v>
      </c>
      <c r="F8477" s="396" t="s">
        <v>16147</v>
      </c>
    </row>
    <row r="8478">
      <c r="A8478" s="311">
        <v>8477</v>
      </c>
      <c r="B8478" s="396" t="s">
        <v>16203</v>
      </c>
      <c r="C8478" s="396" t="s">
        <v>16204</v>
      </c>
      <c r="D8478" s="396" t="s">
        <v>16193</v>
      </c>
      <c r="E8478" s="396" t="s">
        <v>16194</v>
      </c>
      <c r="F8478" s="396" t="s">
        <v>16147</v>
      </c>
    </row>
    <row r="8479">
      <c r="A8479" s="311">
        <v>8478</v>
      </c>
      <c r="B8479" s="396" t="s">
        <v>16205</v>
      </c>
      <c r="C8479" s="396" t="s">
        <v>4284</v>
      </c>
      <c r="D8479" s="396" t="s">
        <v>16193</v>
      </c>
      <c r="E8479" s="396" t="s">
        <v>16194</v>
      </c>
      <c r="F8479" s="396" t="s">
        <v>16147</v>
      </c>
    </row>
    <row r="8480">
      <c r="A8480" s="311">
        <v>8479</v>
      </c>
      <c r="B8480" s="396" t="s">
        <v>16206</v>
      </c>
      <c r="C8480" s="396" t="s">
        <v>16207</v>
      </c>
      <c r="D8480" s="396" t="s">
        <v>16193</v>
      </c>
      <c r="E8480" s="396" t="s">
        <v>16194</v>
      </c>
      <c r="F8480" s="396" t="s">
        <v>16147</v>
      </c>
    </row>
    <row r="8481">
      <c r="A8481" s="311">
        <v>8480</v>
      </c>
      <c r="B8481" s="396" t="s">
        <v>16208</v>
      </c>
      <c r="C8481" s="396" t="s">
        <v>16209</v>
      </c>
      <c r="D8481" s="396" t="s">
        <v>16193</v>
      </c>
      <c r="E8481" s="396" t="s">
        <v>16194</v>
      </c>
      <c r="F8481" s="396" t="s">
        <v>16147</v>
      </c>
    </row>
    <row r="8482">
      <c r="A8482" s="311">
        <v>8481</v>
      </c>
      <c r="B8482" s="396" t="s">
        <v>16210</v>
      </c>
      <c r="C8482" s="396" t="s">
        <v>13871</v>
      </c>
      <c r="D8482" s="396" t="s">
        <v>16193</v>
      </c>
      <c r="E8482" s="396" t="s">
        <v>16194</v>
      </c>
      <c r="F8482" s="396" t="s">
        <v>16147</v>
      </c>
    </row>
    <row r="8483">
      <c r="A8483" s="311">
        <v>8482</v>
      </c>
      <c r="B8483" s="396" t="s">
        <v>16211</v>
      </c>
      <c r="C8483" s="396" t="s">
        <v>16212</v>
      </c>
      <c r="D8483" s="396" t="s">
        <v>16213</v>
      </c>
      <c r="E8483" s="396" t="s">
        <v>16214</v>
      </c>
      <c r="F8483" s="396" t="s">
        <v>16147</v>
      </c>
    </row>
    <row r="8484">
      <c r="A8484" s="311">
        <v>8483</v>
      </c>
      <c r="B8484" s="396" t="s">
        <v>16215</v>
      </c>
      <c r="C8484" s="396" t="s">
        <v>16216</v>
      </c>
      <c r="D8484" s="396" t="s">
        <v>16213</v>
      </c>
      <c r="E8484" s="396" t="s">
        <v>16214</v>
      </c>
      <c r="F8484" s="396" t="s">
        <v>16147</v>
      </c>
    </row>
    <row r="8485">
      <c r="A8485" s="311">
        <v>8484</v>
      </c>
      <c r="B8485" s="396" t="s">
        <v>16217</v>
      </c>
      <c r="C8485" s="396" t="s">
        <v>9789</v>
      </c>
      <c r="D8485" s="396" t="s">
        <v>16213</v>
      </c>
      <c r="E8485" s="396" t="s">
        <v>16214</v>
      </c>
      <c r="F8485" s="396" t="s">
        <v>16147</v>
      </c>
    </row>
    <row r="8486">
      <c r="A8486" s="311">
        <v>8485</v>
      </c>
      <c r="B8486" s="396" t="s">
        <v>16218</v>
      </c>
      <c r="C8486" s="396" t="s">
        <v>16219</v>
      </c>
      <c r="D8486" s="396" t="s">
        <v>16213</v>
      </c>
      <c r="E8486" s="396" t="s">
        <v>16214</v>
      </c>
      <c r="F8486" s="396" t="s">
        <v>16147</v>
      </c>
    </row>
    <row r="8487">
      <c r="A8487" s="311">
        <v>8486</v>
      </c>
      <c r="B8487" s="396" t="s">
        <v>16220</v>
      </c>
      <c r="C8487" s="396" t="s">
        <v>16221</v>
      </c>
      <c r="D8487" s="396" t="s">
        <v>16213</v>
      </c>
      <c r="E8487" s="396" t="s">
        <v>16214</v>
      </c>
      <c r="F8487" s="396" t="s">
        <v>16147</v>
      </c>
    </row>
    <row r="8488">
      <c r="A8488" s="311">
        <v>8487</v>
      </c>
      <c r="B8488" s="396" t="s">
        <v>16222</v>
      </c>
      <c r="C8488" s="396" t="s">
        <v>1552</v>
      </c>
      <c r="D8488" s="396" t="s">
        <v>16213</v>
      </c>
      <c r="E8488" s="396" t="s">
        <v>16214</v>
      </c>
      <c r="F8488" s="396" t="s">
        <v>16147</v>
      </c>
    </row>
    <row r="8489">
      <c r="A8489" s="311">
        <v>8488</v>
      </c>
      <c r="B8489" s="396" t="s">
        <v>16223</v>
      </c>
      <c r="C8489" s="396" t="s">
        <v>16224</v>
      </c>
      <c r="D8489" s="396" t="s">
        <v>16213</v>
      </c>
      <c r="E8489" s="396" t="s">
        <v>16214</v>
      </c>
      <c r="F8489" s="396" t="s">
        <v>16147</v>
      </c>
    </row>
    <row r="8490">
      <c r="A8490" s="311">
        <v>8489</v>
      </c>
      <c r="B8490" s="396" t="s">
        <v>16225</v>
      </c>
      <c r="C8490" s="396" t="s">
        <v>16226</v>
      </c>
      <c r="D8490" s="396" t="s">
        <v>16213</v>
      </c>
      <c r="E8490" s="396" t="s">
        <v>16214</v>
      </c>
      <c r="F8490" s="396" t="s">
        <v>16147</v>
      </c>
    </row>
    <row r="8491">
      <c r="A8491" s="311">
        <v>8490</v>
      </c>
      <c r="B8491" s="396" t="s">
        <v>16227</v>
      </c>
      <c r="C8491" s="396" t="s">
        <v>16228</v>
      </c>
      <c r="D8491" s="396" t="s">
        <v>16213</v>
      </c>
      <c r="E8491" s="396" t="s">
        <v>16214</v>
      </c>
      <c r="F8491" s="396" t="s">
        <v>16147</v>
      </c>
    </row>
    <row r="8492">
      <c r="A8492" s="311">
        <v>8491</v>
      </c>
      <c r="B8492" s="396" t="s">
        <v>16229</v>
      </c>
      <c r="C8492" s="396" t="s">
        <v>16230</v>
      </c>
      <c r="D8492" s="396" t="s">
        <v>16213</v>
      </c>
      <c r="E8492" s="396" t="s">
        <v>16214</v>
      </c>
      <c r="F8492" s="396" t="s">
        <v>16147</v>
      </c>
    </row>
    <row r="8493">
      <c r="A8493" s="311">
        <v>8492</v>
      </c>
      <c r="B8493" s="396" t="s">
        <v>16231</v>
      </c>
      <c r="C8493" s="396" t="s">
        <v>7118</v>
      </c>
      <c r="D8493" s="396" t="s">
        <v>16213</v>
      </c>
      <c r="E8493" s="396" t="s">
        <v>16214</v>
      </c>
      <c r="F8493" s="396" t="s">
        <v>16147</v>
      </c>
    </row>
    <row r="8494">
      <c r="A8494" s="311">
        <v>8493</v>
      </c>
      <c r="B8494" s="396" t="s">
        <v>16232</v>
      </c>
      <c r="C8494" s="396" t="s">
        <v>16233</v>
      </c>
      <c r="D8494" s="396" t="s">
        <v>16213</v>
      </c>
      <c r="E8494" s="396" t="s">
        <v>16214</v>
      </c>
      <c r="F8494" s="396" t="s">
        <v>16147</v>
      </c>
    </row>
    <row r="8495">
      <c r="A8495" s="311">
        <v>8494</v>
      </c>
      <c r="B8495" s="396" t="s">
        <v>16234</v>
      </c>
      <c r="C8495" s="396" t="s">
        <v>16235</v>
      </c>
      <c r="D8495" s="396" t="s">
        <v>16236</v>
      </c>
      <c r="E8495" s="396" t="s">
        <v>16237</v>
      </c>
      <c r="F8495" s="396" t="s">
        <v>16147</v>
      </c>
    </row>
    <row r="8496">
      <c r="A8496" s="311">
        <v>8495</v>
      </c>
      <c r="B8496" s="396" t="s">
        <v>16238</v>
      </c>
      <c r="C8496" s="396" t="s">
        <v>16239</v>
      </c>
      <c r="D8496" s="396" t="s">
        <v>16236</v>
      </c>
      <c r="E8496" s="396" t="s">
        <v>16237</v>
      </c>
      <c r="F8496" s="396" t="s">
        <v>16147</v>
      </c>
    </row>
    <row r="8497">
      <c r="A8497" s="311">
        <v>8496</v>
      </c>
      <c r="B8497" s="396" t="s">
        <v>16240</v>
      </c>
      <c r="C8497" s="396" t="s">
        <v>16241</v>
      </c>
      <c r="D8497" s="396" t="s">
        <v>16236</v>
      </c>
      <c r="E8497" s="396" t="s">
        <v>16237</v>
      </c>
      <c r="F8497" s="396" t="s">
        <v>16147</v>
      </c>
    </row>
    <row r="8498">
      <c r="A8498" s="311">
        <v>8497</v>
      </c>
      <c r="B8498" s="396" t="s">
        <v>16242</v>
      </c>
      <c r="C8498" s="396" t="s">
        <v>8701</v>
      </c>
      <c r="D8498" s="396" t="s">
        <v>16236</v>
      </c>
      <c r="E8498" s="396" t="s">
        <v>16237</v>
      </c>
      <c r="F8498" s="396" t="s">
        <v>16147</v>
      </c>
    </row>
    <row r="8499">
      <c r="A8499" s="311">
        <v>8498</v>
      </c>
      <c r="B8499" s="396" t="s">
        <v>16243</v>
      </c>
      <c r="C8499" s="396" t="s">
        <v>16244</v>
      </c>
      <c r="D8499" s="396" t="s">
        <v>16236</v>
      </c>
      <c r="E8499" s="396" t="s">
        <v>16237</v>
      </c>
      <c r="F8499" s="396" t="s">
        <v>16147</v>
      </c>
    </row>
    <row r="8500">
      <c r="A8500" s="311">
        <v>8499</v>
      </c>
      <c r="B8500" s="396" t="s">
        <v>16245</v>
      </c>
      <c r="C8500" s="396" t="s">
        <v>16246</v>
      </c>
      <c r="D8500" s="396" t="s">
        <v>16236</v>
      </c>
      <c r="E8500" s="396" t="s">
        <v>16237</v>
      </c>
      <c r="F8500" s="396" t="s">
        <v>16147</v>
      </c>
    </row>
    <row r="8501">
      <c r="A8501" s="311">
        <v>8500</v>
      </c>
      <c r="B8501" s="396" t="s">
        <v>16247</v>
      </c>
      <c r="C8501" s="396" t="s">
        <v>16248</v>
      </c>
      <c r="D8501" s="396" t="s">
        <v>16236</v>
      </c>
      <c r="E8501" s="396" t="s">
        <v>16237</v>
      </c>
      <c r="F8501" s="396" t="s">
        <v>16147</v>
      </c>
    </row>
    <row r="8502">
      <c r="A8502" s="311">
        <v>8501</v>
      </c>
      <c r="B8502" s="396" t="s">
        <v>16249</v>
      </c>
      <c r="C8502" s="396" t="s">
        <v>16250</v>
      </c>
      <c r="D8502" s="396" t="s">
        <v>16236</v>
      </c>
      <c r="E8502" s="396" t="s">
        <v>16237</v>
      </c>
      <c r="F8502" s="396" t="s">
        <v>16147</v>
      </c>
    </row>
    <row r="8503">
      <c r="A8503" s="311">
        <v>8502</v>
      </c>
      <c r="B8503" s="396" t="s">
        <v>16251</v>
      </c>
      <c r="C8503" s="396" t="s">
        <v>12350</v>
      </c>
      <c r="D8503" s="396" t="s">
        <v>16236</v>
      </c>
      <c r="E8503" s="396" t="s">
        <v>16237</v>
      </c>
      <c r="F8503" s="396" t="s">
        <v>16147</v>
      </c>
    </row>
    <row r="8504">
      <c r="A8504" s="311">
        <v>8503</v>
      </c>
      <c r="B8504" s="396" t="s">
        <v>16252</v>
      </c>
      <c r="C8504" s="396" t="s">
        <v>16253</v>
      </c>
      <c r="D8504" s="396" t="s">
        <v>16254</v>
      </c>
      <c r="E8504" s="396" t="s">
        <v>16255</v>
      </c>
      <c r="F8504" s="396" t="s">
        <v>16147</v>
      </c>
    </row>
    <row r="8505">
      <c r="A8505" s="311">
        <v>8504</v>
      </c>
      <c r="B8505" s="396" t="s">
        <v>16256</v>
      </c>
      <c r="C8505" s="396" t="s">
        <v>16257</v>
      </c>
      <c r="D8505" s="396" t="s">
        <v>16254</v>
      </c>
      <c r="E8505" s="396" t="s">
        <v>16255</v>
      </c>
      <c r="F8505" s="396" t="s">
        <v>16147</v>
      </c>
    </row>
    <row r="8506">
      <c r="A8506" s="311">
        <v>8505</v>
      </c>
      <c r="B8506" s="396" t="s">
        <v>16258</v>
      </c>
      <c r="C8506" s="396" t="s">
        <v>16259</v>
      </c>
      <c r="D8506" s="396" t="s">
        <v>16254</v>
      </c>
      <c r="E8506" s="396" t="s">
        <v>16255</v>
      </c>
      <c r="F8506" s="396" t="s">
        <v>16147</v>
      </c>
    </row>
    <row r="8507">
      <c r="A8507" s="311">
        <v>8506</v>
      </c>
      <c r="B8507" s="396" t="s">
        <v>16260</v>
      </c>
      <c r="C8507" s="396" t="s">
        <v>16261</v>
      </c>
      <c r="D8507" s="396" t="s">
        <v>16254</v>
      </c>
      <c r="E8507" s="396" t="s">
        <v>16255</v>
      </c>
      <c r="F8507" s="396" t="s">
        <v>16147</v>
      </c>
    </row>
    <row r="8508">
      <c r="A8508" s="311">
        <v>8507</v>
      </c>
      <c r="B8508" s="396" t="s">
        <v>16262</v>
      </c>
      <c r="C8508" s="396" t="s">
        <v>16263</v>
      </c>
      <c r="D8508" s="396" t="s">
        <v>16254</v>
      </c>
      <c r="E8508" s="396" t="s">
        <v>16255</v>
      </c>
      <c r="F8508" s="396" t="s">
        <v>16147</v>
      </c>
    </row>
    <row r="8509">
      <c r="A8509" s="311">
        <v>8508</v>
      </c>
      <c r="B8509" s="396" t="s">
        <v>16264</v>
      </c>
      <c r="C8509" s="396" t="s">
        <v>9152</v>
      </c>
      <c r="D8509" s="396" t="s">
        <v>16254</v>
      </c>
      <c r="E8509" s="396" t="s">
        <v>16255</v>
      </c>
      <c r="F8509" s="396" t="s">
        <v>16147</v>
      </c>
    </row>
    <row r="8510">
      <c r="A8510" s="311">
        <v>8509</v>
      </c>
      <c r="B8510" s="396" t="s">
        <v>16265</v>
      </c>
      <c r="C8510" s="396" t="s">
        <v>16266</v>
      </c>
      <c r="D8510" s="396" t="s">
        <v>16254</v>
      </c>
      <c r="E8510" s="396" t="s">
        <v>16255</v>
      </c>
      <c r="F8510" s="396" t="s">
        <v>16147</v>
      </c>
    </row>
    <row r="8511">
      <c r="A8511" s="311">
        <v>8510</v>
      </c>
      <c r="B8511" s="396" t="s">
        <v>16267</v>
      </c>
      <c r="C8511" s="396" t="s">
        <v>16268</v>
      </c>
      <c r="D8511" s="396" t="s">
        <v>16254</v>
      </c>
      <c r="E8511" s="396" t="s">
        <v>16255</v>
      </c>
      <c r="F8511" s="396" t="s">
        <v>16147</v>
      </c>
    </row>
    <row r="8512">
      <c r="A8512" s="311">
        <v>8511</v>
      </c>
      <c r="B8512" s="396" t="s">
        <v>16269</v>
      </c>
      <c r="C8512" s="396" t="s">
        <v>16270</v>
      </c>
      <c r="D8512" s="396" t="s">
        <v>16254</v>
      </c>
      <c r="E8512" s="396" t="s">
        <v>16255</v>
      </c>
      <c r="F8512" s="396" t="s">
        <v>16147</v>
      </c>
    </row>
    <row r="8513">
      <c r="A8513" s="311">
        <v>8512</v>
      </c>
      <c r="B8513" s="396" t="s">
        <v>16271</v>
      </c>
      <c r="C8513" s="396" t="s">
        <v>16272</v>
      </c>
      <c r="D8513" s="396" t="s">
        <v>16254</v>
      </c>
      <c r="E8513" s="396" t="s">
        <v>16255</v>
      </c>
      <c r="F8513" s="396" t="s">
        <v>16147</v>
      </c>
    </row>
    <row r="8514">
      <c r="A8514" s="311">
        <v>8513</v>
      </c>
      <c r="B8514" s="396" t="s">
        <v>16273</v>
      </c>
      <c r="C8514" s="396" t="s">
        <v>6867</v>
      </c>
      <c r="D8514" s="396" t="s">
        <v>16254</v>
      </c>
      <c r="E8514" s="396" t="s">
        <v>16255</v>
      </c>
      <c r="F8514" s="396" t="s">
        <v>16147</v>
      </c>
    </row>
    <row r="8515">
      <c r="A8515" s="311">
        <v>8514</v>
      </c>
      <c r="B8515" s="396" t="s">
        <v>16274</v>
      </c>
      <c r="C8515" s="396" t="s">
        <v>16275</v>
      </c>
      <c r="D8515" s="396" t="s">
        <v>16276</v>
      </c>
      <c r="E8515" s="396" t="s">
        <v>16277</v>
      </c>
      <c r="F8515" s="396" t="s">
        <v>16147</v>
      </c>
    </row>
    <row r="8516">
      <c r="A8516" s="311">
        <v>8515</v>
      </c>
      <c r="B8516" s="396" t="s">
        <v>16278</v>
      </c>
      <c r="C8516" s="396" t="s">
        <v>16279</v>
      </c>
      <c r="D8516" s="396" t="s">
        <v>16276</v>
      </c>
      <c r="E8516" s="396" t="s">
        <v>16277</v>
      </c>
      <c r="F8516" s="396" t="s">
        <v>16147</v>
      </c>
    </row>
    <row r="8517">
      <c r="A8517" s="311">
        <v>8516</v>
      </c>
      <c r="B8517" s="396" t="s">
        <v>16280</v>
      </c>
      <c r="C8517" s="396" t="s">
        <v>9709</v>
      </c>
      <c r="D8517" s="396" t="s">
        <v>16276</v>
      </c>
      <c r="E8517" s="396" t="s">
        <v>16277</v>
      </c>
      <c r="F8517" s="396" t="s">
        <v>16147</v>
      </c>
    </row>
    <row r="8518">
      <c r="A8518" s="311">
        <v>8517</v>
      </c>
      <c r="B8518" s="396" t="s">
        <v>16281</v>
      </c>
      <c r="C8518" s="396" t="s">
        <v>16282</v>
      </c>
      <c r="D8518" s="396" t="s">
        <v>16276</v>
      </c>
      <c r="E8518" s="396" t="s">
        <v>16277</v>
      </c>
      <c r="F8518" s="396" t="s">
        <v>16147</v>
      </c>
    </row>
    <row r="8519">
      <c r="A8519" s="311">
        <v>8518</v>
      </c>
      <c r="B8519" s="396" t="s">
        <v>16283</v>
      </c>
      <c r="C8519" s="396" t="s">
        <v>16284</v>
      </c>
      <c r="D8519" s="396" t="s">
        <v>16276</v>
      </c>
      <c r="E8519" s="396" t="s">
        <v>16277</v>
      </c>
      <c r="F8519" s="396" t="s">
        <v>16147</v>
      </c>
    </row>
    <row r="8520">
      <c r="A8520" s="311">
        <v>8519</v>
      </c>
      <c r="B8520" s="396" t="s">
        <v>16285</v>
      </c>
      <c r="C8520" s="396" t="s">
        <v>5498</v>
      </c>
      <c r="D8520" s="396" t="s">
        <v>16276</v>
      </c>
      <c r="E8520" s="396" t="s">
        <v>16277</v>
      </c>
      <c r="F8520" s="396" t="s">
        <v>16147</v>
      </c>
    </row>
    <row r="8521">
      <c r="A8521" s="311">
        <v>8520</v>
      </c>
      <c r="B8521" s="396" t="s">
        <v>16286</v>
      </c>
      <c r="C8521" s="396" t="s">
        <v>14278</v>
      </c>
      <c r="D8521" s="396" t="s">
        <v>16287</v>
      </c>
      <c r="E8521" s="396" t="s">
        <v>16288</v>
      </c>
      <c r="F8521" s="396" t="s">
        <v>16289</v>
      </c>
    </row>
    <row r="8522">
      <c r="A8522" s="311">
        <v>8521</v>
      </c>
      <c r="B8522" s="396" t="s">
        <v>16290</v>
      </c>
      <c r="C8522" s="396" t="s">
        <v>14270</v>
      </c>
      <c r="D8522" s="396" t="s">
        <v>16287</v>
      </c>
      <c r="E8522" s="396" t="s">
        <v>16288</v>
      </c>
      <c r="F8522" s="396" t="s">
        <v>16289</v>
      </c>
    </row>
    <row r="8523">
      <c r="A8523" s="311">
        <v>8522</v>
      </c>
      <c r="B8523" s="396" t="s">
        <v>16291</v>
      </c>
      <c r="C8523" s="396" t="s">
        <v>16292</v>
      </c>
      <c r="D8523" s="396" t="s">
        <v>16287</v>
      </c>
      <c r="E8523" s="396" t="s">
        <v>16288</v>
      </c>
      <c r="F8523" s="396" t="s">
        <v>16289</v>
      </c>
    </row>
    <row r="8524">
      <c r="A8524" s="311">
        <v>8523</v>
      </c>
      <c r="B8524" s="396" t="s">
        <v>16293</v>
      </c>
      <c r="C8524" s="396" t="s">
        <v>14273</v>
      </c>
      <c r="D8524" s="396" t="s">
        <v>16287</v>
      </c>
      <c r="E8524" s="396" t="s">
        <v>16288</v>
      </c>
      <c r="F8524" s="396" t="s">
        <v>16289</v>
      </c>
    </row>
    <row r="8525">
      <c r="A8525" s="311">
        <v>8524</v>
      </c>
      <c r="B8525" s="396" t="s">
        <v>16294</v>
      </c>
      <c r="C8525" s="396" t="s">
        <v>12447</v>
      </c>
      <c r="D8525" s="396" t="s">
        <v>16287</v>
      </c>
      <c r="E8525" s="396" t="s">
        <v>16288</v>
      </c>
      <c r="F8525" s="396" t="s">
        <v>16289</v>
      </c>
    </row>
    <row r="8526">
      <c r="A8526" s="311">
        <v>8525</v>
      </c>
      <c r="B8526" s="396" t="s">
        <v>16295</v>
      </c>
      <c r="C8526" s="396" t="s">
        <v>12441</v>
      </c>
      <c r="D8526" s="396" t="s">
        <v>16287</v>
      </c>
      <c r="E8526" s="396" t="s">
        <v>16288</v>
      </c>
      <c r="F8526" s="396" t="s">
        <v>16289</v>
      </c>
    </row>
    <row r="8527">
      <c r="A8527" s="311">
        <v>8526</v>
      </c>
      <c r="B8527" s="396" t="s">
        <v>16296</v>
      </c>
      <c r="C8527" s="396" t="s">
        <v>14280</v>
      </c>
      <c r="D8527" s="396" t="s">
        <v>16287</v>
      </c>
      <c r="E8527" s="396" t="s">
        <v>16288</v>
      </c>
      <c r="F8527" s="396" t="s">
        <v>16289</v>
      </c>
    </row>
    <row r="8528">
      <c r="A8528" s="311">
        <v>8527</v>
      </c>
      <c r="B8528" s="396" t="s">
        <v>16297</v>
      </c>
      <c r="C8528" s="396" t="s">
        <v>12451</v>
      </c>
      <c r="D8528" s="396" t="s">
        <v>16287</v>
      </c>
      <c r="E8528" s="396" t="s">
        <v>16288</v>
      </c>
      <c r="F8528" s="396" t="s">
        <v>16289</v>
      </c>
    </row>
    <row r="8529">
      <c r="A8529" s="311">
        <v>8528</v>
      </c>
      <c r="B8529" s="396" t="s">
        <v>16298</v>
      </c>
      <c r="C8529" s="396" t="s">
        <v>12449</v>
      </c>
      <c r="D8529" s="396" t="s">
        <v>16287</v>
      </c>
      <c r="E8529" s="396" t="s">
        <v>16288</v>
      </c>
      <c r="F8529" s="396" t="s">
        <v>16289</v>
      </c>
    </row>
    <row r="8530">
      <c r="A8530" s="311">
        <v>8529</v>
      </c>
      <c r="B8530" s="396" t="s">
        <v>16299</v>
      </c>
      <c r="C8530" s="396" t="s">
        <v>16300</v>
      </c>
      <c r="D8530" s="396" t="s">
        <v>16287</v>
      </c>
      <c r="E8530" s="396" t="s">
        <v>16288</v>
      </c>
      <c r="F8530" s="396" t="s">
        <v>16289</v>
      </c>
    </row>
    <row r="8531">
      <c r="A8531" s="311">
        <v>8530</v>
      </c>
      <c r="B8531" s="396" t="s">
        <v>16301</v>
      </c>
      <c r="C8531" s="396" t="s">
        <v>16302</v>
      </c>
      <c r="D8531" s="396" t="s">
        <v>16287</v>
      </c>
      <c r="E8531" s="396" t="s">
        <v>16288</v>
      </c>
      <c r="F8531" s="396" t="s">
        <v>16289</v>
      </c>
    </row>
    <row r="8532">
      <c r="A8532" s="311">
        <v>8531</v>
      </c>
      <c r="B8532" s="396" t="s">
        <v>16303</v>
      </c>
      <c r="C8532" s="396" t="s">
        <v>12455</v>
      </c>
      <c r="D8532" s="396" t="s">
        <v>16287</v>
      </c>
      <c r="E8532" s="396" t="s">
        <v>16288</v>
      </c>
      <c r="F8532" s="396" t="s">
        <v>16289</v>
      </c>
    </row>
    <row r="8533">
      <c r="A8533" s="311">
        <v>8532</v>
      </c>
      <c r="B8533" s="396" t="s">
        <v>16304</v>
      </c>
      <c r="C8533" s="396" t="s">
        <v>10276</v>
      </c>
      <c r="D8533" s="396" t="s">
        <v>16287</v>
      </c>
      <c r="E8533" s="396" t="s">
        <v>16288</v>
      </c>
      <c r="F8533" s="396" t="s">
        <v>16289</v>
      </c>
    </row>
    <row r="8534">
      <c r="A8534" s="311">
        <v>8533</v>
      </c>
      <c r="B8534" s="396" t="s">
        <v>16305</v>
      </c>
      <c r="C8534" s="396" t="s">
        <v>16306</v>
      </c>
      <c r="D8534" s="396" t="s">
        <v>16287</v>
      </c>
      <c r="E8534" s="396" t="s">
        <v>16288</v>
      </c>
      <c r="F8534" s="396" t="s">
        <v>16289</v>
      </c>
    </row>
    <row r="8535">
      <c r="A8535" s="311">
        <v>8534</v>
      </c>
      <c r="B8535" s="396" t="s">
        <v>16307</v>
      </c>
      <c r="C8535" s="396" t="s">
        <v>16308</v>
      </c>
      <c r="D8535" s="396" t="s">
        <v>16287</v>
      </c>
      <c r="E8535" s="396" t="s">
        <v>16288</v>
      </c>
      <c r="F8535" s="396" t="s">
        <v>16289</v>
      </c>
    </row>
    <row r="8536">
      <c r="A8536" s="311">
        <v>8535</v>
      </c>
      <c r="B8536" s="396" t="s">
        <v>16309</v>
      </c>
      <c r="C8536" s="396" t="s">
        <v>1687</v>
      </c>
      <c r="D8536" s="396" t="s">
        <v>16287</v>
      </c>
      <c r="E8536" s="396" t="s">
        <v>16288</v>
      </c>
      <c r="F8536" s="396" t="s">
        <v>16289</v>
      </c>
    </row>
    <row r="8537">
      <c r="A8537" s="311">
        <v>8536</v>
      </c>
      <c r="B8537" s="396" t="s">
        <v>16310</v>
      </c>
      <c r="C8537" s="396" t="s">
        <v>16311</v>
      </c>
      <c r="D8537" s="396" t="s">
        <v>16312</v>
      </c>
      <c r="E8537" s="396" t="s">
        <v>16313</v>
      </c>
      <c r="F8537" s="396" t="s">
        <v>16289</v>
      </c>
    </row>
    <row r="8538">
      <c r="A8538" s="311">
        <v>8537</v>
      </c>
      <c r="B8538" s="396" t="s">
        <v>16314</v>
      </c>
      <c r="C8538" s="396" t="s">
        <v>16315</v>
      </c>
      <c r="D8538" s="396" t="s">
        <v>16312</v>
      </c>
      <c r="E8538" s="396" t="s">
        <v>16313</v>
      </c>
      <c r="F8538" s="396" t="s">
        <v>16289</v>
      </c>
    </row>
    <row r="8539">
      <c r="A8539" s="311">
        <v>8538</v>
      </c>
      <c r="B8539" s="396" t="s">
        <v>16316</v>
      </c>
      <c r="C8539" s="396" t="s">
        <v>12447</v>
      </c>
      <c r="D8539" s="396" t="s">
        <v>16312</v>
      </c>
      <c r="E8539" s="396" t="s">
        <v>16313</v>
      </c>
      <c r="F8539" s="396" t="s">
        <v>16289</v>
      </c>
    </row>
    <row r="8540">
      <c r="A8540" s="311">
        <v>8539</v>
      </c>
      <c r="B8540" s="396" t="s">
        <v>16317</v>
      </c>
      <c r="C8540" s="396" t="s">
        <v>12441</v>
      </c>
      <c r="D8540" s="396" t="s">
        <v>16312</v>
      </c>
      <c r="E8540" s="396" t="s">
        <v>16313</v>
      </c>
      <c r="F8540" s="396" t="s">
        <v>16289</v>
      </c>
    </row>
    <row r="8541">
      <c r="A8541" s="311">
        <v>8540</v>
      </c>
      <c r="B8541" s="396" t="s">
        <v>16318</v>
      </c>
      <c r="C8541" s="396" t="s">
        <v>16319</v>
      </c>
      <c r="D8541" s="396" t="s">
        <v>16312</v>
      </c>
      <c r="E8541" s="396" t="s">
        <v>16313</v>
      </c>
      <c r="F8541" s="396" t="s">
        <v>16289</v>
      </c>
    </row>
    <row r="8542">
      <c r="A8542" s="311">
        <v>8541</v>
      </c>
      <c r="B8542" s="396" t="s">
        <v>16320</v>
      </c>
      <c r="C8542" s="396" t="s">
        <v>16321</v>
      </c>
      <c r="D8542" s="396" t="s">
        <v>16312</v>
      </c>
      <c r="E8542" s="396" t="s">
        <v>16313</v>
      </c>
      <c r="F8542" s="396" t="s">
        <v>16289</v>
      </c>
    </row>
    <row r="8543">
      <c r="A8543" s="311">
        <v>8542</v>
      </c>
      <c r="B8543" s="396" t="s">
        <v>16322</v>
      </c>
      <c r="C8543" s="396" t="s">
        <v>16323</v>
      </c>
      <c r="D8543" s="396" t="s">
        <v>16312</v>
      </c>
      <c r="E8543" s="396" t="s">
        <v>16313</v>
      </c>
      <c r="F8543" s="396" t="s">
        <v>16289</v>
      </c>
    </row>
    <row r="8544">
      <c r="A8544" s="311">
        <v>8543</v>
      </c>
      <c r="B8544" s="396" t="s">
        <v>16324</v>
      </c>
      <c r="C8544" s="396" t="s">
        <v>16325</v>
      </c>
      <c r="D8544" s="396" t="s">
        <v>16312</v>
      </c>
      <c r="E8544" s="396" t="s">
        <v>16313</v>
      </c>
      <c r="F8544" s="396" t="s">
        <v>16289</v>
      </c>
    </row>
    <row r="8545">
      <c r="A8545" s="311">
        <v>8544</v>
      </c>
      <c r="B8545" s="396" t="s">
        <v>16326</v>
      </c>
      <c r="C8545" s="396" t="s">
        <v>16327</v>
      </c>
      <c r="D8545" s="396" t="s">
        <v>16312</v>
      </c>
      <c r="E8545" s="396" t="s">
        <v>16313</v>
      </c>
      <c r="F8545" s="396" t="s">
        <v>16289</v>
      </c>
    </row>
    <row r="8546">
      <c r="A8546" s="311">
        <v>8545</v>
      </c>
      <c r="B8546" s="396" t="s">
        <v>16328</v>
      </c>
      <c r="C8546" s="396" t="s">
        <v>16329</v>
      </c>
      <c r="D8546" s="396" t="s">
        <v>16312</v>
      </c>
      <c r="E8546" s="396" t="s">
        <v>16313</v>
      </c>
      <c r="F8546" s="396" t="s">
        <v>16289</v>
      </c>
    </row>
    <row r="8547">
      <c r="A8547" s="311">
        <v>8546</v>
      </c>
      <c r="B8547" s="396" t="s">
        <v>16330</v>
      </c>
      <c r="C8547" s="396" t="s">
        <v>16331</v>
      </c>
      <c r="D8547" s="396" t="s">
        <v>16312</v>
      </c>
      <c r="E8547" s="396" t="s">
        <v>16313</v>
      </c>
      <c r="F8547" s="396" t="s">
        <v>16289</v>
      </c>
    </row>
    <row r="8548">
      <c r="A8548" s="311">
        <v>8547</v>
      </c>
      <c r="B8548" s="396" t="s">
        <v>16332</v>
      </c>
      <c r="C8548" s="396" t="s">
        <v>16333</v>
      </c>
      <c r="D8548" s="396" t="s">
        <v>16334</v>
      </c>
      <c r="E8548" s="396" t="s">
        <v>16335</v>
      </c>
      <c r="F8548" s="396" t="s">
        <v>16289</v>
      </c>
    </row>
    <row r="8549">
      <c r="A8549" s="311">
        <v>8548</v>
      </c>
      <c r="B8549" s="396" t="s">
        <v>16336</v>
      </c>
      <c r="C8549" s="396" t="s">
        <v>16337</v>
      </c>
      <c r="D8549" s="396" t="s">
        <v>16334</v>
      </c>
      <c r="E8549" s="396" t="s">
        <v>16335</v>
      </c>
      <c r="F8549" s="396" t="s">
        <v>16289</v>
      </c>
    </row>
    <row r="8550">
      <c r="A8550" s="311">
        <v>8549</v>
      </c>
      <c r="B8550" s="396" t="s">
        <v>16338</v>
      </c>
      <c r="C8550" s="396" t="s">
        <v>16339</v>
      </c>
      <c r="D8550" s="396" t="s">
        <v>16334</v>
      </c>
      <c r="E8550" s="396" t="s">
        <v>16335</v>
      </c>
      <c r="F8550" s="396" t="s">
        <v>16289</v>
      </c>
    </row>
    <row r="8551">
      <c r="A8551" s="311">
        <v>8550</v>
      </c>
      <c r="B8551" s="396" t="s">
        <v>16340</v>
      </c>
      <c r="C8551" s="396" t="s">
        <v>16341</v>
      </c>
      <c r="D8551" s="396" t="s">
        <v>16334</v>
      </c>
      <c r="E8551" s="396" t="s">
        <v>16335</v>
      </c>
      <c r="F8551" s="396" t="s">
        <v>16289</v>
      </c>
    </row>
    <row r="8552">
      <c r="A8552" s="311">
        <v>8551</v>
      </c>
      <c r="B8552" s="396" t="s">
        <v>16342</v>
      </c>
      <c r="C8552" s="396" t="s">
        <v>16343</v>
      </c>
      <c r="D8552" s="396" t="s">
        <v>16334</v>
      </c>
      <c r="E8552" s="396" t="s">
        <v>16335</v>
      </c>
      <c r="F8552" s="396" t="s">
        <v>16289</v>
      </c>
    </row>
    <row r="8553">
      <c r="A8553" s="311">
        <v>8552</v>
      </c>
      <c r="B8553" s="396" t="s">
        <v>16344</v>
      </c>
      <c r="C8553" s="396" t="s">
        <v>16345</v>
      </c>
      <c r="D8553" s="396" t="s">
        <v>16334</v>
      </c>
      <c r="E8553" s="396" t="s">
        <v>16335</v>
      </c>
      <c r="F8553" s="396" t="s">
        <v>16289</v>
      </c>
    </row>
    <row r="8554">
      <c r="A8554" s="311">
        <v>8553</v>
      </c>
      <c r="B8554" s="396" t="s">
        <v>16346</v>
      </c>
      <c r="C8554" s="396" t="s">
        <v>16347</v>
      </c>
      <c r="D8554" s="396" t="s">
        <v>16334</v>
      </c>
      <c r="E8554" s="396" t="s">
        <v>16335</v>
      </c>
      <c r="F8554" s="396" t="s">
        <v>16289</v>
      </c>
    </row>
    <row r="8555">
      <c r="A8555" s="311">
        <v>8554</v>
      </c>
      <c r="B8555" s="396" t="s">
        <v>16348</v>
      </c>
      <c r="C8555" s="396" t="s">
        <v>16349</v>
      </c>
      <c r="D8555" s="396" t="s">
        <v>16334</v>
      </c>
      <c r="E8555" s="396" t="s">
        <v>16335</v>
      </c>
      <c r="F8555" s="396" t="s">
        <v>16289</v>
      </c>
    </row>
    <row r="8556">
      <c r="A8556" s="311">
        <v>8555</v>
      </c>
      <c r="B8556" s="396" t="s">
        <v>16350</v>
      </c>
      <c r="C8556" s="396" t="s">
        <v>16351</v>
      </c>
      <c r="D8556" s="396" t="s">
        <v>16352</v>
      </c>
      <c r="E8556" s="396" t="s">
        <v>16353</v>
      </c>
      <c r="F8556" s="396" t="s">
        <v>16289</v>
      </c>
    </row>
    <row r="8557">
      <c r="A8557" s="311">
        <v>8556</v>
      </c>
      <c r="B8557" s="396" t="s">
        <v>16354</v>
      </c>
      <c r="C8557" s="396" t="s">
        <v>16355</v>
      </c>
      <c r="D8557" s="396" t="s">
        <v>16352</v>
      </c>
      <c r="E8557" s="396" t="s">
        <v>16353</v>
      </c>
      <c r="F8557" s="396" t="s">
        <v>16289</v>
      </c>
    </row>
    <row r="8558">
      <c r="A8558" s="311">
        <v>8557</v>
      </c>
      <c r="B8558" s="396" t="s">
        <v>16356</v>
      </c>
      <c r="C8558" s="396" t="s">
        <v>16357</v>
      </c>
      <c r="D8558" s="396" t="s">
        <v>16352</v>
      </c>
      <c r="E8558" s="396" t="s">
        <v>16353</v>
      </c>
      <c r="F8558" s="396" t="s">
        <v>16289</v>
      </c>
    </row>
    <row r="8559">
      <c r="A8559" s="311">
        <v>8558</v>
      </c>
      <c r="B8559" s="396" t="s">
        <v>16358</v>
      </c>
      <c r="C8559" s="396" t="s">
        <v>16359</v>
      </c>
      <c r="D8559" s="396" t="s">
        <v>16352</v>
      </c>
      <c r="E8559" s="396" t="s">
        <v>16353</v>
      </c>
      <c r="F8559" s="396" t="s">
        <v>16289</v>
      </c>
    </row>
    <row r="8560">
      <c r="A8560" s="311">
        <v>8559</v>
      </c>
      <c r="B8560" s="396" t="s">
        <v>16360</v>
      </c>
      <c r="C8560" s="396" t="s">
        <v>16361</v>
      </c>
      <c r="D8560" s="396" t="s">
        <v>16352</v>
      </c>
      <c r="E8560" s="396" t="s">
        <v>16353</v>
      </c>
      <c r="F8560" s="396" t="s">
        <v>16289</v>
      </c>
    </row>
    <row r="8561">
      <c r="A8561" s="311">
        <v>8560</v>
      </c>
      <c r="B8561" s="396" t="s">
        <v>16362</v>
      </c>
      <c r="C8561" s="396" t="s">
        <v>16363</v>
      </c>
      <c r="D8561" s="396" t="s">
        <v>16352</v>
      </c>
      <c r="E8561" s="396" t="s">
        <v>16353</v>
      </c>
      <c r="F8561" s="396" t="s">
        <v>16289</v>
      </c>
    </row>
    <row r="8562">
      <c r="A8562" s="311">
        <v>8561</v>
      </c>
      <c r="B8562" s="396" t="s">
        <v>16364</v>
      </c>
      <c r="C8562" s="396" t="s">
        <v>16365</v>
      </c>
      <c r="D8562" s="396" t="s">
        <v>16366</v>
      </c>
      <c r="E8562" s="396" t="s">
        <v>16367</v>
      </c>
      <c r="F8562" s="396" t="s">
        <v>16289</v>
      </c>
    </row>
    <row r="8563">
      <c r="A8563" s="311">
        <v>8562</v>
      </c>
      <c r="B8563" s="396" t="s">
        <v>16368</v>
      </c>
      <c r="C8563" s="396" t="s">
        <v>16369</v>
      </c>
      <c r="D8563" s="396" t="s">
        <v>16366</v>
      </c>
      <c r="E8563" s="396" t="s">
        <v>16367</v>
      </c>
      <c r="F8563" s="396" t="s">
        <v>16289</v>
      </c>
    </row>
    <row r="8564">
      <c r="A8564" s="311">
        <v>8563</v>
      </c>
      <c r="B8564" s="396" t="s">
        <v>16370</v>
      </c>
      <c r="C8564" s="396" t="s">
        <v>643</v>
      </c>
      <c r="D8564" s="396" t="s">
        <v>16366</v>
      </c>
      <c r="E8564" s="396" t="s">
        <v>16367</v>
      </c>
      <c r="F8564" s="396" t="s">
        <v>16289</v>
      </c>
    </row>
    <row r="8565">
      <c r="A8565" s="311">
        <v>8564</v>
      </c>
      <c r="B8565" s="396" t="s">
        <v>16371</v>
      </c>
      <c r="C8565" s="396" t="s">
        <v>16372</v>
      </c>
      <c r="D8565" s="396" t="s">
        <v>16366</v>
      </c>
      <c r="E8565" s="396" t="s">
        <v>16367</v>
      </c>
      <c r="F8565" s="396" t="s">
        <v>16289</v>
      </c>
    </row>
    <row r="8566">
      <c r="A8566" s="311">
        <v>8565</v>
      </c>
      <c r="B8566" s="396" t="s">
        <v>16373</v>
      </c>
      <c r="C8566" s="396" t="s">
        <v>543</v>
      </c>
      <c r="D8566" s="396" t="s">
        <v>16366</v>
      </c>
      <c r="E8566" s="396" t="s">
        <v>16367</v>
      </c>
      <c r="F8566" s="396" t="s">
        <v>16289</v>
      </c>
    </row>
    <row r="8567">
      <c r="A8567" s="311">
        <v>8566</v>
      </c>
      <c r="B8567" s="396" t="s">
        <v>16374</v>
      </c>
      <c r="C8567" s="396" t="s">
        <v>16375</v>
      </c>
      <c r="D8567" s="396" t="s">
        <v>16366</v>
      </c>
      <c r="E8567" s="396" t="s">
        <v>16367</v>
      </c>
      <c r="F8567" s="396" t="s">
        <v>16289</v>
      </c>
    </row>
    <row r="8568">
      <c r="A8568" s="311">
        <v>8567</v>
      </c>
      <c r="B8568" s="396" t="s">
        <v>16376</v>
      </c>
      <c r="C8568" s="396" t="s">
        <v>11534</v>
      </c>
      <c r="D8568" s="396" t="s">
        <v>16366</v>
      </c>
      <c r="E8568" s="396" t="s">
        <v>16367</v>
      </c>
      <c r="F8568" s="396" t="s">
        <v>16289</v>
      </c>
    </row>
    <row r="8569">
      <c r="A8569" s="311">
        <v>8568</v>
      </c>
      <c r="B8569" s="396" t="s">
        <v>16377</v>
      </c>
      <c r="C8569" s="396" t="s">
        <v>10672</v>
      </c>
      <c r="D8569" s="396" t="s">
        <v>16366</v>
      </c>
      <c r="E8569" s="396" t="s">
        <v>16367</v>
      </c>
      <c r="F8569" s="396" t="s">
        <v>16289</v>
      </c>
    </row>
    <row r="8570">
      <c r="A8570" s="311">
        <v>8569</v>
      </c>
      <c r="B8570" s="396" t="s">
        <v>16378</v>
      </c>
      <c r="C8570" s="396" t="s">
        <v>9429</v>
      </c>
      <c r="D8570" s="396" t="s">
        <v>16366</v>
      </c>
      <c r="E8570" s="396" t="s">
        <v>16367</v>
      </c>
      <c r="F8570" s="396" t="s">
        <v>16289</v>
      </c>
    </row>
    <row r="8571">
      <c r="A8571" s="311">
        <v>8570</v>
      </c>
      <c r="B8571" s="396" t="s">
        <v>16379</v>
      </c>
      <c r="C8571" s="396" t="s">
        <v>5022</v>
      </c>
      <c r="D8571" s="396" t="s">
        <v>16366</v>
      </c>
      <c r="E8571" s="396" t="s">
        <v>16367</v>
      </c>
      <c r="F8571" s="396" t="s">
        <v>16289</v>
      </c>
    </row>
    <row r="8572">
      <c r="A8572" s="311">
        <v>8571</v>
      </c>
      <c r="B8572" s="396" t="s">
        <v>16380</v>
      </c>
      <c r="C8572" s="396" t="s">
        <v>4994</v>
      </c>
      <c r="D8572" s="396" t="s">
        <v>16366</v>
      </c>
      <c r="E8572" s="396" t="s">
        <v>16367</v>
      </c>
      <c r="F8572" s="396" t="s">
        <v>16289</v>
      </c>
    </row>
    <row r="8573">
      <c r="A8573" s="311">
        <v>8572</v>
      </c>
      <c r="B8573" s="396" t="s">
        <v>16381</v>
      </c>
      <c r="C8573" s="396" t="s">
        <v>14052</v>
      </c>
      <c r="D8573" s="396" t="s">
        <v>16366</v>
      </c>
      <c r="E8573" s="396" t="s">
        <v>16367</v>
      </c>
      <c r="F8573" s="396" t="s">
        <v>16289</v>
      </c>
    </row>
    <row r="8574">
      <c r="A8574" s="311">
        <v>8573</v>
      </c>
      <c r="B8574" s="396" t="s">
        <v>16382</v>
      </c>
      <c r="C8574" s="396" t="s">
        <v>15087</v>
      </c>
      <c r="D8574" s="396" t="s">
        <v>16366</v>
      </c>
      <c r="E8574" s="396" t="s">
        <v>16367</v>
      </c>
      <c r="F8574" s="396" t="s">
        <v>16289</v>
      </c>
    </row>
    <row r="8575">
      <c r="A8575" s="311">
        <v>8574</v>
      </c>
      <c r="B8575" s="396" t="s">
        <v>16383</v>
      </c>
      <c r="C8575" s="396" t="s">
        <v>358</v>
      </c>
      <c r="D8575" s="396" t="s">
        <v>16366</v>
      </c>
      <c r="E8575" s="396" t="s">
        <v>16367</v>
      </c>
      <c r="F8575" s="396" t="s">
        <v>16289</v>
      </c>
    </row>
    <row r="8576">
      <c r="A8576" s="311">
        <v>8575</v>
      </c>
      <c r="B8576" s="396" t="s">
        <v>16384</v>
      </c>
      <c r="C8576" s="396" t="s">
        <v>754</v>
      </c>
      <c r="D8576" s="396" t="s">
        <v>16366</v>
      </c>
      <c r="E8576" s="396" t="s">
        <v>16367</v>
      </c>
      <c r="F8576" s="396" t="s">
        <v>16289</v>
      </c>
    </row>
    <row r="8577">
      <c r="A8577" s="311">
        <v>8576</v>
      </c>
      <c r="B8577" s="396" t="s">
        <v>16385</v>
      </c>
      <c r="C8577" s="396" t="s">
        <v>8637</v>
      </c>
      <c r="D8577" s="396" t="s">
        <v>16366</v>
      </c>
      <c r="E8577" s="396" t="s">
        <v>16367</v>
      </c>
      <c r="F8577" s="396" t="s">
        <v>16289</v>
      </c>
    </row>
    <row r="8578">
      <c r="A8578" s="311">
        <v>8577</v>
      </c>
      <c r="B8578" s="396" t="s">
        <v>16386</v>
      </c>
      <c r="C8578" s="396" t="s">
        <v>16387</v>
      </c>
      <c r="D8578" s="396" t="s">
        <v>16388</v>
      </c>
      <c r="E8578" s="396" t="s">
        <v>16389</v>
      </c>
      <c r="F8578" s="396" t="s">
        <v>16289</v>
      </c>
    </row>
    <row r="8579">
      <c r="A8579" s="311">
        <v>8578</v>
      </c>
      <c r="B8579" s="396" t="s">
        <v>16390</v>
      </c>
      <c r="C8579" s="396" t="s">
        <v>13350</v>
      </c>
      <c r="D8579" s="396" t="s">
        <v>16388</v>
      </c>
      <c r="E8579" s="396" t="s">
        <v>16389</v>
      </c>
      <c r="F8579" s="396" t="s">
        <v>16289</v>
      </c>
    </row>
    <row r="8580">
      <c r="A8580" s="311">
        <v>8579</v>
      </c>
      <c r="B8580" s="396" t="s">
        <v>16391</v>
      </c>
      <c r="C8580" s="396" t="s">
        <v>16392</v>
      </c>
      <c r="D8580" s="396" t="s">
        <v>16388</v>
      </c>
      <c r="E8580" s="396" t="s">
        <v>16389</v>
      </c>
      <c r="F8580" s="396" t="s">
        <v>16289</v>
      </c>
    </row>
    <row r="8581">
      <c r="A8581" s="311">
        <v>8580</v>
      </c>
      <c r="B8581" s="396" t="s">
        <v>16393</v>
      </c>
      <c r="C8581" s="396" t="s">
        <v>16394</v>
      </c>
      <c r="D8581" s="396" t="s">
        <v>16388</v>
      </c>
      <c r="E8581" s="396" t="s">
        <v>16389</v>
      </c>
      <c r="F8581" s="396" t="s">
        <v>16289</v>
      </c>
    </row>
    <row r="8582">
      <c r="A8582" s="311">
        <v>8581</v>
      </c>
      <c r="B8582" s="396" t="s">
        <v>16395</v>
      </c>
      <c r="C8582" s="396" t="s">
        <v>16396</v>
      </c>
      <c r="D8582" s="396" t="s">
        <v>16388</v>
      </c>
      <c r="E8582" s="396" t="s">
        <v>16389</v>
      </c>
      <c r="F8582" s="396" t="s">
        <v>16289</v>
      </c>
    </row>
    <row r="8583">
      <c r="A8583" s="311">
        <v>8582</v>
      </c>
      <c r="B8583" s="396" t="s">
        <v>16397</v>
      </c>
      <c r="C8583" s="396" t="s">
        <v>16398</v>
      </c>
      <c r="D8583" s="396" t="s">
        <v>16388</v>
      </c>
      <c r="E8583" s="396" t="s">
        <v>16389</v>
      </c>
      <c r="F8583" s="396" t="s">
        <v>16289</v>
      </c>
    </row>
    <row r="8584">
      <c r="A8584" s="311">
        <v>8583</v>
      </c>
      <c r="B8584" s="396" t="s">
        <v>16399</v>
      </c>
      <c r="C8584" s="396" t="s">
        <v>16400</v>
      </c>
      <c r="D8584" s="396" t="s">
        <v>16388</v>
      </c>
      <c r="E8584" s="396" t="s">
        <v>16389</v>
      </c>
      <c r="F8584" s="396" t="s">
        <v>16289</v>
      </c>
    </row>
    <row r="8585">
      <c r="A8585" s="311">
        <v>8584</v>
      </c>
      <c r="B8585" s="396" t="s">
        <v>16401</v>
      </c>
      <c r="C8585" s="396" t="s">
        <v>16402</v>
      </c>
      <c r="D8585" s="396" t="s">
        <v>16388</v>
      </c>
      <c r="E8585" s="396" t="s">
        <v>16389</v>
      </c>
      <c r="F8585" s="396" t="s">
        <v>16289</v>
      </c>
    </row>
    <row r="8586">
      <c r="A8586" s="311">
        <v>8585</v>
      </c>
      <c r="B8586" s="396" t="s">
        <v>16403</v>
      </c>
      <c r="C8586" s="396" t="s">
        <v>16404</v>
      </c>
      <c r="D8586" s="396" t="s">
        <v>16388</v>
      </c>
      <c r="E8586" s="396" t="s">
        <v>16389</v>
      </c>
      <c r="F8586" s="396" t="s">
        <v>16289</v>
      </c>
    </row>
    <row r="8587">
      <c r="A8587" s="311">
        <v>8586</v>
      </c>
      <c r="B8587" s="396" t="s">
        <v>16405</v>
      </c>
      <c r="C8587" s="396" t="s">
        <v>16406</v>
      </c>
      <c r="D8587" s="396" t="s">
        <v>16388</v>
      </c>
      <c r="E8587" s="396" t="s">
        <v>16389</v>
      </c>
      <c r="F8587" s="396" t="s">
        <v>16289</v>
      </c>
    </row>
    <row r="8588">
      <c r="A8588" s="311">
        <v>8587</v>
      </c>
      <c r="B8588" s="396" t="s">
        <v>16407</v>
      </c>
      <c r="C8588" s="396" t="s">
        <v>16408</v>
      </c>
      <c r="D8588" s="396" t="s">
        <v>16409</v>
      </c>
      <c r="E8588" s="396" t="s">
        <v>16410</v>
      </c>
      <c r="F8588" s="396" t="s">
        <v>16289</v>
      </c>
    </row>
    <row r="8589">
      <c r="A8589" s="311">
        <v>8588</v>
      </c>
      <c r="B8589" s="396" t="s">
        <v>16411</v>
      </c>
      <c r="C8589" s="396" t="s">
        <v>7272</v>
      </c>
      <c r="D8589" s="396" t="s">
        <v>16409</v>
      </c>
      <c r="E8589" s="396" t="s">
        <v>16410</v>
      </c>
      <c r="F8589" s="396" t="s">
        <v>16289</v>
      </c>
    </row>
    <row r="8590">
      <c r="A8590" s="311">
        <v>8589</v>
      </c>
      <c r="B8590" s="396" t="s">
        <v>16412</v>
      </c>
      <c r="C8590" s="396" t="s">
        <v>725</v>
      </c>
      <c r="D8590" s="396" t="s">
        <v>16409</v>
      </c>
      <c r="E8590" s="396" t="s">
        <v>16410</v>
      </c>
      <c r="F8590" s="396" t="s">
        <v>16289</v>
      </c>
    </row>
    <row r="8591">
      <c r="A8591" s="311">
        <v>8590</v>
      </c>
      <c r="B8591" s="396" t="s">
        <v>16413</v>
      </c>
      <c r="C8591" s="396" t="s">
        <v>16414</v>
      </c>
      <c r="D8591" s="396" t="s">
        <v>16409</v>
      </c>
      <c r="E8591" s="396" t="s">
        <v>16410</v>
      </c>
      <c r="F8591" s="396" t="s">
        <v>16289</v>
      </c>
    </row>
    <row r="8592">
      <c r="A8592" s="311">
        <v>8591</v>
      </c>
      <c r="B8592" s="396" t="s">
        <v>16415</v>
      </c>
      <c r="C8592" s="396" t="s">
        <v>13660</v>
      </c>
      <c r="D8592" s="396" t="s">
        <v>16409</v>
      </c>
      <c r="E8592" s="396" t="s">
        <v>16410</v>
      </c>
      <c r="F8592" s="396" t="s">
        <v>16289</v>
      </c>
    </row>
    <row r="8593">
      <c r="A8593" s="311">
        <v>8592</v>
      </c>
      <c r="B8593" s="396" t="s">
        <v>16416</v>
      </c>
      <c r="C8593" s="396" t="s">
        <v>16417</v>
      </c>
      <c r="D8593" s="396" t="s">
        <v>16409</v>
      </c>
      <c r="E8593" s="396" t="s">
        <v>16410</v>
      </c>
      <c r="F8593" s="396" t="s">
        <v>16289</v>
      </c>
    </row>
    <row r="8594">
      <c r="A8594" s="311">
        <v>8593</v>
      </c>
      <c r="B8594" s="396" t="s">
        <v>16418</v>
      </c>
      <c r="C8594" s="396" t="s">
        <v>750</v>
      </c>
      <c r="D8594" s="396" t="s">
        <v>16409</v>
      </c>
      <c r="E8594" s="396" t="s">
        <v>16410</v>
      </c>
      <c r="F8594" s="396" t="s">
        <v>16289</v>
      </c>
    </row>
    <row r="8595">
      <c r="A8595" s="311">
        <v>8594</v>
      </c>
      <c r="B8595" s="396" t="s">
        <v>16419</v>
      </c>
      <c r="C8595" s="396" t="s">
        <v>1552</v>
      </c>
      <c r="D8595" s="396" t="s">
        <v>16409</v>
      </c>
      <c r="E8595" s="396" t="s">
        <v>16410</v>
      </c>
      <c r="F8595" s="396" t="s">
        <v>16289</v>
      </c>
    </row>
    <row r="8596">
      <c r="A8596" s="311">
        <v>8595</v>
      </c>
      <c r="B8596" s="396" t="s">
        <v>16420</v>
      </c>
      <c r="C8596" s="396" t="s">
        <v>16421</v>
      </c>
      <c r="D8596" s="396" t="s">
        <v>16409</v>
      </c>
      <c r="E8596" s="396" t="s">
        <v>16410</v>
      </c>
      <c r="F8596" s="396" t="s">
        <v>16289</v>
      </c>
    </row>
    <row r="8597">
      <c r="A8597" s="311">
        <v>8596</v>
      </c>
      <c r="B8597" s="396" t="s">
        <v>16422</v>
      </c>
      <c r="C8597" s="396" t="s">
        <v>16423</v>
      </c>
      <c r="D8597" s="396" t="s">
        <v>16409</v>
      </c>
      <c r="E8597" s="396" t="s">
        <v>16410</v>
      </c>
      <c r="F8597" s="396" t="s">
        <v>16289</v>
      </c>
    </row>
    <row r="8598">
      <c r="A8598" s="311">
        <v>8597</v>
      </c>
      <c r="B8598" s="396" t="s">
        <v>16424</v>
      </c>
      <c r="C8598" s="396" t="s">
        <v>16425</v>
      </c>
      <c r="D8598" s="396" t="s">
        <v>16409</v>
      </c>
      <c r="E8598" s="396" t="s">
        <v>16410</v>
      </c>
      <c r="F8598" s="396" t="s">
        <v>16289</v>
      </c>
    </row>
    <row r="8599">
      <c r="A8599" s="311">
        <v>8598</v>
      </c>
      <c r="B8599" s="396" t="s">
        <v>16426</v>
      </c>
      <c r="C8599" s="396" t="s">
        <v>16427</v>
      </c>
      <c r="D8599" s="396" t="s">
        <v>16409</v>
      </c>
      <c r="E8599" s="396" t="s">
        <v>16410</v>
      </c>
      <c r="F8599" s="396" t="s">
        <v>16289</v>
      </c>
    </row>
    <row r="8600">
      <c r="A8600" s="311">
        <v>8599</v>
      </c>
      <c r="B8600" s="396" t="s">
        <v>16428</v>
      </c>
      <c r="C8600" s="396" t="s">
        <v>16429</v>
      </c>
      <c r="D8600" s="396" t="s">
        <v>16409</v>
      </c>
      <c r="E8600" s="396" t="s">
        <v>16410</v>
      </c>
      <c r="F8600" s="396" t="s">
        <v>16289</v>
      </c>
    </row>
    <row r="8601">
      <c r="A8601" s="311">
        <v>8600</v>
      </c>
      <c r="B8601" s="396" t="s">
        <v>16430</v>
      </c>
      <c r="C8601" s="396" t="s">
        <v>16431</v>
      </c>
      <c r="D8601" s="396" t="s">
        <v>16409</v>
      </c>
      <c r="E8601" s="396" t="s">
        <v>16410</v>
      </c>
      <c r="F8601" s="396" t="s">
        <v>16289</v>
      </c>
    </row>
    <row r="8602">
      <c r="A8602" s="311">
        <v>8601</v>
      </c>
      <c r="B8602" s="396" t="s">
        <v>16432</v>
      </c>
      <c r="C8602" s="396" t="s">
        <v>16433</v>
      </c>
      <c r="D8602" s="396" t="s">
        <v>16409</v>
      </c>
      <c r="E8602" s="396" t="s">
        <v>16410</v>
      </c>
      <c r="F8602" s="396" t="s">
        <v>16289</v>
      </c>
    </row>
    <row r="8603">
      <c r="A8603" s="311">
        <v>8602</v>
      </c>
      <c r="B8603" s="396" t="s">
        <v>16434</v>
      </c>
      <c r="C8603" s="396" t="s">
        <v>16435</v>
      </c>
      <c r="D8603" s="396" t="s">
        <v>16436</v>
      </c>
      <c r="E8603" s="396" t="s">
        <v>16437</v>
      </c>
      <c r="F8603" s="396" t="s">
        <v>16289</v>
      </c>
    </row>
    <row r="8604">
      <c r="A8604" s="311">
        <v>8603</v>
      </c>
      <c r="B8604" s="396" t="s">
        <v>16438</v>
      </c>
      <c r="C8604" s="396" t="s">
        <v>16439</v>
      </c>
      <c r="D8604" s="396" t="s">
        <v>16436</v>
      </c>
      <c r="E8604" s="396" t="s">
        <v>16437</v>
      </c>
      <c r="F8604" s="396" t="s">
        <v>16289</v>
      </c>
    </row>
    <row r="8605">
      <c r="A8605" s="311">
        <v>8604</v>
      </c>
      <c r="B8605" s="396" t="s">
        <v>16440</v>
      </c>
      <c r="C8605" s="396" t="s">
        <v>2856</v>
      </c>
      <c r="D8605" s="396" t="s">
        <v>16436</v>
      </c>
      <c r="E8605" s="396" t="s">
        <v>16437</v>
      </c>
      <c r="F8605" s="396" t="s">
        <v>16289</v>
      </c>
    </row>
    <row r="8606">
      <c r="A8606" s="311">
        <v>8605</v>
      </c>
      <c r="B8606" s="396" t="s">
        <v>16441</v>
      </c>
      <c r="C8606" s="396" t="s">
        <v>16442</v>
      </c>
      <c r="D8606" s="396" t="s">
        <v>16436</v>
      </c>
      <c r="E8606" s="396" t="s">
        <v>16437</v>
      </c>
      <c r="F8606" s="396" t="s">
        <v>16289</v>
      </c>
    </row>
    <row r="8607">
      <c r="A8607" s="311">
        <v>8606</v>
      </c>
      <c r="B8607" s="396" t="s">
        <v>16443</v>
      </c>
      <c r="C8607" s="396" t="s">
        <v>8176</v>
      </c>
      <c r="D8607" s="396" t="s">
        <v>16436</v>
      </c>
      <c r="E8607" s="396" t="s">
        <v>16437</v>
      </c>
      <c r="F8607" s="396" t="s">
        <v>16289</v>
      </c>
    </row>
    <row r="8608">
      <c r="A8608" s="311">
        <v>8607</v>
      </c>
      <c r="B8608" s="396" t="s">
        <v>16444</v>
      </c>
      <c r="C8608" s="396" t="s">
        <v>16445</v>
      </c>
      <c r="D8608" s="396" t="s">
        <v>16436</v>
      </c>
      <c r="E8608" s="396" t="s">
        <v>16437</v>
      </c>
      <c r="F8608" s="396" t="s">
        <v>16289</v>
      </c>
    </row>
    <row r="8609">
      <c r="A8609" s="311">
        <v>8608</v>
      </c>
      <c r="B8609" s="396" t="s">
        <v>16446</v>
      </c>
      <c r="C8609" s="396" t="s">
        <v>16447</v>
      </c>
      <c r="D8609" s="396" t="s">
        <v>16436</v>
      </c>
      <c r="E8609" s="396" t="s">
        <v>16437</v>
      </c>
      <c r="F8609" s="396" t="s">
        <v>16289</v>
      </c>
    </row>
    <row r="8610">
      <c r="A8610" s="311">
        <v>8609</v>
      </c>
      <c r="B8610" s="396" t="s">
        <v>16448</v>
      </c>
      <c r="C8610" s="396" t="s">
        <v>16449</v>
      </c>
      <c r="D8610" s="396" t="s">
        <v>16436</v>
      </c>
      <c r="E8610" s="396" t="s">
        <v>16437</v>
      </c>
      <c r="F8610" s="396" t="s">
        <v>16289</v>
      </c>
    </row>
    <row r="8611">
      <c r="A8611" s="311">
        <v>8610</v>
      </c>
      <c r="B8611" s="396" t="s">
        <v>16450</v>
      </c>
      <c r="C8611" s="396" t="s">
        <v>16451</v>
      </c>
      <c r="D8611" s="396" t="s">
        <v>16436</v>
      </c>
      <c r="E8611" s="396" t="s">
        <v>16437</v>
      </c>
      <c r="F8611" s="396" t="s">
        <v>16289</v>
      </c>
    </row>
    <row r="8612">
      <c r="A8612" s="311">
        <v>8611</v>
      </c>
      <c r="B8612" s="396" t="s">
        <v>16452</v>
      </c>
      <c r="C8612" s="396" t="s">
        <v>16453</v>
      </c>
      <c r="D8612" s="396" t="s">
        <v>16436</v>
      </c>
      <c r="E8612" s="396" t="s">
        <v>16437</v>
      </c>
      <c r="F8612" s="396" t="s">
        <v>16289</v>
      </c>
    </row>
    <row r="8613">
      <c r="A8613" s="311">
        <v>8612</v>
      </c>
      <c r="B8613" s="396" t="s">
        <v>16454</v>
      </c>
      <c r="C8613" s="396" t="s">
        <v>16455</v>
      </c>
      <c r="D8613" s="396" t="s">
        <v>16436</v>
      </c>
      <c r="E8613" s="396" t="s">
        <v>16437</v>
      </c>
      <c r="F8613" s="396" t="s">
        <v>16289</v>
      </c>
    </row>
    <row r="8614">
      <c r="A8614" s="311">
        <v>8613</v>
      </c>
      <c r="B8614" s="396" t="s">
        <v>16456</v>
      </c>
      <c r="C8614" s="396" t="s">
        <v>16457</v>
      </c>
      <c r="D8614" s="396" t="s">
        <v>16436</v>
      </c>
      <c r="E8614" s="396" t="s">
        <v>16437</v>
      </c>
      <c r="F8614" s="396" t="s">
        <v>16289</v>
      </c>
    </row>
    <row r="8615">
      <c r="A8615" s="311">
        <v>8614</v>
      </c>
      <c r="B8615" s="396" t="s">
        <v>16458</v>
      </c>
      <c r="C8615" s="396" t="s">
        <v>16459</v>
      </c>
      <c r="D8615" s="396" t="s">
        <v>16436</v>
      </c>
      <c r="E8615" s="396" t="s">
        <v>16437</v>
      </c>
      <c r="F8615" s="396" t="s">
        <v>16289</v>
      </c>
    </row>
    <row r="8616">
      <c r="A8616" s="311">
        <v>8615</v>
      </c>
      <c r="B8616" s="396" t="s">
        <v>16460</v>
      </c>
      <c r="C8616" s="396" t="s">
        <v>13107</v>
      </c>
      <c r="D8616" s="396" t="s">
        <v>16436</v>
      </c>
      <c r="E8616" s="396" t="s">
        <v>16437</v>
      </c>
      <c r="F8616" s="396" t="s">
        <v>16289</v>
      </c>
    </row>
    <row r="8617">
      <c r="A8617" s="311">
        <v>8616</v>
      </c>
      <c r="B8617" s="396" t="s">
        <v>16461</v>
      </c>
      <c r="C8617" s="396" t="s">
        <v>16462</v>
      </c>
      <c r="D8617" s="396" t="s">
        <v>16436</v>
      </c>
      <c r="E8617" s="396" t="s">
        <v>16437</v>
      </c>
      <c r="F8617" s="396" t="s">
        <v>16289</v>
      </c>
    </row>
    <row r="8618">
      <c r="A8618" s="311">
        <v>8617</v>
      </c>
      <c r="B8618" s="396" t="s">
        <v>16463</v>
      </c>
      <c r="C8618" s="396" t="s">
        <v>1159</v>
      </c>
      <c r="D8618" s="396" t="s">
        <v>16436</v>
      </c>
      <c r="E8618" s="396" t="s">
        <v>16437</v>
      </c>
      <c r="F8618" s="396" t="s">
        <v>16289</v>
      </c>
    </row>
    <row r="8619">
      <c r="A8619" s="311">
        <v>8618</v>
      </c>
      <c r="B8619" s="396" t="s">
        <v>16464</v>
      </c>
      <c r="C8619" s="396" t="s">
        <v>13101</v>
      </c>
      <c r="D8619" s="396" t="s">
        <v>16436</v>
      </c>
      <c r="E8619" s="396" t="s">
        <v>16437</v>
      </c>
      <c r="F8619" s="396" t="s">
        <v>16289</v>
      </c>
    </row>
    <row r="8620">
      <c r="A8620" s="311">
        <v>8619</v>
      </c>
      <c r="B8620" s="396" t="s">
        <v>16465</v>
      </c>
      <c r="C8620" s="396" t="s">
        <v>16466</v>
      </c>
      <c r="D8620" s="396" t="s">
        <v>16436</v>
      </c>
      <c r="E8620" s="396" t="s">
        <v>16437</v>
      </c>
      <c r="F8620" s="396" t="s">
        <v>16289</v>
      </c>
    </row>
    <row r="8621">
      <c r="A8621" s="311">
        <v>8620</v>
      </c>
      <c r="B8621" s="396" t="s">
        <v>16467</v>
      </c>
      <c r="C8621" s="396" t="s">
        <v>16468</v>
      </c>
      <c r="D8621" s="396" t="s">
        <v>16436</v>
      </c>
      <c r="E8621" s="396" t="s">
        <v>16437</v>
      </c>
      <c r="F8621" s="396" t="s">
        <v>16289</v>
      </c>
    </row>
    <row r="8622">
      <c r="A8622" s="311">
        <v>8621</v>
      </c>
      <c r="B8622" s="396" t="s">
        <v>16469</v>
      </c>
      <c r="C8622" s="396" t="s">
        <v>16470</v>
      </c>
      <c r="D8622" s="396" t="s">
        <v>16471</v>
      </c>
      <c r="E8622" s="396" t="s">
        <v>1646</v>
      </c>
      <c r="F8622" s="396" t="s">
        <v>16289</v>
      </c>
    </row>
    <row r="8623">
      <c r="A8623" s="311">
        <v>8622</v>
      </c>
      <c r="B8623" s="396" t="s">
        <v>16472</v>
      </c>
      <c r="C8623" s="396" t="s">
        <v>16473</v>
      </c>
      <c r="D8623" s="396" t="s">
        <v>16471</v>
      </c>
      <c r="E8623" s="396" t="s">
        <v>1646</v>
      </c>
      <c r="F8623" s="396" t="s">
        <v>16289</v>
      </c>
    </row>
    <row r="8624">
      <c r="A8624" s="311">
        <v>8623</v>
      </c>
      <c r="B8624" s="396" t="s">
        <v>16474</v>
      </c>
      <c r="C8624" s="396" t="s">
        <v>16475</v>
      </c>
      <c r="D8624" s="396" t="s">
        <v>16471</v>
      </c>
      <c r="E8624" s="396" t="s">
        <v>1646</v>
      </c>
      <c r="F8624" s="396" t="s">
        <v>16289</v>
      </c>
    </row>
    <row r="8625">
      <c r="A8625" s="311">
        <v>8624</v>
      </c>
      <c r="B8625" s="396" t="s">
        <v>16476</v>
      </c>
      <c r="C8625" s="396" t="s">
        <v>16477</v>
      </c>
      <c r="D8625" s="396" t="s">
        <v>16471</v>
      </c>
      <c r="E8625" s="396" t="s">
        <v>1646</v>
      </c>
      <c r="F8625" s="396" t="s">
        <v>16289</v>
      </c>
    </row>
    <row r="8626">
      <c r="A8626" s="311">
        <v>8625</v>
      </c>
      <c r="B8626" s="396" t="s">
        <v>16478</v>
      </c>
      <c r="C8626" s="396" t="s">
        <v>16479</v>
      </c>
      <c r="D8626" s="396" t="s">
        <v>16471</v>
      </c>
      <c r="E8626" s="396" t="s">
        <v>1646</v>
      </c>
      <c r="F8626" s="396" t="s">
        <v>16289</v>
      </c>
    </row>
    <row r="8627">
      <c r="A8627" s="311">
        <v>8626</v>
      </c>
      <c r="B8627" s="396" t="s">
        <v>16480</v>
      </c>
      <c r="C8627" s="396" t="s">
        <v>16481</v>
      </c>
      <c r="D8627" s="396" t="s">
        <v>16471</v>
      </c>
      <c r="E8627" s="396" t="s">
        <v>1646</v>
      </c>
      <c r="F8627" s="396" t="s">
        <v>16289</v>
      </c>
    </row>
    <row r="8628">
      <c r="A8628" s="311">
        <v>8627</v>
      </c>
      <c r="B8628" s="396" t="s">
        <v>16482</v>
      </c>
      <c r="C8628" s="396" t="s">
        <v>16483</v>
      </c>
      <c r="D8628" s="396" t="s">
        <v>16471</v>
      </c>
      <c r="E8628" s="396" t="s">
        <v>1646</v>
      </c>
      <c r="F8628" s="396" t="s">
        <v>16289</v>
      </c>
    </row>
    <row r="8629">
      <c r="A8629" s="311">
        <v>8628</v>
      </c>
      <c r="B8629" s="396" t="s">
        <v>16484</v>
      </c>
      <c r="C8629" s="396" t="s">
        <v>16485</v>
      </c>
      <c r="D8629" s="396" t="s">
        <v>16471</v>
      </c>
      <c r="E8629" s="396" t="s">
        <v>1646</v>
      </c>
      <c r="F8629" s="396" t="s">
        <v>16289</v>
      </c>
    </row>
    <row r="8630">
      <c r="A8630" s="311">
        <v>8629</v>
      </c>
      <c r="B8630" s="396" t="s">
        <v>16486</v>
      </c>
      <c r="C8630" s="396" t="s">
        <v>10467</v>
      </c>
      <c r="D8630" s="396" t="s">
        <v>16471</v>
      </c>
      <c r="E8630" s="396" t="s">
        <v>1646</v>
      </c>
      <c r="F8630" s="396" t="s">
        <v>16289</v>
      </c>
    </row>
    <row r="8631">
      <c r="A8631" s="311">
        <v>8630</v>
      </c>
      <c r="B8631" s="396" t="s">
        <v>16487</v>
      </c>
      <c r="C8631" s="396" t="s">
        <v>16488</v>
      </c>
      <c r="D8631" s="396" t="s">
        <v>16471</v>
      </c>
      <c r="E8631" s="396" t="s">
        <v>1646</v>
      </c>
      <c r="F8631" s="396" t="s">
        <v>16289</v>
      </c>
    </row>
    <row r="8632">
      <c r="A8632" s="311">
        <v>8631</v>
      </c>
      <c r="B8632" s="396" t="s">
        <v>16489</v>
      </c>
      <c r="C8632" s="396" t="s">
        <v>9012</v>
      </c>
      <c r="D8632" s="396" t="s">
        <v>16471</v>
      </c>
      <c r="E8632" s="396" t="s">
        <v>1646</v>
      </c>
      <c r="F8632" s="396" t="s">
        <v>16289</v>
      </c>
    </row>
    <row r="8633">
      <c r="A8633" s="311">
        <v>8632</v>
      </c>
      <c r="B8633" s="396" t="s">
        <v>16490</v>
      </c>
      <c r="C8633" s="396" t="s">
        <v>16491</v>
      </c>
      <c r="D8633" s="396" t="s">
        <v>16471</v>
      </c>
      <c r="E8633" s="396" t="s">
        <v>1646</v>
      </c>
      <c r="F8633" s="396" t="s">
        <v>16289</v>
      </c>
    </row>
    <row r="8634">
      <c r="A8634" s="311">
        <v>8633</v>
      </c>
      <c r="B8634" s="396" t="s">
        <v>16492</v>
      </c>
      <c r="C8634" s="396" t="s">
        <v>16493</v>
      </c>
      <c r="D8634" s="396" t="s">
        <v>16471</v>
      </c>
      <c r="E8634" s="396" t="s">
        <v>1646</v>
      </c>
      <c r="F8634" s="396" t="s">
        <v>16289</v>
      </c>
    </row>
    <row r="8635">
      <c r="A8635" s="311">
        <v>8634</v>
      </c>
      <c r="B8635" s="396" t="s">
        <v>16494</v>
      </c>
      <c r="C8635" s="396" t="s">
        <v>16495</v>
      </c>
      <c r="D8635" s="396" t="s">
        <v>16471</v>
      </c>
      <c r="E8635" s="396" t="s">
        <v>1646</v>
      </c>
      <c r="F8635" s="396" t="s">
        <v>16289</v>
      </c>
    </row>
    <row r="8636">
      <c r="A8636" s="311">
        <v>8635</v>
      </c>
      <c r="B8636" s="396" t="s">
        <v>16496</v>
      </c>
      <c r="C8636" s="396" t="s">
        <v>16497</v>
      </c>
      <c r="D8636" s="396" t="s">
        <v>16498</v>
      </c>
      <c r="E8636" s="396" t="s">
        <v>16499</v>
      </c>
      <c r="F8636" s="396" t="s">
        <v>16289</v>
      </c>
    </row>
    <row r="8637">
      <c r="A8637" s="311">
        <v>8636</v>
      </c>
      <c r="B8637" s="396" t="s">
        <v>16500</v>
      </c>
      <c r="C8637" s="396" t="s">
        <v>16501</v>
      </c>
      <c r="D8637" s="396" t="s">
        <v>16498</v>
      </c>
      <c r="E8637" s="396" t="s">
        <v>16499</v>
      </c>
      <c r="F8637" s="396" t="s">
        <v>16289</v>
      </c>
    </row>
    <row r="8638">
      <c r="A8638" s="311">
        <v>8637</v>
      </c>
      <c r="B8638" s="396" t="s">
        <v>16502</v>
      </c>
      <c r="C8638" s="396" t="s">
        <v>16503</v>
      </c>
      <c r="D8638" s="396" t="s">
        <v>16498</v>
      </c>
      <c r="E8638" s="396" t="s">
        <v>16499</v>
      </c>
      <c r="F8638" s="396" t="s">
        <v>16289</v>
      </c>
    </row>
    <row r="8639">
      <c r="A8639" s="311">
        <v>8638</v>
      </c>
      <c r="B8639" s="396" t="s">
        <v>16504</v>
      </c>
      <c r="C8639" s="396" t="s">
        <v>10038</v>
      </c>
      <c r="D8639" s="396" t="s">
        <v>16498</v>
      </c>
      <c r="E8639" s="396" t="s">
        <v>16499</v>
      </c>
      <c r="F8639" s="396" t="s">
        <v>16289</v>
      </c>
    </row>
    <row r="8640">
      <c r="A8640" s="311">
        <v>8639</v>
      </c>
      <c r="B8640" s="396" t="s">
        <v>16505</v>
      </c>
      <c r="C8640" s="396" t="s">
        <v>16506</v>
      </c>
      <c r="D8640" s="396" t="s">
        <v>16498</v>
      </c>
      <c r="E8640" s="396" t="s">
        <v>16499</v>
      </c>
      <c r="F8640" s="396" t="s">
        <v>16289</v>
      </c>
    </row>
    <row r="8641">
      <c r="A8641" s="311">
        <v>8640</v>
      </c>
      <c r="B8641" s="396" t="s">
        <v>16507</v>
      </c>
      <c r="C8641" s="396" t="s">
        <v>16508</v>
      </c>
      <c r="D8641" s="396" t="s">
        <v>16498</v>
      </c>
      <c r="E8641" s="396" t="s">
        <v>16499</v>
      </c>
      <c r="F8641" s="396" t="s">
        <v>16289</v>
      </c>
    </row>
    <row r="8642">
      <c r="A8642" s="311">
        <v>8641</v>
      </c>
      <c r="B8642" s="396" t="s">
        <v>16509</v>
      </c>
      <c r="C8642" s="396" t="s">
        <v>16510</v>
      </c>
      <c r="D8642" s="396" t="s">
        <v>16498</v>
      </c>
      <c r="E8642" s="396" t="s">
        <v>16499</v>
      </c>
      <c r="F8642" s="396" t="s">
        <v>16289</v>
      </c>
    </row>
    <row r="8643">
      <c r="A8643" s="311">
        <v>8642</v>
      </c>
      <c r="B8643" s="396" t="s">
        <v>16511</v>
      </c>
      <c r="C8643" s="396" t="s">
        <v>16512</v>
      </c>
      <c r="D8643" s="396" t="s">
        <v>16498</v>
      </c>
      <c r="E8643" s="396" t="s">
        <v>16499</v>
      </c>
      <c r="F8643" s="396" t="s">
        <v>16289</v>
      </c>
    </row>
    <row r="8644">
      <c r="A8644" s="311">
        <v>8643</v>
      </c>
      <c r="B8644" s="396" t="s">
        <v>16513</v>
      </c>
      <c r="C8644" s="396" t="s">
        <v>4218</v>
      </c>
      <c r="D8644" s="396" t="s">
        <v>16498</v>
      </c>
      <c r="E8644" s="396" t="s">
        <v>16499</v>
      </c>
      <c r="F8644" s="396" t="s">
        <v>16289</v>
      </c>
    </row>
    <row r="8645">
      <c r="A8645" s="311">
        <v>8644</v>
      </c>
      <c r="B8645" s="396" t="s">
        <v>16514</v>
      </c>
      <c r="C8645" s="396" t="s">
        <v>13398</v>
      </c>
      <c r="D8645" s="396" t="s">
        <v>16498</v>
      </c>
      <c r="E8645" s="396" t="s">
        <v>16499</v>
      </c>
      <c r="F8645" s="396" t="s">
        <v>16289</v>
      </c>
    </row>
    <row r="8646">
      <c r="A8646" s="311">
        <v>8645</v>
      </c>
      <c r="B8646" s="396" t="s">
        <v>16515</v>
      </c>
      <c r="C8646" s="396" t="s">
        <v>16516</v>
      </c>
      <c r="D8646" s="396" t="s">
        <v>16517</v>
      </c>
      <c r="E8646" s="396" t="s">
        <v>16518</v>
      </c>
      <c r="F8646" s="396" t="s">
        <v>16289</v>
      </c>
    </row>
    <row r="8647">
      <c r="A8647" s="311">
        <v>8646</v>
      </c>
      <c r="B8647" s="396" t="s">
        <v>16519</v>
      </c>
      <c r="C8647" s="396" t="s">
        <v>16520</v>
      </c>
      <c r="D8647" s="396" t="s">
        <v>16517</v>
      </c>
      <c r="E8647" s="396" t="s">
        <v>16518</v>
      </c>
      <c r="F8647" s="396" t="s">
        <v>16289</v>
      </c>
    </row>
    <row r="8648">
      <c r="A8648" s="311">
        <v>8647</v>
      </c>
      <c r="B8648" s="396" t="s">
        <v>16521</v>
      </c>
      <c r="C8648" s="396" t="s">
        <v>16522</v>
      </c>
      <c r="D8648" s="396" t="s">
        <v>16517</v>
      </c>
      <c r="E8648" s="396" t="s">
        <v>16518</v>
      </c>
      <c r="F8648" s="396" t="s">
        <v>16289</v>
      </c>
    </row>
    <row r="8649">
      <c r="A8649" s="311">
        <v>8648</v>
      </c>
      <c r="B8649" s="396" t="s">
        <v>16523</v>
      </c>
      <c r="C8649" s="396" t="s">
        <v>7852</v>
      </c>
      <c r="D8649" s="396" t="s">
        <v>16517</v>
      </c>
      <c r="E8649" s="396" t="s">
        <v>16518</v>
      </c>
      <c r="F8649" s="396" t="s">
        <v>16289</v>
      </c>
    </row>
    <row r="8650">
      <c r="A8650" s="311">
        <v>8649</v>
      </c>
      <c r="B8650" s="396" t="s">
        <v>16524</v>
      </c>
      <c r="C8650" s="396" t="s">
        <v>16525</v>
      </c>
      <c r="D8650" s="396" t="s">
        <v>16517</v>
      </c>
      <c r="E8650" s="396" t="s">
        <v>16518</v>
      </c>
      <c r="F8650" s="396" t="s">
        <v>16289</v>
      </c>
    </row>
    <row r="8651">
      <c r="A8651" s="311">
        <v>8650</v>
      </c>
      <c r="B8651" s="396" t="s">
        <v>16526</v>
      </c>
      <c r="C8651" s="396" t="s">
        <v>16527</v>
      </c>
      <c r="D8651" s="396" t="s">
        <v>16517</v>
      </c>
      <c r="E8651" s="396" t="s">
        <v>16518</v>
      </c>
      <c r="F8651" s="396" t="s">
        <v>16289</v>
      </c>
    </row>
    <row r="8652">
      <c r="A8652" s="311">
        <v>8651</v>
      </c>
      <c r="B8652" s="396" t="s">
        <v>16528</v>
      </c>
      <c r="C8652" s="396" t="s">
        <v>6090</v>
      </c>
      <c r="D8652" s="396" t="s">
        <v>16517</v>
      </c>
      <c r="E8652" s="396" t="s">
        <v>16518</v>
      </c>
      <c r="F8652" s="396" t="s">
        <v>16289</v>
      </c>
    </row>
    <row r="8653">
      <c r="A8653" s="311">
        <v>8652</v>
      </c>
      <c r="B8653" s="396" t="s">
        <v>16529</v>
      </c>
      <c r="C8653" s="396" t="s">
        <v>16530</v>
      </c>
      <c r="D8653" s="396" t="s">
        <v>16517</v>
      </c>
      <c r="E8653" s="396" t="s">
        <v>16518</v>
      </c>
      <c r="F8653" s="396" t="s">
        <v>16289</v>
      </c>
    </row>
    <row r="8654">
      <c r="A8654" s="311">
        <v>8653</v>
      </c>
      <c r="B8654" s="396" t="s">
        <v>16531</v>
      </c>
      <c r="C8654" s="396" t="s">
        <v>10044</v>
      </c>
      <c r="D8654" s="396" t="s">
        <v>16517</v>
      </c>
      <c r="E8654" s="396" t="s">
        <v>16518</v>
      </c>
      <c r="F8654" s="396" t="s">
        <v>16289</v>
      </c>
    </row>
    <row r="8655">
      <c r="A8655" s="311">
        <v>8654</v>
      </c>
      <c r="B8655" s="396" t="s">
        <v>16532</v>
      </c>
      <c r="C8655" s="396" t="s">
        <v>16533</v>
      </c>
      <c r="D8655" s="396" t="s">
        <v>16517</v>
      </c>
      <c r="E8655" s="396" t="s">
        <v>16518</v>
      </c>
      <c r="F8655" s="396" t="s">
        <v>16289</v>
      </c>
    </row>
    <row r="8656">
      <c r="A8656" s="311">
        <v>8655</v>
      </c>
      <c r="B8656" s="396" t="s">
        <v>16534</v>
      </c>
      <c r="C8656" s="396" t="s">
        <v>16535</v>
      </c>
      <c r="D8656" s="396" t="s">
        <v>16517</v>
      </c>
      <c r="E8656" s="396" t="s">
        <v>16518</v>
      </c>
      <c r="F8656" s="396" t="s">
        <v>16289</v>
      </c>
    </row>
    <row r="8657">
      <c r="A8657" s="311">
        <v>8656</v>
      </c>
      <c r="B8657" s="396" t="s">
        <v>16536</v>
      </c>
      <c r="C8657" s="396" t="s">
        <v>16537</v>
      </c>
      <c r="D8657" s="396" t="s">
        <v>16538</v>
      </c>
      <c r="E8657" s="396" t="s">
        <v>16539</v>
      </c>
      <c r="F8657" s="396" t="s">
        <v>16289</v>
      </c>
    </row>
    <row r="8658">
      <c r="A8658" s="311">
        <v>8657</v>
      </c>
      <c r="B8658" s="396" t="s">
        <v>16540</v>
      </c>
      <c r="C8658" s="396" t="s">
        <v>16541</v>
      </c>
      <c r="D8658" s="396" t="s">
        <v>16538</v>
      </c>
      <c r="E8658" s="396" t="s">
        <v>16539</v>
      </c>
      <c r="F8658" s="396" t="s">
        <v>16289</v>
      </c>
    </row>
    <row r="8659">
      <c r="A8659" s="311">
        <v>8658</v>
      </c>
      <c r="B8659" s="396" t="s">
        <v>16542</v>
      </c>
      <c r="C8659" s="396" t="s">
        <v>16543</v>
      </c>
      <c r="D8659" s="396" t="s">
        <v>16538</v>
      </c>
      <c r="E8659" s="396" t="s">
        <v>16539</v>
      </c>
      <c r="F8659" s="396" t="s">
        <v>16289</v>
      </c>
    </row>
    <row r="8660">
      <c r="A8660" s="311">
        <v>8659</v>
      </c>
      <c r="B8660" s="396" t="s">
        <v>16544</v>
      </c>
      <c r="C8660" s="396" t="s">
        <v>16545</v>
      </c>
      <c r="D8660" s="396" t="s">
        <v>16538</v>
      </c>
      <c r="E8660" s="396" t="s">
        <v>16539</v>
      </c>
      <c r="F8660" s="396" t="s">
        <v>16289</v>
      </c>
    </row>
    <row r="8661">
      <c r="A8661" s="311">
        <v>8660</v>
      </c>
      <c r="B8661" s="396" t="s">
        <v>16546</v>
      </c>
      <c r="C8661" s="396" t="s">
        <v>16547</v>
      </c>
      <c r="D8661" s="396" t="s">
        <v>16538</v>
      </c>
      <c r="E8661" s="396" t="s">
        <v>16539</v>
      </c>
      <c r="F8661" s="396" t="s">
        <v>16289</v>
      </c>
    </row>
    <row r="8662">
      <c r="A8662" s="311">
        <v>8661</v>
      </c>
      <c r="B8662" s="396" t="s">
        <v>16548</v>
      </c>
      <c r="C8662" s="396" t="s">
        <v>16549</v>
      </c>
      <c r="D8662" s="396" t="s">
        <v>16538</v>
      </c>
      <c r="E8662" s="396" t="s">
        <v>16539</v>
      </c>
      <c r="F8662" s="396" t="s">
        <v>16289</v>
      </c>
    </row>
    <row r="8663">
      <c r="A8663" s="311">
        <v>8662</v>
      </c>
      <c r="B8663" s="396" t="s">
        <v>16550</v>
      </c>
      <c r="C8663" s="396" t="s">
        <v>16551</v>
      </c>
      <c r="D8663" s="396" t="s">
        <v>16538</v>
      </c>
      <c r="E8663" s="396" t="s">
        <v>16539</v>
      </c>
      <c r="F8663" s="396" t="s">
        <v>16289</v>
      </c>
    </row>
    <row r="8664">
      <c r="A8664" s="311">
        <v>8663</v>
      </c>
      <c r="B8664" s="396" t="s">
        <v>16552</v>
      </c>
      <c r="C8664" s="396" t="s">
        <v>16553</v>
      </c>
      <c r="D8664" s="396" t="s">
        <v>16538</v>
      </c>
      <c r="E8664" s="396" t="s">
        <v>16539</v>
      </c>
      <c r="F8664" s="396" t="s">
        <v>16289</v>
      </c>
    </row>
    <row r="8665">
      <c r="A8665" s="311">
        <v>8664</v>
      </c>
      <c r="B8665" s="396" t="s">
        <v>16554</v>
      </c>
      <c r="C8665" s="396" t="s">
        <v>16555</v>
      </c>
      <c r="D8665" s="396" t="s">
        <v>16538</v>
      </c>
      <c r="E8665" s="396" t="s">
        <v>16539</v>
      </c>
      <c r="F8665" s="396" t="s">
        <v>16289</v>
      </c>
    </row>
    <row r="8666">
      <c r="A8666" s="311">
        <v>8665</v>
      </c>
      <c r="B8666" s="396" t="s">
        <v>16556</v>
      </c>
      <c r="C8666" s="396" t="s">
        <v>16557</v>
      </c>
      <c r="D8666" s="396" t="s">
        <v>16538</v>
      </c>
      <c r="E8666" s="396" t="s">
        <v>16539</v>
      </c>
      <c r="F8666" s="396" t="s">
        <v>16289</v>
      </c>
    </row>
    <row r="8667">
      <c r="A8667" s="311">
        <v>8666</v>
      </c>
      <c r="B8667" s="396" t="s">
        <v>16558</v>
      </c>
      <c r="C8667" s="396" t="s">
        <v>16559</v>
      </c>
      <c r="D8667" s="396" t="s">
        <v>16538</v>
      </c>
      <c r="E8667" s="396" t="s">
        <v>16539</v>
      </c>
      <c r="F8667" s="396" t="s">
        <v>16289</v>
      </c>
    </row>
    <row r="8668">
      <c r="A8668" s="311">
        <v>8667</v>
      </c>
      <c r="B8668" s="396" t="s">
        <v>16560</v>
      </c>
      <c r="C8668" s="396" t="s">
        <v>16561</v>
      </c>
      <c r="D8668" s="396" t="s">
        <v>16562</v>
      </c>
      <c r="E8668" s="396" t="s">
        <v>16563</v>
      </c>
      <c r="F8668" s="396" t="s">
        <v>16564</v>
      </c>
    </row>
    <row r="8669">
      <c r="A8669" s="311">
        <v>8668</v>
      </c>
      <c r="B8669" s="396" t="s">
        <v>16565</v>
      </c>
      <c r="C8669" s="396" t="s">
        <v>16566</v>
      </c>
      <c r="D8669" s="396" t="s">
        <v>16562</v>
      </c>
      <c r="E8669" s="396" t="s">
        <v>16563</v>
      </c>
      <c r="F8669" s="396" t="s">
        <v>16564</v>
      </c>
    </row>
    <row r="8670">
      <c r="A8670" s="311">
        <v>8669</v>
      </c>
      <c r="B8670" s="396" t="s">
        <v>16567</v>
      </c>
      <c r="C8670" s="396" t="s">
        <v>16568</v>
      </c>
      <c r="D8670" s="396" t="s">
        <v>16562</v>
      </c>
      <c r="E8670" s="396" t="s">
        <v>16563</v>
      </c>
      <c r="F8670" s="396" t="s">
        <v>16564</v>
      </c>
    </row>
    <row r="8671">
      <c r="A8671" s="311">
        <v>8670</v>
      </c>
      <c r="B8671" s="396" t="s">
        <v>16569</v>
      </c>
      <c r="C8671" s="396" t="s">
        <v>16570</v>
      </c>
      <c r="D8671" s="396" t="s">
        <v>16562</v>
      </c>
      <c r="E8671" s="396" t="s">
        <v>16563</v>
      </c>
      <c r="F8671" s="396" t="s">
        <v>16564</v>
      </c>
    </row>
    <row r="8672">
      <c r="A8672" s="311">
        <v>8671</v>
      </c>
      <c r="B8672" s="396" t="s">
        <v>16571</v>
      </c>
      <c r="C8672" s="396" t="s">
        <v>16572</v>
      </c>
      <c r="D8672" s="396" t="s">
        <v>16562</v>
      </c>
      <c r="E8672" s="396" t="s">
        <v>16563</v>
      </c>
      <c r="F8672" s="396" t="s">
        <v>16564</v>
      </c>
    </row>
    <row r="8673">
      <c r="A8673" s="311">
        <v>8672</v>
      </c>
      <c r="B8673" s="396" t="s">
        <v>16573</v>
      </c>
      <c r="C8673" s="396" t="s">
        <v>16574</v>
      </c>
      <c r="D8673" s="396" t="s">
        <v>16562</v>
      </c>
      <c r="E8673" s="396" t="s">
        <v>16563</v>
      </c>
      <c r="F8673" s="396" t="s">
        <v>16564</v>
      </c>
    </row>
    <row r="8674">
      <c r="A8674" s="311">
        <v>8673</v>
      </c>
      <c r="B8674" s="396" t="s">
        <v>16575</v>
      </c>
      <c r="C8674" s="396" t="s">
        <v>16576</v>
      </c>
      <c r="D8674" s="396" t="s">
        <v>16562</v>
      </c>
      <c r="E8674" s="396" t="s">
        <v>16563</v>
      </c>
      <c r="F8674" s="396" t="s">
        <v>16564</v>
      </c>
    </row>
    <row r="8675">
      <c r="A8675" s="311">
        <v>8674</v>
      </c>
      <c r="B8675" s="396" t="s">
        <v>16577</v>
      </c>
      <c r="C8675" s="396" t="s">
        <v>16578</v>
      </c>
      <c r="D8675" s="396" t="s">
        <v>16579</v>
      </c>
      <c r="E8675" s="396" t="s">
        <v>16580</v>
      </c>
      <c r="F8675" s="396" t="s">
        <v>16564</v>
      </c>
    </row>
    <row r="8676">
      <c r="A8676" s="311">
        <v>8675</v>
      </c>
      <c r="B8676" s="396" t="s">
        <v>16581</v>
      </c>
      <c r="C8676" s="396" t="s">
        <v>16582</v>
      </c>
      <c r="D8676" s="396" t="s">
        <v>16579</v>
      </c>
      <c r="E8676" s="396" t="s">
        <v>16580</v>
      </c>
      <c r="F8676" s="396" t="s">
        <v>16564</v>
      </c>
    </row>
    <row r="8677">
      <c r="A8677" s="311">
        <v>8676</v>
      </c>
      <c r="B8677" s="396" t="s">
        <v>16583</v>
      </c>
      <c r="C8677" s="396" t="s">
        <v>7149</v>
      </c>
      <c r="D8677" s="396" t="s">
        <v>16579</v>
      </c>
      <c r="E8677" s="396" t="s">
        <v>16580</v>
      </c>
      <c r="F8677" s="396" t="s">
        <v>16564</v>
      </c>
    </row>
    <row r="8678">
      <c r="A8678" s="311">
        <v>8677</v>
      </c>
      <c r="B8678" s="396" t="s">
        <v>16584</v>
      </c>
      <c r="C8678" s="396" t="s">
        <v>16585</v>
      </c>
      <c r="D8678" s="396" t="s">
        <v>16579</v>
      </c>
      <c r="E8678" s="396" t="s">
        <v>16580</v>
      </c>
      <c r="F8678" s="396" t="s">
        <v>16564</v>
      </c>
    </row>
    <row r="8679">
      <c r="A8679" s="311">
        <v>8678</v>
      </c>
      <c r="B8679" s="396" t="s">
        <v>16586</v>
      </c>
      <c r="C8679" s="396" t="s">
        <v>14923</v>
      </c>
      <c r="D8679" s="396" t="s">
        <v>16579</v>
      </c>
      <c r="E8679" s="396" t="s">
        <v>16580</v>
      </c>
      <c r="F8679" s="396" t="s">
        <v>16564</v>
      </c>
    </row>
    <row r="8680">
      <c r="A8680" s="311">
        <v>8679</v>
      </c>
      <c r="B8680" s="396" t="s">
        <v>16587</v>
      </c>
      <c r="C8680" s="396" t="s">
        <v>1552</v>
      </c>
      <c r="D8680" s="396" t="s">
        <v>16579</v>
      </c>
      <c r="E8680" s="396" t="s">
        <v>16580</v>
      </c>
      <c r="F8680" s="396" t="s">
        <v>16564</v>
      </c>
    </row>
    <row r="8681">
      <c r="A8681" s="311">
        <v>8680</v>
      </c>
      <c r="B8681" s="396" t="s">
        <v>16588</v>
      </c>
      <c r="C8681" s="396" t="s">
        <v>11305</v>
      </c>
      <c r="D8681" s="396" t="s">
        <v>16579</v>
      </c>
      <c r="E8681" s="396" t="s">
        <v>16580</v>
      </c>
      <c r="F8681" s="396" t="s">
        <v>16564</v>
      </c>
    </row>
    <row r="8682">
      <c r="A8682" s="311">
        <v>8681</v>
      </c>
      <c r="B8682" s="396" t="s">
        <v>16589</v>
      </c>
      <c r="C8682" s="396" t="s">
        <v>16590</v>
      </c>
      <c r="D8682" s="396" t="s">
        <v>16579</v>
      </c>
      <c r="E8682" s="396" t="s">
        <v>16580</v>
      </c>
      <c r="F8682" s="396" t="s">
        <v>16564</v>
      </c>
    </row>
    <row r="8683">
      <c r="A8683" s="311">
        <v>8682</v>
      </c>
      <c r="B8683" s="396" t="s">
        <v>16591</v>
      </c>
      <c r="C8683" s="396" t="s">
        <v>16592</v>
      </c>
      <c r="D8683" s="396" t="s">
        <v>16593</v>
      </c>
      <c r="E8683" s="396" t="s">
        <v>16594</v>
      </c>
      <c r="F8683" s="396" t="s">
        <v>16564</v>
      </c>
    </row>
    <row r="8684">
      <c r="A8684" s="311">
        <v>8683</v>
      </c>
      <c r="B8684" s="396" t="s">
        <v>16595</v>
      </c>
      <c r="C8684" s="396" t="s">
        <v>16596</v>
      </c>
      <c r="D8684" s="396" t="s">
        <v>16593</v>
      </c>
      <c r="E8684" s="396" t="s">
        <v>16594</v>
      </c>
      <c r="F8684" s="396" t="s">
        <v>16564</v>
      </c>
    </row>
    <row r="8685">
      <c r="A8685" s="311">
        <v>8684</v>
      </c>
      <c r="B8685" s="396" t="s">
        <v>16597</v>
      </c>
      <c r="C8685" s="396" t="s">
        <v>592</v>
      </c>
      <c r="D8685" s="396" t="s">
        <v>16593</v>
      </c>
      <c r="E8685" s="396" t="s">
        <v>16594</v>
      </c>
      <c r="F8685" s="396" t="s">
        <v>16564</v>
      </c>
    </row>
    <row r="8686">
      <c r="A8686" s="311">
        <v>8685</v>
      </c>
      <c r="B8686" s="396" t="s">
        <v>16598</v>
      </c>
      <c r="C8686" s="396" t="s">
        <v>16599</v>
      </c>
      <c r="D8686" s="396" t="s">
        <v>16593</v>
      </c>
      <c r="E8686" s="396" t="s">
        <v>16594</v>
      </c>
      <c r="F8686" s="396" t="s">
        <v>16564</v>
      </c>
    </row>
    <row r="8687">
      <c r="A8687" s="311">
        <v>8686</v>
      </c>
      <c r="B8687" s="396" t="s">
        <v>16600</v>
      </c>
      <c r="C8687" s="396" t="s">
        <v>4098</v>
      </c>
      <c r="D8687" s="396" t="s">
        <v>16593</v>
      </c>
      <c r="E8687" s="396" t="s">
        <v>16594</v>
      </c>
      <c r="F8687" s="396" t="s">
        <v>16564</v>
      </c>
    </row>
    <row r="8688">
      <c r="A8688" s="311">
        <v>8687</v>
      </c>
      <c r="B8688" s="396" t="s">
        <v>16601</v>
      </c>
      <c r="C8688" s="396" t="s">
        <v>2836</v>
      </c>
      <c r="D8688" s="396" t="s">
        <v>16593</v>
      </c>
      <c r="E8688" s="396" t="s">
        <v>16594</v>
      </c>
      <c r="F8688" s="396" t="s">
        <v>16564</v>
      </c>
    </row>
    <row r="8689">
      <c r="A8689" s="311">
        <v>8688</v>
      </c>
      <c r="B8689" s="396" t="s">
        <v>16602</v>
      </c>
      <c r="C8689" s="396" t="s">
        <v>16603</v>
      </c>
      <c r="D8689" s="396" t="s">
        <v>16604</v>
      </c>
      <c r="E8689" s="396" t="s">
        <v>16605</v>
      </c>
      <c r="F8689" s="396" t="s">
        <v>16564</v>
      </c>
    </row>
    <row r="8690">
      <c r="A8690" s="311">
        <v>8689</v>
      </c>
      <c r="B8690" s="396" t="s">
        <v>16606</v>
      </c>
      <c r="C8690" s="396" t="s">
        <v>16607</v>
      </c>
      <c r="D8690" s="396" t="s">
        <v>16604</v>
      </c>
      <c r="E8690" s="396" t="s">
        <v>16605</v>
      </c>
      <c r="F8690" s="396" t="s">
        <v>16564</v>
      </c>
    </row>
    <row r="8691">
      <c r="A8691" s="311">
        <v>8690</v>
      </c>
      <c r="B8691" s="396" t="s">
        <v>16608</v>
      </c>
      <c r="C8691" s="396" t="s">
        <v>1648</v>
      </c>
      <c r="D8691" s="396" t="s">
        <v>16604</v>
      </c>
      <c r="E8691" s="396" t="s">
        <v>16605</v>
      </c>
      <c r="F8691" s="396" t="s">
        <v>16564</v>
      </c>
    </row>
    <row r="8692">
      <c r="A8692" s="311">
        <v>8691</v>
      </c>
      <c r="B8692" s="396" t="s">
        <v>16609</v>
      </c>
      <c r="C8692" s="396" t="s">
        <v>16610</v>
      </c>
      <c r="D8692" s="396" t="s">
        <v>16604</v>
      </c>
      <c r="E8692" s="396" t="s">
        <v>16605</v>
      </c>
      <c r="F8692" s="396" t="s">
        <v>16564</v>
      </c>
    </row>
    <row r="8693">
      <c r="A8693" s="311">
        <v>8692</v>
      </c>
      <c r="B8693" s="396" t="s">
        <v>16611</v>
      </c>
      <c r="C8693" s="396" t="s">
        <v>16612</v>
      </c>
      <c r="D8693" s="396" t="s">
        <v>16604</v>
      </c>
      <c r="E8693" s="396" t="s">
        <v>16605</v>
      </c>
      <c r="F8693" s="396" t="s">
        <v>16564</v>
      </c>
    </row>
    <row r="8694">
      <c r="A8694" s="311">
        <v>8693</v>
      </c>
      <c r="B8694" s="396" t="s">
        <v>16613</v>
      </c>
      <c r="C8694" s="396" t="s">
        <v>14874</v>
      </c>
      <c r="D8694" s="396" t="s">
        <v>16604</v>
      </c>
      <c r="E8694" s="396" t="s">
        <v>16605</v>
      </c>
      <c r="F8694" s="396" t="s">
        <v>16564</v>
      </c>
    </row>
    <row r="8695">
      <c r="A8695" s="311">
        <v>8694</v>
      </c>
      <c r="B8695" s="396" t="s">
        <v>16614</v>
      </c>
      <c r="C8695" s="396" t="s">
        <v>16615</v>
      </c>
      <c r="D8695" s="396" t="s">
        <v>16604</v>
      </c>
      <c r="E8695" s="396" t="s">
        <v>16605</v>
      </c>
      <c r="F8695" s="396" t="s">
        <v>16564</v>
      </c>
    </row>
    <row r="8696">
      <c r="A8696" s="311">
        <v>8695</v>
      </c>
      <c r="B8696" s="396" t="s">
        <v>16616</v>
      </c>
      <c r="C8696" s="396" t="s">
        <v>906</v>
      </c>
      <c r="D8696" s="396" t="s">
        <v>16604</v>
      </c>
      <c r="E8696" s="396" t="s">
        <v>16605</v>
      </c>
      <c r="F8696" s="396" t="s">
        <v>16564</v>
      </c>
    </row>
    <row r="8697">
      <c r="A8697" s="311">
        <v>8696</v>
      </c>
      <c r="B8697" s="396" t="s">
        <v>16617</v>
      </c>
      <c r="C8697" s="396" t="s">
        <v>16618</v>
      </c>
      <c r="D8697" s="396" t="s">
        <v>16619</v>
      </c>
      <c r="E8697" s="396" t="s">
        <v>16620</v>
      </c>
      <c r="F8697" s="396" t="s">
        <v>16564</v>
      </c>
    </row>
    <row r="8698">
      <c r="A8698" s="311">
        <v>8697</v>
      </c>
      <c r="B8698" s="396" t="s">
        <v>16621</v>
      </c>
      <c r="C8698" s="396" t="s">
        <v>9007</v>
      </c>
      <c r="D8698" s="396" t="s">
        <v>16619</v>
      </c>
      <c r="E8698" s="396" t="s">
        <v>16620</v>
      </c>
      <c r="F8698" s="396" t="s">
        <v>16564</v>
      </c>
    </row>
    <row r="8699">
      <c r="A8699" s="311">
        <v>8698</v>
      </c>
      <c r="B8699" s="396" t="s">
        <v>16622</v>
      </c>
      <c r="C8699" s="396" t="s">
        <v>9012</v>
      </c>
      <c r="D8699" s="396" t="s">
        <v>16619</v>
      </c>
      <c r="E8699" s="396" t="s">
        <v>16620</v>
      </c>
      <c r="F8699" s="396" t="s">
        <v>16564</v>
      </c>
    </row>
    <row r="8700">
      <c r="A8700" s="311">
        <v>8699</v>
      </c>
      <c r="B8700" s="396" t="s">
        <v>16623</v>
      </c>
      <c r="C8700" s="396" t="s">
        <v>16624</v>
      </c>
      <c r="D8700" s="396" t="s">
        <v>16619</v>
      </c>
      <c r="E8700" s="396" t="s">
        <v>16620</v>
      </c>
      <c r="F8700" s="396" t="s">
        <v>16564</v>
      </c>
    </row>
    <row r="8701">
      <c r="A8701" s="311">
        <v>8700</v>
      </c>
      <c r="B8701" s="396" t="s">
        <v>16625</v>
      </c>
      <c r="C8701" s="396" t="s">
        <v>16626</v>
      </c>
      <c r="D8701" s="396" t="s">
        <v>16619</v>
      </c>
      <c r="E8701" s="396" t="s">
        <v>16620</v>
      </c>
      <c r="F8701" s="396" t="s">
        <v>16564</v>
      </c>
    </row>
    <row r="8702">
      <c r="A8702" s="311">
        <v>8701</v>
      </c>
      <c r="B8702" s="396" t="s">
        <v>16627</v>
      </c>
      <c r="C8702" s="396" t="s">
        <v>16628</v>
      </c>
      <c r="D8702" s="396" t="s">
        <v>16619</v>
      </c>
      <c r="E8702" s="396" t="s">
        <v>16620</v>
      </c>
      <c r="F8702" s="396" t="s">
        <v>16564</v>
      </c>
    </row>
    <row r="8703">
      <c r="A8703" s="311">
        <v>8702</v>
      </c>
      <c r="B8703" s="396" t="s">
        <v>16629</v>
      </c>
      <c r="C8703" s="396" t="s">
        <v>16630</v>
      </c>
      <c r="D8703" s="396" t="s">
        <v>16619</v>
      </c>
      <c r="E8703" s="396" t="s">
        <v>16620</v>
      </c>
      <c r="F8703" s="396" t="s">
        <v>16564</v>
      </c>
    </row>
    <row r="8704">
      <c r="A8704" s="311">
        <v>8703</v>
      </c>
      <c r="B8704" s="396" t="s">
        <v>16631</v>
      </c>
      <c r="C8704" s="396" t="s">
        <v>16632</v>
      </c>
      <c r="D8704" s="396" t="s">
        <v>16619</v>
      </c>
      <c r="E8704" s="396" t="s">
        <v>16620</v>
      </c>
      <c r="F8704" s="396" t="s">
        <v>16564</v>
      </c>
    </row>
    <row r="8705">
      <c r="A8705" s="311">
        <v>8704</v>
      </c>
      <c r="B8705" s="396" t="s">
        <v>16633</v>
      </c>
      <c r="C8705" s="396" t="s">
        <v>16634</v>
      </c>
      <c r="D8705" s="396" t="s">
        <v>16619</v>
      </c>
      <c r="E8705" s="396" t="s">
        <v>16620</v>
      </c>
      <c r="F8705" s="396" t="s">
        <v>16564</v>
      </c>
    </row>
    <row r="8706">
      <c r="A8706" s="311">
        <v>8705</v>
      </c>
      <c r="B8706" s="396" t="s">
        <v>16635</v>
      </c>
      <c r="C8706" s="396" t="s">
        <v>16477</v>
      </c>
      <c r="D8706" s="396" t="s">
        <v>16619</v>
      </c>
      <c r="E8706" s="396" t="s">
        <v>16620</v>
      </c>
      <c r="F8706" s="396" t="s">
        <v>16564</v>
      </c>
    </row>
    <row r="8707">
      <c r="A8707" s="311">
        <v>8706</v>
      </c>
      <c r="B8707" s="396" t="s">
        <v>16636</v>
      </c>
      <c r="C8707" s="396" t="s">
        <v>16493</v>
      </c>
      <c r="D8707" s="396" t="s">
        <v>16619</v>
      </c>
      <c r="E8707" s="396" t="s">
        <v>16620</v>
      </c>
      <c r="F8707" s="396" t="s">
        <v>16564</v>
      </c>
    </row>
    <row r="8708">
      <c r="A8708" s="311">
        <v>8707</v>
      </c>
      <c r="B8708" s="396" t="s">
        <v>16637</v>
      </c>
      <c r="C8708" s="396" t="s">
        <v>16638</v>
      </c>
      <c r="D8708" s="396" t="s">
        <v>16619</v>
      </c>
      <c r="E8708" s="396" t="s">
        <v>16620</v>
      </c>
      <c r="F8708" s="396" t="s">
        <v>16564</v>
      </c>
    </row>
    <row r="8709">
      <c r="A8709" s="311">
        <v>8708</v>
      </c>
      <c r="B8709" s="396" t="s">
        <v>16639</v>
      </c>
      <c r="C8709" s="396" t="s">
        <v>12969</v>
      </c>
      <c r="D8709" s="396" t="s">
        <v>16619</v>
      </c>
      <c r="E8709" s="396" t="s">
        <v>16620</v>
      </c>
      <c r="F8709" s="396" t="s">
        <v>16564</v>
      </c>
    </row>
    <row r="8710">
      <c r="A8710" s="311">
        <v>8709</v>
      </c>
      <c r="B8710" s="396" t="s">
        <v>16640</v>
      </c>
      <c r="C8710" s="396" t="s">
        <v>16641</v>
      </c>
      <c r="D8710" s="396" t="s">
        <v>16619</v>
      </c>
      <c r="E8710" s="396" t="s">
        <v>16620</v>
      </c>
      <c r="F8710" s="396" t="s">
        <v>16564</v>
      </c>
    </row>
    <row r="8711">
      <c r="A8711" s="311">
        <v>8710</v>
      </c>
      <c r="B8711" s="396" t="s">
        <v>16642</v>
      </c>
      <c r="C8711" s="396" t="s">
        <v>9902</v>
      </c>
      <c r="D8711" s="396" t="s">
        <v>16619</v>
      </c>
      <c r="E8711" s="396" t="s">
        <v>16620</v>
      </c>
      <c r="F8711" s="396" t="s">
        <v>16564</v>
      </c>
    </row>
    <row r="8712">
      <c r="A8712" s="311">
        <v>8711</v>
      </c>
      <c r="B8712" s="396" t="s">
        <v>16643</v>
      </c>
      <c r="C8712" s="396" t="s">
        <v>16644</v>
      </c>
      <c r="D8712" s="396" t="s">
        <v>16619</v>
      </c>
      <c r="E8712" s="396" t="s">
        <v>16620</v>
      </c>
      <c r="F8712" s="396" t="s">
        <v>16564</v>
      </c>
    </row>
    <row r="8713">
      <c r="A8713" s="311">
        <v>8712</v>
      </c>
      <c r="B8713" s="396" t="s">
        <v>16645</v>
      </c>
      <c r="C8713" s="396" t="s">
        <v>16646</v>
      </c>
      <c r="D8713" s="396" t="s">
        <v>16647</v>
      </c>
      <c r="E8713" s="396" t="s">
        <v>16648</v>
      </c>
      <c r="F8713" s="396" t="s">
        <v>16564</v>
      </c>
    </row>
    <row r="8714">
      <c r="A8714" s="311">
        <v>8713</v>
      </c>
      <c r="B8714" s="396" t="s">
        <v>16649</v>
      </c>
      <c r="C8714" s="396" t="s">
        <v>16650</v>
      </c>
      <c r="D8714" s="396" t="s">
        <v>16647</v>
      </c>
      <c r="E8714" s="396" t="s">
        <v>16648</v>
      </c>
      <c r="F8714" s="396" t="s">
        <v>16564</v>
      </c>
    </row>
    <row r="8715">
      <c r="A8715" s="311">
        <v>8714</v>
      </c>
      <c r="B8715" s="396" t="s">
        <v>16651</v>
      </c>
      <c r="C8715" s="396" t="s">
        <v>16652</v>
      </c>
      <c r="D8715" s="396" t="s">
        <v>16647</v>
      </c>
      <c r="E8715" s="396" t="s">
        <v>16648</v>
      </c>
      <c r="F8715" s="396" t="s">
        <v>16564</v>
      </c>
    </row>
    <row r="8716">
      <c r="A8716" s="311">
        <v>8715</v>
      </c>
      <c r="B8716" s="396" t="s">
        <v>16653</v>
      </c>
      <c r="C8716" s="396" t="s">
        <v>16654</v>
      </c>
      <c r="D8716" s="396" t="s">
        <v>16647</v>
      </c>
      <c r="E8716" s="396" t="s">
        <v>16648</v>
      </c>
      <c r="F8716" s="396" t="s">
        <v>16564</v>
      </c>
    </row>
    <row r="8717">
      <c r="A8717" s="311">
        <v>8716</v>
      </c>
      <c r="B8717" s="396" t="s">
        <v>16655</v>
      </c>
      <c r="C8717" s="396" t="s">
        <v>10570</v>
      </c>
      <c r="D8717" s="396" t="s">
        <v>16647</v>
      </c>
      <c r="E8717" s="396" t="s">
        <v>16648</v>
      </c>
      <c r="F8717" s="396" t="s">
        <v>16564</v>
      </c>
    </row>
    <row r="8718">
      <c r="A8718" s="311">
        <v>8717</v>
      </c>
      <c r="B8718" s="396" t="s">
        <v>16656</v>
      </c>
      <c r="C8718" s="396" t="s">
        <v>1552</v>
      </c>
      <c r="D8718" s="396" t="s">
        <v>16647</v>
      </c>
      <c r="E8718" s="396" t="s">
        <v>16648</v>
      </c>
      <c r="F8718" s="396" t="s">
        <v>16564</v>
      </c>
    </row>
    <row r="8719">
      <c r="A8719" s="311">
        <v>8718</v>
      </c>
      <c r="B8719" s="396" t="s">
        <v>16657</v>
      </c>
      <c r="C8719" s="396" t="s">
        <v>926</v>
      </c>
      <c r="D8719" s="396" t="s">
        <v>16647</v>
      </c>
      <c r="E8719" s="396" t="s">
        <v>16648</v>
      </c>
      <c r="F8719" s="396" t="s">
        <v>16564</v>
      </c>
    </row>
    <row r="8720">
      <c r="A8720" s="311">
        <v>8719</v>
      </c>
      <c r="B8720" s="396" t="s">
        <v>16658</v>
      </c>
      <c r="C8720" s="396" t="s">
        <v>3059</v>
      </c>
      <c r="D8720" s="396" t="s">
        <v>16659</v>
      </c>
      <c r="E8720" s="396" t="s">
        <v>16660</v>
      </c>
      <c r="F8720" s="396" t="s">
        <v>16564</v>
      </c>
    </row>
    <row r="8721">
      <c r="A8721" s="311">
        <v>8720</v>
      </c>
      <c r="B8721" s="396" t="s">
        <v>16661</v>
      </c>
      <c r="C8721" s="396" t="s">
        <v>16662</v>
      </c>
      <c r="D8721" s="396" t="s">
        <v>16659</v>
      </c>
      <c r="E8721" s="396" t="s">
        <v>16660</v>
      </c>
      <c r="F8721" s="396" t="s">
        <v>16564</v>
      </c>
    </row>
    <row r="8722">
      <c r="A8722" s="311">
        <v>8721</v>
      </c>
      <c r="B8722" s="396" t="s">
        <v>16663</v>
      </c>
      <c r="C8722" s="396" t="s">
        <v>1220</v>
      </c>
      <c r="D8722" s="396" t="s">
        <v>16659</v>
      </c>
      <c r="E8722" s="396" t="s">
        <v>16660</v>
      </c>
      <c r="F8722" s="396" t="s">
        <v>16564</v>
      </c>
    </row>
    <row r="8723">
      <c r="A8723" s="311">
        <v>8722</v>
      </c>
      <c r="B8723" s="396" t="s">
        <v>16664</v>
      </c>
      <c r="C8723" s="396" t="s">
        <v>4747</v>
      </c>
      <c r="D8723" s="396" t="s">
        <v>16659</v>
      </c>
      <c r="E8723" s="396" t="s">
        <v>16660</v>
      </c>
      <c r="F8723" s="396" t="s">
        <v>16564</v>
      </c>
    </row>
    <row r="8724">
      <c r="A8724" s="311">
        <v>8723</v>
      </c>
      <c r="B8724" s="396" t="s">
        <v>16665</v>
      </c>
      <c r="C8724" s="396" t="s">
        <v>296</v>
      </c>
      <c r="D8724" s="396" t="s">
        <v>16659</v>
      </c>
      <c r="E8724" s="396" t="s">
        <v>16660</v>
      </c>
      <c r="F8724" s="396" t="s">
        <v>16564</v>
      </c>
    </row>
    <row r="8725">
      <c r="A8725" s="311">
        <v>8724</v>
      </c>
      <c r="B8725" s="396" t="s">
        <v>16666</v>
      </c>
      <c r="C8725" s="396" t="s">
        <v>1149</v>
      </c>
      <c r="D8725" s="396" t="s">
        <v>16659</v>
      </c>
      <c r="E8725" s="396" t="s">
        <v>16660</v>
      </c>
      <c r="F8725" s="396" t="s">
        <v>16564</v>
      </c>
    </row>
    <row r="8726">
      <c r="A8726" s="311">
        <v>8725</v>
      </c>
      <c r="B8726" s="396" t="s">
        <v>16667</v>
      </c>
      <c r="C8726" s="396" t="s">
        <v>1973</v>
      </c>
      <c r="D8726" s="396" t="s">
        <v>16659</v>
      </c>
      <c r="E8726" s="396" t="s">
        <v>16660</v>
      </c>
      <c r="F8726" s="396" t="s">
        <v>16564</v>
      </c>
    </row>
    <row r="8727">
      <c r="A8727" s="311">
        <v>8726</v>
      </c>
      <c r="B8727" s="396" t="s">
        <v>16668</v>
      </c>
      <c r="C8727" s="396" t="s">
        <v>14247</v>
      </c>
      <c r="D8727" s="396" t="s">
        <v>16659</v>
      </c>
      <c r="E8727" s="396" t="s">
        <v>16660</v>
      </c>
      <c r="F8727" s="396" t="s">
        <v>16564</v>
      </c>
    </row>
    <row r="8728">
      <c r="A8728" s="311">
        <v>8727</v>
      </c>
      <c r="B8728" s="396" t="s">
        <v>16669</v>
      </c>
      <c r="C8728" s="396" t="s">
        <v>914</v>
      </c>
      <c r="D8728" s="396" t="s">
        <v>16659</v>
      </c>
      <c r="E8728" s="396" t="s">
        <v>16660</v>
      </c>
      <c r="F8728" s="396" t="s">
        <v>16564</v>
      </c>
    </row>
    <row r="8729">
      <c r="A8729" s="311">
        <v>8728</v>
      </c>
      <c r="B8729" s="396" t="s">
        <v>16670</v>
      </c>
      <c r="C8729" s="396" t="s">
        <v>16671</v>
      </c>
      <c r="D8729" s="396" t="s">
        <v>16659</v>
      </c>
      <c r="E8729" s="396" t="s">
        <v>16660</v>
      </c>
      <c r="F8729" s="396" t="s">
        <v>16564</v>
      </c>
    </row>
    <row r="8730">
      <c r="A8730" s="311">
        <v>8729</v>
      </c>
      <c r="B8730" s="396" t="s">
        <v>16672</v>
      </c>
      <c r="C8730" s="396" t="s">
        <v>16673</v>
      </c>
      <c r="D8730" s="396" t="s">
        <v>16659</v>
      </c>
      <c r="E8730" s="396" t="s">
        <v>16660</v>
      </c>
      <c r="F8730" s="396" t="s">
        <v>16564</v>
      </c>
    </row>
    <row r="8731">
      <c r="A8731" s="311">
        <v>8730</v>
      </c>
      <c r="B8731" s="396" t="s">
        <v>16674</v>
      </c>
      <c r="C8731" s="396" t="s">
        <v>5732</v>
      </c>
      <c r="D8731" s="396" t="s">
        <v>16659</v>
      </c>
      <c r="E8731" s="396" t="s">
        <v>16660</v>
      </c>
      <c r="F8731" s="396" t="s">
        <v>16564</v>
      </c>
    </row>
    <row r="8732">
      <c r="A8732" s="311">
        <v>8731</v>
      </c>
      <c r="B8732" s="396" t="s">
        <v>16675</v>
      </c>
      <c r="C8732" s="396" t="s">
        <v>16676</v>
      </c>
      <c r="D8732" s="396" t="s">
        <v>16659</v>
      </c>
      <c r="E8732" s="396" t="s">
        <v>16660</v>
      </c>
      <c r="F8732" s="396" t="s">
        <v>16564</v>
      </c>
    </row>
    <row r="8733">
      <c r="A8733" s="311">
        <v>8732</v>
      </c>
      <c r="B8733" s="396" t="s">
        <v>16677</v>
      </c>
      <c r="C8733" s="396" t="s">
        <v>16678</v>
      </c>
      <c r="D8733" s="396" t="s">
        <v>16679</v>
      </c>
      <c r="E8733" s="396" t="s">
        <v>16680</v>
      </c>
      <c r="F8733" s="396" t="s">
        <v>16564</v>
      </c>
    </row>
    <row r="8734">
      <c r="A8734" s="311">
        <v>8733</v>
      </c>
      <c r="B8734" s="396" t="s">
        <v>16681</v>
      </c>
      <c r="C8734" s="396" t="s">
        <v>16682</v>
      </c>
      <c r="D8734" s="396" t="s">
        <v>16679</v>
      </c>
      <c r="E8734" s="396" t="s">
        <v>16680</v>
      </c>
      <c r="F8734" s="396" t="s">
        <v>16564</v>
      </c>
    </row>
    <row r="8735">
      <c r="A8735" s="311">
        <v>8734</v>
      </c>
      <c r="B8735" s="396" t="s">
        <v>16683</v>
      </c>
      <c r="C8735" s="396" t="s">
        <v>1181</v>
      </c>
      <c r="D8735" s="396" t="s">
        <v>16679</v>
      </c>
      <c r="E8735" s="396" t="s">
        <v>16680</v>
      </c>
      <c r="F8735" s="396" t="s">
        <v>16564</v>
      </c>
    </row>
    <row r="8736">
      <c r="A8736" s="311">
        <v>8735</v>
      </c>
      <c r="B8736" s="396" t="s">
        <v>16684</v>
      </c>
      <c r="C8736" s="396" t="s">
        <v>14931</v>
      </c>
      <c r="D8736" s="396" t="s">
        <v>16679</v>
      </c>
      <c r="E8736" s="396" t="s">
        <v>16680</v>
      </c>
      <c r="F8736" s="396" t="s">
        <v>16564</v>
      </c>
    </row>
    <row r="8737">
      <c r="A8737" s="311">
        <v>8736</v>
      </c>
      <c r="B8737" s="396" t="s">
        <v>16685</v>
      </c>
      <c r="C8737" s="396" t="s">
        <v>296</v>
      </c>
      <c r="D8737" s="396" t="s">
        <v>16679</v>
      </c>
      <c r="E8737" s="396" t="s">
        <v>16680</v>
      </c>
      <c r="F8737" s="396" t="s">
        <v>16564</v>
      </c>
    </row>
    <row r="8738">
      <c r="A8738" s="311">
        <v>8737</v>
      </c>
      <c r="B8738" s="396" t="s">
        <v>16686</v>
      </c>
      <c r="C8738" s="396" t="s">
        <v>4747</v>
      </c>
      <c r="D8738" s="396" t="s">
        <v>16679</v>
      </c>
      <c r="E8738" s="396" t="s">
        <v>16680</v>
      </c>
      <c r="F8738" s="396" t="s">
        <v>16564</v>
      </c>
    </row>
    <row r="8739">
      <c r="A8739" s="311">
        <v>8738</v>
      </c>
      <c r="B8739" s="396" t="s">
        <v>16687</v>
      </c>
      <c r="C8739" s="396" t="s">
        <v>752</v>
      </c>
      <c r="D8739" s="396" t="s">
        <v>16679</v>
      </c>
      <c r="E8739" s="396" t="s">
        <v>16680</v>
      </c>
      <c r="F8739" s="396" t="s">
        <v>16564</v>
      </c>
    </row>
    <row r="8740">
      <c r="A8740" s="311">
        <v>8739</v>
      </c>
      <c r="B8740" s="396" t="s">
        <v>16688</v>
      </c>
      <c r="C8740" s="396" t="s">
        <v>838</v>
      </c>
      <c r="D8740" s="396" t="s">
        <v>16679</v>
      </c>
      <c r="E8740" s="396" t="s">
        <v>16680</v>
      </c>
      <c r="F8740" s="396" t="s">
        <v>16564</v>
      </c>
    </row>
    <row r="8741">
      <c r="A8741" s="311">
        <v>8740</v>
      </c>
      <c r="B8741" s="396" t="s">
        <v>16689</v>
      </c>
      <c r="C8741" s="396" t="s">
        <v>16690</v>
      </c>
      <c r="D8741" s="396" t="s">
        <v>16679</v>
      </c>
      <c r="E8741" s="396" t="s">
        <v>16680</v>
      </c>
      <c r="F8741" s="396" t="s">
        <v>16564</v>
      </c>
    </row>
    <row r="8742">
      <c r="A8742" s="311">
        <v>8741</v>
      </c>
      <c r="B8742" s="396" t="s">
        <v>16691</v>
      </c>
      <c r="C8742" s="396" t="s">
        <v>1137</v>
      </c>
      <c r="D8742" s="396" t="s">
        <v>16679</v>
      </c>
      <c r="E8742" s="396" t="s">
        <v>16680</v>
      </c>
      <c r="F8742" s="396" t="s">
        <v>16564</v>
      </c>
    </row>
    <row r="8743">
      <c r="A8743" s="311">
        <v>8742</v>
      </c>
      <c r="B8743" s="396" t="s">
        <v>16692</v>
      </c>
      <c r="C8743" s="396" t="s">
        <v>926</v>
      </c>
      <c r="D8743" s="396" t="s">
        <v>16679</v>
      </c>
      <c r="E8743" s="396" t="s">
        <v>16680</v>
      </c>
      <c r="F8743" s="396" t="s">
        <v>16564</v>
      </c>
    </row>
    <row r="8744">
      <c r="A8744" s="311">
        <v>8743</v>
      </c>
      <c r="B8744" s="396" t="s">
        <v>16693</v>
      </c>
      <c r="C8744" s="396" t="s">
        <v>16694</v>
      </c>
      <c r="D8744" s="396" t="s">
        <v>16695</v>
      </c>
      <c r="E8744" s="396" t="s">
        <v>16696</v>
      </c>
      <c r="F8744" s="396" t="s">
        <v>16564</v>
      </c>
    </row>
    <row r="8745">
      <c r="A8745" s="311">
        <v>8744</v>
      </c>
      <c r="B8745" s="396" t="s">
        <v>16697</v>
      </c>
      <c r="C8745" s="396" t="s">
        <v>16698</v>
      </c>
      <c r="D8745" s="396" t="s">
        <v>16695</v>
      </c>
      <c r="E8745" s="396" t="s">
        <v>16696</v>
      </c>
      <c r="F8745" s="396" t="s">
        <v>16564</v>
      </c>
    </row>
    <row r="8746">
      <c r="A8746" s="311">
        <v>8745</v>
      </c>
      <c r="B8746" s="396" t="s">
        <v>16699</v>
      </c>
      <c r="C8746" s="396" t="s">
        <v>16700</v>
      </c>
      <c r="D8746" s="396" t="s">
        <v>16695</v>
      </c>
      <c r="E8746" s="396" t="s">
        <v>16696</v>
      </c>
      <c r="F8746" s="396" t="s">
        <v>16564</v>
      </c>
    </row>
    <row r="8747">
      <c r="A8747" s="311">
        <v>8746</v>
      </c>
      <c r="B8747" s="396" t="s">
        <v>16701</v>
      </c>
      <c r="C8747" s="396" t="s">
        <v>643</v>
      </c>
      <c r="D8747" s="396" t="s">
        <v>16695</v>
      </c>
      <c r="E8747" s="396" t="s">
        <v>16696</v>
      </c>
      <c r="F8747" s="396" t="s">
        <v>16564</v>
      </c>
    </row>
    <row r="8748">
      <c r="A8748" s="311">
        <v>8747</v>
      </c>
      <c r="B8748" s="396" t="s">
        <v>16702</v>
      </c>
      <c r="C8748" s="396" t="s">
        <v>10235</v>
      </c>
      <c r="D8748" s="396" t="s">
        <v>16695</v>
      </c>
      <c r="E8748" s="396" t="s">
        <v>16696</v>
      </c>
      <c r="F8748" s="396" t="s">
        <v>16564</v>
      </c>
    </row>
    <row r="8749">
      <c r="A8749" s="311">
        <v>8748</v>
      </c>
      <c r="B8749" s="396" t="s">
        <v>16703</v>
      </c>
      <c r="C8749" s="396" t="s">
        <v>970</v>
      </c>
      <c r="D8749" s="396" t="s">
        <v>16695</v>
      </c>
      <c r="E8749" s="396" t="s">
        <v>16696</v>
      </c>
      <c r="F8749" s="396" t="s">
        <v>16564</v>
      </c>
    </row>
    <row r="8750">
      <c r="A8750" s="311">
        <v>8749</v>
      </c>
      <c r="B8750" s="396" t="s">
        <v>16704</v>
      </c>
      <c r="C8750" s="396" t="s">
        <v>16705</v>
      </c>
      <c r="D8750" s="396" t="s">
        <v>16695</v>
      </c>
      <c r="E8750" s="396" t="s">
        <v>16696</v>
      </c>
      <c r="F8750" s="396" t="s">
        <v>16564</v>
      </c>
    </row>
    <row r="8751">
      <c r="A8751" s="311">
        <v>8750</v>
      </c>
      <c r="B8751" s="396" t="s">
        <v>16706</v>
      </c>
      <c r="C8751" s="396" t="s">
        <v>8695</v>
      </c>
      <c r="D8751" s="396" t="s">
        <v>16695</v>
      </c>
      <c r="E8751" s="396" t="s">
        <v>16696</v>
      </c>
      <c r="F8751" s="396" t="s">
        <v>16564</v>
      </c>
    </row>
    <row r="8752">
      <c r="A8752" s="311">
        <v>8751</v>
      </c>
      <c r="B8752" s="396" t="s">
        <v>16707</v>
      </c>
      <c r="C8752" s="396" t="s">
        <v>4218</v>
      </c>
      <c r="D8752" s="396" t="s">
        <v>16695</v>
      </c>
      <c r="E8752" s="396" t="s">
        <v>16696</v>
      </c>
      <c r="F8752" s="396" t="s">
        <v>16564</v>
      </c>
    </row>
    <row r="8753">
      <c r="A8753" s="311">
        <v>8752</v>
      </c>
      <c r="B8753" s="396" t="s">
        <v>16708</v>
      </c>
      <c r="C8753" s="396" t="s">
        <v>16709</v>
      </c>
      <c r="D8753" s="396" t="s">
        <v>16695</v>
      </c>
      <c r="E8753" s="396" t="s">
        <v>16696</v>
      </c>
      <c r="F8753" s="396" t="s">
        <v>16564</v>
      </c>
    </row>
    <row r="8754">
      <c r="A8754" s="311">
        <v>8753</v>
      </c>
      <c r="B8754" s="396" t="s">
        <v>16710</v>
      </c>
      <c r="C8754" s="396" t="s">
        <v>16711</v>
      </c>
      <c r="D8754" s="396" t="s">
        <v>16695</v>
      </c>
      <c r="E8754" s="396" t="s">
        <v>16696</v>
      </c>
      <c r="F8754" s="396" t="s">
        <v>16564</v>
      </c>
    </row>
    <row r="8755">
      <c r="A8755" s="311">
        <v>8754</v>
      </c>
      <c r="B8755" s="396" t="s">
        <v>16712</v>
      </c>
      <c r="C8755" s="396" t="s">
        <v>1048</v>
      </c>
      <c r="D8755" s="396" t="s">
        <v>16695</v>
      </c>
      <c r="E8755" s="396" t="s">
        <v>16696</v>
      </c>
      <c r="F8755" s="396" t="s">
        <v>16564</v>
      </c>
    </row>
    <row r="8756">
      <c r="A8756" s="311">
        <v>8755</v>
      </c>
      <c r="B8756" s="396" t="s">
        <v>16713</v>
      </c>
      <c r="C8756" s="396" t="s">
        <v>6028</v>
      </c>
      <c r="D8756" s="396" t="s">
        <v>16695</v>
      </c>
      <c r="E8756" s="396" t="s">
        <v>16696</v>
      </c>
      <c r="F8756" s="396" t="s">
        <v>16564</v>
      </c>
    </row>
    <row r="8757">
      <c r="A8757" s="311">
        <v>8756</v>
      </c>
      <c r="B8757" s="396" t="s">
        <v>16714</v>
      </c>
      <c r="C8757" s="396" t="s">
        <v>9140</v>
      </c>
      <c r="D8757" s="396" t="s">
        <v>16695</v>
      </c>
      <c r="E8757" s="396" t="s">
        <v>16696</v>
      </c>
      <c r="F8757" s="396" t="s">
        <v>16564</v>
      </c>
    </row>
    <row r="8758">
      <c r="A8758" s="311">
        <v>8757</v>
      </c>
      <c r="B8758" s="396" t="s">
        <v>16715</v>
      </c>
      <c r="C8758" s="396" t="s">
        <v>16716</v>
      </c>
      <c r="D8758" s="396" t="s">
        <v>16695</v>
      </c>
      <c r="E8758" s="396" t="s">
        <v>16696</v>
      </c>
      <c r="F8758" s="396" t="s">
        <v>16564</v>
      </c>
    </row>
    <row r="8759">
      <c r="A8759" s="311">
        <v>8758</v>
      </c>
      <c r="B8759" s="396" t="s">
        <v>16717</v>
      </c>
      <c r="C8759" s="396" t="s">
        <v>14239</v>
      </c>
      <c r="D8759" s="396" t="s">
        <v>16695</v>
      </c>
      <c r="E8759" s="396" t="s">
        <v>16696</v>
      </c>
      <c r="F8759" s="396" t="s">
        <v>16564</v>
      </c>
    </row>
    <row r="8760">
      <c r="A8760" s="311">
        <v>8759</v>
      </c>
      <c r="B8760" s="396" t="s">
        <v>16718</v>
      </c>
      <c r="C8760" s="396" t="s">
        <v>16719</v>
      </c>
      <c r="D8760" s="396" t="s">
        <v>16720</v>
      </c>
      <c r="E8760" s="396" t="s">
        <v>16721</v>
      </c>
      <c r="F8760" s="396" t="s">
        <v>16564</v>
      </c>
    </row>
    <row r="8761">
      <c r="A8761" s="311">
        <v>8760</v>
      </c>
      <c r="B8761" s="396" t="s">
        <v>16722</v>
      </c>
      <c r="C8761" s="396" t="s">
        <v>9996</v>
      </c>
      <c r="D8761" s="396" t="s">
        <v>16720</v>
      </c>
      <c r="E8761" s="396" t="s">
        <v>16721</v>
      </c>
      <c r="F8761" s="396" t="s">
        <v>16564</v>
      </c>
    </row>
    <row r="8762">
      <c r="A8762" s="311">
        <v>8761</v>
      </c>
      <c r="B8762" s="396" t="s">
        <v>16723</v>
      </c>
      <c r="C8762" s="396" t="s">
        <v>4734</v>
      </c>
      <c r="D8762" s="396" t="s">
        <v>16720</v>
      </c>
      <c r="E8762" s="396" t="s">
        <v>16721</v>
      </c>
      <c r="F8762" s="396" t="s">
        <v>16564</v>
      </c>
    </row>
    <row r="8763">
      <c r="A8763" s="311">
        <v>8762</v>
      </c>
      <c r="B8763" s="396" t="s">
        <v>16724</v>
      </c>
      <c r="C8763" s="396" t="s">
        <v>1568</v>
      </c>
      <c r="D8763" s="396" t="s">
        <v>16720</v>
      </c>
      <c r="E8763" s="396" t="s">
        <v>16721</v>
      </c>
      <c r="F8763" s="396" t="s">
        <v>16564</v>
      </c>
    </row>
    <row r="8764">
      <c r="A8764" s="311">
        <v>8763</v>
      </c>
      <c r="B8764" s="396" t="s">
        <v>16725</v>
      </c>
      <c r="C8764" s="396" t="s">
        <v>8695</v>
      </c>
      <c r="D8764" s="396" t="s">
        <v>16720</v>
      </c>
      <c r="E8764" s="396" t="s">
        <v>16721</v>
      </c>
      <c r="F8764" s="396" t="s">
        <v>16564</v>
      </c>
    </row>
    <row r="8765">
      <c r="A8765" s="311">
        <v>8764</v>
      </c>
      <c r="B8765" s="396" t="s">
        <v>16726</v>
      </c>
      <c r="C8765" s="396" t="s">
        <v>1834</v>
      </c>
      <c r="D8765" s="396" t="s">
        <v>16720</v>
      </c>
      <c r="E8765" s="396" t="s">
        <v>16721</v>
      </c>
      <c r="F8765" s="396" t="s">
        <v>16564</v>
      </c>
    </row>
    <row r="8766">
      <c r="A8766" s="311">
        <v>8765</v>
      </c>
      <c r="B8766" s="396" t="s">
        <v>16727</v>
      </c>
      <c r="C8766" s="396" t="s">
        <v>11348</v>
      </c>
      <c r="D8766" s="396" t="s">
        <v>16720</v>
      </c>
      <c r="E8766" s="396" t="s">
        <v>16721</v>
      </c>
      <c r="F8766" s="396" t="s">
        <v>16564</v>
      </c>
    </row>
    <row r="8767">
      <c r="A8767" s="311">
        <v>8766</v>
      </c>
      <c r="B8767" s="396" t="s">
        <v>16728</v>
      </c>
      <c r="C8767" s="396" t="s">
        <v>16729</v>
      </c>
      <c r="D8767" s="396" t="s">
        <v>16720</v>
      </c>
      <c r="E8767" s="396" t="s">
        <v>16721</v>
      </c>
      <c r="F8767" s="396" t="s">
        <v>16564</v>
      </c>
    </row>
    <row r="8768">
      <c r="A8768" s="311">
        <v>8767</v>
      </c>
      <c r="B8768" s="396" t="s">
        <v>16730</v>
      </c>
      <c r="C8768" s="396" t="s">
        <v>16731</v>
      </c>
      <c r="D8768" s="396" t="s">
        <v>16720</v>
      </c>
      <c r="E8768" s="396" t="s">
        <v>16721</v>
      </c>
      <c r="F8768" s="396" t="s">
        <v>16564</v>
      </c>
    </row>
    <row r="8769">
      <c r="A8769" s="311">
        <v>8768</v>
      </c>
      <c r="B8769" s="396" t="s">
        <v>16732</v>
      </c>
      <c r="C8769" s="396" t="s">
        <v>16733</v>
      </c>
      <c r="D8769" s="396" t="s">
        <v>16734</v>
      </c>
      <c r="E8769" s="396" t="s">
        <v>16735</v>
      </c>
      <c r="F8769" s="396" t="s">
        <v>16564</v>
      </c>
    </row>
    <row r="8770">
      <c r="A8770" s="311">
        <v>8769</v>
      </c>
      <c r="B8770" s="396" t="s">
        <v>16736</v>
      </c>
      <c r="C8770" s="396" t="s">
        <v>13691</v>
      </c>
      <c r="D8770" s="396" t="s">
        <v>16734</v>
      </c>
      <c r="E8770" s="396" t="s">
        <v>16735</v>
      </c>
      <c r="F8770" s="396" t="s">
        <v>16564</v>
      </c>
    </row>
    <row r="8771">
      <c r="A8771" s="311">
        <v>8770</v>
      </c>
      <c r="B8771" s="396" t="s">
        <v>16737</v>
      </c>
      <c r="C8771" s="396" t="s">
        <v>4297</v>
      </c>
      <c r="D8771" s="396" t="s">
        <v>16734</v>
      </c>
      <c r="E8771" s="396" t="s">
        <v>16735</v>
      </c>
      <c r="F8771" s="396" t="s">
        <v>16564</v>
      </c>
    </row>
    <row r="8772">
      <c r="A8772" s="311">
        <v>8771</v>
      </c>
      <c r="B8772" s="396" t="s">
        <v>16738</v>
      </c>
      <c r="C8772" s="396" t="s">
        <v>8054</v>
      </c>
      <c r="D8772" s="396" t="s">
        <v>16734</v>
      </c>
      <c r="E8772" s="396" t="s">
        <v>16735</v>
      </c>
      <c r="F8772" s="396" t="s">
        <v>16564</v>
      </c>
    </row>
    <row r="8773">
      <c r="A8773" s="311">
        <v>8772</v>
      </c>
      <c r="B8773" s="396" t="s">
        <v>16739</v>
      </c>
      <c r="C8773" s="396" t="s">
        <v>14372</v>
      </c>
      <c r="D8773" s="396" t="s">
        <v>16734</v>
      </c>
      <c r="E8773" s="396" t="s">
        <v>16735</v>
      </c>
      <c r="F8773" s="396" t="s">
        <v>16564</v>
      </c>
    </row>
    <row r="8774">
      <c r="A8774" s="311">
        <v>8773</v>
      </c>
      <c r="B8774" s="396" t="s">
        <v>16740</v>
      </c>
      <c r="C8774" s="396" t="s">
        <v>16741</v>
      </c>
      <c r="D8774" s="396" t="s">
        <v>16734</v>
      </c>
      <c r="E8774" s="396" t="s">
        <v>16735</v>
      </c>
      <c r="F8774" s="396" t="s">
        <v>16564</v>
      </c>
    </row>
    <row r="8775">
      <c r="A8775" s="311">
        <v>8774</v>
      </c>
      <c r="B8775" s="396" t="s">
        <v>16742</v>
      </c>
      <c r="C8775" s="396" t="s">
        <v>16743</v>
      </c>
      <c r="D8775" s="396" t="s">
        <v>16734</v>
      </c>
      <c r="E8775" s="396" t="s">
        <v>16735</v>
      </c>
      <c r="F8775" s="396" t="s">
        <v>16564</v>
      </c>
    </row>
    <row r="8776">
      <c r="A8776" s="311">
        <v>8775</v>
      </c>
      <c r="B8776" s="396" t="s">
        <v>16744</v>
      </c>
      <c r="C8776" s="396" t="s">
        <v>16745</v>
      </c>
      <c r="D8776" s="396" t="s">
        <v>16734</v>
      </c>
      <c r="E8776" s="396" t="s">
        <v>16735</v>
      </c>
      <c r="F8776" s="396" t="s">
        <v>16564</v>
      </c>
    </row>
    <row r="8777">
      <c r="A8777" s="311">
        <v>8776</v>
      </c>
      <c r="B8777" s="396" t="s">
        <v>16746</v>
      </c>
      <c r="C8777" s="396" t="s">
        <v>16747</v>
      </c>
      <c r="D8777" s="396" t="s">
        <v>16734</v>
      </c>
      <c r="E8777" s="396" t="s">
        <v>16735</v>
      </c>
      <c r="F8777" s="396" t="s">
        <v>16564</v>
      </c>
    </row>
    <row r="8778">
      <c r="A8778" s="311">
        <v>8777</v>
      </c>
      <c r="B8778" s="396" t="s">
        <v>16748</v>
      </c>
      <c r="C8778" s="396" t="s">
        <v>16749</v>
      </c>
      <c r="D8778" s="396" t="s">
        <v>16734</v>
      </c>
      <c r="E8778" s="396" t="s">
        <v>16735</v>
      </c>
      <c r="F8778" s="396" t="s">
        <v>16564</v>
      </c>
    </row>
    <row r="8779">
      <c r="A8779" s="311">
        <v>8778</v>
      </c>
      <c r="B8779" s="396" t="s">
        <v>16750</v>
      </c>
      <c r="C8779" s="396" t="s">
        <v>12441</v>
      </c>
      <c r="D8779" s="396" t="s">
        <v>16751</v>
      </c>
      <c r="E8779" s="396" t="s">
        <v>16752</v>
      </c>
      <c r="F8779" s="396" t="s">
        <v>16753</v>
      </c>
    </row>
    <row r="8780">
      <c r="A8780" s="311">
        <v>8779</v>
      </c>
      <c r="B8780" s="396" t="s">
        <v>16754</v>
      </c>
      <c r="C8780" s="396" t="s">
        <v>12455</v>
      </c>
      <c r="D8780" s="396" t="s">
        <v>16751</v>
      </c>
      <c r="E8780" s="396" t="s">
        <v>16752</v>
      </c>
      <c r="F8780" s="396" t="s">
        <v>16753</v>
      </c>
    </row>
    <row r="8781">
      <c r="A8781" s="311">
        <v>8780</v>
      </c>
      <c r="B8781" s="396" t="s">
        <v>16755</v>
      </c>
      <c r="C8781" s="396" t="s">
        <v>12449</v>
      </c>
      <c r="D8781" s="396" t="s">
        <v>16751</v>
      </c>
      <c r="E8781" s="396" t="s">
        <v>16752</v>
      </c>
      <c r="F8781" s="396" t="s">
        <v>16753</v>
      </c>
    </row>
    <row r="8782">
      <c r="A8782" s="311">
        <v>8781</v>
      </c>
      <c r="B8782" s="396" t="s">
        <v>16756</v>
      </c>
      <c r="C8782" s="396" t="s">
        <v>16757</v>
      </c>
      <c r="D8782" s="396" t="s">
        <v>16751</v>
      </c>
      <c r="E8782" s="396" t="s">
        <v>16752</v>
      </c>
      <c r="F8782" s="396" t="s">
        <v>16753</v>
      </c>
    </row>
    <row r="8783">
      <c r="A8783" s="311">
        <v>8782</v>
      </c>
      <c r="B8783" s="396" t="s">
        <v>16758</v>
      </c>
      <c r="C8783" s="396" t="s">
        <v>12447</v>
      </c>
      <c r="D8783" s="396" t="s">
        <v>16751</v>
      </c>
      <c r="E8783" s="396" t="s">
        <v>16752</v>
      </c>
      <c r="F8783" s="396" t="s">
        <v>16753</v>
      </c>
    </row>
    <row r="8784">
      <c r="A8784" s="311">
        <v>8783</v>
      </c>
      <c r="B8784" s="396" t="s">
        <v>16759</v>
      </c>
      <c r="C8784" s="396" t="s">
        <v>16760</v>
      </c>
      <c r="D8784" s="396" t="s">
        <v>16751</v>
      </c>
      <c r="E8784" s="396" t="s">
        <v>16752</v>
      </c>
      <c r="F8784" s="396" t="s">
        <v>16753</v>
      </c>
    </row>
    <row r="8785">
      <c r="A8785" s="311">
        <v>8784</v>
      </c>
      <c r="B8785" s="396" t="s">
        <v>16761</v>
      </c>
      <c r="C8785" s="396" t="s">
        <v>5492</v>
      </c>
      <c r="D8785" s="396" t="s">
        <v>16751</v>
      </c>
      <c r="E8785" s="396" t="s">
        <v>16752</v>
      </c>
      <c r="F8785" s="396" t="s">
        <v>16753</v>
      </c>
    </row>
    <row r="8786">
      <c r="A8786" s="311">
        <v>8785</v>
      </c>
      <c r="B8786" s="396" t="s">
        <v>16762</v>
      </c>
      <c r="C8786" s="396" t="s">
        <v>970</v>
      </c>
      <c r="D8786" s="396" t="s">
        <v>16751</v>
      </c>
      <c r="E8786" s="396" t="s">
        <v>16752</v>
      </c>
      <c r="F8786" s="396" t="s">
        <v>16753</v>
      </c>
    </row>
    <row r="8787">
      <c r="A8787" s="311">
        <v>8786</v>
      </c>
      <c r="B8787" s="396" t="s">
        <v>16763</v>
      </c>
      <c r="C8787" s="396" t="s">
        <v>9405</v>
      </c>
      <c r="D8787" s="396" t="s">
        <v>16751</v>
      </c>
      <c r="E8787" s="396" t="s">
        <v>16752</v>
      </c>
      <c r="F8787" s="396" t="s">
        <v>16753</v>
      </c>
    </row>
    <row r="8788">
      <c r="A8788" s="311">
        <v>8787</v>
      </c>
      <c r="B8788" s="396" t="s">
        <v>16764</v>
      </c>
      <c r="C8788" s="396" t="s">
        <v>16765</v>
      </c>
      <c r="D8788" s="396" t="s">
        <v>16751</v>
      </c>
      <c r="E8788" s="396" t="s">
        <v>16752</v>
      </c>
      <c r="F8788" s="396" t="s">
        <v>16753</v>
      </c>
    </row>
    <row r="8789">
      <c r="A8789" s="311">
        <v>8788</v>
      </c>
      <c r="B8789" s="396" t="s">
        <v>16766</v>
      </c>
      <c r="C8789" s="396" t="s">
        <v>16767</v>
      </c>
      <c r="D8789" s="396" t="s">
        <v>16768</v>
      </c>
      <c r="E8789" s="396" t="s">
        <v>16769</v>
      </c>
      <c r="F8789" s="396" t="s">
        <v>16753</v>
      </c>
    </row>
    <row r="8790">
      <c r="A8790" s="311">
        <v>8789</v>
      </c>
      <c r="B8790" s="396" t="s">
        <v>16770</v>
      </c>
      <c r="C8790" s="396" t="s">
        <v>752</v>
      </c>
      <c r="D8790" s="396" t="s">
        <v>16768</v>
      </c>
      <c r="E8790" s="396" t="s">
        <v>16769</v>
      </c>
      <c r="F8790" s="396" t="s">
        <v>16753</v>
      </c>
    </row>
    <row r="8791">
      <c r="A8791" s="311">
        <v>8790</v>
      </c>
      <c r="B8791" s="396" t="s">
        <v>16771</v>
      </c>
      <c r="C8791" s="396" t="s">
        <v>16772</v>
      </c>
      <c r="D8791" s="396" t="s">
        <v>16768</v>
      </c>
      <c r="E8791" s="396" t="s">
        <v>16769</v>
      </c>
      <c r="F8791" s="396" t="s">
        <v>16753</v>
      </c>
    </row>
    <row r="8792">
      <c r="A8792" s="311">
        <v>8791</v>
      </c>
      <c r="B8792" s="396" t="s">
        <v>16773</v>
      </c>
      <c r="C8792" s="396" t="s">
        <v>5492</v>
      </c>
      <c r="D8792" s="396" t="s">
        <v>16768</v>
      </c>
      <c r="E8792" s="396" t="s">
        <v>16769</v>
      </c>
      <c r="F8792" s="396" t="s">
        <v>16753</v>
      </c>
    </row>
    <row r="8793">
      <c r="A8793" s="311">
        <v>8792</v>
      </c>
      <c r="B8793" s="396" t="s">
        <v>16774</v>
      </c>
      <c r="C8793" s="396" t="s">
        <v>16775</v>
      </c>
      <c r="D8793" s="396" t="s">
        <v>16768</v>
      </c>
      <c r="E8793" s="396" t="s">
        <v>16769</v>
      </c>
      <c r="F8793" s="396" t="s">
        <v>16753</v>
      </c>
    </row>
    <row r="8794">
      <c r="A8794" s="311">
        <v>8793</v>
      </c>
      <c r="B8794" s="396" t="s">
        <v>16776</v>
      </c>
      <c r="C8794" s="396" t="s">
        <v>16777</v>
      </c>
      <c r="D8794" s="396" t="s">
        <v>16768</v>
      </c>
      <c r="E8794" s="396" t="s">
        <v>16769</v>
      </c>
      <c r="F8794" s="396" t="s">
        <v>16753</v>
      </c>
    </row>
    <row r="8795">
      <c r="A8795" s="311">
        <v>8794</v>
      </c>
      <c r="B8795" s="396" t="s">
        <v>16778</v>
      </c>
      <c r="C8795" s="396" t="s">
        <v>16142</v>
      </c>
      <c r="D8795" s="396" t="s">
        <v>16768</v>
      </c>
      <c r="E8795" s="396" t="s">
        <v>16769</v>
      </c>
      <c r="F8795" s="396" t="s">
        <v>16753</v>
      </c>
    </row>
    <row r="8796">
      <c r="A8796" s="311">
        <v>8795</v>
      </c>
      <c r="B8796" s="396" t="s">
        <v>16779</v>
      </c>
      <c r="C8796" s="396" t="s">
        <v>3622</v>
      </c>
      <c r="D8796" s="396" t="s">
        <v>16768</v>
      </c>
      <c r="E8796" s="396" t="s">
        <v>16769</v>
      </c>
      <c r="F8796" s="396" t="s">
        <v>16753</v>
      </c>
    </row>
    <row r="8797">
      <c r="A8797" s="311">
        <v>8796</v>
      </c>
      <c r="B8797" s="396" t="s">
        <v>16780</v>
      </c>
      <c r="C8797" s="396" t="s">
        <v>16781</v>
      </c>
      <c r="D8797" s="396" t="s">
        <v>16768</v>
      </c>
      <c r="E8797" s="396" t="s">
        <v>16769</v>
      </c>
      <c r="F8797" s="396" t="s">
        <v>16753</v>
      </c>
    </row>
    <row r="8798">
      <c r="A8798" s="311">
        <v>8797</v>
      </c>
      <c r="B8798" s="396" t="s">
        <v>16782</v>
      </c>
      <c r="C8798" s="396" t="s">
        <v>16783</v>
      </c>
      <c r="D8798" s="396" t="s">
        <v>16768</v>
      </c>
      <c r="E8798" s="396" t="s">
        <v>16769</v>
      </c>
      <c r="F8798" s="396" t="s">
        <v>16753</v>
      </c>
    </row>
    <row r="8799">
      <c r="A8799" s="311">
        <v>8798</v>
      </c>
      <c r="B8799" s="396" t="s">
        <v>16784</v>
      </c>
      <c r="C8799" s="396" t="s">
        <v>16785</v>
      </c>
      <c r="D8799" s="396" t="s">
        <v>16786</v>
      </c>
      <c r="E8799" s="396" t="s">
        <v>16787</v>
      </c>
      <c r="F8799" s="396" t="s">
        <v>16753</v>
      </c>
    </row>
    <row r="8800">
      <c r="A8800" s="311">
        <v>8799</v>
      </c>
      <c r="B8800" s="396" t="s">
        <v>16788</v>
      </c>
      <c r="C8800" s="396" t="s">
        <v>15087</v>
      </c>
      <c r="D8800" s="396" t="s">
        <v>16786</v>
      </c>
      <c r="E8800" s="396" t="s">
        <v>16787</v>
      </c>
      <c r="F8800" s="396" t="s">
        <v>16753</v>
      </c>
    </row>
    <row r="8801">
      <c r="A8801" s="311">
        <v>8800</v>
      </c>
      <c r="B8801" s="396" t="s">
        <v>16789</v>
      </c>
      <c r="C8801" s="396" t="s">
        <v>16790</v>
      </c>
      <c r="D8801" s="396" t="s">
        <v>16786</v>
      </c>
      <c r="E8801" s="396" t="s">
        <v>16787</v>
      </c>
      <c r="F8801" s="396" t="s">
        <v>16753</v>
      </c>
    </row>
    <row r="8802">
      <c r="A8802" s="311">
        <v>8801</v>
      </c>
      <c r="B8802" s="396" t="s">
        <v>16791</v>
      </c>
      <c r="C8802" s="396" t="s">
        <v>750</v>
      </c>
      <c r="D8802" s="396" t="s">
        <v>16786</v>
      </c>
      <c r="E8802" s="396" t="s">
        <v>16787</v>
      </c>
      <c r="F8802" s="396" t="s">
        <v>16753</v>
      </c>
    </row>
    <row r="8803">
      <c r="A8803" s="311">
        <v>8802</v>
      </c>
      <c r="B8803" s="396" t="s">
        <v>16792</v>
      </c>
      <c r="C8803" s="396" t="s">
        <v>838</v>
      </c>
      <c r="D8803" s="396" t="s">
        <v>16786</v>
      </c>
      <c r="E8803" s="396" t="s">
        <v>16787</v>
      </c>
      <c r="F8803" s="396" t="s">
        <v>16753</v>
      </c>
    </row>
    <row r="8804">
      <c r="A8804" s="311">
        <v>8803</v>
      </c>
      <c r="B8804" s="396" t="s">
        <v>16793</v>
      </c>
      <c r="C8804" s="396" t="s">
        <v>16794</v>
      </c>
      <c r="D8804" s="396" t="s">
        <v>16786</v>
      </c>
      <c r="E8804" s="396" t="s">
        <v>16787</v>
      </c>
      <c r="F8804" s="396" t="s">
        <v>16753</v>
      </c>
    </row>
    <row r="8805">
      <c r="A8805" s="311">
        <v>8804</v>
      </c>
      <c r="B8805" s="396" t="s">
        <v>16795</v>
      </c>
      <c r="C8805" s="396" t="s">
        <v>16796</v>
      </c>
      <c r="D8805" s="396" t="s">
        <v>16786</v>
      </c>
      <c r="E8805" s="396" t="s">
        <v>16787</v>
      </c>
      <c r="F8805" s="396" t="s">
        <v>16753</v>
      </c>
    </row>
    <row r="8806">
      <c r="A8806" s="311">
        <v>8805</v>
      </c>
      <c r="B8806" s="396" t="s">
        <v>16797</v>
      </c>
      <c r="C8806" s="396" t="s">
        <v>5732</v>
      </c>
      <c r="D8806" s="396" t="s">
        <v>16786</v>
      </c>
      <c r="E8806" s="396" t="s">
        <v>16787</v>
      </c>
      <c r="F8806" s="396" t="s">
        <v>16753</v>
      </c>
    </row>
    <row r="8807">
      <c r="A8807" s="311">
        <v>8806</v>
      </c>
      <c r="B8807" s="396" t="s">
        <v>16798</v>
      </c>
      <c r="C8807" s="396" t="s">
        <v>16799</v>
      </c>
      <c r="D8807" s="396" t="s">
        <v>16786</v>
      </c>
      <c r="E8807" s="396" t="s">
        <v>16787</v>
      </c>
      <c r="F8807" s="396" t="s">
        <v>16753</v>
      </c>
    </row>
    <row r="8808">
      <c r="A8808" s="311">
        <v>8807</v>
      </c>
      <c r="B8808" s="396" t="s">
        <v>16800</v>
      </c>
      <c r="C8808" s="396" t="s">
        <v>1552</v>
      </c>
      <c r="D8808" s="396" t="s">
        <v>16786</v>
      </c>
      <c r="E8808" s="396" t="s">
        <v>16787</v>
      </c>
      <c r="F8808" s="396" t="s">
        <v>16753</v>
      </c>
    </row>
    <row r="8809">
      <c r="A8809" s="311">
        <v>8808</v>
      </c>
      <c r="B8809" s="396" t="s">
        <v>16801</v>
      </c>
      <c r="C8809" s="396" t="s">
        <v>830</v>
      </c>
      <c r="D8809" s="396" t="s">
        <v>16786</v>
      </c>
      <c r="E8809" s="396" t="s">
        <v>16787</v>
      </c>
      <c r="F8809" s="396" t="s">
        <v>16753</v>
      </c>
    </row>
    <row r="8810">
      <c r="A8810" s="311">
        <v>8809</v>
      </c>
      <c r="B8810" s="396" t="s">
        <v>16802</v>
      </c>
      <c r="C8810" s="396" t="s">
        <v>296</v>
      </c>
      <c r="D8810" s="396" t="s">
        <v>16786</v>
      </c>
      <c r="E8810" s="396" t="s">
        <v>16787</v>
      </c>
      <c r="F8810" s="396" t="s">
        <v>16753</v>
      </c>
    </row>
    <row r="8811">
      <c r="A8811" s="311">
        <v>8810</v>
      </c>
      <c r="B8811" s="396" t="s">
        <v>16803</v>
      </c>
      <c r="C8811" s="396" t="s">
        <v>16804</v>
      </c>
      <c r="D8811" s="396" t="s">
        <v>16805</v>
      </c>
      <c r="E8811" s="396" t="s">
        <v>16806</v>
      </c>
      <c r="F8811" s="396" t="s">
        <v>16753</v>
      </c>
    </row>
    <row r="8812">
      <c r="A8812" s="311">
        <v>8811</v>
      </c>
      <c r="B8812" s="396" t="s">
        <v>16807</v>
      </c>
      <c r="C8812" s="396" t="s">
        <v>16808</v>
      </c>
      <c r="D8812" s="396" t="s">
        <v>16805</v>
      </c>
      <c r="E8812" s="396" t="s">
        <v>16806</v>
      </c>
      <c r="F8812" s="396" t="s">
        <v>16753</v>
      </c>
    </row>
    <row r="8813">
      <c r="A8813" s="311">
        <v>8812</v>
      </c>
      <c r="B8813" s="396" t="s">
        <v>16809</v>
      </c>
      <c r="C8813" s="396" t="s">
        <v>16810</v>
      </c>
      <c r="D8813" s="396" t="s">
        <v>16805</v>
      </c>
      <c r="E8813" s="396" t="s">
        <v>16806</v>
      </c>
      <c r="F8813" s="396" t="s">
        <v>16753</v>
      </c>
    </row>
    <row r="8814">
      <c r="A8814" s="311">
        <v>8813</v>
      </c>
      <c r="B8814" s="396" t="s">
        <v>16811</v>
      </c>
      <c r="C8814" s="396" t="s">
        <v>13603</v>
      </c>
      <c r="D8814" s="396" t="s">
        <v>16805</v>
      </c>
      <c r="E8814" s="396" t="s">
        <v>16806</v>
      </c>
      <c r="F8814" s="396" t="s">
        <v>16753</v>
      </c>
    </row>
    <row r="8815">
      <c r="A8815" s="311">
        <v>8814</v>
      </c>
      <c r="B8815" s="396" t="s">
        <v>16812</v>
      </c>
      <c r="C8815" s="396" t="s">
        <v>14874</v>
      </c>
      <c r="D8815" s="396" t="s">
        <v>16805</v>
      </c>
      <c r="E8815" s="396" t="s">
        <v>16806</v>
      </c>
      <c r="F8815" s="396" t="s">
        <v>16753</v>
      </c>
    </row>
    <row r="8816">
      <c r="A8816" s="311">
        <v>8815</v>
      </c>
      <c r="B8816" s="396" t="s">
        <v>16813</v>
      </c>
      <c r="C8816" s="396" t="s">
        <v>16814</v>
      </c>
      <c r="D8816" s="396" t="s">
        <v>16805</v>
      </c>
      <c r="E8816" s="396" t="s">
        <v>16806</v>
      </c>
      <c r="F8816" s="396" t="s">
        <v>16753</v>
      </c>
    </row>
    <row r="8817">
      <c r="A8817" s="311">
        <v>8816</v>
      </c>
      <c r="B8817" s="396" t="s">
        <v>16815</v>
      </c>
      <c r="C8817" s="396" t="s">
        <v>16816</v>
      </c>
      <c r="D8817" s="396" t="s">
        <v>16805</v>
      </c>
      <c r="E8817" s="396" t="s">
        <v>16806</v>
      </c>
      <c r="F8817" s="396" t="s">
        <v>16753</v>
      </c>
    </row>
    <row r="8818">
      <c r="A8818" s="311">
        <v>8817</v>
      </c>
      <c r="B8818" s="396" t="s">
        <v>16817</v>
      </c>
      <c r="C8818" s="396" t="s">
        <v>16818</v>
      </c>
      <c r="D8818" s="396" t="s">
        <v>16805</v>
      </c>
      <c r="E8818" s="396" t="s">
        <v>16806</v>
      </c>
      <c r="F8818" s="396" t="s">
        <v>16753</v>
      </c>
    </row>
    <row r="8819">
      <c r="A8819" s="311">
        <v>8818</v>
      </c>
      <c r="B8819" s="396" t="s">
        <v>16819</v>
      </c>
      <c r="C8819" s="396" t="s">
        <v>16820</v>
      </c>
      <c r="D8819" s="396" t="s">
        <v>16805</v>
      </c>
      <c r="E8819" s="396" t="s">
        <v>16806</v>
      </c>
      <c r="F8819" s="396" t="s">
        <v>16753</v>
      </c>
    </row>
    <row r="8820">
      <c r="A8820" s="311">
        <v>8819</v>
      </c>
      <c r="B8820" s="396" t="s">
        <v>16821</v>
      </c>
      <c r="C8820" s="396" t="s">
        <v>12160</v>
      </c>
      <c r="D8820" s="396" t="s">
        <v>16805</v>
      </c>
      <c r="E8820" s="396" t="s">
        <v>16806</v>
      </c>
      <c r="F8820" s="396" t="s">
        <v>16753</v>
      </c>
    </row>
    <row r="8821">
      <c r="A8821" s="311">
        <v>8820</v>
      </c>
      <c r="B8821" s="396" t="s">
        <v>16822</v>
      </c>
      <c r="C8821" s="396" t="s">
        <v>16823</v>
      </c>
      <c r="D8821" s="396" t="s">
        <v>16805</v>
      </c>
      <c r="E8821" s="396" t="s">
        <v>16806</v>
      </c>
      <c r="F8821" s="396" t="s">
        <v>16753</v>
      </c>
    </row>
    <row r="8822">
      <c r="A8822" s="311">
        <v>8821</v>
      </c>
      <c r="B8822" s="396" t="s">
        <v>16824</v>
      </c>
      <c r="C8822" s="396" t="s">
        <v>16825</v>
      </c>
      <c r="D8822" s="396" t="s">
        <v>16826</v>
      </c>
      <c r="E8822" s="396" t="s">
        <v>16827</v>
      </c>
      <c r="F8822" s="396" t="s">
        <v>16753</v>
      </c>
    </row>
    <row r="8823">
      <c r="A8823" s="311">
        <v>8822</v>
      </c>
      <c r="B8823" s="396" t="s">
        <v>16828</v>
      </c>
      <c r="C8823" s="396" t="s">
        <v>16829</v>
      </c>
      <c r="D8823" s="396" t="s">
        <v>16826</v>
      </c>
      <c r="E8823" s="396" t="s">
        <v>16827</v>
      </c>
      <c r="F8823" s="396" t="s">
        <v>16753</v>
      </c>
    </row>
    <row r="8824">
      <c r="A8824" s="311">
        <v>8823</v>
      </c>
      <c r="B8824" s="396" t="s">
        <v>16830</v>
      </c>
      <c r="C8824" s="396" t="s">
        <v>14849</v>
      </c>
      <c r="D8824" s="396" t="s">
        <v>16826</v>
      </c>
      <c r="E8824" s="396" t="s">
        <v>16827</v>
      </c>
      <c r="F8824" s="396" t="s">
        <v>16753</v>
      </c>
    </row>
    <row r="8825">
      <c r="A8825" s="311">
        <v>8824</v>
      </c>
      <c r="B8825" s="396" t="s">
        <v>16831</v>
      </c>
      <c r="C8825" s="396" t="s">
        <v>16832</v>
      </c>
      <c r="D8825" s="396" t="s">
        <v>16826</v>
      </c>
      <c r="E8825" s="396" t="s">
        <v>16827</v>
      </c>
      <c r="F8825" s="396" t="s">
        <v>16753</v>
      </c>
    </row>
    <row r="8826">
      <c r="A8826" s="311">
        <v>8825</v>
      </c>
      <c r="B8826" s="396" t="s">
        <v>16833</v>
      </c>
      <c r="C8826" s="396" t="s">
        <v>2477</v>
      </c>
      <c r="D8826" s="396" t="s">
        <v>16826</v>
      </c>
      <c r="E8826" s="396" t="s">
        <v>16827</v>
      </c>
      <c r="F8826" s="396" t="s">
        <v>16753</v>
      </c>
    </row>
    <row r="8827">
      <c r="A8827" s="311">
        <v>8826</v>
      </c>
      <c r="B8827" s="396" t="s">
        <v>16834</v>
      </c>
      <c r="C8827" s="396" t="s">
        <v>16835</v>
      </c>
      <c r="D8827" s="396" t="s">
        <v>16826</v>
      </c>
      <c r="E8827" s="396" t="s">
        <v>16827</v>
      </c>
      <c r="F8827" s="396" t="s">
        <v>16753</v>
      </c>
    </row>
    <row r="8828">
      <c r="A8828" s="311">
        <v>8827</v>
      </c>
      <c r="B8828" s="396" t="s">
        <v>16836</v>
      </c>
      <c r="C8828" s="396" t="s">
        <v>16837</v>
      </c>
      <c r="D8828" s="396" t="s">
        <v>16826</v>
      </c>
      <c r="E8828" s="396" t="s">
        <v>16827</v>
      </c>
      <c r="F8828" s="396" t="s">
        <v>16753</v>
      </c>
    </row>
    <row r="8829">
      <c r="A8829" s="311">
        <v>8828</v>
      </c>
      <c r="B8829" s="396" t="s">
        <v>16838</v>
      </c>
      <c r="C8829" s="396" t="s">
        <v>16839</v>
      </c>
      <c r="D8829" s="396" t="s">
        <v>16826</v>
      </c>
      <c r="E8829" s="396" t="s">
        <v>16827</v>
      </c>
      <c r="F8829" s="396" t="s">
        <v>16753</v>
      </c>
    </row>
    <row r="8830">
      <c r="A8830" s="311">
        <v>8829</v>
      </c>
      <c r="B8830" s="396" t="s">
        <v>16840</v>
      </c>
      <c r="C8830" s="396" t="s">
        <v>16841</v>
      </c>
      <c r="D8830" s="396" t="s">
        <v>16826</v>
      </c>
      <c r="E8830" s="396" t="s">
        <v>16827</v>
      </c>
      <c r="F8830" s="396" t="s">
        <v>16753</v>
      </c>
    </row>
    <row r="8831">
      <c r="A8831" s="311">
        <v>8830</v>
      </c>
      <c r="B8831" s="396" t="s">
        <v>16842</v>
      </c>
      <c r="C8831" s="396" t="s">
        <v>14446</v>
      </c>
      <c r="D8831" s="396" t="s">
        <v>16826</v>
      </c>
      <c r="E8831" s="396" t="s">
        <v>16827</v>
      </c>
      <c r="F8831" s="396" t="s">
        <v>16753</v>
      </c>
    </row>
    <row r="8832">
      <c r="A8832" s="311">
        <v>8831</v>
      </c>
      <c r="B8832" s="396" t="s">
        <v>16843</v>
      </c>
      <c r="C8832" s="396" t="s">
        <v>3923</v>
      </c>
      <c r="D8832" s="396" t="s">
        <v>16826</v>
      </c>
      <c r="E8832" s="396" t="s">
        <v>16827</v>
      </c>
      <c r="F8832" s="396" t="s">
        <v>16753</v>
      </c>
    </row>
    <row r="8833">
      <c r="A8833" s="311">
        <v>8832</v>
      </c>
      <c r="B8833" s="396" t="s">
        <v>16844</v>
      </c>
      <c r="C8833" s="396" t="s">
        <v>16845</v>
      </c>
      <c r="D8833" s="396" t="s">
        <v>16826</v>
      </c>
      <c r="E8833" s="396" t="s">
        <v>16827</v>
      </c>
      <c r="F8833" s="396" t="s">
        <v>16753</v>
      </c>
    </row>
    <row r="8834">
      <c r="A8834" s="311">
        <v>8833</v>
      </c>
      <c r="B8834" s="396" t="s">
        <v>16846</v>
      </c>
      <c r="C8834" s="396" t="s">
        <v>2424</v>
      </c>
      <c r="D8834" s="396" t="s">
        <v>16826</v>
      </c>
      <c r="E8834" s="396" t="s">
        <v>16827</v>
      </c>
      <c r="F8834" s="396" t="s">
        <v>16753</v>
      </c>
    </row>
    <row r="8835">
      <c r="A8835" s="311">
        <v>8834</v>
      </c>
      <c r="B8835" s="396" t="s">
        <v>16847</v>
      </c>
      <c r="C8835" s="396" t="s">
        <v>16848</v>
      </c>
      <c r="D8835" s="396" t="s">
        <v>16826</v>
      </c>
      <c r="E8835" s="396" t="s">
        <v>16827</v>
      </c>
      <c r="F8835" s="396" t="s">
        <v>16753</v>
      </c>
    </row>
    <row r="8836">
      <c r="A8836" s="311">
        <v>8835</v>
      </c>
      <c r="B8836" s="396" t="s">
        <v>16849</v>
      </c>
      <c r="C8836" s="396" t="s">
        <v>16850</v>
      </c>
      <c r="D8836" s="396" t="s">
        <v>16826</v>
      </c>
      <c r="E8836" s="396" t="s">
        <v>16827</v>
      </c>
      <c r="F8836" s="396" t="s">
        <v>16753</v>
      </c>
    </row>
    <row r="8837">
      <c r="A8837" s="311">
        <v>8836</v>
      </c>
      <c r="B8837" s="396" t="s">
        <v>16851</v>
      </c>
      <c r="C8837" s="396" t="s">
        <v>16852</v>
      </c>
      <c r="D8837" s="396" t="s">
        <v>16853</v>
      </c>
      <c r="E8837" s="396" t="s">
        <v>16854</v>
      </c>
      <c r="F8837" s="396" t="s">
        <v>16753</v>
      </c>
    </row>
    <row r="8838">
      <c r="A8838" s="311">
        <v>8837</v>
      </c>
      <c r="B8838" s="396" t="s">
        <v>16855</v>
      </c>
      <c r="C8838" s="396" t="s">
        <v>16856</v>
      </c>
      <c r="D8838" s="396" t="s">
        <v>16853</v>
      </c>
      <c r="E8838" s="396" t="s">
        <v>16854</v>
      </c>
      <c r="F8838" s="396" t="s">
        <v>16753</v>
      </c>
    </row>
    <row r="8839">
      <c r="A8839" s="311">
        <v>8838</v>
      </c>
      <c r="B8839" s="396" t="s">
        <v>16857</v>
      </c>
      <c r="C8839" s="396" t="s">
        <v>16858</v>
      </c>
      <c r="D8839" s="396" t="s">
        <v>16853</v>
      </c>
      <c r="E8839" s="396" t="s">
        <v>16854</v>
      </c>
      <c r="F8839" s="396" t="s">
        <v>16753</v>
      </c>
    </row>
    <row r="8840">
      <c r="A8840" s="311">
        <v>8839</v>
      </c>
      <c r="B8840" s="396" t="s">
        <v>16859</v>
      </c>
      <c r="C8840" s="396" t="s">
        <v>16860</v>
      </c>
      <c r="D8840" s="396" t="s">
        <v>16853</v>
      </c>
      <c r="E8840" s="396" t="s">
        <v>16854</v>
      </c>
      <c r="F8840" s="396" t="s">
        <v>16753</v>
      </c>
    </row>
    <row r="8841">
      <c r="A8841" s="311">
        <v>8840</v>
      </c>
      <c r="B8841" s="396" t="s">
        <v>16861</v>
      </c>
      <c r="C8841" s="396" t="s">
        <v>16862</v>
      </c>
      <c r="D8841" s="396" t="s">
        <v>16853</v>
      </c>
      <c r="E8841" s="396" t="s">
        <v>16854</v>
      </c>
      <c r="F8841" s="396" t="s">
        <v>16753</v>
      </c>
    </row>
    <row r="8842">
      <c r="A8842" s="311">
        <v>8841</v>
      </c>
      <c r="B8842" s="396" t="s">
        <v>16863</v>
      </c>
      <c r="C8842" s="396" t="s">
        <v>16864</v>
      </c>
      <c r="D8842" s="396" t="s">
        <v>16853</v>
      </c>
      <c r="E8842" s="396" t="s">
        <v>16854</v>
      </c>
      <c r="F8842" s="396" t="s">
        <v>16753</v>
      </c>
    </row>
    <row r="8843">
      <c r="A8843" s="311">
        <v>8842</v>
      </c>
      <c r="B8843" s="396" t="s">
        <v>16865</v>
      </c>
      <c r="C8843" s="396" t="s">
        <v>16866</v>
      </c>
      <c r="D8843" s="396" t="s">
        <v>16853</v>
      </c>
      <c r="E8843" s="396" t="s">
        <v>16854</v>
      </c>
      <c r="F8843" s="396" t="s">
        <v>16753</v>
      </c>
    </row>
    <row r="8844">
      <c r="A8844" s="311">
        <v>8843</v>
      </c>
      <c r="B8844" s="396" t="s">
        <v>16867</v>
      </c>
      <c r="C8844" s="396" t="s">
        <v>16868</v>
      </c>
      <c r="D8844" s="396" t="s">
        <v>16853</v>
      </c>
      <c r="E8844" s="396" t="s">
        <v>16854</v>
      </c>
      <c r="F8844" s="396" t="s">
        <v>16753</v>
      </c>
    </row>
    <row r="8845">
      <c r="A8845" s="311">
        <v>8844</v>
      </c>
      <c r="B8845" s="396" t="s">
        <v>16869</v>
      </c>
      <c r="C8845" s="396" t="s">
        <v>16870</v>
      </c>
      <c r="D8845" s="396" t="s">
        <v>16871</v>
      </c>
      <c r="E8845" s="396" t="s">
        <v>16872</v>
      </c>
      <c r="F8845" s="396" t="s">
        <v>16753</v>
      </c>
    </row>
    <row r="8846">
      <c r="A8846" s="311">
        <v>8845</v>
      </c>
      <c r="B8846" s="396" t="s">
        <v>16873</v>
      </c>
      <c r="C8846" s="396" t="s">
        <v>16874</v>
      </c>
      <c r="D8846" s="396" t="s">
        <v>16871</v>
      </c>
      <c r="E8846" s="396" t="s">
        <v>16872</v>
      </c>
      <c r="F8846" s="396" t="s">
        <v>16753</v>
      </c>
    </row>
    <row r="8847">
      <c r="A8847" s="311">
        <v>8846</v>
      </c>
      <c r="B8847" s="396" t="s">
        <v>16875</v>
      </c>
      <c r="C8847" s="396" t="s">
        <v>9935</v>
      </c>
      <c r="D8847" s="396" t="s">
        <v>16871</v>
      </c>
      <c r="E8847" s="396" t="s">
        <v>16872</v>
      </c>
      <c r="F8847" s="396" t="s">
        <v>16753</v>
      </c>
    </row>
    <row r="8848">
      <c r="A8848" s="311">
        <v>8847</v>
      </c>
      <c r="B8848" s="396" t="s">
        <v>16876</v>
      </c>
      <c r="C8848" s="396" t="s">
        <v>16414</v>
      </c>
      <c r="D8848" s="396" t="s">
        <v>16871</v>
      </c>
      <c r="E8848" s="396" t="s">
        <v>16872</v>
      </c>
      <c r="F8848" s="396" t="s">
        <v>16753</v>
      </c>
    </row>
    <row r="8849">
      <c r="A8849" s="311">
        <v>8848</v>
      </c>
      <c r="B8849" s="396" t="s">
        <v>16877</v>
      </c>
      <c r="C8849" s="396" t="s">
        <v>16878</v>
      </c>
      <c r="D8849" s="396" t="s">
        <v>16871</v>
      </c>
      <c r="E8849" s="396" t="s">
        <v>16872</v>
      </c>
      <c r="F8849" s="396" t="s">
        <v>16753</v>
      </c>
    </row>
    <row r="8850">
      <c r="A8850" s="311">
        <v>8849</v>
      </c>
      <c r="B8850" s="396" t="s">
        <v>16879</v>
      </c>
      <c r="C8850" s="396" t="s">
        <v>16880</v>
      </c>
      <c r="D8850" s="396" t="s">
        <v>16871</v>
      </c>
      <c r="E8850" s="396" t="s">
        <v>16872</v>
      </c>
      <c r="F8850" s="396" t="s">
        <v>16753</v>
      </c>
    </row>
    <row r="8851">
      <c r="A8851" s="311">
        <v>8850</v>
      </c>
      <c r="B8851" s="396" t="s">
        <v>16881</v>
      </c>
      <c r="C8851" s="396" t="s">
        <v>16882</v>
      </c>
      <c r="D8851" s="396" t="s">
        <v>16871</v>
      </c>
      <c r="E8851" s="396" t="s">
        <v>16872</v>
      </c>
      <c r="F8851" s="396" t="s">
        <v>16753</v>
      </c>
    </row>
    <row r="8852">
      <c r="A8852" s="311">
        <v>8851</v>
      </c>
      <c r="B8852" s="396" t="s">
        <v>16883</v>
      </c>
      <c r="C8852" s="396" t="s">
        <v>16884</v>
      </c>
      <c r="D8852" s="396" t="s">
        <v>16871</v>
      </c>
      <c r="E8852" s="396" t="s">
        <v>16872</v>
      </c>
      <c r="F8852" s="396" t="s">
        <v>16753</v>
      </c>
    </row>
    <row r="8853">
      <c r="A8853" s="311">
        <v>8852</v>
      </c>
      <c r="B8853" s="396" t="s">
        <v>16885</v>
      </c>
      <c r="C8853" s="396" t="s">
        <v>16886</v>
      </c>
      <c r="D8853" s="396" t="s">
        <v>16871</v>
      </c>
      <c r="E8853" s="396" t="s">
        <v>16872</v>
      </c>
      <c r="F8853" s="396" t="s">
        <v>16753</v>
      </c>
    </row>
    <row r="8854">
      <c r="A8854" s="311">
        <v>8853</v>
      </c>
      <c r="B8854" s="396" t="s">
        <v>16887</v>
      </c>
      <c r="C8854" s="396" t="s">
        <v>16888</v>
      </c>
      <c r="D8854" s="396" t="s">
        <v>16889</v>
      </c>
      <c r="E8854" s="396" t="s">
        <v>16890</v>
      </c>
      <c r="F8854" s="396" t="s">
        <v>16753</v>
      </c>
    </row>
    <row r="8855">
      <c r="A8855" s="311">
        <v>8854</v>
      </c>
      <c r="B8855" s="396" t="s">
        <v>16891</v>
      </c>
      <c r="C8855" s="396" t="s">
        <v>16892</v>
      </c>
      <c r="D8855" s="396" t="s">
        <v>16889</v>
      </c>
      <c r="E8855" s="396" t="s">
        <v>16890</v>
      </c>
      <c r="F8855" s="396" t="s">
        <v>16753</v>
      </c>
    </row>
    <row r="8856">
      <c r="A8856" s="311">
        <v>8855</v>
      </c>
      <c r="B8856" s="396" t="s">
        <v>16893</v>
      </c>
      <c r="C8856" s="396" t="s">
        <v>16894</v>
      </c>
      <c r="D8856" s="396" t="s">
        <v>16889</v>
      </c>
      <c r="E8856" s="396" t="s">
        <v>16890</v>
      </c>
      <c r="F8856" s="396" t="s">
        <v>16753</v>
      </c>
    </row>
    <row r="8857">
      <c r="A8857" s="311">
        <v>8856</v>
      </c>
      <c r="B8857" s="396" t="s">
        <v>16895</v>
      </c>
      <c r="C8857" s="396" t="s">
        <v>16574</v>
      </c>
      <c r="D8857" s="396" t="s">
        <v>16889</v>
      </c>
      <c r="E8857" s="396" t="s">
        <v>16890</v>
      </c>
      <c r="F8857" s="396" t="s">
        <v>16753</v>
      </c>
    </row>
    <row r="8858">
      <c r="A8858" s="311">
        <v>8857</v>
      </c>
      <c r="B8858" s="396" t="s">
        <v>16896</v>
      </c>
      <c r="C8858" s="396" t="s">
        <v>16897</v>
      </c>
      <c r="D8858" s="396" t="s">
        <v>16889</v>
      </c>
      <c r="E8858" s="396" t="s">
        <v>16890</v>
      </c>
      <c r="F8858" s="396" t="s">
        <v>16753</v>
      </c>
    </row>
    <row r="8859">
      <c r="A8859" s="311">
        <v>8858</v>
      </c>
      <c r="B8859" s="396" t="s">
        <v>16898</v>
      </c>
      <c r="C8859" s="396" t="s">
        <v>2807</v>
      </c>
      <c r="D8859" s="396" t="s">
        <v>16889</v>
      </c>
      <c r="E8859" s="396" t="s">
        <v>16890</v>
      </c>
      <c r="F8859" s="396" t="s">
        <v>16753</v>
      </c>
    </row>
    <row r="8860">
      <c r="A8860" s="311">
        <v>8859</v>
      </c>
      <c r="B8860" s="396" t="s">
        <v>16899</v>
      </c>
      <c r="C8860" s="396" t="s">
        <v>16900</v>
      </c>
      <c r="D8860" s="396" t="s">
        <v>16889</v>
      </c>
      <c r="E8860" s="396" t="s">
        <v>16890</v>
      </c>
      <c r="F8860" s="396" t="s">
        <v>16753</v>
      </c>
    </row>
    <row r="8861">
      <c r="A8861" s="311">
        <v>8860</v>
      </c>
      <c r="B8861" s="396" t="s">
        <v>16901</v>
      </c>
      <c r="C8861" s="396" t="s">
        <v>16902</v>
      </c>
      <c r="D8861" s="396" t="s">
        <v>16889</v>
      </c>
      <c r="E8861" s="396" t="s">
        <v>16890</v>
      </c>
      <c r="F8861" s="396" t="s">
        <v>16753</v>
      </c>
    </row>
    <row r="8862">
      <c r="A8862" s="311">
        <v>8861</v>
      </c>
      <c r="B8862" s="396" t="s">
        <v>16903</v>
      </c>
      <c r="C8862" s="396" t="s">
        <v>16904</v>
      </c>
      <c r="D8862" s="396" t="s">
        <v>16889</v>
      </c>
      <c r="E8862" s="396" t="s">
        <v>16890</v>
      </c>
      <c r="F8862" s="396" t="s">
        <v>16753</v>
      </c>
    </row>
    <row r="8863">
      <c r="A8863" s="311">
        <v>8862</v>
      </c>
      <c r="B8863" s="396" t="s">
        <v>16905</v>
      </c>
      <c r="C8863" s="396" t="s">
        <v>16906</v>
      </c>
      <c r="D8863" s="396" t="s">
        <v>16907</v>
      </c>
      <c r="E8863" s="396" t="s">
        <v>16908</v>
      </c>
      <c r="F8863" s="396" t="s">
        <v>16753</v>
      </c>
    </row>
    <row r="8864">
      <c r="A8864" s="311">
        <v>8863</v>
      </c>
      <c r="B8864" s="396" t="s">
        <v>16909</v>
      </c>
      <c r="C8864" s="396" t="s">
        <v>16910</v>
      </c>
      <c r="D8864" s="396" t="s">
        <v>16907</v>
      </c>
      <c r="E8864" s="396" t="s">
        <v>16908</v>
      </c>
      <c r="F8864" s="396" t="s">
        <v>16753</v>
      </c>
    </row>
    <row r="8865">
      <c r="A8865" s="311">
        <v>8864</v>
      </c>
      <c r="B8865" s="396" t="s">
        <v>16911</v>
      </c>
      <c r="C8865" s="396" t="s">
        <v>16912</v>
      </c>
      <c r="D8865" s="396" t="s">
        <v>16907</v>
      </c>
      <c r="E8865" s="396" t="s">
        <v>16908</v>
      </c>
      <c r="F8865" s="396" t="s">
        <v>16753</v>
      </c>
    </row>
    <row r="8866">
      <c r="A8866" s="311">
        <v>8865</v>
      </c>
      <c r="B8866" s="396" t="s">
        <v>16913</v>
      </c>
      <c r="C8866" s="396" t="s">
        <v>16641</v>
      </c>
      <c r="D8866" s="396" t="s">
        <v>16907</v>
      </c>
      <c r="E8866" s="396" t="s">
        <v>16908</v>
      </c>
      <c r="F8866" s="396" t="s">
        <v>16753</v>
      </c>
    </row>
    <row r="8867">
      <c r="A8867" s="311">
        <v>8866</v>
      </c>
      <c r="B8867" s="396" t="s">
        <v>16914</v>
      </c>
      <c r="C8867" s="396" t="s">
        <v>5209</v>
      </c>
      <c r="D8867" s="396" t="s">
        <v>16907</v>
      </c>
      <c r="E8867" s="396" t="s">
        <v>16908</v>
      </c>
      <c r="F8867" s="396" t="s">
        <v>16753</v>
      </c>
    </row>
    <row r="8868">
      <c r="A8868" s="311">
        <v>8867</v>
      </c>
      <c r="B8868" s="396" t="s">
        <v>16915</v>
      </c>
      <c r="C8868" s="396" t="s">
        <v>16916</v>
      </c>
      <c r="D8868" s="396" t="s">
        <v>16907</v>
      </c>
      <c r="E8868" s="396" t="s">
        <v>16908</v>
      </c>
      <c r="F8868" s="396" t="s">
        <v>16753</v>
      </c>
    </row>
    <row r="8869">
      <c r="A8869" s="311">
        <v>8868</v>
      </c>
      <c r="B8869" s="396" t="s">
        <v>16917</v>
      </c>
      <c r="C8869" s="396" t="s">
        <v>16918</v>
      </c>
      <c r="D8869" s="396" t="s">
        <v>16907</v>
      </c>
      <c r="E8869" s="396" t="s">
        <v>16908</v>
      </c>
      <c r="F8869" s="396" t="s">
        <v>16753</v>
      </c>
    </row>
    <row r="8870">
      <c r="A8870" s="311">
        <v>8869</v>
      </c>
      <c r="B8870" s="396" t="s">
        <v>16919</v>
      </c>
      <c r="C8870" s="396" t="s">
        <v>13660</v>
      </c>
      <c r="D8870" s="396" t="s">
        <v>16907</v>
      </c>
      <c r="E8870" s="396" t="s">
        <v>16908</v>
      </c>
      <c r="F8870" s="396" t="s">
        <v>16753</v>
      </c>
    </row>
    <row r="8871">
      <c r="A8871" s="311">
        <v>8870</v>
      </c>
      <c r="B8871" s="396" t="s">
        <v>16920</v>
      </c>
      <c r="C8871" s="396" t="s">
        <v>16921</v>
      </c>
      <c r="D8871" s="396" t="s">
        <v>16907</v>
      </c>
      <c r="E8871" s="396" t="s">
        <v>16908</v>
      </c>
      <c r="F8871" s="396" t="s">
        <v>16753</v>
      </c>
    </row>
    <row r="8872">
      <c r="A8872" s="311">
        <v>8871</v>
      </c>
      <c r="B8872" s="396" t="s">
        <v>16922</v>
      </c>
      <c r="C8872" s="396" t="s">
        <v>6720</v>
      </c>
      <c r="D8872" s="396" t="s">
        <v>16907</v>
      </c>
      <c r="E8872" s="396" t="s">
        <v>16908</v>
      </c>
      <c r="F8872" s="396" t="s">
        <v>16753</v>
      </c>
    </row>
    <row r="8873">
      <c r="A8873" s="311">
        <v>8872</v>
      </c>
      <c r="B8873" s="396" t="s">
        <v>16923</v>
      </c>
      <c r="C8873" s="396" t="s">
        <v>16924</v>
      </c>
      <c r="D8873" s="396" t="s">
        <v>16907</v>
      </c>
      <c r="E8873" s="396" t="s">
        <v>16908</v>
      </c>
      <c r="F8873" s="396" t="s">
        <v>16753</v>
      </c>
    </row>
    <row r="8874">
      <c r="A8874" s="311">
        <v>8873</v>
      </c>
      <c r="B8874" s="396" t="s">
        <v>16925</v>
      </c>
      <c r="C8874" s="396" t="s">
        <v>16926</v>
      </c>
      <c r="D8874" s="396" t="s">
        <v>16927</v>
      </c>
      <c r="E8874" s="396" t="s">
        <v>16928</v>
      </c>
      <c r="F8874" s="396" t="s">
        <v>16929</v>
      </c>
    </row>
    <row r="8875">
      <c r="A8875" s="311">
        <v>8874</v>
      </c>
      <c r="B8875" s="396" t="s">
        <v>16930</v>
      </c>
      <c r="C8875" s="396" t="s">
        <v>16931</v>
      </c>
      <c r="D8875" s="396" t="s">
        <v>16927</v>
      </c>
      <c r="E8875" s="396" t="s">
        <v>16928</v>
      </c>
      <c r="F8875" s="396" t="s">
        <v>16929</v>
      </c>
    </row>
    <row r="8876">
      <c r="A8876" s="311">
        <v>8875</v>
      </c>
      <c r="B8876" s="396" t="s">
        <v>16932</v>
      </c>
      <c r="C8876" s="396" t="s">
        <v>16933</v>
      </c>
      <c r="D8876" s="396" t="s">
        <v>16927</v>
      </c>
      <c r="E8876" s="396" t="s">
        <v>16928</v>
      </c>
      <c r="F8876" s="396" t="s">
        <v>16929</v>
      </c>
    </row>
    <row r="8877">
      <c r="A8877" s="311">
        <v>8876</v>
      </c>
      <c r="B8877" s="396" t="s">
        <v>16934</v>
      </c>
      <c r="C8877" s="396" t="s">
        <v>12730</v>
      </c>
      <c r="D8877" s="396" t="s">
        <v>16927</v>
      </c>
      <c r="E8877" s="396" t="s">
        <v>16928</v>
      </c>
      <c r="F8877" s="396" t="s">
        <v>16929</v>
      </c>
    </row>
    <row r="8878">
      <c r="A8878" s="311">
        <v>8877</v>
      </c>
      <c r="B8878" s="396" t="s">
        <v>16935</v>
      </c>
      <c r="C8878" s="396" t="s">
        <v>16936</v>
      </c>
      <c r="D8878" s="396" t="s">
        <v>16927</v>
      </c>
      <c r="E8878" s="396" t="s">
        <v>16928</v>
      </c>
      <c r="F8878" s="396" t="s">
        <v>16929</v>
      </c>
    </row>
    <row r="8879">
      <c r="A8879" s="311">
        <v>8878</v>
      </c>
      <c r="B8879" s="396" t="s">
        <v>16937</v>
      </c>
      <c r="C8879" s="396" t="s">
        <v>16938</v>
      </c>
      <c r="D8879" s="396" t="s">
        <v>16927</v>
      </c>
      <c r="E8879" s="396" t="s">
        <v>16928</v>
      </c>
      <c r="F8879" s="396" t="s">
        <v>16929</v>
      </c>
    </row>
    <row r="8880">
      <c r="A8880" s="311">
        <v>8879</v>
      </c>
      <c r="B8880" s="396" t="s">
        <v>16939</v>
      </c>
      <c r="C8880" s="396" t="s">
        <v>16940</v>
      </c>
      <c r="D8880" s="396" t="s">
        <v>16927</v>
      </c>
      <c r="E8880" s="396" t="s">
        <v>16928</v>
      </c>
      <c r="F8880" s="396" t="s">
        <v>16929</v>
      </c>
    </row>
    <row r="8881">
      <c r="A8881" s="311">
        <v>8880</v>
      </c>
      <c r="B8881" s="396" t="s">
        <v>16941</v>
      </c>
      <c r="C8881" s="396" t="s">
        <v>16942</v>
      </c>
      <c r="D8881" s="396" t="s">
        <v>16927</v>
      </c>
      <c r="E8881" s="396" t="s">
        <v>16928</v>
      </c>
      <c r="F8881" s="396" t="s">
        <v>16929</v>
      </c>
    </row>
    <row r="8882">
      <c r="A8882" s="311">
        <v>8881</v>
      </c>
      <c r="B8882" s="396" t="s">
        <v>16943</v>
      </c>
      <c r="C8882" s="396" t="s">
        <v>16944</v>
      </c>
      <c r="D8882" s="396" t="s">
        <v>16927</v>
      </c>
      <c r="E8882" s="396" t="s">
        <v>16928</v>
      </c>
      <c r="F8882" s="396" t="s">
        <v>16929</v>
      </c>
    </row>
    <row r="8883">
      <c r="A8883" s="311">
        <v>8882</v>
      </c>
      <c r="B8883" s="396" t="s">
        <v>16945</v>
      </c>
      <c r="C8883" s="396" t="s">
        <v>16946</v>
      </c>
      <c r="D8883" s="396" t="s">
        <v>16927</v>
      </c>
      <c r="E8883" s="396" t="s">
        <v>16928</v>
      </c>
      <c r="F8883" s="396" t="s">
        <v>16929</v>
      </c>
    </row>
    <row r="8884">
      <c r="A8884" s="311">
        <v>8883</v>
      </c>
      <c r="B8884" s="396" t="s">
        <v>16947</v>
      </c>
      <c r="C8884" s="396" t="s">
        <v>3855</v>
      </c>
      <c r="D8884" s="396" t="s">
        <v>16927</v>
      </c>
      <c r="E8884" s="396" t="s">
        <v>16928</v>
      </c>
      <c r="F8884" s="396" t="s">
        <v>16929</v>
      </c>
    </row>
    <row r="8885">
      <c r="A8885" s="311">
        <v>8884</v>
      </c>
      <c r="B8885" s="396" t="s">
        <v>16948</v>
      </c>
      <c r="C8885" s="396" t="s">
        <v>16949</v>
      </c>
      <c r="D8885" s="396" t="s">
        <v>16927</v>
      </c>
      <c r="E8885" s="396" t="s">
        <v>16928</v>
      </c>
      <c r="F8885" s="396" t="s">
        <v>16929</v>
      </c>
    </row>
    <row r="8886">
      <c r="A8886" s="311">
        <v>8885</v>
      </c>
      <c r="B8886" s="396" t="s">
        <v>16950</v>
      </c>
      <c r="C8886" s="396" t="s">
        <v>16951</v>
      </c>
      <c r="D8886" s="396" t="s">
        <v>16927</v>
      </c>
      <c r="E8886" s="396" t="s">
        <v>16928</v>
      </c>
      <c r="F8886" s="396" t="s">
        <v>16929</v>
      </c>
    </row>
    <row r="8887">
      <c r="A8887" s="311">
        <v>8886</v>
      </c>
      <c r="B8887" s="396" t="s">
        <v>16952</v>
      </c>
      <c r="C8887" s="396" t="s">
        <v>16953</v>
      </c>
      <c r="D8887" s="396" t="s">
        <v>16927</v>
      </c>
      <c r="E8887" s="396" t="s">
        <v>16928</v>
      </c>
      <c r="F8887" s="396" t="s">
        <v>16929</v>
      </c>
    </row>
    <row r="8888">
      <c r="A8888" s="311">
        <v>8887</v>
      </c>
      <c r="B8888" s="396" t="s">
        <v>16954</v>
      </c>
      <c r="C8888" s="396" t="s">
        <v>16955</v>
      </c>
      <c r="D8888" s="396" t="s">
        <v>16956</v>
      </c>
      <c r="E8888" s="396" t="s">
        <v>16957</v>
      </c>
      <c r="F8888" s="396" t="s">
        <v>16929</v>
      </c>
    </row>
    <row r="8889">
      <c r="A8889" s="311">
        <v>8888</v>
      </c>
      <c r="B8889" s="396" t="s">
        <v>16958</v>
      </c>
      <c r="C8889" s="396" t="s">
        <v>16959</v>
      </c>
      <c r="D8889" s="396" t="s">
        <v>16956</v>
      </c>
      <c r="E8889" s="396" t="s">
        <v>16957</v>
      </c>
      <c r="F8889" s="396" t="s">
        <v>16929</v>
      </c>
    </row>
    <row r="8890">
      <c r="A8890" s="311">
        <v>8889</v>
      </c>
      <c r="B8890" s="396" t="s">
        <v>16960</v>
      </c>
      <c r="C8890" s="396" t="s">
        <v>16961</v>
      </c>
      <c r="D8890" s="396" t="s">
        <v>16956</v>
      </c>
      <c r="E8890" s="396" t="s">
        <v>16957</v>
      </c>
      <c r="F8890" s="396" t="s">
        <v>16929</v>
      </c>
    </row>
    <row r="8891">
      <c r="A8891" s="311">
        <v>8890</v>
      </c>
      <c r="B8891" s="396" t="s">
        <v>16962</v>
      </c>
      <c r="C8891" s="396" t="s">
        <v>296</v>
      </c>
      <c r="D8891" s="396" t="s">
        <v>16956</v>
      </c>
      <c r="E8891" s="396" t="s">
        <v>16957</v>
      </c>
      <c r="F8891" s="396" t="s">
        <v>16929</v>
      </c>
    </row>
    <row r="8892">
      <c r="A8892" s="311">
        <v>8891</v>
      </c>
      <c r="B8892" s="396" t="s">
        <v>16963</v>
      </c>
      <c r="C8892" s="396" t="s">
        <v>16964</v>
      </c>
      <c r="D8892" s="396" t="s">
        <v>16956</v>
      </c>
      <c r="E8892" s="396" t="s">
        <v>16957</v>
      </c>
      <c r="F8892" s="396" t="s">
        <v>16929</v>
      </c>
    </row>
    <row r="8893">
      <c r="A8893" s="311">
        <v>8892</v>
      </c>
      <c r="B8893" s="396" t="s">
        <v>16965</v>
      </c>
      <c r="C8893" s="396" t="s">
        <v>10824</v>
      </c>
      <c r="D8893" s="396" t="s">
        <v>16956</v>
      </c>
      <c r="E8893" s="396" t="s">
        <v>16957</v>
      </c>
      <c r="F8893" s="396" t="s">
        <v>16929</v>
      </c>
    </row>
    <row r="8894">
      <c r="A8894" s="311">
        <v>8893</v>
      </c>
      <c r="B8894" s="396" t="s">
        <v>16966</v>
      </c>
      <c r="C8894" s="396" t="s">
        <v>16967</v>
      </c>
      <c r="D8894" s="396" t="s">
        <v>16956</v>
      </c>
      <c r="E8894" s="396" t="s">
        <v>16957</v>
      </c>
      <c r="F8894" s="396" t="s">
        <v>16929</v>
      </c>
    </row>
    <row r="8895">
      <c r="A8895" s="311">
        <v>8894</v>
      </c>
      <c r="B8895" s="396" t="s">
        <v>16968</v>
      </c>
      <c r="C8895" s="396" t="s">
        <v>16969</v>
      </c>
      <c r="D8895" s="396" t="s">
        <v>16970</v>
      </c>
      <c r="E8895" s="396" t="s">
        <v>16971</v>
      </c>
      <c r="F8895" s="396" t="s">
        <v>16929</v>
      </c>
    </row>
    <row r="8896">
      <c r="A8896" s="311">
        <v>8895</v>
      </c>
      <c r="B8896" s="396" t="s">
        <v>16972</v>
      </c>
      <c r="C8896" s="396" t="s">
        <v>5196</v>
      </c>
      <c r="D8896" s="396" t="s">
        <v>16970</v>
      </c>
      <c r="E8896" s="396" t="s">
        <v>16971</v>
      </c>
      <c r="F8896" s="396" t="s">
        <v>16929</v>
      </c>
    </row>
    <row r="8897">
      <c r="A8897" s="311">
        <v>8896</v>
      </c>
      <c r="B8897" s="396" t="s">
        <v>16973</v>
      </c>
      <c r="C8897" s="396" t="s">
        <v>16974</v>
      </c>
      <c r="D8897" s="396" t="s">
        <v>16970</v>
      </c>
      <c r="E8897" s="396" t="s">
        <v>16971</v>
      </c>
      <c r="F8897" s="396" t="s">
        <v>16929</v>
      </c>
    </row>
    <row r="8898">
      <c r="A8898" s="311">
        <v>8897</v>
      </c>
      <c r="B8898" s="396" t="s">
        <v>16975</v>
      </c>
      <c r="C8898" s="396" t="s">
        <v>1115</v>
      </c>
      <c r="D8898" s="396" t="s">
        <v>16970</v>
      </c>
      <c r="E8898" s="396" t="s">
        <v>16971</v>
      </c>
      <c r="F8898" s="396" t="s">
        <v>16929</v>
      </c>
    </row>
    <row r="8899">
      <c r="A8899" s="311">
        <v>8898</v>
      </c>
      <c r="B8899" s="396" t="s">
        <v>16976</v>
      </c>
      <c r="C8899" s="396" t="s">
        <v>16977</v>
      </c>
      <c r="D8899" s="396" t="s">
        <v>16970</v>
      </c>
      <c r="E8899" s="396" t="s">
        <v>16971</v>
      </c>
      <c r="F8899" s="396" t="s">
        <v>16929</v>
      </c>
    </row>
    <row r="8900">
      <c r="A8900" s="311">
        <v>8899</v>
      </c>
      <c r="B8900" s="396" t="s">
        <v>16978</v>
      </c>
      <c r="C8900" s="396" t="s">
        <v>16979</v>
      </c>
      <c r="D8900" s="396" t="s">
        <v>16970</v>
      </c>
      <c r="E8900" s="396" t="s">
        <v>16971</v>
      </c>
      <c r="F8900" s="396" t="s">
        <v>16929</v>
      </c>
    </row>
    <row r="8901">
      <c r="A8901" s="311">
        <v>8900</v>
      </c>
      <c r="B8901" s="396" t="s">
        <v>16980</v>
      </c>
      <c r="C8901" s="396" t="s">
        <v>10116</v>
      </c>
      <c r="D8901" s="396" t="s">
        <v>16970</v>
      </c>
      <c r="E8901" s="396" t="s">
        <v>16971</v>
      </c>
      <c r="F8901" s="396" t="s">
        <v>16929</v>
      </c>
    </row>
    <row r="8902">
      <c r="A8902" s="311">
        <v>8901</v>
      </c>
      <c r="B8902" s="396" t="s">
        <v>16981</v>
      </c>
      <c r="C8902" s="396" t="s">
        <v>16982</v>
      </c>
      <c r="D8902" s="396" t="s">
        <v>16970</v>
      </c>
      <c r="E8902" s="396" t="s">
        <v>16971</v>
      </c>
      <c r="F8902" s="396" t="s">
        <v>16929</v>
      </c>
    </row>
    <row r="8903">
      <c r="A8903" s="311">
        <v>8902</v>
      </c>
      <c r="B8903" s="396" t="s">
        <v>16983</v>
      </c>
      <c r="C8903" s="396" t="s">
        <v>5961</v>
      </c>
      <c r="D8903" s="396" t="s">
        <v>16970</v>
      </c>
      <c r="E8903" s="396" t="s">
        <v>16971</v>
      </c>
      <c r="F8903" s="396" t="s">
        <v>16929</v>
      </c>
    </row>
    <row r="8904">
      <c r="A8904" s="311">
        <v>8903</v>
      </c>
      <c r="B8904" s="396" t="s">
        <v>16984</v>
      </c>
      <c r="C8904" s="396" t="s">
        <v>16745</v>
      </c>
      <c r="D8904" s="396" t="s">
        <v>16970</v>
      </c>
      <c r="E8904" s="396" t="s">
        <v>16971</v>
      </c>
      <c r="F8904" s="396" t="s">
        <v>16929</v>
      </c>
    </row>
    <row r="8905">
      <c r="A8905" s="311">
        <v>8904</v>
      </c>
      <c r="B8905" s="396" t="s">
        <v>16985</v>
      </c>
      <c r="C8905" s="396" t="s">
        <v>3059</v>
      </c>
      <c r="D8905" s="396" t="s">
        <v>16970</v>
      </c>
      <c r="E8905" s="396" t="s">
        <v>16971</v>
      </c>
      <c r="F8905" s="396" t="s">
        <v>16929</v>
      </c>
    </row>
    <row r="8906">
      <c r="A8906" s="311">
        <v>8905</v>
      </c>
      <c r="B8906" s="396" t="s">
        <v>16986</v>
      </c>
      <c r="C8906" s="396" t="s">
        <v>16987</v>
      </c>
      <c r="D8906" s="396" t="s">
        <v>16970</v>
      </c>
      <c r="E8906" s="396" t="s">
        <v>16971</v>
      </c>
      <c r="F8906" s="396" t="s">
        <v>16929</v>
      </c>
    </row>
    <row r="8907">
      <c r="A8907" s="311">
        <v>8906</v>
      </c>
      <c r="B8907" s="396" t="s">
        <v>16988</v>
      </c>
      <c r="C8907" s="396" t="s">
        <v>16989</v>
      </c>
      <c r="D8907" s="396" t="s">
        <v>16990</v>
      </c>
      <c r="E8907" s="396" t="s">
        <v>16991</v>
      </c>
      <c r="F8907" s="396" t="s">
        <v>16929</v>
      </c>
    </row>
    <row r="8908">
      <c r="A8908" s="311">
        <v>8907</v>
      </c>
      <c r="B8908" s="396" t="s">
        <v>16992</v>
      </c>
      <c r="C8908" s="396" t="s">
        <v>16993</v>
      </c>
      <c r="D8908" s="396" t="s">
        <v>16990</v>
      </c>
      <c r="E8908" s="396" t="s">
        <v>16991</v>
      </c>
      <c r="F8908" s="396" t="s">
        <v>16929</v>
      </c>
    </row>
    <row r="8909">
      <c r="A8909" s="311">
        <v>8908</v>
      </c>
      <c r="B8909" s="396" t="s">
        <v>16994</v>
      </c>
      <c r="C8909" s="396" t="s">
        <v>16995</v>
      </c>
      <c r="D8909" s="396" t="s">
        <v>16990</v>
      </c>
      <c r="E8909" s="396" t="s">
        <v>16991</v>
      </c>
      <c r="F8909" s="396" t="s">
        <v>16929</v>
      </c>
    </row>
    <row r="8910">
      <c r="A8910" s="311">
        <v>8909</v>
      </c>
      <c r="B8910" s="396" t="s">
        <v>16996</v>
      </c>
      <c r="C8910" s="396" t="s">
        <v>16997</v>
      </c>
      <c r="D8910" s="396" t="s">
        <v>16990</v>
      </c>
      <c r="E8910" s="396" t="s">
        <v>16991</v>
      </c>
      <c r="F8910" s="396" t="s">
        <v>16929</v>
      </c>
    </row>
    <row r="8911">
      <c r="A8911" s="311">
        <v>8910</v>
      </c>
      <c r="B8911" s="396" t="s">
        <v>16998</v>
      </c>
      <c r="C8911" s="396" t="s">
        <v>16999</v>
      </c>
      <c r="D8911" s="396" t="s">
        <v>16990</v>
      </c>
      <c r="E8911" s="396" t="s">
        <v>16991</v>
      </c>
      <c r="F8911" s="396" t="s">
        <v>16929</v>
      </c>
    </row>
    <row r="8912">
      <c r="A8912" s="311">
        <v>8911</v>
      </c>
      <c r="B8912" s="396" t="s">
        <v>17000</v>
      </c>
      <c r="C8912" s="396" t="s">
        <v>17001</v>
      </c>
      <c r="D8912" s="396" t="s">
        <v>16990</v>
      </c>
      <c r="E8912" s="396" t="s">
        <v>16991</v>
      </c>
      <c r="F8912" s="396" t="s">
        <v>16929</v>
      </c>
    </row>
    <row r="8913">
      <c r="A8913" s="311">
        <v>8912</v>
      </c>
      <c r="B8913" s="396" t="s">
        <v>17002</v>
      </c>
      <c r="C8913" s="396" t="s">
        <v>17003</v>
      </c>
      <c r="D8913" s="396" t="s">
        <v>16990</v>
      </c>
      <c r="E8913" s="396" t="s">
        <v>16991</v>
      </c>
      <c r="F8913" s="396" t="s">
        <v>16929</v>
      </c>
    </row>
    <row r="8914">
      <c r="A8914" s="311">
        <v>8913</v>
      </c>
      <c r="B8914" s="396" t="s">
        <v>17004</v>
      </c>
      <c r="C8914" s="396" t="s">
        <v>12831</v>
      </c>
      <c r="D8914" s="396" t="s">
        <v>16990</v>
      </c>
      <c r="E8914" s="396" t="s">
        <v>16991</v>
      </c>
      <c r="F8914" s="396" t="s">
        <v>16929</v>
      </c>
    </row>
    <row r="8915">
      <c r="A8915" s="311">
        <v>8914</v>
      </c>
      <c r="B8915" s="396" t="s">
        <v>17005</v>
      </c>
      <c r="C8915" s="396" t="s">
        <v>17006</v>
      </c>
      <c r="D8915" s="396" t="s">
        <v>17007</v>
      </c>
      <c r="E8915" s="396" t="s">
        <v>17008</v>
      </c>
      <c r="F8915" s="396" t="s">
        <v>16929</v>
      </c>
    </row>
    <row r="8916">
      <c r="A8916" s="311">
        <v>8915</v>
      </c>
      <c r="B8916" s="396" t="s">
        <v>17009</v>
      </c>
      <c r="C8916" s="396" t="s">
        <v>17010</v>
      </c>
      <c r="D8916" s="396" t="s">
        <v>17007</v>
      </c>
      <c r="E8916" s="396" t="s">
        <v>17008</v>
      </c>
      <c r="F8916" s="396" t="s">
        <v>16929</v>
      </c>
    </row>
    <row r="8917">
      <c r="A8917" s="311">
        <v>8916</v>
      </c>
      <c r="B8917" s="396" t="s">
        <v>17011</v>
      </c>
      <c r="C8917" s="396" t="s">
        <v>17012</v>
      </c>
      <c r="D8917" s="396" t="s">
        <v>17007</v>
      </c>
      <c r="E8917" s="396" t="s">
        <v>17008</v>
      </c>
      <c r="F8917" s="396" t="s">
        <v>16929</v>
      </c>
    </row>
    <row r="8918">
      <c r="A8918" s="311">
        <v>8917</v>
      </c>
      <c r="B8918" s="396" t="s">
        <v>17013</v>
      </c>
      <c r="C8918" s="396" t="s">
        <v>7857</v>
      </c>
      <c r="D8918" s="396" t="s">
        <v>17007</v>
      </c>
      <c r="E8918" s="396" t="s">
        <v>17008</v>
      </c>
      <c r="F8918" s="396" t="s">
        <v>16929</v>
      </c>
    </row>
    <row r="8919">
      <c r="A8919" s="311">
        <v>8918</v>
      </c>
      <c r="B8919" s="396" t="s">
        <v>17014</v>
      </c>
      <c r="C8919" s="396" t="s">
        <v>17015</v>
      </c>
      <c r="D8919" s="396" t="s">
        <v>17007</v>
      </c>
      <c r="E8919" s="396" t="s">
        <v>17008</v>
      </c>
      <c r="F8919" s="396" t="s">
        <v>16929</v>
      </c>
    </row>
    <row r="8920">
      <c r="A8920" s="311">
        <v>8919</v>
      </c>
      <c r="B8920" s="396" t="s">
        <v>17016</v>
      </c>
      <c r="C8920" s="396" t="s">
        <v>3923</v>
      </c>
      <c r="D8920" s="396" t="s">
        <v>17007</v>
      </c>
      <c r="E8920" s="396" t="s">
        <v>17008</v>
      </c>
      <c r="F8920" s="396" t="s">
        <v>16929</v>
      </c>
    </row>
    <row r="8921">
      <c r="A8921" s="311">
        <v>8920</v>
      </c>
      <c r="B8921" s="396" t="s">
        <v>17017</v>
      </c>
      <c r="C8921" s="396" t="s">
        <v>5732</v>
      </c>
      <c r="D8921" s="396" t="s">
        <v>17007</v>
      </c>
      <c r="E8921" s="396" t="s">
        <v>17008</v>
      </c>
      <c r="F8921" s="396" t="s">
        <v>16929</v>
      </c>
    </row>
    <row r="8922">
      <c r="A8922" s="311">
        <v>8921</v>
      </c>
      <c r="B8922" s="396" t="s">
        <v>17018</v>
      </c>
      <c r="C8922" s="396" t="s">
        <v>17019</v>
      </c>
      <c r="D8922" s="396" t="s">
        <v>17007</v>
      </c>
      <c r="E8922" s="396" t="s">
        <v>17008</v>
      </c>
      <c r="F8922" s="396" t="s">
        <v>16929</v>
      </c>
    </row>
    <row r="8923">
      <c r="A8923" s="311">
        <v>8922</v>
      </c>
      <c r="B8923" s="396" t="s">
        <v>17020</v>
      </c>
      <c r="C8923" s="396" t="s">
        <v>2462</v>
      </c>
      <c r="D8923" s="396" t="s">
        <v>17007</v>
      </c>
      <c r="E8923" s="396" t="s">
        <v>17008</v>
      </c>
      <c r="F8923" s="396" t="s">
        <v>16929</v>
      </c>
    </row>
    <row r="8924">
      <c r="A8924" s="311">
        <v>8923</v>
      </c>
      <c r="B8924" s="396" t="s">
        <v>17021</v>
      </c>
      <c r="C8924" s="396" t="s">
        <v>7534</v>
      </c>
      <c r="D8924" s="396" t="s">
        <v>17007</v>
      </c>
      <c r="E8924" s="396" t="s">
        <v>17008</v>
      </c>
      <c r="F8924" s="396" t="s">
        <v>16929</v>
      </c>
    </row>
    <row r="8925">
      <c r="A8925" s="311">
        <v>8924</v>
      </c>
      <c r="B8925" s="396" t="s">
        <v>17022</v>
      </c>
      <c r="C8925" s="396" t="s">
        <v>13384</v>
      </c>
      <c r="D8925" s="396" t="s">
        <v>17007</v>
      </c>
      <c r="E8925" s="396" t="s">
        <v>17008</v>
      </c>
      <c r="F8925" s="396" t="s">
        <v>16929</v>
      </c>
    </row>
    <row r="8926">
      <c r="A8926" s="311">
        <v>8925</v>
      </c>
      <c r="B8926" s="396" t="s">
        <v>17023</v>
      </c>
      <c r="C8926" s="396" t="s">
        <v>17024</v>
      </c>
      <c r="D8926" s="396" t="s">
        <v>17025</v>
      </c>
      <c r="E8926" s="396" t="s">
        <v>17026</v>
      </c>
      <c r="F8926" s="396" t="s">
        <v>16929</v>
      </c>
    </row>
    <row r="8927">
      <c r="A8927" s="311">
        <v>8926</v>
      </c>
      <c r="B8927" s="396" t="s">
        <v>17027</v>
      </c>
      <c r="C8927" s="396" t="s">
        <v>17028</v>
      </c>
      <c r="D8927" s="396" t="s">
        <v>17025</v>
      </c>
      <c r="E8927" s="396" t="s">
        <v>17026</v>
      </c>
      <c r="F8927" s="396" t="s">
        <v>16929</v>
      </c>
    </row>
    <row r="8928">
      <c r="A8928" s="311">
        <v>8927</v>
      </c>
      <c r="B8928" s="396" t="s">
        <v>17029</v>
      </c>
      <c r="C8928" s="396" t="s">
        <v>10080</v>
      </c>
      <c r="D8928" s="396" t="s">
        <v>17025</v>
      </c>
      <c r="E8928" s="396" t="s">
        <v>17026</v>
      </c>
      <c r="F8928" s="396" t="s">
        <v>16929</v>
      </c>
    </row>
    <row r="8929">
      <c r="A8929" s="311">
        <v>8928</v>
      </c>
      <c r="B8929" s="396" t="s">
        <v>17030</v>
      </c>
      <c r="C8929" s="396" t="s">
        <v>17031</v>
      </c>
      <c r="D8929" s="396" t="s">
        <v>17025</v>
      </c>
      <c r="E8929" s="396" t="s">
        <v>17026</v>
      </c>
      <c r="F8929" s="396" t="s">
        <v>16929</v>
      </c>
    </row>
    <row r="8930">
      <c r="A8930" s="311">
        <v>8929</v>
      </c>
      <c r="B8930" s="396" t="s">
        <v>17032</v>
      </c>
      <c r="C8930" s="396" t="s">
        <v>17033</v>
      </c>
      <c r="D8930" s="396" t="s">
        <v>17025</v>
      </c>
      <c r="E8930" s="396" t="s">
        <v>17026</v>
      </c>
      <c r="F8930" s="396" t="s">
        <v>16929</v>
      </c>
    </row>
    <row r="8931">
      <c r="A8931" s="311">
        <v>8930</v>
      </c>
      <c r="B8931" s="396" t="s">
        <v>17034</v>
      </c>
      <c r="C8931" s="396" t="s">
        <v>17035</v>
      </c>
      <c r="D8931" s="396" t="s">
        <v>17025</v>
      </c>
      <c r="E8931" s="396" t="s">
        <v>17026</v>
      </c>
      <c r="F8931" s="396" t="s">
        <v>16929</v>
      </c>
    </row>
    <row r="8932">
      <c r="A8932" s="311">
        <v>8931</v>
      </c>
      <c r="B8932" s="396" t="s">
        <v>17036</v>
      </c>
      <c r="C8932" s="396" t="s">
        <v>17037</v>
      </c>
      <c r="D8932" s="396" t="s">
        <v>17025</v>
      </c>
      <c r="E8932" s="396" t="s">
        <v>17026</v>
      </c>
      <c r="F8932" s="396" t="s">
        <v>16929</v>
      </c>
    </row>
    <row r="8933">
      <c r="A8933" s="311">
        <v>8932</v>
      </c>
      <c r="B8933" s="396" t="s">
        <v>17038</v>
      </c>
      <c r="C8933" s="396" t="s">
        <v>1948</v>
      </c>
      <c r="D8933" s="396" t="s">
        <v>17025</v>
      </c>
      <c r="E8933" s="396" t="s">
        <v>17026</v>
      </c>
      <c r="F8933" s="396" t="s">
        <v>16929</v>
      </c>
    </row>
    <row r="8934">
      <c r="A8934" s="311">
        <v>8933</v>
      </c>
      <c r="B8934" s="396" t="s">
        <v>17039</v>
      </c>
      <c r="C8934" s="396" t="s">
        <v>17040</v>
      </c>
      <c r="D8934" s="396" t="s">
        <v>17025</v>
      </c>
      <c r="E8934" s="396" t="s">
        <v>17026</v>
      </c>
      <c r="F8934" s="396" t="s">
        <v>16929</v>
      </c>
    </row>
    <row r="8935">
      <c r="A8935" s="311">
        <v>8934</v>
      </c>
      <c r="B8935" s="396" t="s">
        <v>17041</v>
      </c>
      <c r="C8935" s="396" t="s">
        <v>17042</v>
      </c>
      <c r="D8935" s="396" t="s">
        <v>17025</v>
      </c>
      <c r="E8935" s="396" t="s">
        <v>17026</v>
      </c>
      <c r="F8935" s="396" t="s">
        <v>16929</v>
      </c>
    </row>
    <row r="8936">
      <c r="A8936" s="311">
        <v>8935</v>
      </c>
      <c r="B8936" s="396" t="s">
        <v>17043</v>
      </c>
      <c r="C8936" s="396" t="s">
        <v>17044</v>
      </c>
      <c r="D8936" s="396" t="s">
        <v>17025</v>
      </c>
      <c r="E8936" s="396" t="s">
        <v>17026</v>
      </c>
      <c r="F8936" s="396" t="s">
        <v>16929</v>
      </c>
    </row>
    <row r="8937">
      <c r="A8937" s="311">
        <v>8936</v>
      </c>
      <c r="B8937" s="396" t="s">
        <v>17045</v>
      </c>
      <c r="C8937" s="396" t="s">
        <v>17046</v>
      </c>
      <c r="D8937" s="396" t="s">
        <v>17025</v>
      </c>
      <c r="E8937" s="396" t="s">
        <v>17026</v>
      </c>
      <c r="F8937" s="396" t="s">
        <v>16929</v>
      </c>
    </row>
    <row r="8938">
      <c r="A8938" s="311">
        <v>8937</v>
      </c>
      <c r="B8938" s="396" t="s">
        <v>17047</v>
      </c>
      <c r="C8938" s="396" t="s">
        <v>17048</v>
      </c>
      <c r="D8938" s="396" t="s">
        <v>17049</v>
      </c>
      <c r="E8938" s="396" t="s">
        <v>17050</v>
      </c>
      <c r="F8938" s="396" t="s">
        <v>16929</v>
      </c>
    </row>
    <row r="8939">
      <c r="A8939" s="311">
        <v>8938</v>
      </c>
      <c r="B8939" s="396" t="s">
        <v>17051</v>
      </c>
      <c r="C8939" s="396" t="s">
        <v>7149</v>
      </c>
      <c r="D8939" s="396" t="s">
        <v>17049</v>
      </c>
      <c r="E8939" s="396" t="s">
        <v>17050</v>
      </c>
      <c r="F8939" s="396" t="s">
        <v>16929</v>
      </c>
    </row>
    <row r="8940">
      <c r="A8940" s="311">
        <v>8939</v>
      </c>
      <c r="B8940" s="396" t="s">
        <v>17052</v>
      </c>
      <c r="C8940" s="396" t="s">
        <v>17053</v>
      </c>
      <c r="D8940" s="396" t="s">
        <v>17049</v>
      </c>
      <c r="E8940" s="396" t="s">
        <v>17050</v>
      </c>
      <c r="F8940" s="396" t="s">
        <v>16929</v>
      </c>
    </row>
    <row r="8941">
      <c r="A8941" s="311">
        <v>8940</v>
      </c>
      <c r="B8941" s="396" t="s">
        <v>17054</v>
      </c>
      <c r="C8941" s="396" t="s">
        <v>17055</v>
      </c>
      <c r="D8941" s="396" t="s">
        <v>17049</v>
      </c>
      <c r="E8941" s="396" t="s">
        <v>17050</v>
      </c>
      <c r="F8941" s="396" t="s">
        <v>16929</v>
      </c>
    </row>
    <row r="8942">
      <c r="A8942" s="311">
        <v>8941</v>
      </c>
      <c r="B8942" s="396" t="s">
        <v>17056</v>
      </c>
      <c r="C8942" s="396" t="s">
        <v>17057</v>
      </c>
      <c r="D8942" s="396" t="s">
        <v>17049</v>
      </c>
      <c r="E8942" s="396" t="s">
        <v>17050</v>
      </c>
      <c r="F8942" s="396" t="s">
        <v>16929</v>
      </c>
    </row>
    <row r="8943">
      <c r="A8943" s="311">
        <v>8942</v>
      </c>
      <c r="B8943" s="396" t="s">
        <v>17058</v>
      </c>
      <c r="C8943" s="396" t="s">
        <v>17059</v>
      </c>
      <c r="D8943" s="396" t="s">
        <v>17049</v>
      </c>
      <c r="E8943" s="396" t="s">
        <v>17050</v>
      </c>
      <c r="F8943" s="396" t="s">
        <v>16929</v>
      </c>
    </row>
    <row r="8944">
      <c r="A8944" s="311">
        <v>8943</v>
      </c>
      <c r="B8944" s="396" t="s">
        <v>17060</v>
      </c>
      <c r="C8944" s="396" t="s">
        <v>15365</v>
      </c>
      <c r="D8944" s="396" t="s">
        <v>17049</v>
      </c>
      <c r="E8944" s="396" t="s">
        <v>17050</v>
      </c>
      <c r="F8944" s="396" t="s">
        <v>16929</v>
      </c>
    </row>
    <row r="8945">
      <c r="A8945" s="311">
        <v>8944</v>
      </c>
      <c r="B8945" s="396" t="s">
        <v>17061</v>
      </c>
      <c r="C8945" s="396" t="s">
        <v>17062</v>
      </c>
      <c r="D8945" s="396" t="s">
        <v>17063</v>
      </c>
      <c r="E8945" s="396" t="s">
        <v>17064</v>
      </c>
      <c r="F8945" s="396" t="s">
        <v>16929</v>
      </c>
    </row>
    <row r="8946">
      <c r="A8946" s="311">
        <v>8945</v>
      </c>
      <c r="B8946" s="396" t="s">
        <v>17065</v>
      </c>
      <c r="C8946" s="396" t="s">
        <v>17066</v>
      </c>
      <c r="D8946" s="396" t="s">
        <v>17063</v>
      </c>
      <c r="E8946" s="396" t="s">
        <v>17064</v>
      </c>
      <c r="F8946" s="396" t="s">
        <v>16929</v>
      </c>
    </row>
    <row r="8947">
      <c r="A8947" s="311">
        <v>8946</v>
      </c>
      <c r="B8947" s="396" t="s">
        <v>17067</v>
      </c>
      <c r="C8947" s="396" t="s">
        <v>17068</v>
      </c>
      <c r="D8947" s="396" t="s">
        <v>17063</v>
      </c>
      <c r="E8947" s="396" t="s">
        <v>17064</v>
      </c>
      <c r="F8947" s="396" t="s">
        <v>16929</v>
      </c>
    </row>
    <row r="8948">
      <c r="A8948" s="311">
        <v>8947</v>
      </c>
      <c r="B8948" s="396" t="s">
        <v>17069</v>
      </c>
      <c r="C8948" s="396" t="s">
        <v>17070</v>
      </c>
      <c r="D8948" s="396" t="s">
        <v>17063</v>
      </c>
      <c r="E8948" s="396" t="s">
        <v>17064</v>
      </c>
      <c r="F8948" s="396" t="s">
        <v>16929</v>
      </c>
    </row>
    <row r="8949">
      <c r="A8949" s="311">
        <v>8948</v>
      </c>
      <c r="B8949" s="396" t="s">
        <v>17071</v>
      </c>
      <c r="C8949" s="396" t="s">
        <v>13138</v>
      </c>
      <c r="D8949" s="396" t="s">
        <v>17063</v>
      </c>
      <c r="E8949" s="396" t="s">
        <v>17064</v>
      </c>
      <c r="F8949" s="396" t="s">
        <v>16929</v>
      </c>
    </row>
    <row r="8950">
      <c r="A8950" s="311">
        <v>8949</v>
      </c>
      <c r="B8950" s="396" t="s">
        <v>17072</v>
      </c>
      <c r="C8950" s="396" t="s">
        <v>17073</v>
      </c>
      <c r="D8950" s="396" t="s">
        <v>17063</v>
      </c>
      <c r="E8950" s="396" t="s">
        <v>17064</v>
      </c>
      <c r="F8950" s="396" t="s">
        <v>16929</v>
      </c>
    </row>
    <row r="8951">
      <c r="A8951" s="311">
        <v>8950</v>
      </c>
      <c r="B8951" s="396" t="s">
        <v>17074</v>
      </c>
      <c r="C8951" s="396" t="s">
        <v>7224</v>
      </c>
      <c r="D8951" s="396" t="s">
        <v>17063</v>
      </c>
      <c r="E8951" s="396" t="s">
        <v>17064</v>
      </c>
      <c r="F8951" s="396" t="s">
        <v>16929</v>
      </c>
    </row>
    <row r="8952">
      <c r="A8952" s="311">
        <v>8951</v>
      </c>
      <c r="B8952" s="396" t="s">
        <v>17075</v>
      </c>
      <c r="C8952" s="396" t="s">
        <v>17076</v>
      </c>
      <c r="D8952" s="396" t="s">
        <v>17063</v>
      </c>
      <c r="E8952" s="396" t="s">
        <v>17064</v>
      </c>
      <c r="F8952" s="396" t="s">
        <v>16929</v>
      </c>
    </row>
    <row r="8953">
      <c r="A8953" s="311">
        <v>8952</v>
      </c>
      <c r="B8953" s="396" t="s">
        <v>17077</v>
      </c>
      <c r="C8953" s="396" t="s">
        <v>17078</v>
      </c>
      <c r="D8953" s="396" t="s">
        <v>17063</v>
      </c>
      <c r="E8953" s="396" t="s">
        <v>17064</v>
      </c>
      <c r="F8953" s="396" t="s">
        <v>16929</v>
      </c>
    </row>
    <row r="8954">
      <c r="A8954" s="311">
        <v>8953</v>
      </c>
      <c r="B8954" s="396" t="s">
        <v>17079</v>
      </c>
      <c r="C8954" s="396" t="s">
        <v>17080</v>
      </c>
      <c r="D8954" s="396" t="s">
        <v>17063</v>
      </c>
      <c r="E8954" s="396" t="s">
        <v>17064</v>
      </c>
      <c r="F8954" s="396" t="s">
        <v>16929</v>
      </c>
    </row>
    <row r="8955">
      <c r="A8955" s="311">
        <v>8954</v>
      </c>
      <c r="B8955" s="396" t="s">
        <v>17081</v>
      </c>
      <c r="C8955" s="396" t="s">
        <v>17082</v>
      </c>
      <c r="D8955" s="396" t="s">
        <v>17083</v>
      </c>
      <c r="E8955" s="396" t="s">
        <v>17084</v>
      </c>
      <c r="F8955" s="396" t="s">
        <v>16929</v>
      </c>
    </row>
    <row r="8956">
      <c r="A8956" s="311">
        <v>8955</v>
      </c>
      <c r="B8956" s="396" t="s">
        <v>17085</v>
      </c>
      <c r="C8956" s="396" t="s">
        <v>13689</v>
      </c>
      <c r="D8956" s="396" t="s">
        <v>17083</v>
      </c>
      <c r="E8956" s="396" t="s">
        <v>17084</v>
      </c>
      <c r="F8956" s="396" t="s">
        <v>16929</v>
      </c>
    </row>
    <row r="8957">
      <c r="A8957" s="311">
        <v>8956</v>
      </c>
      <c r="B8957" s="396" t="s">
        <v>17086</v>
      </c>
      <c r="C8957" s="396" t="s">
        <v>5492</v>
      </c>
      <c r="D8957" s="396" t="s">
        <v>17083</v>
      </c>
      <c r="E8957" s="396" t="s">
        <v>17084</v>
      </c>
      <c r="F8957" s="396" t="s">
        <v>16929</v>
      </c>
    </row>
    <row r="8958">
      <c r="A8958" s="311">
        <v>8957</v>
      </c>
      <c r="B8958" s="396" t="s">
        <v>17087</v>
      </c>
      <c r="C8958" s="396" t="s">
        <v>752</v>
      </c>
      <c r="D8958" s="396" t="s">
        <v>17083</v>
      </c>
      <c r="E8958" s="396" t="s">
        <v>17084</v>
      </c>
      <c r="F8958" s="396" t="s">
        <v>16929</v>
      </c>
    </row>
    <row r="8959">
      <c r="A8959" s="311">
        <v>8958</v>
      </c>
      <c r="B8959" s="396" t="s">
        <v>17088</v>
      </c>
      <c r="C8959" s="396" t="s">
        <v>1552</v>
      </c>
      <c r="D8959" s="396" t="s">
        <v>17083</v>
      </c>
      <c r="E8959" s="396" t="s">
        <v>17084</v>
      </c>
      <c r="F8959" s="396" t="s">
        <v>16929</v>
      </c>
    </row>
    <row r="8960">
      <c r="A8960" s="311">
        <v>8959</v>
      </c>
      <c r="B8960" s="396" t="s">
        <v>17089</v>
      </c>
      <c r="C8960" s="396" t="s">
        <v>17090</v>
      </c>
      <c r="D8960" s="396" t="s">
        <v>17083</v>
      </c>
      <c r="E8960" s="396" t="s">
        <v>17084</v>
      </c>
      <c r="F8960" s="396" t="s">
        <v>16929</v>
      </c>
    </row>
    <row r="8961">
      <c r="A8961" s="311">
        <v>8960</v>
      </c>
      <c r="B8961" s="396" t="s">
        <v>17091</v>
      </c>
      <c r="C8961" s="396" t="s">
        <v>17092</v>
      </c>
      <c r="D8961" s="396" t="s">
        <v>17083</v>
      </c>
      <c r="E8961" s="396" t="s">
        <v>17084</v>
      </c>
      <c r="F8961" s="396" t="s">
        <v>16929</v>
      </c>
    </row>
    <row r="8962">
      <c r="A8962" s="311">
        <v>8961</v>
      </c>
      <c r="B8962" s="396" t="s">
        <v>17093</v>
      </c>
      <c r="C8962" s="396" t="s">
        <v>17094</v>
      </c>
      <c r="D8962" s="396" t="s">
        <v>17083</v>
      </c>
      <c r="E8962" s="396" t="s">
        <v>17084</v>
      </c>
      <c r="F8962" s="396" t="s">
        <v>16929</v>
      </c>
    </row>
    <row r="8963">
      <c r="A8963" s="311">
        <v>8962</v>
      </c>
      <c r="B8963" s="396" t="s">
        <v>17095</v>
      </c>
      <c r="C8963" s="396" t="s">
        <v>2358</v>
      </c>
      <c r="D8963" s="396" t="s">
        <v>17083</v>
      </c>
      <c r="E8963" s="396" t="s">
        <v>17084</v>
      </c>
      <c r="F8963" s="396" t="s">
        <v>16929</v>
      </c>
    </row>
    <row r="8964">
      <c r="A8964" s="311">
        <v>8963</v>
      </c>
      <c r="B8964" s="396" t="s">
        <v>17096</v>
      </c>
      <c r="C8964" s="396" t="s">
        <v>17097</v>
      </c>
      <c r="D8964" s="396" t="s">
        <v>17083</v>
      </c>
      <c r="E8964" s="396" t="s">
        <v>17084</v>
      </c>
      <c r="F8964" s="396" t="s">
        <v>16929</v>
      </c>
    </row>
    <row r="8965">
      <c r="A8965" s="311">
        <v>8964</v>
      </c>
      <c r="B8965" s="396" t="s">
        <v>17098</v>
      </c>
      <c r="C8965" s="396" t="s">
        <v>17099</v>
      </c>
      <c r="D8965" s="396" t="s">
        <v>17100</v>
      </c>
      <c r="E8965" s="396" t="s">
        <v>17101</v>
      </c>
      <c r="F8965" s="396" t="s">
        <v>17102</v>
      </c>
    </row>
    <row r="8966">
      <c r="A8966" s="311">
        <v>8965</v>
      </c>
      <c r="B8966" s="396" t="s">
        <v>17103</v>
      </c>
      <c r="C8966" s="396" t="s">
        <v>3174</v>
      </c>
      <c r="D8966" s="396" t="s">
        <v>17100</v>
      </c>
      <c r="E8966" s="396" t="s">
        <v>17101</v>
      </c>
      <c r="F8966" s="396" t="s">
        <v>17102</v>
      </c>
    </row>
    <row r="8967">
      <c r="A8967" s="311">
        <v>8966</v>
      </c>
      <c r="B8967" s="396" t="s">
        <v>17104</v>
      </c>
      <c r="C8967" s="396" t="s">
        <v>17105</v>
      </c>
      <c r="D8967" s="396" t="s">
        <v>17100</v>
      </c>
      <c r="E8967" s="396" t="s">
        <v>17101</v>
      </c>
      <c r="F8967" s="396" t="s">
        <v>17102</v>
      </c>
    </row>
    <row r="8968">
      <c r="A8968" s="311">
        <v>8967</v>
      </c>
      <c r="B8968" s="396" t="s">
        <v>17106</v>
      </c>
      <c r="C8968" s="396" t="s">
        <v>17107</v>
      </c>
      <c r="D8968" s="396" t="s">
        <v>17100</v>
      </c>
      <c r="E8968" s="396" t="s">
        <v>17101</v>
      </c>
      <c r="F8968" s="396" t="s">
        <v>17102</v>
      </c>
    </row>
    <row r="8969">
      <c r="A8969" s="311">
        <v>8968</v>
      </c>
      <c r="B8969" s="396" t="s">
        <v>17108</v>
      </c>
      <c r="C8969" s="396" t="s">
        <v>4175</v>
      </c>
      <c r="D8969" s="396" t="s">
        <v>17100</v>
      </c>
      <c r="E8969" s="396" t="s">
        <v>17101</v>
      </c>
      <c r="F8969" s="396" t="s">
        <v>17102</v>
      </c>
    </row>
    <row r="8970">
      <c r="A8970" s="311">
        <v>8969</v>
      </c>
      <c r="B8970" s="396" t="s">
        <v>17109</v>
      </c>
      <c r="C8970" s="396" t="s">
        <v>17033</v>
      </c>
      <c r="D8970" s="396" t="s">
        <v>17100</v>
      </c>
      <c r="E8970" s="396" t="s">
        <v>17101</v>
      </c>
      <c r="F8970" s="396" t="s">
        <v>17102</v>
      </c>
    </row>
    <row r="8971">
      <c r="A8971" s="311">
        <v>8970</v>
      </c>
      <c r="B8971" s="396" t="s">
        <v>17110</v>
      </c>
      <c r="C8971" s="396" t="s">
        <v>17111</v>
      </c>
      <c r="D8971" s="396" t="s">
        <v>17100</v>
      </c>
      <c r="E8971" s="396" t="s">
        <v>17101</v>
      </c>
      <c r="F8971" s="396" t="s">
        <v>17102</v>
      </c>
    </row>
    <row r="8972">
      <c r="A8972" s="311">
        <v>8971</v>
      </c>
      <c r="B8972" s="396" t="s">
        <v>17112</v>
      </c>
      <c r="C8972" s="396" t="s">
        <v>15788</v>
      </c>
      <c r="D8972" s="396" t="s">
        <v>17100</v>
      </c>
      <c r="E8972" s="396" t="s">
        <v>17101</v>
      </c>
      <c r="F8972" s="396" t="s">
        <v>17102</v>
      </c>
    </row>
    <row r="8973">
      <c r="A8973" s="311">
        <v>8972</v>
      </c>
      <c r="B8973" s="396" t="s">
        <v>17113</v>
      </c>
      <c r="C8973" s="396" t="s">
        <v>17114</v>
      </c>
      <c r="D8973" s="396" t="s">
        <v>17100</v>
      </c>
      <c r="E8973" s="396" t="s">
        <v>17101</v>
      </c>
      <c r="F8973" s="396" t="s">
        <v>17102</v>
      </c>
    </row>
    <row r="8974">
      <c r="A8974" s="311">
        <v>8973</v>
      </c>
      <c r="B8974" s="396" t="s">
        <v>17115</v>
      </c>
      <c r="C8974" s="396" t="s">
        <v>17116</v>
      </c>
      <c r="D8974" s="396" t="s">
        <v>17100</v>
      </c>
      <c r="E8974" s="396" t="s">
        <v>17101</v>
      </c>
      <c r="F8974" s="396" t="s">
        <v>17102</v>
      </c>
    </row>
    <row r="8975">
      <c r="A8975" s="311">
        <v>8974</v>
      </c>
      <c r="B8975" s="396" t="s">
        <v>17117</v>
      </c>
      <c r="C8975" s="396" t="s">
        <v>4567</v>
      </c>
      <c r="D8975" s="396" t="s">
        <v>17100</v>
      </c>
      <c r="E8975" s="396" t="s">
        <v>17101</v>
      </c>
      <c r="F8975" s="396" t="s">
        <v>17102</v>
      </c>
    </row>
    <row r="8976">
      <c r="A8976" s="311">
        <v>8975</v>
      </c>
      <c r="B8976" s="396" t="s">
        <v>17118</v>
      </c>
      <c r="C8976" s="396" t="s">
        <v>242</v>
      </c>
      <c r="D8976" s="396" t="s">
        <v>17100</v>
      </c>
      <c r="E8976" s="396" t="s">
        <v>17101</v>
      </c>
      <c r="F8976" s="396" t="s">
        <v>17102</v>
      </c>
    </row>
    <row r="8977">
      <c r="A8977" s="311">
        <v>8976</v>
      </c>
      <c r="B8977" s="396" t="s">
        <v>17119</v>
      </c>
      <c r="C8977" s="396" t="s">
        <v>2579</v>
      </c>
      <c r="D8977" s="396" t="s">
        <v>17100</v>
      </c>
      <c r="E8977" s="396" t="s">
        <v>17101</v>
      </c>
      <c r="F8977" s="396" t="s">
        <v>17102</v>
      </c>
    </row>
    <row r="8978">
      <c r="A8978" s="311">
        <v>8977</v>
      </c>
      <c r="B8978" s="396" t="s">
        <v>17120</v>
      </c>
      <c r="C8978" s="396" t="s">
        <v>17121</v>
      </c>
      <c r="D8978" s="396" t="s">
        <v>17100</v>
      </c>
      <c r="E8978" s="396" t="s">
        <v>17101</v>
      </c>
      <c r="F8978" s="396" t="s">
        <v>17102</v>
      </c>
    </row>
    <row r="8979">
      <c r="A8979" s="311">
        <v>8978</v>
      </c>
      <c r="B8979" s="396" t="s">
        <v>17122</v>
      </c>
      <c r="C8979" s="396" t="s">
        <v>17123</v>
      </c>
      <c r="D8979" s="396" t="s">
        <v>17100</v>
      </c>
      <c r="E8979" s="396" t="s">
        <v>17101</v>
      </c>
      <c r="F8979" s="396" t="s">
        <v>17102</v>
      </c>
    </row>
    <row r="8980">
      <c r="A8980" s="311">
        <v>8979</v>
      </c>
      <c r="B8980" s="396" t="s">
        <v>17124</v>
      </c>
      <c r="C8980" s="396" t="s">
        <v>15387</v>
      </c>
      <c r="D8980" s="396" t="s">
        <v>17100</v>
      </c>
      <c r="E8980" s="396" t="s">
        <v>17101</v>
      </c>
      <c r="F8980" s="396" t="s">
        <v>17102</v>
      </c>
    </row>
    <row r="8981">
      <c r="A8981" s="311">
        <v>8980</v>
      </c>
      <c r="B8981" s="396" t="s">
        <v>17125</v>
      </c>
      <c r="C8981" s="396" t="s">
        <v>3169</v>
      </c>
      <c r="D8981" s="396" t="s">
        <v>17100</v>
      </c>
      <c r="E8981" s="396" t="s">
        <v>17101</v>
      </c>
      <c r="F8981" s="396" t="s">
        <v>17102</v>
      </c>
    </row>
    <row r="8982">
      <c r="A8982" s="311">
        <v>8981</v>
      </c>
      <c r="B8982" s="396" t="s">
        <v>17126</v>
      </c>
      <c r="C8982" s="396" t="s">
        <v>2898</v>
      </c>
      <c r="D8982" s="396" t="s">
        <v>17100</v>
      </c>
      <c r="E8982" s="396" t="s">
        <v>17101</v>
      </c>
      <c r="F8982" s="396" t="s">
        <v>17102</v>
      </c>
    </row>
    <row r="8983">
      <c r="A8983" s="311">
        <v>8982</v>
      </c>
      <c r="B8983" s="396" t="s">
        <v>17127</v>
      </c>
      <c r="C8983" s="396" t="s">
        <v>17128</v>
      </c>
      <c r="D8983" s="396" t="s">
        <v>17100</v>
      </c>
      <c r="E8983" s="396" t="s">
        <v>17101</v>
      </c>
      <c r="F8983" s="396" t="s">
        <v>17102</v>
      </c>
    </row>
    <row r="8984">
      <c r="A8984" s="311">
        <v>8983</v>
      </c>
      <c r="B8984" s="396" t="s">
        <v>17129</v>
      </c>
      <c r="C8984" s="396" t="s">
        <v>15365</v>
      </c>
      <c r="D8984" s="396" t="s">
        <v>17100</v>
      </c>
      <c r="E8984" s="396" t="s">
        <v>17101</v>
      </c>
      <c r="F8984" s="396" t="s">
        <v>17102</v>
      </c>
    </row>
    <row r="8985">
      <c r="A8985" s="311">
        <v>8984</v>
      </c>
      <c r="B8985" s="396" t="s">
        <v>17130</v>
      </c>
      <c r="C8985" s="396" t="s">
        <v>17131</v>
      </c>
      <c r="D8985" s="396" t="s">
        <v>17100</v>
      </c>
      <c r="E8985" s="396" t="s">
        <v>17101</v>
      </c>
      <c r="F8985" s="396" t="s">
        <v>17102</v>
      </c>
    </row>
    <row r="8986">
      <c r="A8986" s="311">
        <v>8985</v>
      </c>
      <c r="B8986" s="396" t="s">
        <v>17132</v>
      </c>
      <c r="C8986" s="396" t="s">
        <v>17133</v>
      </c>
      <c r="D8986" s="396" t="s">
        <v>17100</v>
      </c>
      <c r="E8986" s="396" t="s">
        <v>17101</v>
      </c>
      <c r="F8986" s="396" t="s">
        <v>17102</v>
      </c>
    </row>
    <row r="8987">
      <c r="A8987" s="311">
        <v>8986</v>
      </c>
      <c r="B8987" s="396" t="s">
        <v>17134</v>
      </c>
      <c r="C8987" s="396" t="s">
        <v>17135</v>
      </c>
      <c r="D8987" s="396" t="s">
        <v>17100</v>
      </c>
      <c r="E8987" s="396" t="s">
        <v>17101</v>
      </c>
      <c r="F8987" s="396" t="s">
        <v>17102</v>
      </c>
    </row>
    <row r="8988">
      <c r="A8988" s="311">
        <v>8987</v>
      </c>
      <c r="B8988" s="396" t="s">
        <v>17136</v>
      </c>
      <c r="C8988" s="396" t="s">
        <v>17137</v>
      </c>
      <c r="D8988" s="396" t="s">
        <v>17100</v>
      </c>
      <c r="E8988" s="396" t="s">
        <v>17101</v>
      </c>
      <c r="F8988" s="396" t="s">
        <v>17102</v>
      </c>
    </row>
    <row r="8989">
      <c r="A8989" s="311">
        <v>8988</v>
      </c>
      <c r="B8989" s="396" t="s">
        <v>17138</v>
      </c>
      <c r="C8989" s="396" t="s">
        <v>5648</v>
      </c>
      <c r="D8989" s="396" t="s">
        <v>17100</v>
      </c>
      <c r="E8989" s="396" t="s">
        <v>17101</v>
      </c>
      <c r="F8989" s="396" t="s">
        <v>17102</v>
      </c>
    </row>
    <row r="8990">
      <c r="A8990" s="311">
        <v>8989</v>
      </c>
      <c r="B8990" s="396" t="s">
        <v>17139</v>
      </c>
      <c r="C8990" s="396" t="s">
        <v>17140</v>
      </c>
      <c r="D8990" s="396" t="s">
        <v>17100</v>
      </c>
      <c r="E8990" s="396" t="s">
        <v>17101</v>
      </c>
      <c r="F8990" s="396" t="s">
        <v>17102</v>
      </c>
    </row>
    <row r="8991">
      <c r="A8991" s="311">
        <v>8990</v>
      </c>
      <c r="B8991" s="396" t="s">
        <v>17141</v>
      </c>
      <c r="C8991" s="396" t="s">
        <v>6720</v>
      </c>
      <c r="D8991" s="396" t="s">
        <v>17100</v>
      </c>
      <c r="E8991" s="396" t="s">
        <v>17101</v>
      </c>
      <c r="F8991" s="396" t="s">
        <v>17102</v>
      </c>
    </row>
    <row r="8992">
      <c r="A8992" s="311">
        <v>8991</v>
      </c>
      <c r="B8992" s="396" t="s">
        <v>17142</v>
      </c>
      <c r="C8992" s="396" t="s">
        <v>13586</v>
      </c>
      <c r="D8992" s="396" t="s">
        <v>17100</v>
      </c>
      <c r="E8992" s="396" t="s">
        <v>17101</v>
      </c>
      <c r="F8992" s="396" t="s">
        <v>17102</v>
      </c>
    </row>
    <row r="8993">
      <c r="A8993" s="311">
        <v>8992</v>
      </c>
      <c r="B8993" s="396" t="s">
        <v>17143</v>
      </c>
      <c r="C8993" s="396" t="s">
        <v>14372</v>
      </c>
      <c r="D8993" s="396" t="s">
        <v>17100</v>
      </c>
      <c r="E8993" s="396" t="s">
        <v>17101</v>
      </c>
      <c r="F8993" s="396" t="s">
        <v>17102</v>
      </c>
    </row>
    <row r="8994">
      <c r="A8994" s="311">
        <v>8993</v>
      </c>
      <c r="B8994" s="396" t="s">
        <v>17144</v>
      </c>
      <c r="C8994" s="396" t="s">
        <v>8054</v>
      </c>
      <c r="D8994" s="396" t="s">
        <v>17100</v>
      </c>
      <c r="E8994" s="396" t="s">
        <v>17101</v>
      </c>
      <c r="F8994" s="396" t="s">
        <v>17102</v>
      </c>
    </row>
    <row r="8995">
      <c r="A8995" s="311">
        <v>8994</v>
      </c>
      <c r="B8995" s="396" t="s">
        <v>17145</v>
      </c>
      <c r="C8995" s="396" t="s">
        <v>17146</v>
      </c>
      <c r="D8995" s="396" t="s">
        <v>17147</v>
      </c>
      <c r="E8995" s="396" t="s">
        <v>17148</v>
      </c>
      <c r="F8995" s="396" t="s">
        <v>17102</v>
      </c>
    </row>
    <row r="8996">
      <c r="A8996" s="311">
        <v>8995</v>
      </c>
      <c r="B8996" s="396" t="s">
        <v>17149</v>
      </c>
      <c r="C8996" s="396" t="s">
        <v>17150</v>
      </c>
      <c r="D8996" s="396" t="s">
        <v>17147</v>
      </c>
      <c r="E8996" s="396" t="s">
        <v>17148</v>
      </c>
      <c r="F8996" s="396" t="s">
        <v>17102</v>
      </c>
    </row>
    <row r="8997">
      <c r="A8997" s="311">
        <v>8996</v>
      </c>
      <c r="B8997" s="396" t="s">
        <v>17151</v>
      </c>
      <c r="C8997" s="396" t="s">
        <v>17152</v>
      </c>
      <c r="D8997" s="396" t="s">
        <v>17147</v>
      </c>
      <c r="E8997" s="396" t="s">
        <v>17148</v>
      </c>
      <c r="F8997" s="396" t="s">
        <v>17102</v>
      </c>
    </row>
    <row r="8998">
      <c r="A8998" s="311">
        <v>8997</v>
      </c>
      <c r="B8998" s="396" t="s">
        <v>17153</v>
      </c>
      <c r="C8998" s="396" t="s">
        <v>14895</v>
      </c>
      <c r="D8998" s="396" t="s">
        <v>17147</v>
      </c>
      <c r="E8998" s="396" t="s">
        <v>17148</v>
      </c>
      <c r="F8998" s="396" t="s">
        <v>17102</v>
      </c>
    </row>
    <row r="8999">
      <c r="A8999" s="311">
        <v>8998</v>
      </c>
      <c r="B8999" s="396" t="s">
        <v>17154</v>
      </c>
      <c r="C8999" s="396" t="s">
        <v>6660</v>
      </c>
      <c r="D8999" s="396" t="s">
        <v>17147</v>
      </c>
      <c r="E8999" s="396" t="s">
        <v>17148</v>
      </c>
      <c r="F8999" s="396" t="s">
        <v>17102</v>
      </c>
    </row>
    <row r="9000">
      <c r="A9000" s="311">
        <v>8999</v>
      </c>
      <c r="B9000" s="396" t="s">
        <v>17155</v>
      </c>
      <c r="C9000" s="396" t="s">
        <v>12716</v>
      </c>
      <c r="D9000" s="396" t="s">
        <v>17147</v>
      </c>
      <c r="E9000" s="396" t="s">
        <v>17148</v>
      </c>
      <c r="F9000" s="396" t="s">
        <v>17102</v>
      </c>
    </row>
    <row r="9001">
      <c r="A9001" s="311">
        <v>9000</v>
      </c>
      <c r="B9001" s="396" t="s">
        <v>17156</v>
      </c>
      <c r="C9001" s="396" t="s">
        <v>12093</v>
      </c>
      <c r="D9001" s="396" t="s">
        <v>17147</v>
      </c>
      <c r="E9001" s="396" t="s">
        <v>17148</v>
      </c>
      <c r="F9001" s="396" t="s">
        <v>17102</v>
      </c>
    </row>
    <row r="9002">
      <c r="A9002" s="311">
        <v>9001</v>
      </c>
      <c r="B9002" s="396" t="s">
        <v>17157</v>
      </c>
      <c r="C9002" s="396" t="s">
        <v>17158</v>
      </c>
      <c r="D9002" s="396" t="s">
        <v>17147</v>
      </c>
      <c r="E9002" s="396" t="s">
        <v>17148</v>
      </c>
      <c r="F9002" s="396" t="s">
        <v>17102</v>
      </c>
    </row>
    <row r="9003">
      <c r="A9003" s="311">
        <v>9002</v>
      </c>
      <c r="B9003" s="396" t="s">
        <v>17159</v>
      </c>
      <c r="C9003" s="396" t="s">
        <v>17160</v>
      </c>
      <c r="D9003" s="396" t="s">
        <v>17147</v>
      </c>
      <c r="E9003" s="396" t="s">
        <v>17148</v>
      </c>
      <c r="F9003" s="396" t="s">
        <v>17102</v>
      </c>
    </row>
    <row r="9004">
      <c r="A9004" s="311">
        <v>9003</v>
      </c>
      <c r="B9004" s="396" t="s">
        <v>17161</v>
      </c>
      <c r="C9004" s="396" t="s">
        <v>17162</v>
      </c>
      <c r="D9004" s="396" t="s">
        <v>17147</v>
      </c>
      <c r="E9004" s="396" t="s">
        <v>17148</v>
      </c>
      <c r="F9004" s="396" t="s">
        <v>17102</v>
      </c>
    </row>
    <row r="9005">
      <c r="A9005" s="311">
        <v>9004</v>
      </c>
      <c r="B9005" s="396" t="s">
        <v>17163</v>
      </c>
      <c r="C9005" s="396" t="s">
        <v>2312</v>
      </c>
      <c r="D9005" s="396" t="s">
        <v>17147</v>
      </c>
      <c r="E9005" s="396" t="s">
        <v>17148</v>
      </c>
      <c r="F9005" s="396" t="s">
        <v>17102</v>
      </c>
    </row>
    <row r="9006">
      <c r="A9006" s="311">
        <v>9005</v>
      </c>
      <c r="B9006" s="396" t="s">
        <v>17164</v>
      </c>
      <c r="C9006" s="396" t="s">
        <v>17165</v>
      </c>
      <c r="D9006" s="396" t="s">
        <v>17147</v>
      </c>
      <c r="E9006" s="396" t="s">
        <v>17148</v>
      </c>
      <c r="F9006" s="396" t="s">
        <v>17102</v>
      </c>
    </row>
    <row r="9007">
      <c r="A9007" s="311">
        <v>9006</v>
      </c>
      <c r="B9007" s="396" t="s">
        <v>17166</v>
      </c>
      <c r="C9007" s="396" t="s">
        <v>17167</v>
      </c>
      <c r="D9007" s="396" t="s">
        <v>17147</v>
      </c>
      <c r="E9007" s="396" t="s">
        <v>17148</v>
      </c>
      <c r="F9007" s="396" t="s">
        <v>17102</v>
      </c>
    </row>
    <row r="9008">
      <c r="A9008" s="311">
        <v>9007</v>
      </c>
      <c r="B9008" s="396" t="s">
        <v>17168</v>
      </c>
      <c r="C9008" s="396" t="s">
        <v>9245</v>
      </c>
      <c r="D9008" s="396" t="s">
        <v>17147</v>
      </c>
      <c r="E9008" s="396" t="s">
        <v>17148</v>
      </c>
      <c r="F9008" s="396" t="s">
        <v>17102</v>
      </c>
    </row>
    <row r="9009">
      <c r="A9009" s="311">
        <v>9008</v>
      </c>
      <c r="B9009" s="396" t="s">
        <v>17169</v>
      </c>
      <c r="C9009" s="396" t="s">
        <v>17170</v>
      </c>
      <c r="D9009" s="396" t="s">
        <v>17147</v>
      </c>
      <c r="E9009" s="396" t="s">
        <v>17148</v>
      </c>
      <c r="F9009" s="396" t="s">
        <v>17102</v>
      </c>
    </row>
    <row r="9010">
      <c r="A9010" s="311">
        <v>9009</v>
      </c>
      <c r="B9010" s="396" t="s">
        <v>17171</v>
      </c>
      <c r="C9010" s="396" t="s">
        <v>16678</v>
      </c>
      <c r="D9010" s="396" t="s">
        <v>17172</v>
      </c>
      <c r="E9010" s="396" t="s">
        <v>17173</v>
      </c>
      <c r="F9010" s="396" t="s">
        <v>17102</v>
      </c>
    </row>
    <row r="9011">
      <c r="A9011" s="311">
        <v>9010</v>
      </c>
      <c r="B9011" s="396" t="s">
        <v>17174</v>
      </c>
      <c r="C9011" s="396" t="s">
        <v>17175</v>
      </c>
      <c r="D9011" s="396" t="s">
        <v>17172</v>
      </c>
      <c r="E9011" s="396" t="s">
        <v>17173</v>
      </c>
      <c r="F9011" s="396" t="s">
        <v>17102</v>
      </c>
    </row>
    <row r="9012">
      <c r="A9012" s="311">
        <v>9011</v>
      </c>
      <c r="B9012" s="396" t="s">
        <v>17176</v>
      </c>
      <c r="C9012" s="396" t="s">
        <v>17177</v>
      </c>
      <c r="D9012" s="396" t="s">
        <v>17172</v>
      </c>
      <c r="E9012" s="396" t="s">
        <v>17173</v>
      </c>
      <c r="F9012" s="396" t="s">
        <v>17102</v>
      </c>
    </row>
    <row r="9013">
      <c r="A9013" s="311">
        <v>9012</v>
      </c>
      <c r="B9013" s="396" t="s">
        <v>17178</v>
      </c>
      <c r="C9013" s="396" t="s">
        <v>12831</v>
      </c>
      <c r="D9013" s="396" t="s">
        <v>17172</v>
      </c>
      <c r="E9013" s="396" t="s">
        <v>17173</v>
      </c>
      <c r="F9013" s="396" t="s">
        <v>17102</v>
      </c>
    </row>
    <row r="9014">
      <c r="A9014" s="311">
        <v>9013</v>
      </c>
      <c r="B9014" s="396" t="s">
        <v>17179</v>
      </c>
      <c r="C9014" s="396" t="s">
        <v>17180</v>
      </c>
      <c r="D9014" s="396" t="s">
        <v>17172</v>
      </c>
      <c r="E9014" s="396" t="s">
        <v>17173</v>
      </c>
      <c r="F9014" s="396" t="s">
        <v>17102</v>
      </c>
    </row>
    <row r="9015">
      <c r="A9015" s="311">
        <v>9014</v>
      </c>
      <c r="B9015" s="396" t="s">
        <v>17181</v>
      </c>
      <c r="C9015" s="396" t="s">
        <v>17182</v>
      </c>
      <c r="D9015" s="396" t="s">
        <v>17172</v>
      </c>
      <c r="E9015" s="396" t="s">
        <v>17173</v>
      </c>
      <c r="F9015" s="396" t="s">
        <v>17102</v>
      </c>
    </row>
    <row r="9016">
      <c r="A9016" s="311">
        <v>9015</v>
      </c>
      <c r="B9016" s="396" t="s">
        <v>17183</v>
      </c>
      <c r="C9016" s="396" t="s">
        <v>17184</v>
      </c>
      <c r="D9016" s="396" t="s">
        <v>17172</v>
      </c>
      <c r="E9016" s="396" t="s">
        <v>17173</v>
      </c>
      <c r="F9016" s="396" t="s">
        <v>17102</v>
      </c>
    </row>
    <row r="9017">
      <c r="A9017" s="311">
        <v>9016</v>
      </c>
      <c r="B9017" s="396" t="s">
        <v>17185</v>
      </c>
      <c r="C9017" s="396" t="s">
        <v>643</v>
      </c>
      <c r="D9017" s="396" t="s">
        <v>17172</v>
      </c>
      <c r="E9017" s="396" t="s">
        <v>17173</v>
      </c>
      <c r="F9017" s="396" t="s">
        <v>17102</v>
      </c>
    </row>
    <row r="9018">
      <c r="A9018" s="311">
        <v>9017</v>
      </c>
      <c r="B9018" s="396" t="s">
        <v>17186</v>
      </c>
      <c r="C9018" s="396" t="s">
        <v>2469</v>
      </c>
      <c r="D9018" s="396" t="s">
        <v>17172</v>
      </c>
      <c r="E9018" s="396" t="s">
        <v>17173</v>
      </c>
      <c r="F9018" s="396" t="s">
        <v>17102</v>
      </c>
    </row>
    <row r="9019">
      <c r="A9019" s="311">
        <v>9018</v>
      </c>
      <c r="B9019" s="396" t="s">
        <v>17187</v>
      </c>
      <c r="C9019" s="396" t="s">
        <v>5178</v>
      </c>
      <c r="D9019" s="396" t="s">
        <v>17172</v>
      </c>
      <c r="E9019" s="396" t="s">
        <v>17173</v>
      </c>
      <c r="F9019" s="396" t="s">
        <v>17102</v>
      </c>
    </row>
    <row r="9020">
      <c r="A9020" s="311">
        <v>9019</v>
      </c>
      <c r="B9020" s="396" t="s">
        <v>17188</v>
      </c>
      <c r="C9020" s="396" t="s">
        <v>16747</v>
      </c>
      <c r="D9020" s="396" t="s">
        <v>17172</v>
      </c>
      <c r="E9020" s="396" t="s">
        <v>17173</v>
      </c>
      <c r="F9020" s="396" t="s">
        <v>17102</v>
      </c>
    </row>
    <row r="9021">
      <c r="A9021" s="311">
        <v>9020</v>
      </c>
      <c r="B9021" s="396" t="s">
        <v>17189</v>
      </c>
      <c r="C9021" s="396" t="s">
        <v>6770</v>
      </c>
      <c r="D9021" s="396" t="s">
        <v>17172</v>
      </c>
      <c r="E9021" s="396" t="s">
        <v>17173</v>
      </c>
      <c r="F9021" s="396" t="s">
        <v>17102</v>
      </c>
    </row>
    <row r="9022">
      <c r="A9022" s="311">
        <v>9021</v>
      </c>
      <c r="B9022" s="396" t="s">
        <v>17190</v>
      </c>
      <c r="C9022" s="396" t="s">
        <v>6355</v>
      </c>
      <c r="D9022" s="396" t="s">
        <v>17172</v>
      </c>
      <c r="E9022" s="396" t="s">
        <v>17173</v>
      </c>
      <c r="F9022" s="396" t="s">
        <v>17102</v>
      </c>
    </row>
    <row r="9023">
      <c r="A9023" s="311">
        <v>9022</v>
      </c>
      <c r="B9023" s="396" t="s">
        <v>17191</v>
      </c>
      <c r="C9023" s="396" t="s">
        <v>2485</v>
      </c>
      <c r="D9023" s="396" t="s">
        <v>17172</v>
      </c>
      <c r="E9023" s="396" t="s">
        <v>17173</v>
      </c>
      <c r="F9023" s="396" t="s">
        <v>17102</v>
      </c>
    </row>
    <row r="9024">
      <c r="A9024" s="311">
        <v>9023</v>
      </c>
      <c r="B9024" s="396" t="s">
        <v>17192</v>
      </c>
      <c r="C9024" s="396" t="s">
        <v>2373</v>
      </c>
      <c r="D9024" s="396" t="s">
        <v>17172</v>
      </c>
      <c r="E9024" s="396" t="s">
        <v>17173</v>
      </c>
      <c r="F9024" s="396" t="s">
        <v>17102</v>
      </c>
    </row>
    <row r="9025">
      <c r="A9025" s="311">
        <v>9024</v>
      </c>
      <c r="B9025" s="396" t="s">
        <v>17193</v>
      </c>
      <c r="C9025" s="396" t="s">
        <v>9770</v>
      </c>
      <c r="D9025" s="396" t="s">
        <v>17172</v>
      </c>
      <c r="E9025" s="396" t="s">
        <v>17173</v>
      </c>
      <c r="F9025" s="396" t="s">
        <v>17102</v>
      </c>
    </row>
    <row r="9026">
      <c r="A9026" s="311">
        <v>9025</v>
      </c>
      <c r="B9026" s="396" t="s">
        <v>17194</v>
      </c>
      <c r="C9026" s="396" t="s">
        <v>17195</v>
      </c>
      <c r="D9026" s="396" t="s">
        <v>17172</v>
      </c>
      <c r="E9026" s="396" t="s">
        <v>17173</v>
      </c>
      <c r="F9026" s="396" t="s">
        <v>17102</v>
      </c>
    </row>
    <row r="9027">
      <c r="A9027" s="311">
        <v>9026</v>
      </c>
      <c r="B9027" s="396" t="s">
        <v>17196</v>
      </c>
      <c r="C9027" s="396" t="s">
        <v>7231</v>
      </c>
      <c r="D9027" s="396" t="s">
        <v>17172</v>
      </c>
      <c r="E9027" s="396" t="s">
        <v>17173</v>
      </c>
      <c r="F9027" s="396" t="s">
        <v>17102</v>
      </c>
    </row>
    <row r="9028">
      <c r="A9028" s="311">
        <v>9027</v>
      </c>
      <c r="B9028" s="396" t="s">
        <v>17197</v>
      </c>
      <c r="C9028" s="396" t="s">
        <v>17198</v>
      </c>
      <c r="D9028" s="396" t="s">
        <v>17199</v>
      </c>
      <c r="E9028" s="396" t="s">
        <v>17200</v>
      </c>
      <c r="F9028" s="396" t="s">
        <v>17102</v>
      </c>
    </row>
    <row r="9029">
      <c r="A9029" s="311">
        <v>9028</v>
      </c>
      <c r="B9029" s="396" t="s">
        <v>17201</v>
      </c>
      <c r="C9029" s="396" t="s">
        <v>17202</v>
      </c>
      <c r="D9029" s="396" t="s">
        <v>17199</v>
      </c>
      <c r="E9029" s="396" t="s">
        <v>17200</v>
      </c>
      <c r="F9029" s="396" t="s">
        <v>17102</v>
      </c>
    </row>
    <row r="9030">
      <c r="A9030" s="311">
        <v>9029</v>
      </c>
      <c r="B9030" s="396" t="s">
        <v>17203</v>
      </c>
      <c r="C9030" s="396" t="s">
        <v>17204</v>
      </c>
      <c r="D9030" s="396" t="s">
        <v>17199</v>
      </c>
      <c r="E9030" s="396" t="s">
        <v>17200</v>
      </c>
      <c r="F9030" s="396" t="s">
        <v>17102</v>
      </c>
    </row>
    <row r="9031">
      <c r="A9031" s="311">
        <v>9030</v>
      </c>
      <c r="B9031" s="396" t="s">
        <v>17205</v>
      </c>
      <c r="C9031" s="396" t="s">
        <v>2366</v>
      </c>
      <c r="D9031" s="396" t="s">
        <v>17199</v>
      </c>
      <c r="E9031" s="396" t="s">
        <v>17200</v>
      </c>
      <c r="F9031" s="396" t="s">
        <v>17102</v>
      </c>
    </row>
    <row r="9032">
      <c r="A9032" s="311">
        <v>9031</v>
      </c>
      <c r="B9032" s="396" t="s">
        <v>17206</v>
      </c>
      <c r="C9032" s="396" t="s">
        <v>10080</v>
      </c>
      <c r="D9032" s="396" t="s">
        <v>17199</v>
      </c>
      <c r="E9032" s="396" t="s">
        <v>17200</v>
      </c>
      <c r="F9032" s="396" t="s">
        <v>17102</v>
      </c>
    </row>
    <row r="9033">
      <c r="A9033" s="311">
        <v>9032</v>
      </c>
      <c r="B9033" s="396" t="s">
        <v>17207</v>
      </c>
      <c r="C9033" s="396" t="s">
        <v>17208</v>
      </c>
      <c r="D9033" s="396" t="s">
        <v>17199</v>
      </c>
      <c r="E9033" s="396" t="s">
        <v>17200</v>
      </c>
      <c r="F9033" s="396" t="s">
        <v>17102</v>
      </c>
    </row>
    <row r="9034">
      <c r="A9034" s="311">
        <v>9033</v>
      </c>
      <c r="B9034" s="396" t="s">
        <v>17209</v>
      </c>
      <c r="C9034" s="396" t="s">
        <v>17210</v>
      </c>
      <c r="D9034" s="396" t="s">
        <v>17199</v>
      </c>
      <c r="E9034" s="396" t="s">
        <v>17200</v>
      </c>
      <c r="F9034" s="396" t="s">
        <v>17102</v>
      </c>
    </row>
    <row r="9035">
      <c r="A9035" s="311">
        <v>9034</v>
      </c>
      <c r="B9035" s="396" t="s">
        <v>17211</v>
      </c>
      <c r="C9035" s="396" t="s">
        <v>17212</v>
      </c>
      <c r="D9035" s="396" t="s">
        <v>17199</v>
      </c>
      <c r="E9035" s="396" t="s">
        <v>17200</v>
      </c>
      <c r="F9035" s="396" t="s">
        <v>17102</v>
      </c>
    </row>
    <row r="9036">
      <c r="A9036" s="311">
        <v>9035</v>
      </c>
      <c r="B9036" s="396" t="s">
        <v>17213</v>
      </c>
      <c r="C9036" s="396" t="s">
        <v>5492</v>
      </c>
      <c r="D9036" s="396" t="s">
        <v>17199</v>
      </c>
      <c r="E9036" s="396" t="s">
        <v>17200</v>
      </c>
      <c r="F9036" s="396" t="s">
        <v>17102</v>
      </c>
    </row>
    <row r="9037">
      <c r="A9037" s="311">
        <v>9036</v>
      </c>
      <c r="B9037" s="396" t="s">
        <v>17214</v>
      </c>
      <c r="C9037" s="396" t="s">
        <v>9282</v>
      </c>
      <c r="D9037" s="396" t="s">
        <v>17199</v>
      </c>
      <c r="E9037" s="396" t="s">
        <v>17200</v>
      </c>
      <c r="F9037" s="396" t="s">
        <v>17102</v>
      </c>
    </row>
    <row r="9038">
      <c r="A9038" s="311">
        <v>9037</v>
      </c>
      <c r="B9038" s="396" t="s">
        <v>17215</v>
      </c>
      <c r="C9038" s="396" t="s">
        <v>17216</v>
      </c>
      <c r="D9038" s="396" t="s">
        <v>17199</v>
      </c>
      <c r="E9038" s="396" t="s">
        <v>17200</v>
      </c>
      <c r="F9038" s="396" t="s">
        <v>17102</v>
      </c>
    </row>
    <row r="9039">
      <c r="A9039" s="311">
        <v>9038</v>
      </c>
      <c r="B9039" s="396" t="s">
        <v>17217</v>
      </c>
      <c r="C9039" s="396" t="s">
        <v>17092</v>
      </c>
      <c r="D9039" s="396" t="s">
        <v>17199</v>
      </c>
      <c r="E9039" s="396" t="s">
        <v>17200</v>
      </c>
      <c r="F9039" s="396" t="s">
        <v>17102</v>
      </c>
    </row>
    <row r="9040">
      <c r="A9040" s="311">
        <v>9039</v>
      </c>
      <c r="B9040" s="396" t="s">
        <v>17218</v>
      </c>
      <c r="C9040" s="396" t="s">
        <v>17219</v>
      </c>
      <c r="D9040" s="396" t="s">
        <v>17220</v>
      </c>
      <c r="E9040" s="396" t="s">
        <v>17221</v>
      </c>
      <c r="F9040" s="396" t="s">
        <v>17102</v>
      </c>
    </row>
    <row r="9041">
      <c r="A9041" s="311">
        <v>9040</v>
      </c>
      <c r="B9041" s="396" t="s">
        <v>17222</v>
      </c>
      <c r="C9041" s="396" t="s">
        <v>5178</v>
      </c>
      <c r="D9041" s="396" t="s">
        <v>17220</v>
      </c>
      <c r="E9041" s="396" t="s">
        <v>17221</v>
      </c>
      <c r="F9041" s="396" t="s">
        <v>17102</v>
      </c>
    </row>
    <row r="9042">
      <c r="A9042" s="311">
        <v>9041</v>
      </c>
      <c r="B9042" s="396" t="s">
        <v>17223</v>
      </c>
      <c r="C9042" s="396" t="s">
        <v>17224</v>
      </c>
      <c r="D9042" s="396" t="s">
        <v>17220</v>
      </c>
      <c r="E9042" s="396" t="s">
        <v>17221</v>
      </c>
      <c r="F9042" s="396" t="s">
        <v>17102</v>
      </c>
    </row>
    <row r="9043">
      <c r="A9043" s="311">
        <v>9042</v>
      </c>
      <c r="B9043" s="396" t="s">
        <v>17225</v>
      </c>
      <c r="C9043" s="396" t="s">
        <v>4373</v>
      </c>
      <c r="D9043" s="396" t="s">
        <v>17220</v>
      </c>
      <c r="E9043" s="396" t="s">
        <v>17221</v>
      </c>
      <c r="F9043" s="396" t="s">
        <v>17102</v>
      </c>
    </row>
    <row r="9044">
      <c r="A9044" s="311">
        <v>9043</v>
      </c>
      <c r="B9044" s="396" t="s">
        <v>17226</v>
      </c>
      <c r="C9044" s="396" t="s">
        <v>17227</v>
      </c>
      <c r="D9044" s="396" t="s">
        <v>17220</v>
      </c>
      <c r="E9044" s="396" t="s">
        <v>17221</v>
      </c>
      <c r="F9044" s="396" t="s">
        <v>17102</v>
      </c>
    </row>
    <row r="9045">
      <c r="A9045" s="311">
        <v>9044</v>
      </c>
      <c r="B9045" s="396" t="s">
        <v>17228</v>
      </c>
      <c r="C9045" s="396" t="s">
        <v>7112</v>
      </c>
      <c r="D9045" s="396" t="s">
        <v>17220</v>
      </c>
      <c r="E9045" s="396" t="s">
        <v>17221</v>
      </c>
      <c r="F9045" s="396" t="s">
        <v>17102</v>
      </c>
    </row>
    <row r="9046">
      <c r="A9046" s="311">
        <v>9045</v>
      </c>
      <c r="B9046" s="396" t="s">
        <v>17229</v>
      </c>
      <c r="C9046" s="396" t="s">
        <v>17230</v>
      </c>
      <c r="D9046" s="396" t="s">
        <v>17220</v>
      </c>
      <c r="E9046" s="396" t="s">
        <v>17221</v>
      </c>
      <c r="F9046" s="396" t="s">
        <v>17102</v>
      </c>
    </row>
    <row r="9047">
      <c r="A9047" s="311">
        <v>9046</v>
      </c>
      <c r="B9047" s="396" t="s">
        <v>17231</v>
      </c>
      <c r="C9047" s="396" t="s">
        <v>17232</v>
      </c>
      <c r="D9047" s="396" t="s">
        <v>17220</v>
      </c>
      <c r="E9047" s="396" t="s">
        <v>17221</v>
      </c>
      <c r="F9047" s="396" t="s">
        <v>17102</v>
      </c>
    </row>
    <row r="9048">
      <c r="A9048" s="311">
        <v>9047</v>
      </c>
      <c r="B9048" s="396" t="s">
        <v>17233</v>
      </c>
      <c r="C9048" s="396" t="s">
        <v>17234</v>
      </c>
      <c r="D9048" s="396" t="s">
        <v>17220</v>
      </c>
      <c r="E9048" s="396" t="s">
        <v>17221</v>
      </c>
      <c r="F9048" s="396" t="s">
        <v>17102</v>
      </c>
    </row>
    <row r="9049">
      <c r="A9049" s="311">
        <v>9048</v>
      </c>
      <c r="B9049" s="396" t="s">
        <v>17235</v>
      </c>
      <c r="C9049" s="396" t="s">
        <v>17236</v>
      </c>
      <c r="D9049" s="396" t="s">
        <v>17220</v>
      </c>
      <c r="E9049" s="396" t="s">
        <v>17221</v>
      </c>
      <c r="F9049" s="396" t="s">
        <v>17102</v>
      </c>
    </row>
    <row r="9050">
      <c r="A9050" s="311">
        <v>9049</v>
      </c>
      <c r="B9050" s="396" t="s">
        <v>17237</v>
      </c>
      <c r="C9050" s="396" t="s">
        <v>328</v>
      </c>
      <c r="D9050" s="396" t="s">
        <v>17220</v>
      </c>
      <c r="E9050" s="396" t="s">
        <v>17221</v>
      </c>
      <c r="F9050" s="396" t="s">
        <v>17102</v>
      </c>
    </row>
    <row r="9051">
      <c r="A9051" s="311">
        <v>9050</v>
      </c>
      <c r="B9051" s="396" t="s">
        <v>17238</v>
      </c>
      <c r="C9051" s="396" t="s">
        <v>17239</v>
      </c>
      <c r="D9051" s="396" t="s">
        <v>17220</v>
      </c>
      <c r="E9051" s="396" t="s">
        <v>17221</v>
      </c>
      <c r="F9051" s="396" t="s">
        <v>17102</v>
      </c>
    </row>
    <row r="9052">
      <c r="A9052" s="311">
        <v>9051</v>
      </c>
      <c r="B9052" s="396" t="s">
        <v>17240</v>
      </c>
      <c r="C9052" s="396" t="s">
        <v>1078</v>
      </c>
      <c r="D9052" s="396" t="s">
        <v>17220</v>
      </c>
      <c r="E9052" s="396" t="s">
        <v>17221</v>
      </c>
      <c r="F9052" s="396" t="s">
        <v>17102</v>
      </c>
    </row>
    <row r="9053">
      <c r="A9053" s="311">
        <v>9052</v>
      </c>
      <c r="B9053" s="396" t="s">
        <v>17241</v>
      </c>
      <c r="C9053" s="396" t="s">
        <v>17242</v>
      </c>
      <c r="D9053" s="396" t="s">
        <v>17220</v>
      </c>
      <c r="E9053" s="396" t="s">
        <v>17221</v>
      </c>
      <c r="F9053" s="396" t="s">
        <v>17102</v>
      </c>
    </row>
    <row r="9054">
      <c r="A9054" s="311">
        <v>9053</v>
      </c>
      <c r="B9054" s="396" t="s">
        <v>17243</v>
      </c>
      <c r="C9054" s="396" t="s">
        <v>17244</v>
      </c>
      <c r="D9054" s="396" t="s">
        <v>17245</v>
      </c>
      <c r="E9054" s="396" t="s">
        <v>17246</v>
      </c>
      <c r="F9054" s="396" t="s">
        <v>17102</v>
      </c>
    </row>
    <row r="9055">
      <c r="A9055" s="311">
        <v>9054</v>
      </c>
      <c r="B9055" s="396" t="s">
        <v>17247</v>
      </c>
      <c r="C9055" s="396" t="s">
        <v>914</v>
      </c>
      <c r="D9055" s="396" t="s">
        <v>17245</v>
      </c>
      <c r="E9055" s="396" t="s">
        <v>17246</v>
      </c>
      <c r="F9055" s="396" t="s">
        <v>17102</v>
      </c>
    </row>
    <row r="9056">
      <c r="A9056" s="311">
        <v>9055</v>
      </c>
      <c r="B9056" s="396" t="s">
        <v>17248</v>
      </c>
      <c r="C9056" s="396" t="s">
        <v>17249</v>
      </c>
      <c r="D9056" s="396" t="s">
        <v>17245</v>
      </c>
      <c r="E9056" s="396" t="s">
        <v>17246</v>
      </c>
      <c r="F9056" s="396" t="s">
        <v>17102</v>
      </c>
    </row>
    <row r="9057">
      <c r="A9057" s="311">
        <v>9056</v>
      </c>
      <c r="B9057" s="396" t="s">
        <v>17250</v>
      </c>
      <c r="C9057" s="396" t="s">
        <v>17251</v>
      </c>
      <c r="D9057" s="396" t="s">
        <v>17245</v>
      </c>
      <c r="E9057" s="396" t="s">
        <v>17246</v>
      </c>
      <c r="F9057" s="396" t="s">
        <v>17102</v>
      </c>
    </row>
    <row r="9058">
      <c r="A9058" s="311">
        <v>9057</v>
      </c>
      <c r="B9058" s="396" t="s">
        <v>17252</v>
      </c>
      <c r="C9058" s="396" t="s">
        <v>17253</v>
      </c>
      <c r="D9058" s="396" t="s">
        <v>17245</v>
      </c>
      <c r="E9058" s="396" t="s">
        <v>17246</v>
      </c>
      <c r="F9058" s="396" t="s">
        <v>17102</v>
      </c>
    </row>
    <row r="9059">
      <c r="A9059" s="311">
        <v>9058</v>
      </c>
      <c r="B9059" s="396" t="s">
        <v>17254</v>
      </c>
      <c r="C9059" s="396" t="s">
        <v>17255</v>
      </c>
      <c r="D9059" s="396" t="s">
        <v>17245</v>
      </c>
      <c r="E9059" s="396" t="s">
        <v>17246</v>
      </c>
      <c r="F9059" s="396" t="s">
        <v>17102</v>
      </c>
    </row>
    <row r="9060">
      <c r="A9060" s="311">
        <v>9059</v>
      </c>
      <c r="B9060" s="396" t="s">
        <v>17256</v>
      </c>
      <c r="C9060" s="396" t="s">
        <v>8296</v>
      </c>
      <c r="D9060" s="396" t="s">
        <v>17245</v>
      </c>
      <c r="E9060" s="396" t="s">
        <v>17246</v>
      </c>
      <c r="F9060" s="396" t="s">
        <v>17102</v>
      </c>
    </row>
    <row r="9061">
      <c r="A9061" s="311">
        <v>9060</v>
      </c>
      <c r="B9061" s="396" t="s">
        <v>17257</v>
      </c>
      <c r="C9061" s="396" t="s">
        <v>286</v>
      </c>
      <c r="D9061" s="396" t="s">
        <v>17245</v>
      </c>
      <c r="E9061" s="396" t="s">
        <v>17246</v>
      </c>
      <c r="F9061" s="396" t="s">
        <v>17102</v>
      </c>
    </row>
    <row r="9062">
      <c r="A9062" s="311">
        <v>9061</v>
      </c>
      <c r="B9062" s="396" t="s">
        <v>17258</v>
      </c>
      <c r="C9062" s="396" t="s">
        <v>17259</v>
      </c>
      <c r="D9062" s="396" t="s">
        <v>17245</v>
      </c>
      <c r="E9062" s="396" t="s">
        <v>17246</v>
      </c>
      <c r="F9062" s="396" t="s">
        <v>17102</v>
      </c>
    </row>
    <row r="9063">
      <c r="A9063" s="311">
        <v>9062</v>
      </c>
      <c r="B9063" s="396" t="s">
        <v>17260</v>
      </c>
      <c r="C9063" s="396" t="s">
        <v>17261</v>
      </c>
      <c r="D9063" s="396" t="s">
        <v>17245</v>
      </c>
      <c r="E9063" s="396" t="s">
        <v>17246</v>
      </c>
      <c r="F9063" s="396" t="s">
        <v>17102</v>
      </c>
    </row>
    <row r="9064">
      <c r="A9064" s="311">
        <v>9063</v>
      </c>
      <c r="B9064" s="396" t="s">
        <v>17262</v>
      </c>
      <c r="C9064" s="396" t="s">
        <v>970</v>
      </c>
      <c r="D9064" s="396" t="s">
        <v>17245</v>
      </c>
      <c r="E9064" s="396" t="s">
        <v>17246</v>
      </c>
      <c r="F9064" s="396" t="s">
        <v>17102</v>
      </c>
    </row>
    <row r="9065">
      <c r="A9065" s="311">
        <v>9064</v>
      </c>
      <c r="B9065" s="396" t="s">
        <v>17263</v>
      </c>
      <c r="C9065" s="396" t="s">
        <v>916</v>
      </c>
      <c r="D9065" s="396" t="s">
        <v>17245</v>
      </c>
      <c r="E9065" s="396" t="s">
        <v>17246</v>
      </c>
      <c r="F9065" s="396" t="s">
        <v>17102</v>
      </c>
    </row>
    <row r="9066">
      <c r="A9066" s="311">
        <v>9065</v>
      </c>
      <c r="B9066" s="396" t="s">
        <v>17264</v>
      </c>
      <c r="C9066" s="396" t="s">
        <v>17265</v>
      </c>
      <c r="D9066" s="396" t="s">
        <v>17245</v>
      </c>
      <c r="E9066" s="396" t="s">
        <v>17246</v>
      </c>
      <c r="F9066" s="396" t="s">
        <v>17102</v>
      </c>
    </row>
    <row r="9067">
      <c r="A9067" s="311">
        <v>9066</v>
      </c>
      <c r="B9067" s="396" t="s">
        <v>17266</v>
      </c>
      <c r="C9067" s="396" t="s">
        <v>1698</v>
      </c>
      <c r="D9067" s="396" t="s">
        <v>17245</v>
      </c>
      <c r="E9067" s="396" t="s">
        <v>17246</v>
      </c>
      <c r="F9067" s="396" t="s">
        <v>17102</v>
      </c>
    </row>
    <row r="9068">
      <c r="A9068" s="311">
        <v>9067</v>
      </c>
      <c r="B9068" s="396" t="s">
        <v>17267</v>
      </c>
      <c r="C9068" s="396" t="s">
        <v>12258</v>
      </c>
      <c r="D9068" s="396" t="s">
        <v>17245</v>
      </c>
      <c r="E9068" s="396" t="s">
        <v>17246</v>
      </c>
      <c r="F9068" s="396" t="s">
        <v>17102</v>
      </c>
    </row>
    <row r="9069">
      <c r="A9069" s="311">
        <v>9068</v>
      </c>
      <c r="B9069" s="396" t="s">
        <v>17268</v>
      </c>
      <c r="C9069" s="396" t="s">
        <v>17269</v>
      </c>
      <c r="D9069" s="396" t="s">
        <v>17245</v>
      </c>
      <c r="E9069" s="396" t="s">
        <v>17246</v>
      </c>
      <c r="F9069" s="396" t="s">
        <v>17102</v>
      </c>
    </row>
    <row r="9070">
      <c r="A9070" s="311">
        <v>9069</v>
      </c>
      <c r="B9070" s="396" t="s">
        <v>17270</v>
      </c>
      <c r="C9070" s="396" t="s">
        <v>17271</v>
      </c>
      <c r="D9070" s="396" t="s">
        <v>17245</v>
      </c>
      <c r="E9070" s="396" t="s">
        <v>17246</v>
      </c>
      <c r="F9070" s="396" t="s">
        <v>17102</v>
      </c>
    </row>
    <row r="9071">
      <c r="A9071" s="311">
        <v>9070</v>
      </c>
      <c r="B9071" s="396" t="s">
        <v>17272</v>
      </c>
      <c r="C9071" s="396" t="s">
        <v>17273</v>
      </c>
      <c r="D9071" s="396" t="s">
        <v>17274</v>
      </c>
      <c r="E9071" s="396" t="s">
        <v>17275</v>
      </c>
      <c r="F9071" s="396" t="s">
        <v>17102</v>
      </c>
    </row>
    <row r="9072">
      <c r="A9072" s="311">
        <v>9071</v>
      </c>
      <c r="B9072" s="396" t="s">
        <v>17276</v>
      </c>
      <c r="C9072" s="396" t="s">
        <v>17277</v>
      </c>
      <c r="D9072" s="396" t="s">
        <v>17274</v>
      </c>
      <c r="E9072" s="396" t="s">
        <v>17275</v>
      </c>
      <c r="F9072" s="396" t="s">
        <v>17102</v>
      </c>
    </row>
    <row r="9073">
      <c r="A9073" s="311">
        <v>9072</v>
      </c>
      <c r="B9073" s="396" t="s">
        <v>17278</v>
      </c>
      <c r="C9073" s="396" t="s">
        <v>17279</v>
      </c>
      <c r="D9073" s="396" t="s">
        <v>17274</v>
      </c>
      <c r="E9073" s="396" t="s">
        <v>17275</v>
      </c>
      <c r="F9073" s="396" t="s">
        <v>17102</v>
      </c>
    </row>
    <row r="9074">
      <c r="A9074" s="311">
        <v>9073</v>
      </c>
      <c r="B9074" s="396" t="s">
        <v>17280</v>
      </c>
      <c r="C9074" s="396" t="s">
        <v>17281</v>
      </c>
      <c r="D9074" s="396" t="s">
        <v>17274</v>
      </c>
      <c r="E9074" s="396" t="s">
        <v>17275</v>
      </c>
      <c r="F9074" s="396" t="s">
        <v>17102</v>
      </c>
    </row>
    <row r="9075">
      <c r="A9075" s="311">
        <v>9074</v>
      </c>
      <c r="B9075" s="396" t="s">
        <v>17282</v>
      </c>
      <c r="C9075" s="396" t="s">
        <v>1086</v>
      </c>
      <c r="D9075" s="396" t="s">
        <v>17274</v>
      </c>
      <c r="E9075" s="396" t="s">
        <v>17275</v>
      </c>
      <c r="F9075" s="396" t="s">
        <v>17102</v>
      </c>
    </row>
    <row r="9076">
      <c r="A9076" s="311">
        <v>9075</v>
      </c>
      <c r="B9076" s="396" t="s">
        <v>17283</v>
      </c>
      <c r="C9076" s="396" t="s">
        <v>17284</v>
      </c>
      <c r="D9076" s="396" t="s">
        <v>17274</v>
      </c>
      <c r="E9076" s="396" t="s">
        <v>17275</v>
      </c>
      <c r="F9076" s="396" t="s">
        <v>17102</v>
      </c>
    </row>
    <row r="9077">
      <c r="A9077" s="311">
        <v>9076</v>
      </c>
      <c r="B9077" s="396" t="s">
        <v>17285</v>
      </c>
      <c r="C9077" s="396" t="s">
        <v>10483</v>
      </c>
      <c r="D9077" s="396" t="s">
        <v>17274</v>
      </c>
      <c r="E9077" s="396" t="s">
        <v>17275</v>
      </c>
      <c r="F9077" s="396" t="s">
        <v>17102</v>
      </c>
    </row>
    <row r="9078">
      <c r="A9078" s="311">
        <v>9077</v>
      </c>
      <c r="B9078" s="396" t="s">
        <v>17286</v>
      </c>
      <c r="C9078" s="396" t="s">
        <v>17287</v>
      </c>
      <c r="D9078" s="396" t="s">
        <v>17274</v>
      </c>
      <c r="E9078" s="396" t="s">
        <v>17275</v>
      </c>
      <c r="F9078" s="396" t="s">
        <v>17102</v>
      </c>
    </row>
    <row r="9079">
      <c r="A9079" s="311">
        <v>9078</v>
      </c>
      <c r="B9079" s="396" t="s">
        <v>17288</v>
      </c>
      <c r="C9079" s="396" t="s">
        <v>9574</v>
      </c>
      <c r="D9079" s="396" t="s">
        <v>17274</v>
      </c>
      <c r="E9079" s="396" t="s">
        <v>17275</v>
      </c>
      <c r="F9079" s="396" t="s">
        <v>17102</v>
      </c>
    </row>
    <row r="9080">
      <c r="A9080" s="311">
        <v>9079</v>
      </c>
      <c r="B9080" s="396" t="s">
        <v>17289</v>
      </c>
      <c r="C9080" s="396" t="s">
        <v>17290</v>
      </c>
      <c r="D9080" s="396" t="s">
        <v>17274</v>
      </c>
      <c r="E9080" s="396" t="s">
        <v>17275</v>
      </c>
      <c r="F9080" s="396" t="s">
        <v>17102</v>
      </c>
    </row>
    <row r="9081">
      <c r="A9081" s="311">
        <v>9080</v>
      </c>
      <c r="B9081" s="396" t="s">
        <v>17291</v>
      </c>
      <c r="C9081" s="396" t="s">
        <v>17292</v>
      </c>
      <c r="D9081" s="396" t="s">
        <v>17293</v>
      </c>
      <c r="E9081" s="396" t="s">
        <v>17294</v>
      </c>
      <c r="F9081" s="396" t="s">
        <v>17102</v>
      </c>
    </row>
    <row r="9082">
      <c r="A9082" s="311">
        <v>9081</v>
      </c>
      <c r="B9082" s="396" t="s">
        <v>17295</v>
      </c>
      <c r="C9082" s="396" t="s">
        <v>17296</v>
      </c>
      <c r="D9082" s="396" t="s">
        <v>17293</v>
      </c>
      <c r="E9082" s="396" t="s">
        <v>17294</v>
      </c>
      <c r="F9082" s="396" t="s">
        <v>17102</v>
      </c>
    </row>
    <row r="9083">
      <c r="A9083" s="311">
        <v>9082</v>
      </c>
      <c r="B9083" s="396" t="s">
        <v>17297</v>
      </c>
      <c r="C9083" s="396" t="s">
        <v>4471</v>
      </c>
      <c r="D9083" s="396" t="s">
        <v>17293</v>
      </c>
      <c r="E9083" s="396" t="s">
        <v>17294</v>
      </c>
      <c r="F9083" s="396" t="s">
        <v>17102</v>
      </c>
    </row>
    <row r="9084">
      <c r="A9084" s="311">
        <v>9083</v>
      </c>
      <c r="B9084" s="396" t="s">
        <v>17298</v>
      </c>
      <c r="C9084" s="396" t="s">
        <v>17299</v>
      </c>
      <c r="D9084" s="396" t="s">
        <v>17293</v>
      </c>
      <c r="E9084" s="396" t="s">
        <v>17294</v>
      </c>
      <c r="F9084" s="396" t="s">
        <v>17102</v>
      </c>
    </row>
    <row r="9085">
      <c r="A9085" s="311">
        <v>9084</v>
      </c>
      <c r="B9085" s="396" t="s">
        <v>17300</v>
      </c>
      <c r="C9085" s="396" t="s">
        <v>17301</v>
      </c>
      <c r="D9085" s="396" t="s">
        <v>17293</v>
      </c>
      <c r="E9085" s="396" t="s">
        <v>17294</v>
      </c>
      <c r="F9085" s="396" t="s">
        <v>17102</v>
      </c>
    </row>
    <row r="9086">
      <c r="A9086" s="311">
        <v>9085</v>
      </c>
      <c r="B9086" s="396" t="s">
        <v>17302</v>
      </c>
      <c r="C9086" s="396" t="s">
        <v>11840</v>
      </c>
      <c r="D9086" s="396" t="s">
        <v>17293</v>
      </c>
      <c r="E9086" s="396" t="s">
        <v>17294</v>
      </c>
      <c r="F9086" s="396" t="s">
        <v>17102</v>
      </c>
    </row>
    <row r="9087">
      <c r="A9087" s="311">
        <v>9086</v>
      </c>
      <c r="B9087" s="396" t="s">
        <v>17303</v>
      </c>
      <c r="C9087" s="396" t="s">
        <v>17304</v>
      </c>
      <c r="D9087" s="396" t="s">
        <v>17293</v>
      </c>
      <c r="E9087" s="396" t="s">
        <v>17294</v>
      </c>
      <c r="F9087" s="396" t="s">
        <v>17102</v>
      </c>
    </row>
    <row r="9088">
      <c r="A9088" s="311">
        <v>9087</v>
      </c>
      <c r="B9088" s="396" t="s">
        <v>17305</v>
      </c>
      <c r="C9088" s="396" t="s">
        <v>17306</v>
      </c>
      <c r="D9088" s="396" t="s">
        <v>17293</v>
      </c>
      <c r="E9088" s="396" t="s">
        <v>17294</v>
      </c>
      <c r="F9088" s="396" t="s">
        <v>17102</v>
      </c>
    </row>
    <row r="9089">
      <c r="A9089" s="311">
        <v>9088</v>
      </c>
      <c r="B9089" s="396" t="s">
        <v>17307</v>
      </c>
      <c r="C9089" s="396" t="s">
        <v>17308</v>
      </c>
      <c r="D9089" s="396" t="s">
        <v>17293</v>
      </c>
      <c r="E9089" s="396" t="s">
        <v>17294</v>
      </c>
      <c r="F9089" s="396" t="s">
        <v>17102</v>
      </c>
    </row>
    <row r="9090">
      <c r="A9090" s="311">
        <v>9089</v>
      </c>
      <c r="B9090" s="396" t="s">
        <v>17309</v>
      </c>
      <c r="C9090" s="396" t="s">
        <v>17310</v>
      </c>
      <c r="D9090" s="396" t="s">
        <v>17293</v>
      </c>
      <c r="E9090" s="396" t="s">
        <v>17294</v>
      </c>
      <c r="F9090" s="396" t="s">
        <v>17102</v>
      </c>
    </row>
    <row r="9091">
      <c r="A9091" s="311">
        <v>9090</v>
      </c>
      <c r="B9091" s="396" t="s">
        <v>17311</v>
      </c>
      <c r="C9091" s="396" t="s">
        <v>17312</v>
      </c>
      <c r="D9091" s="396" t="s">
        <v>17293</v>
      </c>
      <c r="E9091" s="396" t="s">
        <v>17294</v>
      </c>
      <c r="F9091" s="396" t="s">
        <v>17102</v>
      </c>
    </row>
    <row r="9092">
      <c r="A9092" s="311">
        <v>9091</v>
      </c>
      <c r="B9092" s="396" t="s">
        <v>17313</v>
      </c>
      <c r="C9092" s="396" t="s">
        <v>17314</v>
      </c>
      <c r="D9092" s="396" t="s">
        <v>17293</v>
      </c>
      <c r="E9092" s="396" t="s">
        <v>17294</v>
      </c>
      <c r="F9092" s="396" t="s">
        <v>17102</v>
      </c>
    </row>
    <row r="9093">
      <c r="A9093" s="311">
        <v>9092</v>
      </c>
      <c r="B9093" s="396" t="s">
        <v>17315</v>
      </c>
      <c r="C9093" s="396" t="s">
        <v>17316</v>
      </c>
      <c r="D9093" s="396" t="s">
        <v>17293</v>
      </c>
      <c r="E9093" s="396" t="s">
        <v>17294</v>
      </c>
      <c r="F9093" s="396" t="s">
        <v>17102</v>
      </c>
    </row>
    <row r="9094">
      <c r="A9094" s="311">
        <v>9093</v>
      </c>
      <c r="B9094" s="396" t="s">
        <v>17317</v>
      </c>
      <c r="C9094" s="396" t="s">
        <v>17318</v>
      </c>
      <c r="D9094" s="396" t="s">
        <v>17319</v>
      </c>
      <c r="E9094" s="396" t="s">
        <v>17320</v>
      </c>
      <c r="F9094" s="396" t="s">
        <v>17102</v>
      </c>
    </row>
    <row r="9095">
      <c r="A9095" s="311">
        <v>9094</v>
      </c>
      <c r="B9095" s="396" t="s">
        <v>17321</v>
      </c>
      <c r="C9095" s="396" t="s">
        <v>17322</v>
      </c>
      <c r="D9095" s="396" t="s">
        <v>17319</v>
      </c>
      <c r="E9095" s="396" t="s">
        <v>17320</v>
      </c>
      <c r="F9095" s="396" t="s">
        <v>17102</v>
      </c>
    </row>
    <row r="9096">
      <c r="A9096" s="311">
        <v>9095</v>
      </c>
      <c r="B9096" s="396" t="s">
        <v>17323</v>
      </c>
      <c r="C9096" s="396" t="s">
        <v>2319</v>
      </c>
      <c r="D9096" s="396" t="s">
        <v>17319</v>
      </c>
      <c r="E9096" s="396" t="s">
        <v>17320</v>
      </c>
      <c r="F9096" s="396" t="s">
        <v>17102</v>
      </c>
    </row>
    <row r="9097">
      <c r="A9097" s="311">
        <v>9096</v>
      </c>
      <c r="B9097" s="396" t="s">
        <v>17324</v>
      </c>
      <c r="C9097" s="396" t="s">
        <v>17325</v>
      </c>
      <c r="D9097" s="396" t="s">
        <v>17319</v>
      </c>
      <c r="E9097" s="396" t="s">
        <v>17320</v>
      </c>
      <c r="F9097" s="396" t="s">
        <v>17102</v>
      </c>
    </row>
    <row r="9098">
      <c r="A9098" s="311">
        <v>9097</v>
      </c>
      <c r="B9098" s="396" t="s">
        <v>17326</v>
      </c>
      <c r="C9098" s="396" t="s">
        <v>9012</v>
      </c>
      <c r="D9098" s="396" t="s">
        <v>17319</v>
      </c>
      <c r="E9098" s="396" t="s">
        <v>17320</v>
      </c>
      <c r="F9098" s="396" t="s">
        <v>17102</v>
      </c>
    </row>
    <row r="9099">
      <c r="A9099" s="311">
        <v>9098</v>
      </c>
      <c r="B9099" s="396" t="s">
        <v>17327</v>
      </c>
      <c r="C9099" s="396" t="s">
        <v>4297</v>
      </c>
      <c r="D9099" s="396" t="s">
        <v>17319</v>
      </c>
      <c r="E9099" s="396" t="s">
        <v>17320</v>
      </c>
      <c r="F9099" s="396" t="s">
        <v>17102</v>
      </c>
    </row>
    <row r="9100">
      <c r="A9100" s="311">
        <v>9099</v>
      </c>
      <c r="B9100" s="396" t="s">
        <v>17328</v>
      </c>
      <c r="C9100" s="396" t="s">
        <v>13580</v>
      </c>
      <c r="D9100" s="396" t="s">
        <v>17319</v>
      </c>
      <c r="E9100" s="396" t="s">
        <v>17320</v>
      </c>
      <c r="F9100" s="396" t="s">
        <v>17102</v>
      </c>
    </row>
    <row r="9101">
      <c r="A9101" s="311">
        <v>9100</v>
      </c>
      <c r="B9101" s="396" t="s">
        <v>17329</v>
      </c>
      <c r="C9101" s="396" t="s">
        <v>17330</v>
      </c>
      <c r="D9101" s="396" t="s">
        <v>17319</v>
      </c>
      <c r="E9101" s="396" t="s">
        <v>17320</v>
      </c>
      <c r="F9101" s="396" t="s">
        <v>17102</v>
      </c>
    </row>
    <row r="9102">
      <c r="A9102" s="311">
        <v>9101</v>
      </c>
      <c r="B9102" s="396" t="s">
        <v>17331</v>
      </c>
      <c r="C9102" s="396" t="s">
        <v>17332</v>
      </c>
      <c r="D9102" s="396" t="s">
        <v>17319</v>
      </c>
      <c r="E9102" s="396" t="s">
        <v>17320</v>
      </c>
      <c r="F9102" s="396" t="s">
        <v>17102</v>
      </c>
    </row>
    <row r="9103">
      <c r="A9103" s="311">
        <v>9102</v>
      </c>
      <c r="B9103" s="396" t="s">
        <v>17333</v>
      </c>
      <c r="C9103" s="396" t="s">
        <v>17334</v>
      </c>
      <c r="D9103" s="396" t="s">
        <v>17319</v>
      </c>
      <c r="E9103" s="396" t="s">
        <v>17320</v>
      </c>
      <c r="F9103" s="396" t="s">
        <v>17102</v>
      </c>
    </row>
    <row r="9104">
      <c r="A9104" s="311">
        <v>9103</v>
      </c>
      <c r="B9104" s="396" t="s">
        <v>17335</v>
      </c>
      <c r="C9104" s="396" t="s">
        <v>15607</v>
      </c>
      <c r="D9104" s="396" t="s">
        <v>17319</v>
      </c>
      <c r="E9104" s="396" t="s">
        <v>17320</v>
      </c>
      <c r="F9104" s="396" t="s">
        <v>17102</v>
      </c>
    </row>
    <row r="9105">
      <c r="A9105" s="311">
        <v>9104</v>
      </c>
      <c r="B9105" s="396" t="s">
        <v>17336</v>
      </c>
      <c r="C9105" s="396" t="s">
        <v>16894</v>
      </c>
      <c r="D9105" s="396" t="s">
        <v>17319</v>
      </c>
      <c r="E9105" s="396" t="s">
        <v>17320</v>
      </c>
      <c r="F9105" s="396" t="s">
        <v>17102</v>
      </c>
    </row>
    <row r="9106">
      <c r="A9106" s="311">
        <v>9105</v>
      </c>
      <c r="B9106" s="396" t="s">
        <v>17337</v>
      </c>
      <c r="C9106" s="396" t="s">
        <v>14788</v>
      </c>
      <c r="D9106" s="396" t="s">
        <v>17319</v>
      </c>
      <c r="E9106" s="396" t="s">
        <v>17320</v>
      </c>
      <c r="F9106" s="396" t="s">
        <v>17102</v>
      </c>
    </row>
    <row r="9107">
      <c r="A9107" s="311">
        <v>9106</v>
      </c>
      <c r="B9107" s="396" t="s">
        <v>17338</v>
      </c>
      <c r="C9107" s="396" t="s">
        <v>5732</v>
      </c>
      <c r="D9107" s="396" t="s">
        <v>17319</v>
      </c>
      <c r="E9107" s="396" t="s">
        <v>17320</v>
      </c>
      <c r="F9107" s="396" t="s">
        <v>17102</v>
      </c>
    </row>
    <row r="9108">
      <c r="A9108" s="311">
        <v>9107</v>
      </c>
      <c r="B9108" s="396" t="s">
        <v>17339</v>
      </c>
      <c r="C9108" s="396" t="s">
        <v>14839</v>
      </c>
      <c r="D9108" s="396" t="s">
        <v>17319</v>
      </c>
      <c r="E9108" s="396" t="s">
        <v>17320</v>
      </c>
      <c r="F9108" s="396" t="s">
        <v>17102</v>
      </c>
    </row>
    <row r="9109">
      <c r="A9109" s="311">
        <v>9108</v>
      </c>
      <c r="B9109" s="396" t="s">
        <v>17340</v>
      </c>
      <c r="C9109" s="396" t="s">
        <v>17341</v>
      </c>
      <c r="D9109" s="396" t="s">
        <v>17342</v>
      </c>
      <c r="E9109" s="396" t="s">
        <v>17343</v>
      </c>
      <c r="F9109" s="396" t="s">
        <v>17102</v>
      </c>
    </row>
    <row r="9110">
      <c r="A9110" s="311">
        <v>9109</v>
      </c>
      <c r="B9110" s="396" t="s">
        <v>17344</v>
      </c>
      <c r="C9110" s="396" t="s">
        <v>9250</v>
      </c>
      <c r="D9110" s="396" t="s">
        <v>17342</v>
      </c>
      <c r="E9110" s="396" t="s">
        <v>17343</v>
      </c>
      <c r="F9110" s="396" t="s">
        <v>17102</v>
      </c>
    </row>
    <row r="9111">
      <c r="A9111" s="311">
        <v>9110</v>
      </c>
      <c r="B9111" s="396" t="s">
        <v>17345</v>
      </c>
      <c r="C9111" s="396" t="s">
        <v>17346</v>
      </c>
      <c r="D9111" s="396" t="s">
        <v>17342</v>
      </c>
      <c r="E9111" s="396" t="s">
        <v>17343</v>
      </c>
      <c r="F9111" s="396" t="s">
        <v>17102</v>
      </c>
    </row>
    <row r="9112">
      <c r="A9112" s="311">
        <v>9111</v>
      </c>
      <c r="B9112" s="396" t="s">
        <v>17347</v>
      </c>
      <c r="C9112" s="396" t="s">
        <v>9240</v>
      </c>
      <c r="D9112" s="396" t="s">
        <v>17342</v>
      </c>
      <c r="E9112" s="396" t="s">
        <v>17343</v>
      </c>
      <c r="F9112" s="396" t="s">
        <v>17102</v>
      </c>
    </row>
    <row r="9113">
      <c r="A9113" s="311">
        <v>9112</v>
      </c>
      <c r="B9113" s="396" t="s">
        <v>17348</v>
      </c>
      <c r="C9113" s="396" t="s">
        <v>10276</v>
      </c>
      <c r="D9113" s="396" t="s">
        <v>17342</v>
      </c>
      <c r="E9113" s="396" t="s">
        <v>17343</v>
      </c>
      <c r="F9113" s="396" t="s">
        <v>17102</v>
      </c>
    </row>
    <row r="9114">
      <c r="A9114" s="311">
        <v>9113</v>
      </c>
      <c r="B9114" s="396" t="s">
        <v>17349</v>
      </c>
      <c r="C9114" s="396" t="s">
        <v>1687</v>
      </c>
      <c r="D9114" s="396" t="s">
        <v>17342</v>
      </c>
      <c r="E9114" s="396" t="s">
        <v>17343</v>
      </c>
      <c r="F9114" s="396" t="s">
        <v>17102</v>
      </c>
    </row>
    <row r="9115">
      <c r="A9115" s="311">
        <v>9114</v>
      </c>
      <c r="B9115" s="396" t="s">
        <v>17350</v>
      </c>
      <c r="C9115" s="396" t="s">
        <v>2787</v>
      </c>
      <c r="D9115" s="396" t="s">
        <v>17342</v>
      </c>
      <c r="E9115" s="396" t="s">
        <v>17343</v>
      </c>
      <c r="F9115" s="396" t="s">
        <v>17102</v>
      </c>
    </row>
    <row r="9116">
      <c r="A9116" s="311">
        <v>9115</v>
      </c>
      <c r="B9116" s="396" t="s">
        <v>17351</v>
      </c>
      <c r="C9116" s="396" t="s">
        <v>10165</v>
      </c>
      <c r="D9116" s="396" t="s">
        <v>17342</v>
      </c>
      <c r="E9116" s="396" t="s">
        <v>17343</v>
      </c>
      <c r="F9116" s="396" t="s">
        <v>17102</v>
      </c>
    </row>
    <row r="9117">
      <c r="A9117" s="311">
        <v>9116</v>
      </c>
      <c r="B9117" s="396" t="s">
        <v>17352</v>
      </c>
      <c r="C9117" s="396" t="s">
        <v>17353</v>
      </c>
      <c r="D9117" s="396" t="s">
        <v>17342</v>
      </c>
      <c r="E9117" s="396" t="s">
        <v>17343</v>
      </c>
      <c r="F9117" s="396" t="s">
        <v>17102</v>
      </c>
    </row>
    <row r="9118">
      <c r="A9118" s="311">
        <v>9117</v>
      </c>
      <c r="B9118" s="396" t="s">
        <v>17354</v>
      </c>
      <c r="C9118" s="396" t="s">
        <v>14588</v>
      </c>
      <c r="D9118" s="396" t="s">
        <v>17342</v>
      </c>
      <c r="E9118" s="396" t="s">
        <v>17343</v>
      </c>
      <c r="F9118" s="396" t="s">
        <v>17102</v>
      </c>
    </row>
    <row r="9119">
      <c r="A9119" s="311">
        <v>9118</v>
      </c>
      <c r="B9119" s="396" t="s">
        <v>17355</v>
      </c>
      <c r="C9119" s="396" t="s">
        <v>17356</v>
      </c>
      <c r="D9119" s="396" t="s">
        <v>17342</v>
      </c>
      <c r="E9119" s="396" t="s">
        <v>17343</v>
      </c>
      <c r="F9119" s="396" t="s">
        <v>17102</v>
      </c>
    </row>
    <row r="9120">
      <c r="A9120" s="311">
        <v>9119</v>
      </c>
      <c r="B9120" s="396" t="s">
        <v>17357</v>
      </c>
      <c r="C9120" s="396" t="s">
        <v>690</v>
      </c>
      <c r="D9120" s="396" t="s">
        <v>17342</v>
      </c>
      <c r="E9120" s="396" t="s">
        <v>17343</v>
      </c>
      <c r="F9120" s="396" t="s">
        <v>17102</v>
      </c>
    </row>
    <row r="9121">
      <c r="A9121" s="311">
        <v>9120</v>
      </c>
      <c r="B9121" s="396" t="s">
        <v>17358</v>
      </c>
      <c r="C9121" s="396" t="s">
        <v>17359</v>
      </c>
      <c r="D9121" s="396" t="s">
        <v>17342</v>
      </c>
      <c r="E9121" s="396" t="s">
        <v>17343</v>
      </c>
      <c r="F9121" s="396" t="s">
        <v>17102</v>
      </c>
    </row>
    <row r="9122">
      <c r="A9122" s="311">
        <v>9121</v>
      </c>
      <c r="B9122" s="396" t="s">
        <v>17360</v>
      </c>
      <c r="C9122" s="396" t="s">
        <v>17361</v>
      </c>
      <c r="D9122" s="396" t="s">
        <v>17342</v>
      </c>
      <c r="E9122" s="396" t="s">
        <v>17343</v>
      </c>
      <c r="F9122" s="396" t="s">
        <v>17102</v>
      </c>
    </row>
    <row r="9123">
      <c r="A9123" s="311">
        <v>9122</v>
      </c>
      <c r="B9123" s="396" t="s">
        <v>17362</v>
      </c>
      <c r="C9123" s="396" t="s">
        <v>17363</v>
      </c>
      <c r="D9123" s="396" t="s">
        <v>17342</v>
      </c>
      <c r="E9123" s="396" t="s">
        <v>17343</v>
      </c>
      <c r="F9123" s="396" t="s">
        <v>17102</v>
      </c>
    </row>
    <row r="9124">
      <c r="A9124" s="311">
        <v>9123</v>
      </c>
      <c r="B9124" s="396" t="s">
        <v>17364</v>
      </c>
      <c r="C9124" s="396" t="s">
        <v>17365</v>
      </c>
      <c r="D9124" s="396" t="s">
        <v>17366</v>
      </c>
      <c r="E9124" s="396" t="s">
        <v>17367</v>
      </c>
      <c r="F9124" s="396" t="s">
        <v>17102</v>
      </c>
    </row>
    <row r="9125">
      <c r="A9125" s="311">
        <v>9124</v>
      </c>
      <c r="B9125" s="396" t="s">
        <v>17368</v>
      </c>
      <c r="C9125" s="396" t="s">
        <v>16745</v>
      </c>
      <c r="D9125" s="396" t="s">
        <v>17366</v>
      </c>
      <c r="E9125" s="396" t="s">
        <v>17367</v>
      </c>
      <c r="F9125" s="396" t="s">
        <v>17102</v>
      </c>
    </row>
    <row r="9126">
      <c r="A9126" s="311">
        <v>9125</v>
      </c>
      <c r="B9126" s="396" t="s">
        <v>17369</v>
      </c>
      <c r="C9126" s="396" t="s">
        <v>17370</v>
      </c>
      <c r="D9126" s="396" t="s">
        <v>17366</v>
      </c>
      <c r="E9126" s="396" t="s">
        <v>17367</v>
      </c>
      <c r="F9126" s="396" t="s">
        <v>17102</v>
      </c>
    </row>
    <row r="9127">
      <c r="A9127" s="311">
        <v>9126</v>
      </c>
      <c r="B9127" s="396" t="s">
        <v>17371</v>
      </c>
      <c r="C9127" s="396" t="s">
        <v>17372</v>
      </c>
      <c r="D9127" s="396" t="s">
        <v>17366</v>
      </c>
      <c r="E9127" s="396" t="s">
        <v>17367</v>
      </c>
      <c r="F9127" s="396" t="s">
        <v>17102</v>
      </c>
    </row>
    <row r="9128">
      <c r="A9128" s="311">
        <v>9127</v>
      </c>
      <c r="B9128" s="396" t="s">
        <v>17373</v>
      </c>
      <c r="C9128" s="396" t="s">
        <v>17374</v>
      </c>
      <c r="D9128" s="396" t="s">
        <v>17366</v>
      </c>
      <c r="E9128" s="396" t="s">
        <v>17367</v>
      </c>
      <c r="F9128" s="396" t="s">
        <v>17102</v>
      </c>
    </row>
    <row r="9129">
      <c r="A9129" s="311">
        <v>9128</v>
      </c>
      <c r="B9129" s="396" t="s">
        <v>17375</v>
      </c>
      <c r="C9129" s="396" t="s">
        <v>16421</v>
      </c>
      <c r="D9129" s="396" t="s">
        <v>17366</v>
      </c>
      <c r="E9129" s="396" t="s">
        <v>17367</v>
      </c>
      <c r="F9129" s="396" t="s">
        <v>17102</v>
      </c>
    </row>
    <row r="9130">
      <c r="A9130" s="311">
        <v>9129</v>
      </c>
      <c r="B9130" s="396" t="s">
        <v>17376</v>
      </c>
      <c r="C9130" s="396" t="s">
        <v>17377</v>
      </c>
      <c r="D9130" s="396" t="s">
        <v>17366</v>
      </c>
      <c r="E9130" s="396" t="s">
        <v>17367</v>
      </c>
      <c r="F9130" s="396" t="s">
        <v>17102</v>
      </c>
    </row>
    <row r="9131">
      <c r="A9131" s="311">
        <v>9130</v>
      </c>
      <c r="B9131" s="396" t="s">
        <v>17378</v>
      </c>
      <c r="C9131" s="396" t="s">
        <v>633</v>
      </c>
      <c r="D9131" s="396" t="s">
        <v>17366</v>
      </c>
      <c r="E9131" s="396" t="s">
        <v>17367</v>
      </c>
      <c r="F9131" s="396" t="s">
        <v>17102</v>
      </c>
    </row>
    <row r="9132">
      <c r="A9132" s="311">
        <v>9131</v>
      </c>
      <c r="B9132" s="396" t="s">
        <v>17379</v>
      </c>
      <c r="C9132" s="396" t="s">
        <v>17380</v>
      </c>
      <c r="D9132" s="396" t="s">
        <v>17366</v>
      </c>
      <c r="E9132" s="396" t="s">
        <v>17367</v>
      </c>
      <c r="F9132" s="396" t="s">
        <v>17102</v>
      </c>
    </row>
    <row r="9133">
      <c r="A9133" s="311">
        <v>9132</v>
      </c>
      <c r="B9133" s="396" t="s">
        <v>17381</v>
      </c>
      <c r="C9133" s="396" t="s">
        <v>17382</v>
      </c>
      <c r="D9133" s="396" t="s">
        <v>17366</v>
      </c>
      <c r="E9133" s="396" t="s">
        <v>17367</v>
      </c>
      <c r="F9133" s="396" t="s">
        <v>17102</v>
      </c>
    </row>
    <row r="9134">
      <c r="A9134" s="311">
        <v>9133</v>
      </c>
      <c r="B9134" s="396" t="s">
        <v>17383</v>
      </c>
      <c r="C9134" s="396" t="s">
        <v>17384</v>
      </c>
      <c r="D9134" s="396" t="s">
        <v>17366</v>
      </c>
      <c r="E9134" s="396" t="s">
        <v>17367</v>
      </c>
      <c r="F9134" s="396" t="s">
        <v>17102</v>
      </c>
    </row>
    <row r="9135">
      <c r="A9135" s="311">
        <v>9134</v>
      </c>
      <c r="B9135" s="396" t="s">
        <v>17385</v>
      </c>
      <c r="C9135" s="396" t="s">
        <v>14247</v>
      </c>
      <c r="D9135" s="396" t="s">
        <v>17366</v>
      </c>
      <c r="E9135" s="396" t="s">
        <v>17367</v>
      </c>
      <c r="F9135" s="396" t="s">
        <v>17102</v>
      </c>
    </row>
    <row r="9136">
      <c r="A9136" s="311">
        <v>9135</v>
      </c>
      <c r="B9136" s="396" t="s">
        <v>17386</v>
      </c>
      <c r="C9136" s="396" t="s">
        <v>12441</v>
      </c>
      <c r="D9136" s="396" t="s">
        <v>17387</v>
      </c>
      <c r="E9136" s="396" t="s">
        <v>17388</v>
      </c>
      <c r="F9136" s="396" t="s">
        <v>17389</v>
      </c>
    </row>
    <row r="9137">
      <c r="A9137" s="311">
        <v>9136</v>
      </c>
      <c r="B9137" s="396" t="s">
        <v>17390</v>
      </c>
      <c r="C9137" s="396" t="s">
        <v>17391</v>
      </c>
      <c r="D9137" s="396" t="s">
        <v>17387</v>
      </c>
      <c r="E9137" s="396" t="s">
        <v>17388</v>
      </c>
      <c r="F9137" s="396" t="s">
        <v>17389</v>
      </c>
    </row>
    <row r="9138">
      <c r="A9138" s="311">
        <v>9137</v>
      </c>
      <c r="B9138" s="396" t="s">
        <v>17392</v>
      </c>
      <c r="C9138" s="396" t="s">
        <v>12447</v>
      </c>
      <c r="D9138" s="396" t="s">
        <v>17387</v>
      </c>
      <c r="E9138" s="396" t="s">
        <v>17388</v>
      </c>
      <c r="F9138" s="396" t="s">
        <v>17389</v>
      </c>
    </row>
    <row r="9139">
      <c r="A9139" s="311">
        <v>9138</v>
      </c>
      <c r="B9139" s="396" t="s">
        <v>17393</v>
      </c>
      <c r="C9139" s="396" t="s">
        <v>12455</v>
      </c>
      <c r="D9139" s="396" t="s">
        <v>17387</v>
      </c>
      <c r="E9139" s="396" t="s">
        <v>17388</v>
      </c>
      <c r="F9139" s="396" t="s">
        <v>17389</v>
      </c>
    </row>
    <row r="9140">
      <c r="A9140" s="311">
        <v>9139</v>
      </c>
      <c r="B9140" s="396" t="s">
        <v>17394</v>
      </c>
      <c r="C9140" s="396" t="s">
        <v>12449</v>
      </c>
      <c r="D9140" s="396" t="s">
        <v>17387</v>
      </c>
      <c r="E9140" s="396" t="s">
        <v>17388</v>
      </c>
      <c r="F9140" s="396" t="s">
        <v>17389</v>
      </c>
    </row>
    <row r="9141">
      <c r="A9141" s="311">
        <v>9140</v>
      </c>
      <c r="B9141" s="396" t="s">
        <v>17395</v>
      </c>
      <c r="C9141" s="396" t="s">
        <v>12451</v>
      </c>
      <c r="D9141" s="396" t="s">
        <v>17387</v>
      </c>
      <c r="E9141" s="396" t="s">
        <v>17388</v>
      </c>
      <c r="F9141" s="396" t="s">
        <v>17389</v>
      </c>
    </row>
    <row r="9142">
      <c r="A9142" s="311">
        <v>9141</v>
      </c>
      <c r="B9142" s="396" t="s">
        <v>17396</v>
      </c>
      <c r="C9142" s="396" t="s">
        <v>17397</v>
      </c>
      <c r="D9142" s="396" t="s">
        <v>17387</v>
      </c>
      <c r="E9142" s="396" t="s">
        <v>17388</v>
      </c>
      <c r="F9142" s="396" t="s">
        <v>17389</v>
      </c>
    </row>
    <row r="9143">
      <c r="A9143" s="311">
        <v>9142</v>
      </c>
      <c r="B9143" s="396" t="s">
        <v>17398</v>
      </c>
      <c r="C9143" s="396" t="s">
        <v>14278</v>
      </c>
      <c r="D9143" s="396" t="s">
        <v>17387</v>
      </c>
      <c r="E9143" s="396" t="s">
        <v>17388</v>
      </c>
      <c r="F9143" s="396" t="s">
        <v>17389</v>
      </c>
    </row>
    <row r="9144">
      <c r="A9144" s="311">
        <v>9143</v>
      </c>
      <c r="B9144" s="396" t="s">
        <v>17399</v>
      </c>
      <c r="C9144" s="396" t="s">
        <v>17400</v>
      </c>
      <c r="D9144" s="396" t="s">
        <v>17387</v>
      </c>
      <c r="E9144" s="396" t="s">
        <v>17388</v>
      </c>
      <c r="F9144" s="396" t="s">
        <v>17389</v>
      </c>
    </row>
    <row r="9145">
      <c r="A9145" s="311">
        <v>9144</v>
      </c>
      <c r="B9145" s="396" t="s">
        <v>17401</v>
      </c>
      <c r="C9145" s="396" t="s">
        <v>14270</v>
      </c>
      <c r="D9145" s="396" t="s">
        <v>17387</v>
      </c>
      <c r="E9145" s="396" t="s">
        <v>17388</v>
      </c>
      <c r="F9145" s="396" t="s">
        <v>17389</v>
      </c>
    </row>
    <row r="9146">
      <c r="A9146" s="311">
        <v>9145</v>
      </c>
      <c r="B9146" s="396" t="s">
        <v>17402</v>
      </c>
      <c r="C9146" s="396" t="s">
        <v>14273</v>
      </c>
      <c r="D9146" s="396" t="s">
        <v>17387</v>
      </c>
      <c r="E9146" s="396" t="s">
        <v>17388</v>
      </c>
      <c r="F9146" s="396" t="s">
        <v>17389</v>
      </c>
    </row>
    <row r="9147">
      <c r="A9147" s="311">
        <v>9146</v>
      </c>
      <c r="B9147" s="396" t="s">
        <v>17403</v>
      </c>
      <c r="C9147" s="396" t="s">
        <v>17404</v>
      </c>
      <c r="D9147" s="396" t="s">
        <v>17387</v>
      </c>
      <c r="E9147" s="396" t="s">
        <v>17388</v>
      </c>
      <c r="F9147" s="396" t="s">
        <v>17389</v>
      </c>
    </row>
    <row r="9148">
      <c r="A9148" s="311">
        <v>9147</v>
      </c>
      <c r="B9148" s="396" t="s">
        <v>17405</v>
      </c>
      <c r="C9148" s="396" t="s">
        <v>17406</v>
      </c>
      <c r="D9148" s="396" t="s">
        <v>17387</v>
      </c>
      <c r="E9148" s="396" t="s">
        <v>17388</v>
      </c>
      <c r="F9148" s="396" t="s">
        <v>17389</v>
      </c>
    </row>
    <row r="9149">
      <c r="A9149" s="311">
        <v>9148</v>
      </c>
      <c r="B9149" s="396" t="s">
        <v>17407</v>
      </c>
      <c r="C9149" s="396" t="s">
        <v>16300</v>
      </c>
      <c r="D9149" s="396" t="s">
        <v>17387</v>
      </c>
      <c r="E9149" s="396" t="s">
        <v>17388</v>
      </c>
      <c r="F9149" s="396" t="s">
        <v>17389</v>
      </c>
    </row>
    <row r="9150">
      <c r="A9150" s="311">
        <v>9149</v>
      </c>
      <c r="B9150" s="396" t="s">
        <v>17408</v>
      </c>
      <c r="C9150" s="396" t="s">
        <v>16302</v>
      </c>
      <c r="D9150" s="396" t="s">
        <v>17387</v>
      </c>
      <c r="E9150" s="396" t="s">
        <v>17388</v>
      </c>
      <c r="F9150" s="396" t="s">
        <v>17389</v>
      </c>
    </row>
    <row r="9151">
      <c r="A9151" s="311">
        <v>9150</v>
      </c>
      <c r="B9151" s="396" t="s">
        <v>17409</v>
      </c>
      <c r="C9151" s="396" t="s">
        <v>16292</v>
      </c>
      <c r="D9151" s="396" t="s">
        <v>17387</v>
      </c>
      <c r="E9151" s="396" t="s">
        <v>17388</v>
      </c>
      <c r="F9151" s="396" t="s">
        <v>17389</v>
      </c>
    </row>
    <row r="9152">
      <c r="A9152" s="311">
        <v>9151</v>
      </c>
      <c r="B9152" s="396" t="s">
        <v>17410</v>
      </c>
      <c r="C9152" s="396" t="s">
        <v>4284</v>
      </c>
      <c r="D9152" s="396" t="s">
        <v>17387</v>
      </c>
      <c r="E9152" s="396" t="s">
        <v>17388</v>
      </c>
      <c r="F9152" s="396" t="s">
        <v>17389</v>
      </c>
    </row>
    <row r="9153">
      <c r="A9153" s="311">
        <v>9152</v>
      </c>
      <c r="B9153" s="396" t="s">
        <v>17411</v>
      </c>
      <c r="C9153" s="396" t="s">
        <v>17412</v>
      </c>
      <c r="D9153" s="396" t="s">
        <v>17413</v>
      </c>
      <c r="E9153" s="396" t="s">
        <v>17414</v>
      </c>
      <c r="F9153" s="396" t="s">
        <v>17389</v>
      </c>
    </row>
    <row r="9154">
      <c r="A9154" s="311">
        <v>9153</v>
      </c>
      <c r="B9154" s="396" t="s">
        <v>17415</v>
      </c>
      <c r="C9154" s="396" t="s">
        <v>17416</v>
      </c>
      <c r="D9154" s="396" t="s">
        <v>17413</v>
      </c>
      <c r="E9154" s="396" t="s">
        <v>17414</v>
      </c>
      <c r="F9154" s="396" t="s">
        <v>17389</v>
      </c>
    </row>
    <row r="9155">
      <c r="A9155" s="311">
        <v>9154</v>
      </c>
      <c r="B9155" s="396" t="s">
        <v>17417</v>
      </c>
      <c r="C9155" s="396" t="s">
        <v>17418</v>
      </c>
      <c r="D9155" s="396" t="s">
        <v>17413</v>
      </c>
      <c r="E9155" s="396" t="s">
        <v>17414</v>
      </c>
      <c r="F9155" s="396" t="s">
        <v>17389</v>
      </c>
    </row>
    <row r="9156">
      <c r="A9156" s="311">
        <v>9155</v>
      </c>
      <c r="B9156" s="396" t="s">
        <v>17419</v>
      </c>
      <c r="C9156" s="396" t="s">
        <v>17420</v>
      </c>
      <c r="D9156" s="396" t="s">
        <v>17413</v>
      </c>
      <c r="E9156" s="396" t="s">
        <v>17414</v>
      </c>
      <c r="F9156" s="396" t="s">
        <v>17389</v>
      </c>
    </row>
    <row r="9157">
      <c r="A9157" s="311">
        <v>9156</v>
      </c>
      <c r="B9157" s="396" t="s">
        <v>17421</v>
      </c>
      <c r="C9157" s="396" t="s">
        <v>17422</v>
      </c>
      <c r="D9157" s="396" t="s">
        <v>17413</v>
      </c>
      <c r="E9157" s="396" t="s">
        <v>17414</v>
      </c>
      <c r="F9157" s="396" t="s">
        <v>17389</v>
      </c>
    </row>
    <row r="9158">
      <c r="A9158" s="311">
        <v>9157</v>
      </c>
      <c r="B9158" s="396" t="s">
        <v>17423</v>
      </c>
      <c r="C9158" s="396" t="s">
        <v>17424</v>
      </c>
      <c r="D9158" s="396" t="s">
        <v>17413</v>
      </c>
      <c r="E9158" s="396" t="s">
        <v>17414</v>
      </c>
      <c r="F9158" s="396" t="s">
        <v>17389</v>
      </c>
    </row>
    <row r="9159">
      <c r="A9159" s="311">
        <v>9158</v>
      </c>
      <c r="B9159" s="396" t="s">
        <v>17425</v>
      </c>
      <c r="C9159" s="396" t="s">
        <v>17426</v>
      </c>
      <c r="D9159" s="396" t="s">
        <v>17413</v>
      </c>
      <c r="E9159" s="396" t="s">
        <v>17414</v>
      </c>
      <c r="F9159" s="396" t="s">
        <v>17389</v>
      </c>
    </row>
    <row r="9160">
      <c r="A9160" s="311">
        <v>9159</v>
      </c>
      <c r="B9160" s="396" t="s">
        <v>17427</v>
      </c>
      <c r="C9160" s="396" t="s">
        <v>17428</v>
      </c>
      <c r="D9160" s="396" t="s">
        <v>17413</v>
      </c>
      <c r="E9160" s="396" t="s">
        <v>17414</v>
      </c>
      <c r="F9160" s="396" t="s">
        <v>17389</v>
      </c>
    </row>
    <row r="9161">
      <c r="A9161" s="311">
        <v>9160</v>
      </c>
      <c r="B9161" s="396" t="s">
        <v>17429</v>
      </c>
      <c r="C9161" s="396" t="s">
        <v>296</v>
      </c>
      <c r="D9161" s="396" t="s">
        <v>17413</v>
      </c>
      <c r="E9161" s="396" t="s">
        <v>17414</v>
      </c>
      <c r="F9161" s="396" t="s">
        <v>17389</v>
      </c>
    </row>
    <row r="9162">
      <c r="A9162" s="311">
        <v>9161</v>
      </c>
      <c r="B9162" s="396" t="s">
        <v>17430</v>
      </c>
      <c r="C9162" s="396" t="s">
        <v>16894</v>
      </c>
      <c r="D9162" s="396" t="s">
        <v>17413</v>
      </c>
      <c r="E9162" s="396" t="s">
        <v>17414</v>
      </c>
      <c r="F9162" s="396" t="s">
        <v>17389</v>
      </c>
    </row>
    <row r="9163">
      <c r="A9163" s="311">
        <v>9162</v>
      </c>
      <c r="B9163" s="396" t="s">
        <v>17431</v>
      </c>
      <c r="C9163" s="396" t="s">
        <v>6911</v>
      </c>
      <c r="D9163" s="396" t="s">
        <v>17413</v>
      </c>
      <c r="E9163" s="396" t="s">
        <v>17414</v>
      </c>
      <c r="F9163" s="396" t="s">
        <v>17389</v>
      </c>
    </row>
    <row r="9164">
      <c r="A9164" s="311">
        <v>9163</v>
      </c>
      <c r="B9164" s="396" t="s">
        <v>17432</v>
      </c>
      <c r="C9164" s="396" t="s">
        <v>17433</v>
      </c>
      <c r="D9164" s="396" t="s">
        <v>17434</v>
      </c>
      <c r="E9164" s="396" t="s">
        <v>17435</v>
      </c>
      <c r="F9164" s="396" t="s">
        <v>17389</v>
      </c>
    </row>
    <row r="9165">
      <c r="A9165" s="311">
        <v>9164</v>
      </c>
      <c r="B9165" s="396" t="s">
        <v>17436</v>
      </c>
      <c r="C9165" s="396" t="s">
        <v>17437</v>
      </c>
      <c r="D9165" s="396" t="s">
        <v>17434</v>
      </c>
      <c r="E9165" s="396" t="s">
        <v>17435</v>
      </c>
      <c r="F9165" s="396" t="s">
        <v>17389</v>
      </c>
    </row>
    <row r="9166">
      <c r="A9166" s="311">
        <v>9165</v>
      </c>
      <c r="B9166" s="396" t="s">
        <v>17438</v>
      </c>
      <c r="C9166" s="396" t="s">
        <v>17439</v>
      </c>
      <c r="D9166" s="396" t="s">
        <v>17434</v>
      </c>
      <c r="E9166" s="396" t="s">
        <v>17435</v>
      </c>
      <c r="F9166" s="396" t="s">
        <v>17389</v>
      </c>
    </row>
    <row r="9167">
      <c r="A9167" s="311">
        <v>9166</v>
      </c>
      <c r="B9167" s="396" t="s">
        <v>17440</v>
      </c>
      <c r="C9167" s="396" t="s">
        <v>17441</v>
      </c>
      <c r="D9167" s="396" t="s">
        <v>17434</v>
      </c>
      <c r="E9167" s="396" t="s">
        <v>17435</v>
      </c>
      <c r="F9167" s="396" t="s">
        <v>17389</v>
      </c>
    </row>
    <row r="9168">
      <c r="A9168" s="311">
        <v>9167</v>
      </c>
      <c r="B9168" s="396" t="s">
        <v>17442</v>
      </c>
      <c r="C9168" s="396" t="s">
        <v>605</v>
      </c>
      <c r="D9168" s="396" t="s">
        <v>17434</v>
      </c>
      <c r="E9168" s="396" t="s">
        <v>17435</v>
      </c>
      <c r="F9168" s="396" t="s">
        <v>17389</v>
      </c>
    </row>
    <row r="9169">
      <c r="A9169" s="311">
        <v>9168</v>
      </c>
      <c r="B9169" s="396" t="s">
        <v>17443</v>
      </c>
      <c r="C9169" s="396" t="s">
        <v>3201</v>
      </c>
      <c r="D9169" s="396" t="s">
        <v>17434</v>
      </c>
      <c r="E9169" s="396" t="s">
        <v>17435</v>
      </c>
      <c r="F9169" s="396" t="s">
        <v>17389</v>
      </c>
    </row>
    <row r="9170">
      <c r="A9170" s="311">
        <v>9169</v>
      </c>
      <c r="B9170" s="396" t="s">
        <v>17444</v>
      </c>
      <c r="C9170" s="396" t="s">
        <v>17445</v>
      </c>
      <c r="D9170" s="396" t="s">
        <v>17434</v>
      </c>
      <c r="E9170" s="396" t="s">
        <v>17435</v>
      </c>
      <c r="F9170" s="396" t="s">
        <v>17389</v>
      </c>
    </row>
    <row r="9171">
      <c r="A9171" s="311">
        <v>9170</v>
      </c>
      <c r="B9171" s="396" t="s">
        <v>17446</v>
      </c>
      <c r="C9171" s="396" t="s">
        <v>2198</v>
      </c>
      <c r="D9171" s="396" t="s">
        <v>17434</v>
      </c>
      <c r="E9171" s="396" t="s">
        <v>17435</v>
      </c>
      <c r="F9171" s="396" t="s">
        <v>17389</v>
      </c>
    </row>
    <row r="9172">
      <c r="A9172" s="311">
        <v>9171</v>
      </c>
      <c r="B9172" s="396" t="s">
        <v>17447</v>
      </c>
      <c r="C9172" s="396" t="s">
        <v>17448</v>
      </c>
      <c r="D9172" s="396" t="s">
        <v>17434</v>
      </c>
      <c r="E9172" s="396" t="s">
        <v>17435</v>
      </c>
      <c r="F9172" s="396" t="s">
        <v>17389</v>
      </c>
    </row>
    <row r="9173">
      <c r="A9173" s="311">
        <v>9172</v>
      </c>
      <c r="B9173" s="396" t="s">
        <v>17449</v>
      </c>
      <c r="C9173" s="396" t="s">
        <v>17450</v>
      </c>
      <c r="D9173" s="396" t="s">
        <v>17434</v>
      </c>
      <c r="E9173" s="396" t="s">
        <v>17435</v>
      </c>
      <c r="F9173" s="396" t="s">
        <v>17389</v>
      </c>
    </row>
    <row r="9174">
      <c r="A9174" s="311">
        <v>9173</v>
      </c>
      <c r="B9174" s="396" t="s">
        <v>17451</v>
      </c>
      <c r="C9174" s="396" t="s">
        <v>17452</v>
      </c>
      <c r="D9174" s="396" t="s">
        <v>17434</v>
      </c>
      <c r="E9174" s="396" t="s">
        <v>17435</v>
      </c>
      <c r="F9174" s="396" t="s">
        <v>17389</v>
      </c>
    </row>
    <row r="9175">
      <c r="A9175" s="311">
        <v>9174</v>
      </c>
      <c r="B9175" s="396" t="s">
        <v>17453</v>
      </c>
      <c r="C9175" s="396" t="s">
        <v>5513</v>
      </c>
      <c r="D9175" s="396" t="s">
        <v>17434</v>
      </c>
      <c r="E9175" s="396" t="s">
        <v>17435</v>
      </c>
      <c r="F9175" s="396" t="s">
        <v>17389</v>
      </c>
    </row>
    <row r="9176">
      <c r="A9176" s="311">
        <v>9175</v>
      </c>
      <c r="B9176" s="396" t="s">
        <v>17454</v>
      </c>
      <c r="C9176" s="396" t="s">
        <v>6714</v>
      </c>
      <c r="D9176" s="396" t="s">
        <v>17434</v>
      </c>
      <c r="E9176" s="396" t="s">
        <v>17435</v>
      </c>
      <c r="F9176" s="396" t="s">
        <v>17389</v>
      </c>
    </row>
    <row r="9177">
      <c r="A9177" s="311">
        <v>9176</v>
      </c>
      <c r="B9177" s="396" t="s">
        <v>17455</v>
      </c>
      <c r="C9177" s="396" t="s">
        <v>17456</v>
      </c>
      <c r="D9177" s="396" t="s">
        <v>17434</v>
      </c>
      <c r="E9177" s="396" t="s">
        <v>17435</v>
      </c>
      <c r="F9177" s="396" t="s">
        <v>17389</v>
      </c>
    </row>
    <row r="9178">
      <c r="A9178" s="311">
        <v>9177</v>
      </c>
      <c r="B9178" s="396" t="s">
        <v>17457</v>
      </c>
      <c r="C9178" s="396" t="s">
        <v>17458</v>
      </c>
      <c r="D9178" s="396" t="s">
        <v>17434</v>
      </c>
      <c r="E9178" s="396" t="s">
        <v>17435</v>
      </c>
      <c r="F9178" s="396" t="s">
        <v>17389</v>
      </c>
    </row>
    <row r="9179">
      <c r="A9179" s="311">
        <v>9178</v>
      </c>
      <c r="B9179" s="396" t="s">
        <v>17459</v>
      </c>
      <c r="C9179" s="396" t="s">
        <v>9150</v>
      </c>
      <c r="D9179" s="396" t="s">
        <v>17434</v>
      </c>
      <c r="E9179" s="396" t="s">
        <v>17435</v>
      </c>
      <c r="F9179" s="396" t="s">
        <v>17389</v>
      </c>
    </row>
    <row r="9180">
      <c r="A9180" s="311">
        <v>9179</v>
      </c>
      <c r="B9180" s="396" t="s">
        <v>17460</v>
      </c>
      <c r="C9180" s="396" t="s">
        <v>17461</v>
      </c>
      <c r="D9180" s="396" t="s">
        <v>17462</v>
      </c>
      <c r="E9180" s="396" t="s">
        <v>17463</v>
      </c>
      <c r="F9180" s="396" t="s">
        <v>17389</v>
      </c>
    </row>
    <row r="9181">
      <c r="A9181" s="311">
        <v>9180</v>
      </c>
      <c r="B9181" s="396" t="s">
        <v>17464</v>
      </c>
      <c r="C9181" s="396" t="s">
        <v>14245</v>
      </c>
      <c r="D9181" s="396" t="s">
        <v>17462</v>
      </c>
      <c r="E9181" s="396" t="s">
        <v>17463</v>
      </c>
      <c r="F9181" s="396" t="s">
        <v>17389</v>
      </c>
    </row>
    <row r="9182">
      <c r="A9182" s="311">
        <v>9181</v>
      </c>
      <c r="B9182" s="396" t="s">
        <v>17465</v>
      </c>
      <c r="C9182" s="396" t="s">
        <v>14372</v>
      </c>
      <c r="D9182" s="396" t="s">
        <v>17462</v>
      </c>
      <c r="E9182" s="396" t="s">
        <v>17463</v>
      </c>
      <c r="F9182" s="396" t="s">
        <v>17389</v>
      </c>
    </row>
    <row r="9183">
      <c r="A9183" s="311">
        <v>9182</v>
      </c>
      <c r="B9183" s="396" t="s">
        <v>17466</v>
      </c>
      <c r="C9183" s="396" t="s">
        <v>17467</v>
      </c>
      <c r="D9183" s="396" t="s">
        <v>17462</v>
      </c>
      <c r="E9183" s="396" t="s">
        <v>17463</v>
      </c>
      <c r="F9183" s="396" t="s">
        <v>17389</v>
      </c>
    </row>
    <row r="9184">
      <c r="A9184" s="311">
        <v>9183</v>
      </c>
      <c r="B9184" s="396" t="s">
        <v>17468</v>
      </c>
      <c r="C9184" s="396" t="s">
        <v>17469</v>
      </c>
      <c r="D9184" s="396" t="s">
        <v>17462</v>
      </c>
      <c r="E9184" s="396" t="s">
        <v>17463</v>
      </c>
      <c r="F9184" s="396" t="s">
        <v>17389</v>
      </c>
    </row>
    <row r="9185">
      <c r="A9185" s="311">
        <v>9184</v>
      </c>
      <c r="B9185" s="396" t="s">
        <v>17470</v>
      </c>
      <c r="C9185" s="396" t="s">
        <v>16442</v>
      </c>
      <c r="D9185" s="396" t="s">
        <v>17462</v>
      </c>
      <c r="E9185" s="396" t="s">
        <v>17463</v>
      </c>
      <c r="F9185" s="396" t="s">
        <v>17389</v>
      </c>
    </row>
    <row r="9186">
      <c r="A9186" s="311">
        <v>9185</v>
      </c>
      <c r="B9186" s="396" t="s">
        <v>17471</v>
      </c>
      <c r="C9186" s="396" t="s">
        <v>17472</v>
      </c>
      <c r="D9186" s="396" t="s">
        <v>17462</v>
      </c>
      <c r="E9186" s="396" t="s">
        <v>17463</v>
      </c>
      <c r="F9186" s="396" t="s">
        <v>17389</v>
      </c>
    </row>
    <row r="9187">
      <c r="A9187" s="311">
        <v>9186</v>
      </c>
      <c r="B9187" s="396" t="s">
        <v>17473</v>
      </c>
      <c r="C9187" s="396" t="s">
        <v>1014</v>
      </c>
      <c r="D9187" s="396" t="s">
        <v>17462</v>
      </c>
      <c r="E9187" s="396" t="s">
        <v>17463</v>
      </c>
      <c r="F9187" s="396" t="s">
        <v>17389</v>
      </c>
    </row>
    <row r="9188">
      <c r="A9188" s="311">
        <v>9187</v>
      </c>
      <c r="B9188" s="396" t="s">
        <v>17474</v>
      </c>
      <c r="C9188" s="396" t="s">
        <v>17475</v>
      </c>
      <c r="D9188" s="396" t="s">
        <v>17462</v>
      </c>
      <c r="E9188" s="396" t="s">
        <v>17463</v>
      </c>
      <c r="F9188" s="396" t="s">
        <v>17389</v>
      </c>
    </row>
    <row r="9189">
      <c r="A9189" s="311">
        <v>9188</v>
      </c>
      <c r="B9189" s="396" t="s">
        <v>17476</v>
      </c>
      <c r="C9189" s="396" t="s">
        <v>16142</v>
      </c>
      <c r="D9189" s="396" t="s">
        <v>17462</v>
      </c>
      <c r="E9189" s="396" t="s">
        <v>17463</v>
      </c>
      <c r="F9189" s="396" t="s">
        <v>17389</v>
      </c>
    </row>
    <row r="9190">
      <c r="A9190" s="311">
        <v>9189</v>
      </c>
      <c r="B9190" s="396" t="s">
        <v>17477</v>
      </c>
      <c r="C9190" s="396" t="s">
        <v>14446</v>
      </c>
      <c r="D9190" s="396" t="s">
        <v>17462</v>
      </c>
      <c r="E9190" s="396" t="s">
        <v>17463</v>
      </c>
      <c r="F9190" s="396" t="s">
        <v>17389</v>
      </c>
    </row>
    <row r="9191">
      <c r="A9191" s="311">
        <v>9190</v>
      </c>
      <c r="B9191" s="396" t="s">
        <v>17478</v>
      </c>
      <c r="C9191" s="396" t="s">
        <v>17479</v>
      </c>
      <c r="D9191" s="396" t="s">
        <v>17462</v>
      </c>
      <c r="E9191" s="396" t="s">
        <v>17463</v>
      </c>
      <c r="F9191" s="396" t="s">
        <v>17389</v>
      </c>
    </row>
    <row r="9192">
      <c r="A9192" s="311">
        <v>9191</v>
      </c>
      <c r="B9192" s="396" t="s">
        <v>17480</v>
      </c>
      <c r="C9192" s="396" t="s">
        <v>13693</v>
      </c>
      <c r="D9192" s="396" t="s">
        <v>17462</v>
      </c>
      <c r="E9192" s="396" t="s">
        <v>17463</v>
      </c>
      <c r="F9192" s="396" t="s">
        <v>17389</v>
      </c>
    </row>
    <row r="9193">
      <c r="A9193" s="311">
        <v>9192</v>
      </c>
      <c r="B9193" s="396" t="s">
        <v>17481</v>
      </c>
      <c r="C9193" s="396" t="s">
        <v>17482</v>
      </c>
      <c r="D9193" s="396" t="s">
        <v>17483</v>
      </c>
      <c r="E9193" s="396" t="s">
        <v>17484</v>
      </c>
      <c r="F9193" s="396" t="s">
        <v>17389</v>
      </c>
    </row>
    <row r="9194">
      <c r="A9194" s="311">
        <v>9193</v>
      </c>
      <c r="B9194" s="396" t="s">
        <v>17485</v>
      </c>
      <c r="C9194" s="396" t="s">
        <v>17486</v>
      </c>
      <c r="D9194" s="396" t="s">
        <v>17483</v>
      </c>
      <c r="E9194" s="396" t="s">
        <v>17484</v>
      </c>
      <c r="F9194" s="396" t="s">
        <v>17389</v>
      </c>
    </row>
    <row r="9195">
      <c r="A9195" s="311">
        <v>9194</v>
      </c>
      <c r="B9195" s="396" t="s">
        <v>17487</v>
      </c>
      <c r="C9195" s="396" t="s">
        <v>17488</v>
      </c>
      <c r="D9195" s="396" t="s">
        <v>17483</v>
      </c>
      <c r="E9195" s="396" t="s">
        <v>17484</v>
      </c>
      <c r="F9195" s="396" t="s">
        <v>17389</v>
      </c>
    </row>
    <row r="9196">
      <c r="A9196" s="311">
        <v>9195</v>
      </c>
      <c r="B9196" s="396" t="s">
        <v>17489</v>
      </c>
      <c r="C9196" s="396" t="s">
        <v>13586</v>
      </c>
      <c r="D9196" s="396" t="s">
        <v>17483</v>
      </c>
      <c r="E9196" s="396" t="s">
        <v>17484</v>
      </c>
      <c r="F9196" s="396" t="s">
        <v>17389</v>
      </c>
    </row>
    <row r="9197">
      <c r="A9197" s="311">
        <v>9196</v>
      </c>
      <c r="B9197" s="396" t="s">
        <v>17490</v>
      </c>
      <c r="C9197" s="396" t="s">
        <v>17491</v>
      </c>
      <c r="D9197" s="396" t="s">
        <v>17483</v>
      </c>
      <c r="E9197" s="396" t="s">
        <v>17484</v>
      </c>
      <c r="F9197" s="396" t="s">
        <v>17389</v>
      </c>
    </row>
    <row r="9198">
      <c r="A9198" s="311">
        <v>9197</v>
      </c>
      <c r="B9198" s="396" t="s">
        <v>17492</v>
      </c>
      <c r="C9198" s="396" t="s">
        <v>17493</v>
      </c>
      <c r="D9198" s="396" t="s">
        <v>17483</v>
      </c>
      <c r="E9198" s="396" t="s">
        <v>17484</v>
      </c>
      <c r="F9198" s="396" t="s">
        <v>17389</v>
      </c>
    </row>
    <row r="9199">
      <c r="A9199" s="311">
        <v>9198</v>
      </c>
      <c r="B9199" s="396" t="s">
        <v>17494</v>
      </c>
      <c r="C9199" s="396" t="s">
        <v>14234</v>
      </c>
      <c r="D9199" s="396" t="s">
        <v>17483</v>
      </c>
      <c r="E9199" s="396" t="s">
        <v>17484</v>
      </c>
      <c r="F9199" s="396" t="s">
        <v>17389</v>
      </c>
    </row>
    <row r="9200">
      <c r="A9200" s="311">
        <v>9199</v>
      </c>
      <c r="B9200" s="396" t="s">
        <v>17495</v>
      </c>
      <c r="C9200" s="396" t="s">
        <v>17496</v>
      </c>
      <c r="D9200" s="396" t="s">
        <v>17497</v>
      </c>
      <c r="E9200" s="396" t="s">
        <v>17498</v>
      </c>
      <c r="F9200" s="396" t="s">
        <v>17389</v>
      </c>
    </row>
    <row r="9201">
      <c r="A9201" s="311">
        <v>9200</v>
      </c>
      <c r="B9201" s="396" t="s">
        <v>17499</v>
      </c>
      <c r="C9201" s="396" t="s">
        <v>17500</v>
      </c>
      <c r="D9201" s="396" t="s">
        <v>17497</v>
      </c>
      <c r="E9201" s="396" t="s">
        <v>17498</v>
      </c>
      <c r="F9201" s="396" t="s">
        <v>17389</v>
      </c>
    </row>
    <row r="9202">
      <c r="A9202" s="311">
        <v>9201</v>
      </c>
      <c r="B9202" s="396" t="s">
        <v>17501</v>
      </c>
      <c r="C9202" s="396" t="s">
        <v>17502</v>
      </c>
      <c r="D9202" s="396" t="s">
        <v>17497</v>
      </c>
      <c r="E9202" s="396" t="s">
        <v>17498</v>
      </c>
      <c r="F9202" s="396" t="s">
        <v>17389</v>
      </c>
    </row>
    <row r="9203">
      <c r="A9203" s="311">
        <v>9202</v>
      </c>
      <c r="B9203" s="396" t="s">
        <v>17503</v>
      </c>
      <c r="C9203" s="396" t="s">
        <v>17504</v>
      </c>
      <c r="D9203" s="396" t="s">
        <v>17497</v>
      </c>
      <c r="E9203" s="396" t="s">
        <v>17498</v>
      </c>
      <c r="F9203" s="396" t="s">
        <v>17389</v>
      </c>
    </row>
    <row r="9204">
      <c r="A9204" s="311">
        <v>9203</v>
      </c>
      <c r="B9204" s="396" t="s">
        <v>17505</v>
      </c>
      <c r="C9204" s="396" t="s">
        <v>17506</v>
      </c>
      <c r="D9204" s="396" t="s">
        <v>17497</v>
      </c>
      <c r="E9204" s="396" t="s">
        <v>17498</v>
      </c>
      <c r="F9204" s="396" t="s">
        <v>17389</v>
      </c>
    </row>
    <row r="9205">
      <c r="A9205" s="311">
        <v>9204</v>
      </c>
      <c r="B9205" s="396" t="s">
        <v>17507</v>
      </c>
      <c r="C9205" s="396" t="s">
        <v>16745</v>
      </c>
      <c r="D9205" s="396" t="s">
        <v>17497</v>
      </c>
      <c r="E9205" s="396" t="s">
        <v>17498</v>
      </c>
      <c r="F9205" s="396" t="s">
        <v>17389</v>
      </c>
    </row>
    <row r="9206">
      <c r="A9206" s="311">
        <v>9205</v>
      </c>
      <c r="B9206" s="396" t="s">
        <v>17508</v>
      </c>
      <c r="C9206" s="396" t="s">
        <v>17509</v>
      </c>
      <c r="D9206" s="396" t="s">
        <v>17497</v>
      </c>
      <c r="E9206" s="396" t="s">
        <v>17498</v>
      </c>
      <c r="F9206" s="396" t="s">
        <v>17389</v>
      </c>
    </row>
    <row r="9207">
      <c r="A9207" s="311">
        <v>9206</v>
      </c>
      <c r="B9207" s="396" t="s">
        <v>17510</v>
      </c>
      <c r="C9207" s="396" t="s">
        <v>9012</v>
      </c>
      <c r="D9207" s="396" t="s">
        <v>17497</v>
      </c>
      <c r="E9207" s="396" t="s">
        <v>17498</v>
      </c>
      <c r="F9207" s="396" t="s">
        <v>17389</v>
      </c>
    </row>
    <row r="9208">
      <c r="A9208" s="311">
        <v>9207</v>
      </c>
      <c r="B9208" s="396" t="s">
        <v>17511</v>
      </c>
      <c r="C9208" s="396" t="s">
        <v>17512</v>
      </c>
      <c r="D9208" s="396" t="s">
        <v>17513</v>
      </c>
      <c r="E9208" s="396" t="s">
        <v>17514</v>
      </c>
      <c r="F9208" s="396" t="s">
        <v>17389</v>
      </c>
    </row>
    <row r="9209">
      <c r="A9209" s="311">
        <v>9208</v>
      </c>
      <c r="B9209" s="396" t="s">
        <v>17515</v>
      </c>
      <c r="C9209" s="396" t="s">
        <v>838</v>
      </c>
      <c r="D9209" s="396" t="s">
        <v>17513</v>
      </c>
      <c r="E9209" s="396" t="s">
        <v>17514</v>
      </c>
      <c r="F9209" s="396" t="s">
        <v>17389</v>
      </c>
    </row>
    <row r="9210">
      <c r="A9210" s="311">
        <v>9209</v>
      </c>
      <c r="B9210" s="396" t="s">
        <v>17516</v>
      </c>
      <c r="C9210" s="396" t="s">
        <v>14825</v>
      </c>
      <c r="D9210" s="396" t="s">
        <v>17513</v>
      </c>
      <c r="E9210" s="396" t="s">
        <v>17514</v>
      </c>
      <c r="F9210" s="396" t="s">
        <v>17389</v>
      </c>
    </row>
    <row r="9211">
      <c r="A9211" s="311">
        <v>9210</v>
      </c>
      <c r="B9211" s="396" t="s">
        <v>17517</v>
      </c>
      <c r="C9211" s="396" t="s">
        <v>13384</v>
      </c>
      <c r="D9211" s="396" t="s">
        <v>17513</v>
      </c>
      <c r="E9211" s="396" t="s">
        <v>17514</v>
      </c>
      <c r="F9211" s="396" t="s">
        <v>17389</v>
      </c>
    </row>
    <row r="9212">
      <c r="A9212" s="311">
        <v>9211</v>
      </c>
      <c r="B9212" s="396" t="s">
        <v>17518</v>
      </c>
      <c r="C9212" s="396" t="s">
        <v>14931</v>
      </c>
      <c r="D9212" s="396" t="s">
        <v>17513</v>
      </c>
      <c r="E9212" s="396" t="s">
        <v>17514</v>
      </c>
      <c r="F9212" s="396" t="s">
        <v>17389</v>
      </c>
    </row>
    <row r="9213">
      <c r="A9213" s="311">
        <v>9212</v>
      </c>
      <c r="B9213" s="396" t="s">
        <v>17519</v>
      </c>
      <c r="C9213" s="396" t="s">
        <v>17520</v>
      </c>
      <c r="D9213" s="396" t="s">
        <v>17513</v>
      </c>
      <c r="E9213" s="396" t="s">
        <v>17514</v>
      </c>
      <c r="F9213" s="396" t="s">
        <v>17389</v>
      </c>
    </row>
    <row r="9214">
      <c r="A9214" s="311">
        <v>9213</v>
      </c>
      <c r="B9214" s="396" t="s">
        <v>17521</v>
      </c>
      <c r="C9214" s="396" t="s">
        <v>17522</v>
      </c>
      <c r="D9214" s="396" t="s">
        <v>17513</v>
      </c>
      <c r="E9214" s="396" t="s">
        <v>17514</v>
      </c>
      <c r="F9214" s="396" t="s">
        <v>17389</v>
      </c>
    </row>
    <row r="9215">
      <c r="A9215" s="311">
        <v>9214</v>
      </c>
      <c r="B9215" s="396" t="s">
        <v>17523</v>
      </c>
      <c r="C9215" s="396" t="s">
        <v>17524</v>
      </c>
      <c r="D9215" s="396" t="s">
        <v>17513</v>
      </c>
      <c r="E9215" s="396" t="s">
        <v>17514</v>
      </c>
      <c r="F9215" s="396" t="s">
        <v>17389</v>
      </c>
    </row>
    <row r="9216">
      <c r="A9216" s="311">
        <v>9215</v>
      </c>
      <c r="B9216" s="396" t="s">
        <v>17525</v>
      </c>
      <c r="C9216" s="396" t="s">
        <v>17526</v>
      </c>
      <c r="D9216" s="396" t="s">
        <v>17513</v>
      </c>
      <c r="E9216" s="396" t="s">
        <v>17514</v>
      </c>
      <c r="F9216" s="396" t="s">
        <v>17389</v>
      </c>
    </row>
    <row r="9217">
      <c r="A9217" s="311">
        <v>9216</v>
      </c>
      <c r="B9217" s="396" t="s">
        <v>17527</v>
      </c>
      <c r="C9217" s="396" t="s">
        <v>17528</v>
      </c>
      <c r="D9217" s="396" t="s">
        <v>17513</v>
      </c>
      <c r="E9217" s="396" t="s">
        <v>17514</v>
      </c>
      <c r="F9217" s="396" t="s">
        <v>17389</v>
      </c>
    </row>
    <row r="9218">
      <c r="A9218" s="311">
        <v>9217</v>
      </c>
      <c r="B9218" s="396" t="s">
        <v>17529</v>
      </c>
      <c r="C9218" s="396" t="s">
        <v>17003</v>
      </c>
      <c r="D9218" s="396" t="s">
        <v>17530</v>
      </c>
      <c r="E9218" s="396" t="s">
        <v>17531</v>
      </c>
      <c r="F9218" s="396" t="s">
        <v>17532</v>
      </c>
    </row>
    <row r="9219">
      <c r="A9219" s="311">
        <v>9218</v>
      </c>
      <c r="B9219" s="396" t="s">
        <v>17533</v>
      </c>
      <c r="C9219" s="396" t="s">
        <v>17534</v>
      </c>
      <c r="D9219" s="396" t="s">
        <v>17530</v>
      </c>
      <c r="E9219" s="396" t="s">
        <v>17531</v>
      </c>
      <c r="F9219" s="396" t="s">
        <v>17532</v>
      </c>
    </row>
    <row r="9220">
      <c r="A9220" s="311">
        <v>9219</v>
      </c>
      <c r="B9220" s="396" t="s">
        <v>17535</v>
      </c>
      <c r="C9220" s="396" t="s">
        <v>17536</v>
      </c>
      <c r="D9220" s="396" t="s">
        <v>17530</v>
      </c>
      <c r="E9220" s="396" t="s">
        <v>17531</v>
      </c>
      <c r="F9220" s="396" t="s">
        <v>17532</v>
      </c>
    </row>
    <row r="9221">
      <c r="A9221" s="311">
        <v>9220</v>
      </c>
      <c r="B9221" s="396" t="s">
        <v>17537</v>
      </c>
      <c r="C9221" s="396" t="s">
        <v>17538</v>
      </c>
      <c r="D9221" s="396" t="s">
        <v>17530</v>
      </c>
      <c r="E9221" s="396" t="s">
        <v>17531</v>
      </c>
      <c r="F9221" s="396" t="s">
        <v>17532</v>
      </c>
    </row>
    <row r="9222">
      <c r="A9222" s="311">
        <v>9221</v>
      </c>
      <c r="B9222" s="396" t="s">
        <v>17539</v>
      </c>
      <c r="C9222" s="396" t="s">
        <v>17540</v>
      </c>
      <c r="D9222" s="396" t="s">
        <v>17530</v>
      </c>
      <c r="E9222" s="396" t="s">
        <v>17531</v>
      </c>
      <c r="F9222" s="396" t="s">
        <v>17532</v>
      </c>
    </row>
    <row r="9223">
      <c r="A9223" s="311">
        <v>9222</v>
      </c>
      <c r="B9223" s="396" t="s">
        <v>17541</v>
      </c>
      <c r="C9223" s="396" t="s">
        <v>7144</v>
      </c>
      <c r="D9223" s="396" t="s">
        <v>17530</v>
      </c>
      <c r="E9223" s="396" t="s">
        <v>17531</v>
      </c>
      <c r="F9223" s="396" t="s">
        <v>17532</v>
      </c>
    </row>
    <row r="9224">
      <c r="A9224" s="311">
        <v>9223</v>
      </c>
      <c r="B9224" s="396" t="s">
        <v>17542</v>
      </c>
      <c r="C9224" s="396" t="s">
        <v>17543</v>
      </c>
      <c r="D9224" s="396" t="s">
        <v>17530</v>
      </c>
      <c r="E9224" s="396" t="s">
        <v>17531</v>
      </c>
      <c r="F9224" s="396" t="s">
        <v>17532</v>
      </c>
    </row>
    <row r="9225">
      <c r="A9225" s="311">
        <v>9224</v>
      </c>
      <c r="B9225" s="396" t="s">
        <v>17544</v>
      </c>
      <c r="C9225" s="396" t="s">
        <v>17545</v>
      </c>
      <c r="D9225" s="396" t="s">
        <v>17530</v>
      </c>
      <c r="E9225" s="396" t="s">
        <v>17531</v>
      </c>
      <c r="F9225" s="396" t="s">
        <v>17532</v>
      </c>
    </row>
    <row r="9226">
      <c r="A9226" s="311">
        <v>9225</v>
      </c>
      <c r="B9226" s="396" t="s">
        <v>17546</v>
      </c>
      <c r="C9226" s="396" t="s">
        <v>17547</v>
      </c>
      <c r="D9226" s="396" t="s">
        <v>17530</v>
      </c>
      <c r="E9226" s="396" t="s">
        <v>17531</v>
      </c>
      <c r="F9226" s="396" t="s">
        <v>17532</v>
      </c>
    </row>
    <row r="9227">
      <c r="A9227" s="311">
        <v>9226</v>
      </c>
      <c r="B9227" s="396" t="s">
        <v>17548</v>
      </c>
      <c r="C9227" s="396" t="s">
        <v>17549</v>
      </c>
      <c r="D9227" s="396" t="s">
        <v>17530</v>
      </c>
      <c r="E9227" s="396" t="s">
        <v>17531</v>
      </c>
      <c r="F9227" s="396" t="s">
        <v>17532</v>
      </c>
    </row>
    <row r="9228">
      <c r="A9228" s="311">
        <v>9227</v>
      </c>
      <c r="B9228" s="396" t="s">
        <v>17550</v>
      </c>
      <c r="C9228" s="396" t="s">
        <v>17551</v>
      </c>
      <c r="D9228" s="396" t="s">
        <v>17552</v>
      </c>
      <c r="E9228" s="396" t="s">
        <v>17553</v>
      </c>
      <c r="F9228" s="396" t="s">
        <v>17532</v>
      </c>
    </row>
    <row r="9229">
      <c r="A9229" s="311">
        <v>9228</v>
      </c>
      <c r="B9229" s="396" t="s">
        <v>17554</v>
      </c>
      <c r="C9229" s="396" t="s">
        <v>17555</v>
      </c>
      <c r="D9229" s="396" t="s">
        <v>17552</v>
      </c>
      <c r="E9229" s="396" t="s">
        <v>17553</v>
      </c>
      <c r="F9229" s="396" t="s">
        <v>17532</v>
      </c>
    </row>
    <row r="9230">
      <c r="A9230" s="311">
        <v>9229</v>
      </c>
      <c r="B9230" s="396" t="s">
        <v>17556</v>
      </c>
      <c r="C9230" s="396" t="s">
        <v>16926</v>
      </c>
      <c r="D9230" s="396" t="s">
        <v>17552</v>
      </c>
      <c r="E9230" s="396" t="s">
        <v>17553</v>
      </c>
      <c r="F9230" s="396" t="s">
        <v>17532</v>
      </c>
    </row>
    <row r="9231">
      <c r="A9231" s="311">
        <v>9230</v>
      </c>
      <c r="B9231" s="396" t="s">
        <v>17557</v>
      </c>
      <c r="C9231" s="396" t="s">
        <v>17558</v>
      </c>
      <c r="D9231" s="396" t="s">
        <v>17552</v>
      </c>
      <c r="E9231" s="396" t="s">
        <v>17553</v>
      </c>
      <c r="F9231" s="396" t="s">
        <v>17532</v>
      </c>
    </row>
    <row r="9232">
      <c r="A9232" s="311">
        <v>9231</v>
      </c>
      <c r="B9232" s="396" t="s">
        <v>17559</v>
      </c>
      <c r="C9232" s="396" t="s">
        <v>17560</v>
      </c>
      <c r="D9232" s="396" t="s">
        <v>17552</v>
      </c>
      <c r="E9232" s="396" t="s">
        <v>17553</v>
      </c>
      <c r="F9232" s="396" t="s">
        <v>17532</v>
      </c>
    </row>
    <row r="9233">
      <c r="A9233" s="311">
        <v>9232</v>
      </c>
      <c r="B9233" s="396" t="s">
        <v>17561</v>
      </c>
      <c r="C9233" s="396" t="s">
        <v>17562</v>
      </c>
      <c r="D9233" s="396" t="s">
        <v>17552</v>
      </c>
      <c r="E9233" s="396" t="s">
        <v>17553</v>
      </c>
      <c r="F9233" s="396" t="s">
        <v>17532</v>
      </c>
    </row>
    <row r="9234">
      <c r="A9234" s="311">
        <v>9233</v>
      </c>
      <c r="B9234" s="396" t="s">
        <v>17563</v>
      </c>
      <c r="C9234" s="396" t="s">
        <v>17564</v>
      </c>
      <c r="D9234" s="396" t="s">
        <v>17552</v>
      </c>
      <c r="E9234" s="396" t="s">
        <v>17553</v>
      </c>
      <c r="F9234" s="396" t="s">
        <v>17532</v>
      </c>
    </row>
    <row r="9235">
      <c r="A9235" s="311">
        <v>9234</v>
      </c>
      <c r="B9235" s="396" t="s">
        <v>17565</v>
      </c>
      <c r="C9235" s="396" t="s">
        <v>17566</v>
      </c>
      <c r="D9235" s="396" t="s">
        <v>17552</v>
      </c>
      <c r="E9235" s="396" t="s">
        <v>17553</v>
      </c>
      <c r="F9235" s="396" t="s">
        <v>17532</v>
      </c>
    </row>
    <row r="9236">
      <c r="A9236" s="311">
        <v>9235</v>
      </c>
      <c r="B9236" s="396" t="s">
        <v>17567</v>
      </c>
      <c r="C9236" s="396" t="s">
        <v>17568</v>
      </c>
      <c r="D9236" s="396" t="s">
        <v>17552</v>
      </c>
      <c r="E9236" s="396" t="s">
        <v>17553</v>
      </c>
      <c r="F9236" s="396" t="s">
        <v>17532</v>
      </c>
    </row>
    <row r="9237">
      <c r="A9237" s="311">
        <v>9236</v>
      </c>
      <c r="B9237" s="396" t="s">
        <v>17569</v>
      </c>
      <c r="C9237" s="396" t="s">
        <v>17570</v>
      </c>
      <c r="D9237" s="396" t="s">
        <v>17552</v>
      </c>
      <c r="E9237" s="396" t="s">
        <v>17553</v>
      </c>
      <c r="F9237" s="396" t="s">
        <v>17532</v>
      </c>
    </row>
    <row r="9238">
      <c r="A9238" s="311">
        <v>9237</v>
      </c>
      <c r="B9238" s="396" t="s">
        <v>17571</v>
      </c>
      <c r="C9238" s="396" t="s">
        <v>17572</v>
      </c>
      <c r="D9238" s="396" t="s">
        <v>17552</v>
      </c>
      <c r="E9238" s="396" t="s">
        <v>17553</v>
      </c>
      <c r="F9238" s="396" t="s">
        <v>17532</v>
      </c>
    </row>
    <row r="9239">
      <c r="A9239" s="311">
        <v>9238</v>
      </c>
      <c r="B9239" s="396" t="s">
        <v>17573</v>
      </c>
      <c r="C9239" s="396" t="s">
        <v>17574</v>
      </c>
      <c r="D9239" s="396" t="s">
        <v>17575</v>
      </c>
      <c r="E9239" s="396" t="s">
        <v>17576</v>
      </c>
      <c r="F9239" s="396" t="s">
        <v>17532</v>
      </c>
    </row>
    <row r="9240">
      <c r="A9240" s="311">
        <v>9239</v>
      </c>
      <c r="B9240" s="396" t="s">
        <v>17577</v>
      </c>
      <c r="C9240" s="396" t="s">
        <v>17578</v>
      </c>
      <c r="D9240" s="396" t="s">
        <v>17575</v>
      </c>
      <c r="E9240" s="396" t="s">
        <v>17576</v>
      </c>
      <c r="F9240" s="396" t="s">
        <v>17532</v>
      </c>
    </row>
    <row r="9241">
      <c r="A9241" s="311">
        <v>9240</v>
      </c>
      <c r="B9241" s="396" t="s">
        <v>17579</v>
      </c>
      <c r="C9241" s="396" t="s">
        <v>17580</v>
      </c>
      <c r="D9241" s="396" t="s">
        <v>17575</v>
      </c>
      <c r="E9241" s="396" t="s">
        <v>17576</v>
      </c>
      <c r="F9241" s="396" t="s">
        <v>17532</v>
      </c>
    </row>
    <row r="9242">
      <c r="A9242" s="311">
        <v>9241</v>
      </c>
      <c r="B9242" s="396" t="s">
        <v>17581</v>
      </c>
      <c r="C9242" s="396" t="s">
        <v>17582</v>
      </c>
      <c r="D9242" s="396" t="s">
        <v>17575</v>
      </c>
      <c r="E9242" s="396" t="s">
        <v>17576</v>
      </c>
      <c r="F9242" s="396" t="s">
        <v>17532</v>
      </c>
    </row>
    <row r="9243">
      <c r="A9243" s="311">
        <v>9242</v>
      </c>
      <c r="B9243" s="396" t="s">
        <v>17583</v>
      </c>
      <c r="C9243" s="396" t="s">
        <v>17584</v>
      </c>
      <c r="D9243" s="396" t="s">
        <v>17575</v>
      </c>
      <c r="E9243" s="396" t="s">
        <v>17576</v>
      </c>
      <c r="F9243" s="396" t="s">
        <v>17532</v>
      </c>
    </row>
    <row r="9244">
      <c r="A9244" s="311">
        <v>9243</v>
      </c>
      <c r="B9244" s="396" t="s">
        <v>17585</v>
      </c>
      <c r="C9244" s="396" t="s">
        <v>17586</v>
      </c>
      <c r="D9244" s="396" t="s">
        <v>17575</v>
      </c>
      <c r="E9244" s="396" t="s">
        <v>17576</v>
      </c>
      <c r="F9244" s="396" t="s">
        <v>17532</v>
      </c>
    </row>
    <row r="9245">
      <c r="A9245" s="311">
        <v>9244</v>
      </c>
      <c r="B9245" s="396" t="s">
        <v>17587</v>
      </c>
      <c r="C9245" s="396" t="s">
        <v>17588</v>
      </c>
      <c r="D9245" s="396" t="s">
        <v>17575</v>
      </c>
      <c r="E9245" s="396" t="s">
        <v>17576</v>
      </c>
      <c r="F9245" s="396" t="s">
        <v>17532</v>
      </c>
    </row>
    <row r="9246">
      <c r="A9246" s="311">
        <v>9245</v>
      </c>
      <c r="B9246" s="396" t="s">
        <v>17589</v>
      </c>
      <c r="C9246" s="396" t="s">
        <v>17590</v>
      </c>
      <c r="D9246" s="396" t="s">
        <v>17575</v>
      </c>
      <c r="E9246" s="396" t="s">
        <v>17576</v>
      </c>
      <c r="F9246" s="396" t="s">
        <v>17532</v>
      </c>
    </row>
    <row r="9247">
      <c r="A9247" s="311">
        <v>9246</v>
      </c>
      <c r="B9247" s="396" t="s">
        <v>17591</v>
      </c>
      <c r="C9247" s="396" t="s">
        <v>17592</v>
      </c>
      <c r="D9247" s="396" t="s">
        <v>17575</v>
      </c>
      <c r="E9247" s="396" t="s">
        <v>17576</v>
      </c>
      <c r="F9247" s="396" t="s">
        <v>17532</v>
      </c>
    </row>
    <row r="9248">
      <c r="A9248" s="311">
        <v>9247</v>
      </c>
      <c r="B9248" s="396" t="s">
        <v>17593</v>
      </c>
      <c r="C9248" s="396" t="s">
        <v>17594</v>
      </c>
      <c r="D9248" s="396" t="s">
        <v>17575</v>
      </c>
      <c r="E9248" s="396" t="s">
        <v>17576</v>
      </c>
      <c r="F9248" s="396" t="s">
        <v>17532</v>
      </c>
    </row>
    <row r="9249">
      <c r="A9249" s="311">
        <v>9248</v>
      </c>
      <c r="B9249" s="396" t="s">
        <v>17595</v>
      </c>
      <c r="C9249" s="396" t="s">
        <v>17596</v>
      </c>
      <c r="D9249" s="396" t="s">
        <v>17575</v>
      </c>
      <c r="E9249" s="396" t="s">
        <v>17576</v>
      </c>
      <c r="F9249" s="396" t="s">
        <v>17532</v>
      </c>
    </row>
    <row r="9250">
      <c r="A9250" s="311">
        <v>9249</v>
      </c>
      <c r="B9250" s="396" t="s">
        <v>17597</v>
      </c>
      <c r="C9250" s="396" t="s">
        <v>17598</v>
      </c>
      <c r="D9250" s="396" t="s">
        <v>17575</v>
      </c>
      <c r="E9250" s="396" t="s">
        <v>17576</v>
      </c>
      <c r="F9250" s="396" t="s">
        <v>17532</v>
      </c>
    </row>
    <row r="9251">
      <c r="A9251" s="311">
        <v>9250</v>
      </c>
      <c r="B9251" s="396" t="s">
        <v>17599</v>
      </c>
      <c r="C9251" s="396" t="s">
        <v>17116</v>
      </c>
      <c r="D9251" s="396" t="s">
        <v>17600</v>
      </c>
      <c r="E9251" s="396" t="s">
        <v>17601</v>
      </c>
      <c r="F9251" s="396" t="s">
        <v>17532</v>
      </c>
    </row>
    <row r="9252">
      <c r="A9252" s="311">
        <v>9251</v>
      </c>
      <c r="B9252" s="396" t="s">
        <v>17602</v>
      </c>
      <c r="C9252" s="396" t="s">
        <v>17603</v>
      </c>
      <c r="D9252" s="396" t="s">
        <v>17600</v>
      </c>
      <c r="E9252" s="396" t="s">
        <v>17601</v>
      </c>
      <c r="F9252" s="396" t="s">
        <v>17532</v>
      </c>
    </row>
    <row r="9253">
      <c r="A9253" s="311">
        <v>9252</v>
      </c>
      <c r="B9253" s="396" t="s">
        <v>17604</v>
      </c>
      <c r="C9253" s="396" t="s">
        <v>16578</v>
      </c>
      <c r="D9253" s="396" t="s">
        <v>17600</v>
      </c>
      <c r="E9253" s="396" t="s">
        <v>17601</v>
      </c>
      <c r="F9253" s="396" t="s">
        <v>17532</v>
      </c>
    </row>
    <row r="9254">
      <c r="A9254" s="311">
        <v>9253</v>
      </c>
      <c r="B9254" s="396" t="s">
        <v>17605</v>
      </c>
      <c r="C9254" s="396" t="s">
        <v>17606</v>
      </c>
      <c r="D9254" s="396" t="s">
        <v>17600</v>
      </c>
      <c r="E9254" s="396" t="s">
        <v>17601</v>
      </c>
      <c r="F9254" s="396" t="s">
        <v>17532</v>
      </c>
    </row>
    <row r="9255">
      <c r="A9255" s="311">
        <v>9254</v>
      </c>
      <c r="B9255" s="396" t="s">
        <v>17607</v>
      </c>
      <c r="C9255" s="396" t="s">
        <v>17608</v>
      </c>
      <c r="D9255" s="396" t="s">
        <v>17600</v>
      </c>
      <c r="E9255" s="396" t="s">
        <v>17601</v>
      </c>
      <c r="F9255" s="396" t="s">
        <v>17532</v>
      </c>
    </row>
    <row r="9256">
      <c r="A9256" s="311">
        <v>9255</v>
      </c>
      <c r="B9256" s="396" t="s">
        <v>17609</v>
      </c>
      <c r="C9256" s="396" t="s">
        <v>17610</v>
      </c>
      <c r="D9256" s="396" t="s">
        <v>17600</v>
      </c>
      <c r="E9256" s="396" t="s">
        <v>17601</v>
      </c>
      <c r="F9256" s="396" t="s">
        <v>17532</v>
      </c>
    </row>
    <row r="9257">
      <c r="A9257" s="311">
        <v>9256</v>
      </c>
      <c r="B9257" s="396" t="s">
        <v>17611</v>
      </c>
      <c r="C9257" s="396" t="s">
        <v>17612</v>
      </c>
      <c r="D9257" s="396" t="s">
        <v>17600</v>
      </c>
      <c r="E9257" s="396" t="s">
        <v>17601</v>
      </c>
      <c r="F9257" s="396" t="s">
        <v>17532</v>
      </c>
    </row>
    <row r="9258">
      <c r="A9258" s="311">
        <v>9257</v>
      </c>
      <c r="B9258" s="396" t="s">
        <v>17613</v>
      </c>
      <c r="C9258" s="396" t="s">
        <v>17614</v>
      </c>
      <c r="D9258" s="396" t="s">
        <v>17600</v>
      </c>
      <c r="E9258" s="396" t="s">
        <v>17601</v>
      </c>
      <c r="F9258" s="396" t="s">
        <v>17532</v>
      </c>
    </row>
    <row r="9259">
      <c r="A9259" s="311">
        <v>9258</v>
      </c>
      <c r="B9259" s="396" t="s">
        <v>17615</v>
      </c>
      <c r="C9259" s="396" t="s">
        <v>17616</v>
      </c>
      <c r="D9259" s="396" t="s">
        <v>17600</v>
      </c>
      <c r="E9259" s="396" t="s">
        <v>17601</v>
      </c>
      <c r="F9259" s="396" t="s">
        <v>17532</v>
      </c>
    </row>
    <row r="9260">
      <c r="A9260" s="311">
        <v>9259</v>
      </c>
      <c r="B9260" s="396" t="s">
        <v>17617</v>
      </c>
      <c r="C9260" s="396" t="s">
        <v>16570</v>
      </c>
      <c r="D9260" s="396" t="s">
        <v>17600</v>
      </c>
      <c r="E9260" s="396" t="s">
        <v>17601</v>
      </c>
      <c r="F9260" s="396" t="s">
        <v>17532</v>
      </c>
    </row>
    <row r="9261">
      <c r="A9261" s="311">
        <v>9260</v>
      </c>
      <c r="B9261" s="396" t="s">
        <v>17618</v>
      </c>
      <c r="C9261" s="396" t="s">
        <v>17619</v>
      </c>
      <c r="D9261" s="396" t="s">
        <v>17600</v>
      </c>
      <c r="E9261" s="396" t="s">
        <v>17601</v>
      </c>
      <c r="F9261" s="396" t="s">
        <v>17532</v>
      </c>
    </row>
    <row r="9262">
      <c r="A9262" s="311">
        <v>9261</v>
      </c>
      <c r="B9262" s="396" t="s">
        <v>17620</v>
      </c>
      <c r="C9262" s="396" t="s">
        <v>16568</v>
      </c>
      <c r="D9262" s="396" t="s">
        <v>17600</v>
      </c>
      <c r="E9262" s="396" t="s">
        <v>17601</v>
      </c>
      <c r="F9262" s="396" t="s">
        <v>17532</v>
      </c>
    </row>
    <row r="9263">
      <c r="A9263" s="311">
        <v>9262</v>
      </c>
      <c r="B9263" s="396" t="s">
        <v>17621</v>
      </c>
      <c r="C9263" s="396" t="s">
        <v>17622</v>
      </c>
      <c r="D9263" s="396" t="s">
        <v>17600</v>
      </c>
      <c r="E9263" s="396" t="s">
        <v>17601</v>
      </c>
      <c r="F9263" s="396" t="s">
        <v>17532</v>
      </c>
    </row>
    <row r="9264">
      <c r="A9264" s="311">
        <v>9263</v>
      </c>
      <c r="B9264" s="396" t="s">
        <v>17623</v>
      </c>
      <c r="C9264" s="396" t="s">
        <v>17624</v>
      </c>
      <c r="D9264" s="396" t="s">
        <v>17625</v>
      </c>
      <c r="E9264" s="396" t="s">
        <v>17626</v>
      </c>
      <c r="F9264" s="396" t="s">
        <v>17532</v>
      </c>
    </row>
    <row r="9265">
      <c r="A9265" s="311">
        <v>9264</v>
      </c>
      <c r="B9265" s="396" t="s">
        <v>17627</v>
      </c>
      <c r="C9265" s="396" t="s">
        <v>17628</v>
      </c>
      <c r="D9265" s="396" t="s">
        <v>17625</v>
      </c>
      <c r="E9265" s="396" t="s">
        <v>17626</v>
      </c>
      <c r="F9265" s="396" t="s">
        <v>17532</v>
      </c>
    </row>
    <row r="9266">
      <c r="A9266" s="311">
        <v>9265</v>
      </c>
      <c r="B9266" s="396" t="s">
        <v>17629</v>
      </c>
      <c r="C9266" s="396" t="s">
        <v>17630</v>
      </c>
      <c r="D9266" s="396" t="s">
        <v>17625</v>
      </c>
      <c r="E9266" s="396" t="s">
        <v>17626</v>
      </c>
      <c r="F9266" s="396" t="s">
        <v>17532</v>
      </c>
    </row>
    <row r="9267">
      <c r="A9267" s="311">
        <v>9266</v>
      </c>
      <c r="B9267" s="396" t="s">
        <v>17631</v>
      </c>
      <c r="C9267" s="396" t="s">
        <v>14280</v>
      </c>
      <c r="D9267" s="396" t="s">
        <v>17625</v>
      </c>
      <c r="E9267" s="396" t="s">
        <v>17626</v>
      </c>
      <c r="F9267" s="396" t="s">
        <v>17532</v>
      </c>
    </row>
    <row r="9268">
      <c r="A9268" s="311">
        <v>9267</v>
      </c>
      <c r="B9268" s="396" t="s">
        <v>17632</v>
      </c>
      <c r="C9268" s="396" t="s">
        <v>17633</v>
      </c>
      <c r="D9268" s="396" t="s">
        <v>17625</v>
      </c>
      <c r="E9268" s="396" t="s">
        <v>17626</v>
      </c>
      <c r="F9268" s="396" t="s">
        <v>17532</v>
      </c>
    </row>
    <row r="9269">
      <c r="A9269" s="311">
        <v>9268</v>
      </c>
      <c r="B9269" s="396" t="s">
        <v>17634</v>
      </c>
      <c r="C9269" s="396" t="s">
        <v>16292</v>
      </c>
      <c r="D9269" s="396" t="s">
        <v>17625</v>
      </c>
      <c r="E9269" s="396" t="s">
        <v>17626</v>
      </c>
      <c r="F9269" s="396" t="s">
        <v>17532</v>
      </c>
    </row>
    <row r="9270">
      <c r="A9270" s="311">
        <v>9269</v>
      </c>
      <c r="B9270" s="396" t="s">
        <v>17635</v>
      </c>
      <c r="C9270" s="396" t="s">
        <v>17636</v>
      </c>
      <c r="D9270" s="396" t="s">
        <v>17625</v>
      </c>
      <c r="E9270" s="396" t="s">
        <v>17626</v>
      </c>
      <c r="F9270" s="396" t="s">
        <v>17532</v>
      </c>
    </row>
    <row r="9271">
      <c r="A9271" s="311">
        <v>9270</v>
      </c>
      <c r="B9271" s="396" t="s">
        <v>17637</v>
      </c>
      <c r="C9271" s="396" t="s">
        <v>16300</v>
      </c>
      <c r="D9271" s="396" t="s">
        <v>17625</v>
      </c>
      <c r="E9271" s="396" t="s">
        <v>17626</v>
      </c>
      <c r="F9271" s="396" t="s">
        <v>17532</v>
      </c>
    </row>
    <row r="9272">
      <c r="A9272" s="311">
        <v>9271</v>
      </c>
      <c r="B9272" s="396" t="s">
        <v>17638</v>
      </c>
      <c r="C9272" s="396" t="s">
        <v>17639</v>
      </c>
      <c r="D9272" s="396" t="s">
        <v>17625</v>
      </c>
      <c r="E9272" s="396" t="s">
        <v>17626</v>
      </c>
      <c r="F9272" s="396" t="s">
        <v>17532</v>
      </c>
    </row>
    <row r="9273">
      <c r="A9273" s="311">
        <v>9272</v>
      </c>
      <c r="B9273" s="396" t="s">
        <v>17640</v>
      </c>
      <c r="C9273" s="396" t="s">
        <v>17641</v>
      </c>
      <c r="D9273" s="396" t="s">
        <v>17625</v>
      </c>
      <c r="E9273" s="396" t="s">
        <v>17626</v>
      </c>
      <c r="F9273" s="396" t="s">
        <v>17532</v>
      </c>
    </row>
    <row r="9274">
      <c r="A9274" s="311">
        <v>9273</v>
      </c>
      <c r="B9274" s="396" t="s">
        <v>17642</v>
      </c>
      <c r="C9274" s="396" t="s">
        <v>17643</v>
      </c>
      <c r="D9274" s="396" t="s">
        <v>17625</v>
      </c>
      <c r="E9274" s="396" t="s">
        <v>17626</v>
      </c>
      <c r="F9274" s="396" t="s">
        <v>17532</v>
      </c>
    </row>
    <row r="9275">
      <c r="A9275" s="311">
        <v>9274</v>
      </c>
      <c r="B9275" s="396" t="s">
        <v>17644</v>
      </c>
      <c r="C9275" s="396" t="s">
        <v>17645</v>
      </c>
      <c r="D9275" s="396" t="s">
        <v>17625</v>
      </c>
      <c r="E9275" s="396" t="s">
        <v>17626</v>
      </c>
      <c r="F9275" s="396" t="s">
        <v>17532</v>
      </c>
    </row>
    <row r="9276">
      <c r="A9276" s="311">
        <v>9275</v>
      </c>
      <c r="B9276" s="396" t="s">
        <v>17646</v>
      </c>
      <c r="C9276" s="396" t="s">
        <v>14273</v>
      </c>
      <c r="D9276" s="396" t="s">
        <v>17625</v>
      </c>
      <c r="E9276" s="396" t="s">
        <v>17626</v>
      </c>
      <c r="F9276" s="396" t="s">
        <v>17532</v>
      </c>
    </row>
    <row r="9277">
      <c r="A9277" s="311">
        <v>9276</v>
      </c>
      <c r="B9277" s="396" t="s">
        <v>17647</v>
      </c>
      <c r="C9277" s="396" t="s">
        <v>14270</v>
      </c>
      <c r="D9277" s="396" t="s">
        <v>17625</v>
      </c>
      <c r="E9277" s="396" t="s">
        <v>17626</v>
      </c>
      <c r="F9277" s="396" t="s">
        <v>17532</v>
      </c>
    </row>
    <row r="9278">
      <c r="A9278" s="311">
        <v>9277</v>
      </c>
      <c r="B9278" s="396" t="s">
        <v>17648</v>
      </c>
      <c r="C9278" s="396" t="s">
        <v>16302</v>
      </c>
      <c r="D9278" s="396" t="s">
        <v>17625</v>
      </c>
      <c r="E9278" s="396" t="s">
        <v>17626</v>
      </c>
      <c r="F9278" s="396" t="s">
        <v>17532</v>
      </c>
    </row>
    <row r="9279">
      <c r="A9279" s="311">
        <v>9278</v>
      </c>
      <c r="B9279" s="396" t="s">
        <v>17649</v>
      </c>
      <c r="C9279" s="396" t="s">
        <v>17650</v>
      </c>
      <c r="D9279" s="396" t="s">
        <v>17625</v>
      </c>
      <c r="E9279" s="396" t="s">
        <v>17626</v>
      </c>
      <c r="F9279" s="396" t="s">
        <v>17532</v>
      </c>
    </row>
    <row r="9280">
      <c r="A9280" s="311">
        <v>9279</v>
      </c>
      <c r="B9280" s="396" t="s">
        <v>17651</v>
      </c>
      <c r="C9280" s="396" t="s">
        <v>17628</v>
      </c>
      <c r="D9280" s="396" t="s">
        <v>17652</v>
      </c>
      <c r="E9280" s="396" t="s">
        <v>17653</v>
      </c>
      <c r="F9280" s="396" t="s">
        <v>17532</v>
      </c>
    </row>
    <row r="9281">
      <c r="A9281" s="311">
        <v>9280</v>
      </c>
      <c r="B9281" s="396" t="s">
        <v>17654</v>
      </c>
      <c r="C9281" s="396" t="s">
        <v>16302</v>
      </c>
      <c r="D9281" s="396" t="s">
        <v>17652</v>
      </c>
      <c r="E9281" s="396" t="s">
        <v>17653</v>
      </c>
      <c r="F9281" s="396" t="s">
        <v>17532</v>
      </c>
    </row>
    <row r="9282">
      <c r="A9282" s="311">
        <v>9281</v>
      </c>
      <c r="B9282" s="396" t="s">
        <v>17655</v>
      </c>
      <c r="C9282" s="396" t="s">
        <v>17656</v>
      </c>
      <c r="D9282" s="396" t="s">
        <v>17652</v>
      </c>
      <c r="E9282" s="396" t="s">
        <v>17653</v>
      </c>
      <c r="F9282" s="396" t="s">
        <v>17532</v>
      </c>
    </row>
    <row r="9283">
      <c r="A9283" s="311">
        <v>9282</v>
      </c>
      <c r="B9283" s="396" t="s">
        <v>17657</v>
      </c>
      <c r="C9283" s="396" t="s">
        <v>17658</v>
      </c>
      <c r="D9283" s="396" t="s">
        <v>17652</v>
      </c>
      <c r="E9283" s="396" t="s">
        <v>17653</v>
      </c>
      <c r="F9283" s="396" t="s">
        <v>17532</v>
      </c>
    </row>
    <row r="9284">
      <c r="A9284" s="311">
        <v>9283</v>
      </c>
      <c r="B9284" s="396" t="s">
        <v>17659</v>
      </c>
      <c r="C9284" s="396" t="s">
        <v>16292</v>
      </c>
      <c r="D9284" s="396" t="s">
        <v>17652</v>
      </c>
      <c r="E9284" s="396" t="s">
        <v>17653</v>
      </c>
      <c r="F9284" s="396" t="s">
        <v>17532</v>
      </c>
    </row>
    <row r="9285">
      <c r="A9285" s="311">
        <v>9284</v>
      </c>
      <c r="B9285" s="396" t="s">
        <v>17660</v>
      </c>
      <c r="C9285" s="396" t="s">
        <v>17661</v>
      </c>
      <c r="D9285" s="396" t="s">
        <v>17652</v>
      </c>
      <c r="E9285" s="396" t="s">
        <v>17653</v>
      </c>
      <c r="F9285" s="396" t="s">
        <v>17532</v>
      </c>
    </row>
    <row r="9286">
      <c r="A9286" s="311">
        <v>9285</v>
      </c>
      <c r="B9286" s="396" t="s">
        <v>17662</v>
      </c>
      <c r="C9286" s="396" t="s">
        <v>17639</v>
      </c>
      <c r="D9286" s="396" t="s">
        <v>17652</v>
      </c>
      <c r="E9286" s="396" t="s">
        <v>17653</v>
      </c>
      <c r="F9286" s="396" t="s">
        <v>17532</v>
      </c>
    </row>
    <row r="9287">
      <c r="A9287" s="311">
        <v>9286</v>
      </c>
      <c r="B9287" s="396" t="s">
        <v>17663</v>
      </c>
      <c r="C9287" s="396" t="s">
        <v>17641</v>
      </c>
      <c r="D9287" s="396" t="s">
        <v>17652</v>
      </c>
      <c r="E9287" s="396" t="s">
        <v>17653</v>
      </c>
      <c r="F9287" s="396" t="s">
        <v>17532</v>
      </c>
    </row>
    <row r="9288">
      <c r="A9288" s="311">
        <v>9287</v>
      </c>
      <c r="B9288" s="396" t="s">
        <v>17664</v>
      </c>
      <c r="C9288" s="396" t="s">
        <v>17665</v>
      </c>
      <c r="D9288" s="396" t="s">
        <v>17652</v>
      </c>
      <c r="E9288" s="396" t="s">
        <v>17653</v>
      </c>
      <c r="F9288" s="396" t="s">
        <v>17532</v>
      </c>
    </row>
    <row r="9289">
      <c r="A9289" s="311">
        <v>9288</v>
      </c>
      <c r="B9289" s="396" t="s">
        <v>17666</v>
      </c>
      <c r="C9289" s="396" t="s">
        <v>17667</v>
      </c>
      <c r="D9289" s="396" t="s">
        <v>17652</v>
      </c>
      <c r="E9289" s="396" t="s">
        <v>17653</v>
      </c>
      <c r="F9289" s="396" t="s">
        <v>17532</v>
      </c>
    </row>
    <row r="9290">
      <c r="A9290" s="311">
        <v>9289</v>
      </c>
      <c r="B9290" s="396" t="s">
        <v>17668</v>
      </c>
      <c r="C9290" s="396" t="s">
        <v>17636</v>
      </c>
      <c r="D9290" s="396" t="s">
        <v>17652</v>
      </c>
      <c r="E9290" s="396" t="s">
        <v>17653</v>
      </c>
      <c r="F9290" s="396" t="s">
        <v>17532</v>
      </c>
    </row>
    <row r="9291">
      <c r="A9291" s="311">
        <v>9290</v>
      </c>
      <c r="B9291" s="396" t="s">
        <v>17669</v>
      </c>
      <c r="C9291" s="396" t="s">
        <v>17624</v>
      </c>
      <c r="D9291" s="396" t="s">
        <v>17652</v>
      </c>
      <c r="E9291" s="396" t="s">
        <v>17653</v>
      </c>
      <c r="F9291" s="396" t="s">
        <v>17532</v>
      </c>
    </row>
    <row r="9292">
      <c r="A9292" s="311">
        <v>9291</v>
      </c>
      <c r="B9292" s="396" t="s">
        <v>17670</v>
      </c>
      <c r="C9292" s="396" t="s">
        <v>17671</v>
      </c>
      <c r="D9292" s="396" t="s">
        <v>17652</v>
      </c>
      <c r="E9292" s="396" t="s">
        <v>17653</v>
      </c>
      <c r="F9292" s="396" t="s">
        <v>17532</v>
      </c>
    </row>
    <row r="9293">
      <c r="A9293" s="311">
        <v>9292</v>
      </c>
      <c r="B9293" s="396" t="s">
        <v>17672</v>
      </c>
      <c r="C9293" s="396" t="s">
        <v>17645</v>
      </c>
      <c r="D9293" s="396" t="s">
        <v>17652</v>
      </c>
      <c r="E9293" s="396" t="s">
        <v>17653</v>
      </c>
      <c r="F9293" s="396" t="s">
        <v>17532</v>
      </c>
    </row>
    <row r="9294">
      <c r="A9294" s="311">
        <v>9293</v>
      </c>
      <c r="B9294" s="396" t="s">
        <v>17673</v>
      </c>
      <c r="C9294" s="396" t="s">
        <v>17650</v>
      </c>
      <c r="D9294" s="396" t="s">
        <v>17652</v>
      </c>
      <c r="E9294" s="396" t="s">
        <v>17653</v>
      </c>
      <c r="F9294" s="396" t="s">
        <v>17532</v>
      </c>
    </row>
    <row r="9295">
      <c r="A9295" s="311">
        <v>9294</v>
      </c>
      <c r="B9295" s="396" t="s">
        <v>17674</v>
      </c>
      <c r="C9295" s="396" t="s">
        <v>17630</v>
      </c>
      <c r="D9295" s="396" t="s">
        <v>17652</v>
      </c>
      <c r="E9295" s="396" t="s">
        <v>17653</v>
      </c>
      <c r="F9295" s="396" t="s">
        <v>17532</v>
      </c>
    </row>
    <row r="9296">
      <c r="A9296" s="311">
        <v>9295</v>
      </c>
      <c r="B9296" s="396" t="s">
        <v>17675</v>
      </c>
      <c r="C9296" s="396" t="s">
        <v>17676</v>
      </c>
      <c r="D9296" s="396" t="s">
        <v>17652</v>
      </c>
      <c r="E9296" s="396" t="s">
        <v>17653</v>
      </c>
      <c r="F9296" s="396" t="s">
        <v>17532</v>
      </c>
    </row>
    <row r="9297">
      <c r="A9297" s="311">
        <v>9296</v>
      </c>
      <c r="B9297" s="396" t="s">
        <v>17677</v>
      </c>
      <c r="C9297" s="396" t="s">
        <v>17678</v>
      </c>
      <c r="D9297" s="396" t="s">
        <v>17652</v>
      </c>
      <c r="E9297" s="396" t="s">
        <v>17653</v>
      </c>
      <c r="F9297" s="396" t="s">
        <v>17532</v>
      </c>
    </row>
    <row r="9298">
      <c r="A9298" s="311">
        <v>9297</v>
      </c>
      <c r="B9298" s="396" t="s">
        <v>17679</v>
      </c>
      <c r="C9298" s="396" t="s">
        <v>17680</v>
      </c>
      <c r="D9298" s="396" t="s">
        <v>17652</v>
      </c>
      <c r="E9298" s="396" t="s">
        <v>17653</v>
      </c>
      <c r="F9298" s="396" t="s">
        <v>17532</v>
      </c>
    </row>
    <row r="9299">
      <c r="A9299" s="311">
        <v>9298</v>
      </c>
      <c r="B9299" s="396" t="s">
        <v>17681</v>
      </c>
      <c r="C9299" s="396" t="s">
        <v>17682</v>
      </c>
      <c r="D9299" s="396" t="s">
        <v>17652</v>
      </c>
      <c r="E9299" s="396" t="s">
        <v>17653</v>
      </c>
      <c r="F9299" s="396" t="s">
        <v>17532</v>
      </c>
    </row>
    <row r="9300">
      <c r="A9300" s="311">
        <v>9299</v>
      </c>
      <c r="B9300" s="396" t="s">
        <v>17683</v>
      </c>
      <c r="C9300" s="396" t="s">
        <v>17671</v>
      </c>
      <c r="D9300" s="396" t="s">
        <v>17684</v>
      </c>
      <c r="E9300" s="396" t="s">
        <v>17685</v>
      </c>
      <c r="F9300" s="396" t="s">
        <v>17532</v>
      </c>
    </row>
    <row r="9301">
      <c r="A9301" s="311">
        <v>9300</v>
      </c>
      <c r="B9301" s="396" t="s">
        <v>17686</v>
      </c>
      <c r="C9301" s="396" t="s">
        <v>17643</v>
      </c>
      <c r="D9301" s="396" t="s">
        <v>17684</v>
      </c>
      <c r="E9301" s="396" t="s">
        <v>17685</v>
      </c>
      <c r="F9301" s="396" t="s">
        <v>17532</v>
      </c>
    </row>
    <row r="9302">
      <c r="A9302" s="311">
        <v>9301</v>
      </c>
      <c r="B9302" s="396" t="s">
        <v>17687</v>
      </c>
      <c r="C9302" s="396" t="s">
        <v>16292</v>
      </c>
      <c r="D9302" s="396" t="s">
        <v>17684</v>
      </c>
      <c r="E9302" s="396" t="s">
        <v>17685</v>
      </c>
      <c r="F9302" s="396" t="s">
        <v>17532</v>
      </c>
    </row>
    <row r="9303">
      <c r="A9303" s="311">
        <v>9302</v>
      </c>
      <c r="B9303" s="396" t="s">
        <v>17688</v>
      </c>
      <c r="C9303" s="396" t="s">
        <v>17628</v>
      </c>
      <c r="D9303" s="396" t="s">
        <v>17684</v>
      </c>
      <c r="E9303" s="396" t="s">
        <v>17685</v>
      </c>
      <c r="F9303" s="396" t="s">
        <v>17532</v>
      </c>
    </row>
    <row r="9304">
      <c r="A9304" s="311">
        <v>9303</v>
      </c>
      <c r="B9304" s="396" t="s">
        <v>17689</v>
      </c>
      <c r="C9304" s="396" t="s">
        <v>17645</v>
      </c>
      <c r="D9304" s="396" t="s">
        <v>17684</v>
      </c>
      <c r="E9304" s="396" t="s">
        <v>17685</v>
      </c>
      <c r="F9304" s="396" t="s">
        <v>17532</v>
      </c>
    </row>
    <row r="9305">
      <c r="A9305" s="311">
        <v>9304</v>
      </c>
      <c r="B9305" s="396" t="s">
        <v>17690</v>
      </c>
      <c r="C9305" s="396" t="s">
        <v>17650</v>
      </c>
      <c r="D9305" s="396" t="s">
        <v>17684</v>
      </c>
      <c r="E9305" s="396" t="s">
        <v>17685</v>
      </c>
      <c r="F9305" s="396" t="s">
        <v>17532</v>
      </c>
    </row>
    <row r="9306">
      <c r="A9306" s="311">
        <v>9305</v>
      </c>
      <c r="B9306" s="396" t="s">
        <v>17691</v>
      </c>
      <c r="C9306" s="396" t="s">
        <v>16302</v>
      </c>
      <c r="D9306" s="396" t="s">
        <v>17684</v>
      </c>
      <c r="E9306" s="396" t="s">
        <v>17685</v>
      </c>
      <c r="F9306" s="396" t="s">
        <v>17532</v>
      </c>
    </row>
    <row r="9307">
      <c r="A9307" s="311">
        <v>9306</v>
      </c>
      <c r="B9307" s="396" t="s">
        <v>17692</v>
      </c>
      <c r="C9307" s="396" t="s">
        <v>17641</v>
      </c>
      <c r="D9307" s="396" t="s">
        <v>17684</v>
      </c>
      <c r="E9307" s="396" t="s">
        <v>17685</v>
      </c>
      <c r="F9307" s="396" t="s">
        <v>17532</v>
      </c>
    </row>
    <row r="9308">
      <c r="A9308" s="311">
        <v>9307</v>
      </c>
      <c r="B9308" s="396" t="s">
        <v>17693</v>
      </c>
      <c r="C9308" s="396" t="s">
        <v>17639</v>
      </c>
      <c r="D9308" s="396" t="s">
        <v>17684</v>
      </c>
      <c r="E9308" s="396" t="s">
        <v>17685</v>
      </c>
      <c r="F9308" s="396" t="s">
        <v>17532</v>
      </c>
    </row>
    <row r="9309">
      <c r="A9309" s="311">
        <v>9308</v>
      </c>
      <c r="B9309" s="396" t="s">
        <v>17694</v>
      </c>
      <c r="C9309" s="396" t="s">
        <v>16300</v>
      </c>
      <c r="D9309" s="396" t="s">
        <v>17684</v>
      </c>
      <c r="E9309" s="396" t="s">
        <v>17685</v>
      </c>
      <c r="F9309" s="396" t="s">
        <v>17532</v>
      </c>
    </row>
    <row r="9310">
      <c r="A9310" s="311">
        <v>9309</v>
      </c>
      <c r="B9310" s="396" t="s">
        <v>17695</v>
      </c>
      <c r="C9310" s="396" t="s">
        <v>17667</v>
      </c>
      <c r="D9310" s="396" t="s">
        <v>17684</v>
      </c>
      <c r="E9310" s="396" t="s">
        <v>17685</v>
      </c>
      <c r="F9310" s="396" t="s">
        <v>17532</v>
      </c>
    </row>
    <row r="9311">
      <c r="A9311" s="311">
        <v>9310</v>
      </c>
      <c r="B9311" s="396" t="s">
        <v>17696</v>
      </c>
      <c r="C9311" s="396" t="s">
        <v>17697</v>
      </c>
      <c r="D9311" s="396" t="s">
        <v>17684</v>
      </c>
      <c r="E9311" s="396" t="s">
        <v>17685</v>
      </c>
      <c r="F9311" s="396" t="s">
        <v>17532</v>
      </c>
    </row>
    <row r="9312">
      <c r="A9312" s="311">
        <v>9311</v>
      </c>
      <c r="B9312" s="396" t="s">
        <v>17698</v>
      </c>
      <c r="C9312" s="396" t="s">
        <v>17699</v>
      </c>
      <c r="D9312" s="396" t="s">
        <v>17684</v>
      </c>
      <c r="E9312" s="396" t="s">
        <v>17685</v>
      </c>
      <c r="F9312" s="396" t="s">
        <v>17532</v>
      </c>
    </row>
    <row r="9313">
      <c r="A9313" s="311">
        <v>9312</v>
      </c>
      <c r="B9313" s="396" t="s">
        <v>17700</v>
      </c>
      <c r="C9313" s="396" t="s">
        <v>17636</v>
      </c>
      <c r="D9313" s="396" t="s">
        <v>17684</v>
      </c>
      <c r="E9313" s="396" t="s">
        <v>17685</v>
      </c>
      <c r="F9313" s="396" t="s">
        <v>17532</v>
      </c>
    </row>
    <row r="9314">
      <c r="A9314" s="311">
        <v>9313</v>
      </c>
      <c r="B9314" s="396" t="s">
        <v>17701</v>
      </c>
      <c r="C9314" s="396" t="s">
        <v>17624</v>
      </c>
      <c r="D9314" s="396" t="s">
        <v>17684</v>
      </c>
      <c r="E9314" s="396" t="s">
        <v>17685</v>
      </c>
      <c r="F9314" s="396" t="s">
        <v>17532</v>
      </c>
    </row>
    <row r="9315">
      <c r="A9315" s="311">
        <v>9314</v>
      </c>
      <c r="B9315" s="396" t="s">
        <v>17702</v>
      </c>
      <c r="C9315" s="396" t="s">
        <v>17703</v>
      </c>
      <c r="D9315" s="396" t="s">
        <v>17704</v>
      </c>
      <c r="E9315" s="396" t="s">
        <v>17705</v>
      </c>
      <c r="F9315" s="396" t="s">
        <v>17532</v>
      </c>
    </row>
    <row r="9316">
      <c r="A9316" s="311">
        <v>9315</v>
      </c>
      <c r="B9316" s="396" t="s">
        <v>17706</v>
      </c>
      <c r="C9316" s="396" t="s">
        <v>17707</v>
      </c>
      <c r="D9316" s="396" t="s">
        <v>17704</v>
      </c>
      <c r="E9316" s="396" t="s">
        <v>17705</v>
      </c>
      <c r="F9316" s="396" t="s">
        <v>17532</v>
      </c>
    </row>
    <row r="9317">
      <c r="A9317" s="311">
        <v>9316</v>
      </c>
      <c r="B9317" s="396" t="s">
        <v>17708</v>
      </c>
      <c r="C9317" s="396" t="s">
        <v>17709</v>
      </c>
      <c r="D9317" s="396" t="s">
        <v>17704</v>
      </c>
      <c r="E9317" s="396" t="s">
        <v>17705</v>
      </c>
      <c r="F9317" s="396" t="s">
        <v>17532</v>
      </c>
    </row>
    <row r="9318">
      <c r="A9318" s="311">
        <v>9317</v>
      </c>
      <c r="B9318" s="396" t="s">
        <v>17710</v>
      </c>
      <c r="C9318" s="396" t="s">
        <v>17711</v>
      </c>
      <c r="D9318" s="396" t="s">
        <v>17704</v>
      </c>
      <c r="E9318" s="396" t="s">
        <v>17705</v>
      </c>
      <c r="F9318" s="396" t="s">
        <v>17532</v>
      </c>
    </row>
    <row r="9319">
      <c r="A9319" s="311">
        <v>9318</v>
      </c>
      <c r="B9319" s="396" t="s">
        <v>17712</v>
      </c>
      <c r="C9319" s="396" t="s">
        <v>4594</v>
      </c>
      <c r="D9319" s="396" t="s">
        <v>17704</v>
      </c>
      <c r="E9319" s="396" t="s">
        <v>17705</v>
      </c>
      <c r="F9319" s="396" t="s">
        <v>17532</v>
      </c>
    </row>
    <row r="9320">
      <c r="A9320" s="311">
        <v>9319</v>
      </c>
      <c r="B9320" s="396" t="s">
        <v>17713</v>
      </c>
      <c r="C9320" s="396" t="s">
        <v>17714</v>
      </c>
      <c r="D9320" s="396" t="s">
        <v>17704</v>
      </c>
      <c r="E9320" s="396" t="s">
        <v>17705</v>
      </c>
      <c r="F9320" s="396" t="s">
        <v>17532</v>
      </c>
    </row>
    <row r="9321">
      <c r="A9321" s="311">
        <v>9320</v>
      </c>
      <c r="B9321" s="396" t="s">
        <v>17715</v>
      </c>
      <c r="C9321" s="396" t="s">
        <v>14282</v>
      </c>
      <c r="D9321" s="396" t="s">
        <v>17704</v>
      </c>
      <c r="E9321" s="396" t="s">
        <v>17705</v>
      </c>
      <c r="F9321" s="396" t="s">
        <v>17532</v>
      </c>
    </row>
    <row r="9322">
      <c r="A9322" s="311">
        <v>9321</v>
      </c>
      <c r="B9322" s="396" t="s">
        <v>17716</v>
      </c>
      <c r="C9322" s="396" t="s">
        <v>17717</v>
      </c>
      <c r="D9322" s="396" t="s">
        <v>17704</v>
      </c>
      <c r="E9322" s="396" t="s">
        <v>17705</v>
      </c>
      <c r="F9322" s="396" t="s">
        <v>17532</v>
      </c>
    </row>
    <row r="9323">
      <c r="A9323" s="311">
        <v>9322</v>
      </c>
      <c r="B9323" s="396" t="s">
        <v>17718</v>
      </c>
      <c r="C9323" s="396" t="s">
        <v>17719</v>
      </c>
      <c r="D9323" s="396" t="s">
        <v>17704</v>
      </c>
      <c r="E9323" s="396" t="s">
        <v>17705</v>
      </c>
      <c r="F9323" s="396" t="s">
        <v>17532</v>
      </c>
    </row>
    <row r="9324">
      <c r="A9324" s="311">
        <v>9323</v>
      </c>
      <c r="B9324" s="396" t="s">
        <v>17720</v>
      </c>
      <c r="C9324" s="396" t="s">
        <v>17721</v>
      </c>
      <c r="D9324" s="396" t="s">
        <v>17704</v>
      </c>
      <c r="E9324" s="396" t="s">
        <v>17705</v>
      </c>
      <c r="F9324" s="396" t="s">
        <v>17532</v>
      </c>
    </row>
    <row r="9325">
      <c r="A9325" s="311">
        <v>9324</v>
      </c>
      <c r="B9325" s="396" t="s">
        <v>17722</v>
      </c>
      <c r="C9325" s="396" t="s">
        <v>17723</v>
      </c>
      <c r="D9325" s="396" t="s">
        <v>17704</v>
      </c>
      <c r="E9325" s="396" t="s">
        <v>17705</v>
      </c>
      <c r="F9325" s="396" t="s">
        <v>17532</v>
      </c>
    </row>
    <row r="9326">
      <c r="A9326" s="311">
        <v>9325</v>
      </c>
      <c r="B9326" s="396" t="s">
        <v>17724</v>
      </c>
      <c r="C9326" s="396" t="s">
        <v>17643</v>
      </c>
      <c r="D9326" s="396" t="s">
        <v>17725</v>
      </c>
      <c r="E9326" s="396" t="s">
        <v>17726</v>
      </c>
      <c r="F9326" s="396" t="s">
        <v>17532</v>
      </c>
    </row>
    <row r="9327">
      <c r="A9327" s="311">
        <v>9326</v>
      </c>
      <c r="B9327" s="396" t="s">
        <v>17727</v>
      </c>
      <c r="C9327" s="396" t="s">
        <v>17639</v>
      </c>
      <c r="D9327" s="396" t="s">
        <v>17725</v>
      </c>
      <c r="E9327" s="396" t="s">
        <v>17726</v>
      </c>
      <c r="F9327" s="396" t="s">
        <v>17532</v>
      </c>
    </row>
    <row r="9328">
      <c r="A9328" s="311">
        <v>9327</v>
      </c>
      <c r="B9328" s="396" t="s">
        <v>17728</v>
      </c>
      <c r="C9328" s="396" t="s">
        <v>17699</v>
      </c>
      <c r="D9328" s="396" t="s">
        <v>17725</v>
      </c>
      <c r="E9328" s="396" t="s">
        <v>17726</v>
      </c>
      <c r="F9328" s="396" t="s">
        <v>17532</v>
      </c>
    </row>
    <row r="9329">
      <c r="A9329" s="311">
        <v>9328</v>
      </c>
      <c r="B9329" s="396" t="s">
        <v>17729</v>
      </c>
      <c r="C9329" s="396" t="s">
        <v>17641</v>
      </c>
      <c r="D9329" s="396" t="s">
        <v>17725</v>
      </c>
      <c r="E9329" s="396" t="s">
        <v>17726</v>
      </c>
      <c r="F9329" s="396" t="s">
        <v>17532</v>
      </c>
    </row>
    <row r="9330">
      <c r="A9330" s="311">
        <v>9329</v>
      </c>
      <c r="B9330" s="396" t="s">
        <v>17730</v>
      </c>
      <c r="C9330" s="396" t="s">
        <v>17650</v>
      </c>
      <c r="D9330" s="396" t="s">
        <v>17725</v>
      </c>
      <c r="E9330" s="396" t="s">
        <v>17726</v>
      </c>
      <c r="F9330" s="396" t="s">
        <v>17532</v>
      </c>
    </row>
    <row r="9331">
      <c r="A9331" s="311">
        <v>9330</v>
      </c>
      <c r="B9331" s="396" t="s">
        <v>17731</v>
      </c>
      <c r="C9331" s="396" t="s">
        <v>17645</v>
      </c>
      <c r="D9331" s="396" t="s">
        <v>17725</v>
      </c>
      <c r="E9331" s="396" t="s">
        <v>17726</v>
      </c>
      <c r="F9331" s="396" t="s">
        <v>17532</v>
      </c>
    </row>
    <row r="9332">
      <c r="A9332" s="311">
        <v>9331</v>
      </c>
      <c r="B9332" s="396" t="s">
        <v>17732</v>
      </c>
      <c r="C9332" s="396" t="s">
        <v>17671</v>
      </c>
      <c r="D9332" s="396" t="s">
        <v>17725</v>
      </c>
      <c r="E9332" s="396" t="s">
        <v>17726</v>
      </c>
      <c r="F9332" s="396" t="s">
        <v>17532</v>
      </c>
    </row>
    <row r="9333">
      <c r="A9333" s="311">
        <v>9332</v>
      </c>
      <c r="B9333" s="396" t="s">
        <v>17733</v>
      </c>
      <c r="C9333" s="396" t="s">
        <v>17697</v>
      </c>
      <c r="D9333" s="396" t="s">
        <v>17725</v>
      </c>
      <c r="E9333" s="396" t="s">
        <v>17726</v>
      </c>
      <c r="F9333" s="396" t="s">
        <v>17532</v>
      </c>
    </row>
    <row r="9334">
      <c r="A9334" s="311">
        <v>9333</v>
      </c>
      <c r="B9334" s="396" t="s">
        <v>17734</v>
      </c>
      <c r="C9334" s="396" t="s">
        <v>17624</v>
      </c>
      <c r="D9334" s="396" t="s">
        <v>17725</v>
      </c>
      <c r="E9334" s="396" t="s">
        <v>17726</v>
      </c>
      <c r="F9334" s="396" t="s">
        <v>17532</v>
      </c>
    </row>
    <row r="9335">
      <c r="A9335" s="311">
        <v>9334</v>
      </c>
      <c r="B9335" s="396" t="s">
        <v>17735</v>
      </c>
      <c r="C9335" s="396" t="s">
        <v>16300</v>
      </c>
      <c r="D9335" s="396" t="s">
        <v>17725</v>
      </c>
      <c r="E9335" s="396" t="s">
        <v>17726</v>
      </c>
      <c r="F9335" s="396" t="s">
        <v>17532</v>
      </c>
    </row>
    <row r="9336">
      <c r="A9336" s="311">
        <v>9335</v>
      </c>
      <c r="B9336" s="396" t="s">
        <v>17736</v>
      </c>
      <c r="C9336" s="396" t="s">
        <v>16302</v>
      </c>
      <c r="D9336" s="396" t="s">
        <v>17725</v>
      </c>
      <c r="E9336" s="396" t="s">
        <v>17726</v>
      </c>
      <c r="F9336" s="396" t="s">
        <v>17532</v>
      </c>
    </row>
    <row r="9337">
      <c r="A9337" s="311">
        <v>9336</v>
      </c>
      <c r="B9337" s="396" t="s">
        <v>17737</v>
      </c>
      <c r="C9337" s="396" t="s">
        <v>17630</v>
      </c>
      <c r="D9337" s="396" t="s">
        <v>17725</v>
      </c>
      <c r="E9337" s="396" t="s">
        <v>17726</v>
      </c>
      <c r="F9337" s="396" t="s">
        <v>17532</v>
      </c>
    </row>
    <row r="9338">
      <c r="A9338" s="311">
        <v>9337</v>
      </c>
      <c r="B9338" s="396" t="s">
        <v>17738</v>
      </c>
      <c r="C9338" s="396" t="s">
        <v>17636</v>
      </c>
      <c r="D9338" s="396" t="s">
        <v>17725</v>
      </c>
      <c r="E9338" s="396" t="s">
        <v>17726</v>
      </c>
      <c r="F9338" s="396" t="s">
        <v>17532</v>
      </c>
    </row>
    <row r="9339">
      <c r="A9339" s="311">
        <v>9338</v>
      </c>
      <c r="B9339" s="396" t="s">
        <v>17739</v>
      </c>
      <c r="C9339" s="396" t="s">
        <v>16292</v>
      </c>
      <c r="D9339" s="396" t="s">
        <v>17725</v>
      </c>
      <c r="E9339" s="396" t="s">
        <v>17726</v>
      </c>
      <c r="F9339" s="396" t="s">
        <v>17532</v>
      </c>
    </row>
    <row r="9340">
      <c r="A9340" s="311">
        <v>9339</v>
      </c>
      <c r="B9340" s="396" t="s">
        <v>17740</v>
      </c>
      <c r="C9340" s="396" t="s">
        <v>17628</v>
      </c>
      <c r="D9340" s="396" t="s">
        <v>17725</v>
      </c>
      <c r="E9340" s="396" t="s">
        <v>17726</v>
      </c>
      <c r="F9340" s="396" t="s">
        <v>17532</v>
      </c>
    </row>
    <row r="9341">
      <c r="A9341" s="311">
        <v>9340</v>
      </c>
      <c r="B9341" s="396" t="s">
        <v>17741</v>
      </c>
      <c r="C9341" s="396" t="s">
        <v>17742</v>
      </c>
      <c r="D9341" s="396" t="s">
        <v>17743</v>
      </c>
      <c r="E9341" s="396" t="s">
        <v>17744</v>
      </c>
      <c r="F9341" s="396" t="s">
        <v>17532</v>
      </c>
    </row>
    <row r="9342">
      <c r="A9342" s="311">
        <v>9341</v>
      </c>
      <c r="B9342" s="396" t="s">
        <v>17745</v>
      </c>
      <c r="C9342" s="396" t="s">
        <v>13138</v>
      </c>
      <c r="D9342" s="396" t="s">
        <v>17743</v>
      </c>
      <c r="E9342" s="396" t="s">
        <v>17744</v>
      </c>
      <c r="F9342" s="396" t="s">
        <v>17532</v>
      </c>
    </row>
    <row r="9343">
      <c r="A9343" s="311">
        <v>9342</v>
      </c>
      <c r="B9343" s="396" t="s">
        <v>17746</v>
      </c>
      <c r="C9343" s="396" t="s">
        <v>17055</v>
      </c>
      <c r="D9343" s="396" t="s">
        <v>17743</v>
      </c>
      <c r="E9343" s="396" t="s">
        <v>17744</v>
      </c>
      <c r="F9343" s="396" t="s">
        <v>17532</v>
      </c>
    </row>
    <row r="9344">
      <c r="A9344" s="311">
        <v>9343</v>
      </c>
      <c r="B9344" s="396" t="s">
        <v>17747</v>
      </c>
      <c r="C9344" s="396" t="s">
        <v>17748</v>
      </c>
      <c r="D9344" s="396" t="s">
        <v>17743</v>
      </c>
      <c r="E9344" s="396" t="s">
        <v>17744</v>
      </c>
      <c r="F9344" s="396" t="s">
        <v>17532</v>
      </c>
    </row>
    <row r="9345">
      <c r="A9345" s="311">
        <v>9344</v>
      </c>
      <c r="B9345" s="396" t="s">
        <v>17749</v>
      </c>
      <c r="C9345" s="396" t="s">
        <v>17750</v>
      </c>
      <c r="D9345" s="396" t="s">
        <v>17743</v>
      </c>
      <c r="E9345" s="396" t="s">
        <v>17744</v>
      </c>
      <c r="F9345" s="396" t="s">
        <v>17532</v>
      </c>
    </row>
    <row r="9346">
      <c r="A9346" s="311">
        <v>9345</v>
      </c>
      <c r="B9346" s="396" t="s">
        <v>17751</v>
      </c>
      <c r="C9346" s="396" t="s">
        <v>17752</v>
      </c>
      <c r="D9346" s="396" t="s">
        <v>17743</v>
      </c>
      <c r="E9346" s="396" t="s">
        <v>17744</v>
      </c>
      <c r="F9346" s="396" t="s">
        <v>17532</v>
      </c>
    </row>
    <row r="9347">
      <c r="A9347" s="311">
        <v>9346</v>
      </c>
      <c r="B9347" s="396" t="s">
        <v>17753</v>
      </c>
      <c r="C9347" s="396" t="s">
        <v>17754</v>
      </c>
      <c r="D9347" s="396" t="s">
        <v>17743</v>
      </c>
      <c r="E9347" s="396" t="s">
        <v>17744</v>
      </c>
      <c r="F9347" s="396" t="s">
        <v>17532</v>
      </c>
    </row>
    <row r="9348">
      <c r="A9348" s="311">
        <v>9347</v>
      </c>
      <c r="B9348" s="396" t="s">
        <v>17755</v>
      </c>
      <c r="C9348" s="396" t="s">
        <v>17756</v>
      </c>
      <c r="D9348" s="396" t="s">
        <v>17743</v>
      </c>
      <c r="E9348" s="396" t="s">
        <v>17744</v>
      </c>
      <c r="F9348" s="396" t="s">
        <v>17532</v>
      </c>
    </row>
    <row r="9349">
      <c r="A9349" s="311">
        <v>9348</v>
      </c>
      <c r="B9349" s="396" t="s">
        <v>17757</v>
      </c>
      <c r="C9349" s="396" t="s">
        <v>17758</v>
      </c>
      <c r="D9349" s="396" t="s">
        <v>17743</v>
      </c>
      <c r="E9349" s="396" t="s">
        <v>17744</v>
      </c>
      <c r="F9349" s="396" t="s">
        <v>17532</v>
      </c>
    </row>
    <row r="9350">
      <c r="A9350" s="311">
        <v>9349</v>
      </c>
      <c r="B9350" s="396" t="s">
        <v>17759</v>
      </c>
      <c r="C9350" s="396" t="s">
        <v>17760</v>
      </c>
      <c r="D9350" s="396" t="s">
        <v>17743</v>
      </c>
      <c r="E9350" s="396" t="s">
        <v>17744</v>
      </c>
      <c r="F9350" s="396" t="s">
        <v>17532</v>
      </c>
    </row>
    <row r="9351">
      <c r="A9351" s="311">
        <v>9350</v>
      </c>
      <c r="B9351" s="396" t="s">
        <v>17761</v>
      </c>
      <c r="C9351" s="396" t="s">
        <v>17762</v>
      </c>
      <c r="D9351" s="396" t="s">
        <v>17743</v>
      </c>
      <c r="E9351" s="396" t="s">
        <v>17744</v>
      </c>
      <c r="F9351" s="396" t="s">
        <v>17532</v>
      </c>
    </row>
    <row r="9352">
      <c r="A9352" s="311">
        <v>9351</v>
      </c>
      <c r="B9352" s="396" t="s">
        <v>17763</v>
      </c>
      <c r="C9352" s="396" t="s">
        <v>17697</v>
      </c>
      <c r="D9352" s="396" t="s">
        <v>17764</v>
      </c>
      <c r="E9352" s="396" t="s">
        <v>17765</v>
      </c>
      <c r="F9352" s="396" t="s">
        <v>17532</v>
      </c>
    </row>
    <row r="9353">
      <c r="A9353" s="311">
        <v>9352</v>
      </c>
      <c r="B9353" s="396" t="s">
        <v>17766</v>
      </c>
      <c r="C9353" s="396" t="s">
        <v>17641</v>
      </c>
      <c r="D9353" s="396" t="s">
        <v>17764</v>
      </c>
      <c r="E9353" s="396" t="s">
        <v>17765</v>
      </c>
      <c r="F9353" s="396" t="s">
        <v>17532</v>
      </c>
    </row>
    <row r="9354">
      <c r="A9354" s="311">
        <v>9353</v>
      </c>
      <c r="B9354" s="396" t="s">
        <v>17767</v>
      </c>
      <c r="C9354" s="396" t="s">
        <v>17636</v>
      </c>
      <c r="D9354" s="396" t="s">
        <v>17764</v>
      </c>
      <c r="E9354" s="396" t="s">
        <v>17765</v>
      </c>
      <c r="F9354" s="396" t="s">
        <v>17532</v>
      </c>
    </row>
    <row r="9355">
      <c r="A9355" s="311">
        <v>9354</v>
      </c>
      <c r="B9355" s="396" t="s">
        <v>17768</v>
      </c>
      <c r="C9355" s="396" t="s">
        <v>16292</v>
      </c>
      <c r="D9355" s="396" t="s">
        <v>17764</v>
      </c>
      <c r="E9355" s="396" t="s">
        <v>17765</v>
      </c>
      <c r="F9355" s="396" t="s">
        <v>17532</v>
      </c>
    </row>
    <row r="9356">
      <c r="A9356" s="311">
        <v>9355</v>
      </c>
      <c r="B9356" s="396" t="s">
        <v>17769</v>
      </c>
      <c r="C9356" s="396" t="s">
        <v>16302</v>
      </c>
      <c r="D9356" s="396" t="s">
        <v>17764</v>
      </c>
      <c r="E9356" s="396" t="s">
        <v>17765</v>
      </c>
      <c r="F9356" s="396" t="s">
        <v>17532</v>
      </c>
    </row>
    <row r="9357">
      <c r="A9357" s="311">
        <v>9356</v>
      </c>
      <c r="B9357" s="396" t="s">
        <v>17770</v>
      </c>
      <c r="C9357" s="396" t="s">
        <v>17628</v>
      </c>
      <c r="D9357" s="396" t="s">
        <v>17764</v>
      </c>
      <c r="E9357" s="396" t="s">
        <v>17765</v>
      </c>
      <c r="F9357" s="396" t="s">
        <v>17532</v>
      </c>
    </row>
    <row r="9358">
      <c r="A9358" s="311">
        <v>9357</v>
      </c>
      <c r="B9358" s="396" t="s">
        <v>17771</v>
      </c>
      <c r="C9358" s="396" t="s">
        <v>17667</v>
      </c>
      <c r="D9358" s="396" t="s">
        <v>17764</v>
      </c>
      <c r="E9358" s="396" t="s">
        <v>17765</v>
      </c>
      <c r="F9358" s="396" t="s">
        <v>17532</v>
      </c>
    </row>
    <row r="9359">
      <c r="A9359" s="311">
        <v>9358</v>
      </c>
      <c r="B9359" s="396" t="s">
        <v>17772</v>
      </c>
      <c r="C9359" s="396" t="s">
        <v>17699</v>
      </c>
      <c r="D9359" s="396" t="s">
        <v>17764</v>
      </c>
      <c r="E9359" s="396" t="s">
        <v>17765</v>
      </c>
      <c r="F9359" s="396" t="s">
        <v>17532</v>
      </c>
    </row>
    <row r="9360">
      <c r="A9360" s="311">
        <v>9359</v>
      </c>
      <c r="B9360" s="396" t="s">
        <v>17773</v>
      </c>
      <c r="C9360" s="396" t="s">
        <v>16300</v>
      </c>
      <c r="D9360" s="396" t="s">
        <v>17764</v>
      </c>
      <c r="E9360" s="396" t="s">
        <v>17765</v>
      </c>
      <c r="F9360" s="396" t="s">
        <v>17532</v>
      </c>
    </row>
    <row r="9361">
      <c r="A9361" s="311">
        <v>9360</v>
      </c>
      <c r="B9361" s="396" t="s">
        <v>17774</v>
      </c>
      <c r="C9361" s="396" t="s">
        <v>17643</v>
      </c>
      <c r="D9361" s="396" t="s">
        <v>17764</v>
      </c>
      <c r="E9361" s="396" t="s">
        <v>17765</v>
      </c>
      <c r="F9361" s="396" t="s">
        <v>17532</v>
      </c>
    </row>
    <row r="9362">
      <c r="A9362" s="311">
        <v>9361</v>
      </c>
      <c r="B9362" s="396" t="s">
        <v>17775</v>
      </c>
      <c r="C9362" s="396" t="s">
        <v>17639</v>
      </c>
      <c r="D9362" s="396" t="s">
        <v>17764</v>
      </c>
      <c r="E9362" s="396" t="s">
        <v>17765</v>
      </c>
      <c r="F9362" s="396" t="s">
        <v>17532</v>
      </c>
    </row>
    <row r="9363">
      <c r="A9363" s="311">
        <v>9362</v>
      </c>
      <c r="B9363" s="396" t="s">
        <v>17776</v>
      </c>
      <c r="C9363" s="396" t="s">
        <v>17650</v>
      </c>
      <c r="D9363" s="396" t="s">
        <v>17764</v>
      </c>
      <c r="E9363" s="396" t="s">
        <v>17765</v>
      </c>
      <c r="F9363" s="396" t="s">
        <v>17532</v>
      </c>
    </row>
    <row r="9364">
      <c r="A9364" s="311">
        <v>9363</v>
      </c>
      <c r="B9364" s="396" t="s">
        <v>17777</v>
      </c>
      <c r="C9364" s="396" t="s">
        <v>17671</v>
      </c>
      <c r="D9364" s="396" t="s">
        <v>17764</v>
      </c>
      <c r="E9364" s="396" t="s">
        <v>17765</v>
      </c>
      <c r="F9364" s="396" t="s">
        <v>17532</v>
      </c>
    </row>
    <row r="9365">
      <c r="A9365" s="311">
        <v>9364</v>
      </c>
      <c r="B9365" s="396" t="s">
        <v>17778</v>
      </c>
      <c r="C9365" s="396" t="s">
        <v>17645</v>
      </c>
      <c r="D9365" s="396" t="s">
        <v>17764</v>
      </c>
      <c r="E9365" s="396" t="s">
        <v>17765</v>
      </c>
      <c r="F9365" s="396" t="s">
        <v>17532</v>
      </c>
    </row>
    <row r="9366">
      <c r="A9366" s="311">
        <v>9365</v>
      </c>
      <c r="B9366" s="396" t="s">
        <v>17779</v>
      </c>
      <c r="C9366" s="396" t="s">
        <v>17624</v>
      </c>
      <c r="D9366" s="396" t="s">
        <v>17780</v>
      </c>
      <c r="E9366" s="396" t="s">
        <v>17781</v>
      </c>
      <c r="F9366" s="396" t="s">
        <v>17532</v>
      </c>
    </row>
    <row r="9367">
      <c r="A9367" s="311">
        <v>9366</v>
      </c>
      <c r="B9367" s="396" t="s">
        <v>17782</v>
      </c>
      <c r="C9367" s="396" t="s">
        <v>17628</v>
      </c>
      <c r="D9367" s="396" t="s">
        <v>17780</v>
      </c>
      <c r="E9367" s="396" t="s">
        <v>17781</v>
      </c>
      <c r="F9367" s="396" t="s">
        <v>17532</v>
      </c>
    </row>
    <row r="9368">
      <c r="A9368" s="311">
        <v>9367</v>
      </c>
      <c r="B9368" s="396" t="s">
        <v>17783</v>
      </c>
      <c r="C9368" s="396" t="s">
        <v>17636</v>
      </c>
      <c r="D9368" s="396" t="s">
        <v>17780</v>
      </c>
      <c r="E9368" s="396" t="s">
        <v>17781</v>
      </c>
      <c r="F9368" s="396" t="s">
        <v>17532</v>
      </c>
    </row>
    <row r="9369">
      <c r="A9369" s="311">
        <v>9368</v>
      </c>
      <c r="B9369" s="396" t="s">
        <v>17784</v>
      </c>
      <c r="C9369" s="396" t="s">
        <v>16292</v>
      </c>
      <c r="D9369" s="396" t="s">
        <v>17780</v>
      </c>
      <c r="E9369" s="396" t="s">
        <v>17781</v>
      </c>
      <c r="F9369" s="396" t="s">
        <v>17532</v>
      </c>
    </row>
    <row r="9370">
      <c r="A9370" s="311">
        <v>9369</v>
      </c>
      <c r="B9370" s="396" t="s">
        <v>17785</v>
      </c>
      <c r="C9370" s="396" t="s">
        <v>16302</v>
      </c>
      <c r="D9370" s="396" t="s">
        <v>17780</v>
      </c>
      <c r="E9370" s="396" t="s">
        <v>17781</v>
      </c>
      <c r="F9370" s="396" t="s">
        <v>17532</v>
      </c>
    </row>
    <row r="9371">
      <c r="A9371" s="311">
        <v>9370</v>
      </c>
      <c r="B9371" s="396" t="s">
        <v>17786</v>
      </c>
      <c r="C9371" s="396" t="s">
        <v>16300</v>
      </c>
      <c r="D9371" s="396" t="s">
        <v>17780</v>
      </c>
      <c r="E9371" s="396" t="s">
        <v>17781</v>
      </c>
      <c r="F9371" s="396" t="s">
        <v>17532</v>
      </c>
    </row>
    <row r="9372">
      <c r="A9372" s="311">
        <v>9371</v>
      </c>
      <c r="B9372" s="396" t="s">
        <v>17787</v>
      </c>
      <c r="C9372" s="396" t="s">
        <v>17699</v>
      </c>
      <c r="D9372" s="396" t="s">
        <v>17780</v>
      </c>
      <c r="E9372" s="396" t="s">
        <v>17781</v>
      </c>
      <c r="F9372" s="396" t="s">
        <v>17532</v>
      </c>
    </row>
    <row r="9373">
      <c r="A9373" s="311">
        <v>9372</v>
      </c>
      <c r="B9373" s="396" t="s">
        <v>17788</v>
      </c>
      <c r="C9373" s="396" t="s">
        <v>17645</v>
      </c>
      <c r="D9373" s="396" t="s">
        <v>17780</v>
      </c>
      <c r="E9373" s="396" t="s">
        <v>17781</v>
      </c>
      <c r="F9373" s="396" t="s">
        <v>17532</v>
      </c>
    </row>
    <row r="9374">
      <c r="A9374" s="311">
        <v>9373</v>
      </c>
      <c r="B9374" s="396" t="s">
        <v>17789</v>
      </c>
      <c r="C9374" s="396" t="s">
        <v>17697</v>
      </c>
      <c r="D9374" s="396" t="s">
        <v>17780</v>
      </c>
      <c r="E9374" s="396" t="s">
        <v>17781</v>
      </c>
      <c r="F9374" s="396" t="s">
        <v>17532</v>
      </c>
    </row>
    <row r="9375">
      <c r="A9375" s="311">
        <v>9374</v>
      </c>
      <c r="B9375" s="396" t="s">
        <v>17790</v>
      </c>
      <c r="C9375" s="396" t="s">
        <v>17671</v>
      </c>
      <c r="D9375" s="396" t="s">
        <v>17780</v>
      </c>
      <c r="E9375" s="396" t="s">
        <v>17781</v>
      </c>
      <c r="F9375" s="396" t="s">
        <v>17532</v>
      </c>
    </row>
    <row r="9376">
      <c r="A9376" s="311">
        <v>9375</v>
      </c>
      <c r="B9376" s="396" t="s">
        <v>17791</v>
      </c>
      <c r="C9376" s="396" t="s">
        <v>17643</v>
      </c>
      <c r="D9376" s="396" t="s">
        <v>17780</v>
      </c>
      <c r="E9376" s="396" t="s">
        <v>17781</v>
      </c>
      <c r="F9376" s="396" t="s">
        <v>17532</v>
      </c>
    </row>
    <row r="9377">
      <c r="A9377" s="311">
        <v>9376</v>
      </c>
      <c r="B9377" s="396" t="s">
        <v>17792</v>
      </c>
      <c r="C9377" s="396" t="s">
        <v>17641</v>
      </c>
      <c r="D9377" s="396" t="s">
        <v>17780</v>
      </c>
      <c r="E9377" s="396" t="s">
        <v>17781</v>
      </c>
      <c r="F9377" s="396" t="s">
        <v>17532</v>
      </c>
    </row>
    <row r="9378">
      <c r="A9378" s="311">
        <v>9377</v>
      </c>
      <c r="B9378" s="396" t="s">
        <v>17793</v>
      </c>
      <c r="C9378" s="396" t="s">
        <v>17639</v>
      </c>
      <c r="D9378" s="396" t="s">
        <v>17780</v>
      </c>
      <c r="E9378" s="396" t="s">
        <v>17781</v>
      </c>
      <c r="F9378" s="396" t="s">
        <v>17532</v>
      </c>
    </row>
    <row r="9379">
      <c r="A9379" s="311">
        <v>9378</v>
      </c>
      <c r="B9379" s="396" t="s">
        <v>17794</v>
      </c>
      <c r="C9379" s="396" t="s">
        <v>17667</v>
      </c>
      <c r="D9379" s="396" t="s">
        <v>17780</v>
      </c>
      <c r="E9379" s="396" t="s">
        <v>17781</v>
      </c>
      <c r="F9379" s="396" t="s">
        <v>17532</v>
      </c>
    </row>
    <row r="9380">
      <c r="A9380" s="311">
        <v>9379</v>
      </c>
      <c r="B9380" s="396" t="s">
        <v>17795</v>
      </c>
      <c r="C9380" s="396" t="s">
        <v>17650</v>
      </c>
      <c r="D9380" s="396" t="s">
        <v>17780</v>
      </c>
      <c r="E9380" s="396" t="s">
        <v>17781</v>
      </c>
      <c r="F9380" s="396" t="s">
        <v>17532</v>
      </c>
    </row>
    <row r="9381">
      <c r="A9381" s="311">
        <v>9380</v>
      </c>
      <c r="B9381" s="396" t="s">
        <v>17796</v>
      </c>
      <c r="C9381" s="396" t="s">
        <v>17624</v>
      </c>
      <c r="D9381" s="396" t="s">
        <v>17797</v>
      </c>
      <c r="E9381" s="396" t="s">
        <v>17798</v>
      </c>
      <c r="F9381" s="396" t="s">
        <v>17532</v>
      </c>
    </row>
    <row r="9382">
      <c r="A9382" s="311">
        <v>9381</v>
      </c>
      <c r="B9382" s="396" t="s">
        <v>17799</v>
      </c>
      <c r="C9382" s="396" t="s">
        <v>17639</v>
      </c>
      <c r="D9382" s="396" t="s">
        <v>17797</v>
      </c>
      <c r="E9382" s="396" t="s">
        <v>17798</v>
      </c>
      <c r="F9382" s="396" t="s">
        <v>17532</v>
      </c>
    </row>
    <row r="9383">
      <c r="A9383" s="311">
        <v>9382</v>
      </c>
      <c r="B9383" s="396" t="s">
        <v>17800</v>
      </c>
      <c r="C9383" s="396" t="s">
        <v>17636</v>
      </c>
      <c r="D9383" s="396" t="s">
        <v>17797</v>
      </c>
      <c r="E9383" s="396" t="s">
        <v>17798</v>
      </c>
      <c r="F9383" s="396" t="s">
        <v>17532</v>
      </c>
    </row>
    <row r="9384">
      <c r="A9384" s="311">
        <v>9383</v>
      </c>
      <c r="B9384" s="396" t="s">
        <v>17801</v>
      </c>
      <c r="C9384" s="396" t="s">
        <v>16302</v>
      </c>
      <c r="D9384" s="396" t="s">
        <v>17797</v>
      </c>
      <c r="E9384" s="396" t="s">
        <v>17798</v>
      </c>
      <c r="F9384" s="396" t="s">
        <v>17532</v>
      </c>
    </row>
    <row r="9385">
      <c r="A9385" s="311">
        <v>9384</v>
      </c>
      <c r="B9385" s="396" t="s">
        <v>17802</v>
      </c>
      <c r="C9385" s="396" t="s">
        <v>17650</v>
      </c>
      <c r="D9385" s="396" t="s">
        <v>17797</v>
      </c>
      <c r="E9385" s="396" t="s">
        <v>17798</v>
      </c>
      <c r="F9385" s="396" t="s">
        <v>17532</v>
      </c>
    </row>
    <row r="9386">
      <c r="A9386" s="311">
        <v>9385</v>
      </c>
      <c r="B9386" s="396" t="s">
        <v>17803</v>
      </c>
      <c r="C9386" s="396" t="s">
        <v>16300</v>
      </c>
      <c r="D9386" s="396" t="s">
        <v>17797</v>
      </c>
      <c r="E9386" s="396" t="s">
        <v>17798</v>
      </c>
      <c r="F9386" s="396" t="s">
        <v>17532</v>
      </c>
    </row>
    <row r="9387">
      <c r="A9387" s="311">
        <v>9386</v>
      </c>
      <c r="B9387" s="396" t="s">
        <v>17804</v>
      </c>
      <c r="C9387" s="396" t="s">
        <v>17628</v>
      </c>
      <c r="D9387" s="396" t="s">
        <v>17797</v>
      </c>
      <c r="E9387" s="396" t="s">
        <v>17798</v>
      </c>
      <c r="F9387" s="396" t="s">
        <v>17532</v>
      </c>
    </row>
    <row r="9388">
      <c r="A9388" s="311">
        <v>9387</v>
      </c>
      <c r="B9388" s="396" t="s">
        <v>17805</v>
      </c>
      <c r="C9388" s="396" t="s">
        <v>17697</v>
      </c>
      <c r="D9388" s="396" t="s">
        <v>17797</v>
      </c>
      <c r="E9388" s="396" t="s">
        <v>17798</v>
      </c>
      <c r="F9388" s="396" t="s">
        <v>17532</v>
      </c>
    </row>
    <row r="9389">
      <c r="A9389" s="311">
        <v>9388</v>
      </c>
      <c r="B9389" s="396" t="s">
        <v>17806</v>
      </c>
      <c r="C9389" s="396" t="s">
        <v>17699</v>
      </c>
      <c r="D9389" s="396" t="s">
        <v>17797</v>
      </c>
      <c r="E9389" s="396" t="s">
        <v>17798</v>
      </c>
      <c r="F9389" s="396" t="s">
        <v>17532</v>
      </c>
    </row>
    <row r="9390">
      <c r="A9390" s="311">
        <v>9389</v>
      </c>
      <c r="B9390" s="396" t="s">
        <v>17807</v>
      </c>
      <c r="C9390" s="396" t="s">
        <v>16292</v>
      </c>
      <c r="D9390" s="396" t="s">
        <v>17797</v>
      </c>
      <c r="E9390" s="396" t="s">
        <v>17798</v>
      </c>
      <c r="F9390" s="396" t="s">
        <v>17532</v>
      </c>
    </row>
    <row r="9391">
      <c r="A9391" s="311">
        <v>9390</v>
      </c>
      <c r="B9391" s="396" t="s">
        <v>17808</v>
      </c>
      <c r="C9391" s="396" t="s">
        <v>17641</v>
      </c>
      <c r="D9391" s="396" t="s">
        <v>17797</v>
      </c>
      <c r="E9391" s="396" t="s">
        <v>17798</v>
      </c>
      <c r="F9391" s="396" t="s">
        <v>17532</v>
      </c>
    </row>
    <row r="9392">
      <c r="A9392" s="311">
        <v>9391</v>
      </c>
      <c r="B9392" s="396" t="s">
        <v>17809</v>
      </c>
      <c r="C9392" s="396" t="s">
        <v>17667</v>
      </c>
      <c r="D9392" s="396" t="s">
        <v>17797</v>
      </c>
      <c r="E9392" s="396" t="s">
        <v>17798</v>
      </c>
      <c r="F9392" s="396" t="s">
        <v>17532</v>
      </c>
    </row>
    <row r="9393">
      <c r="A9393" s="311">
        <v>9392</v>
      </c>
      <c r="B9393" s="396" t="s">
        <v>17810</v>
      </c>
      <c r="C9393" s="396" t="s">
        <v>17643</v>
      </c>
      <c r="D9393" s="396" t="s">
        <v>17797</v>
      </c>
      <c r="E9393" s="396" t="s">
        <v>17798</v>
      </c>
      <c r="F9393" s="396" t="s">
        <v>17532</v>
      </c>
    </row>
    <row r="9394">
      <c r="A9394" s="311">
        <v>9393</v>
      </c>
      <c r="B9394" s="396" t="s">
        <v>17811</v>
      </c>
      <c r="C9394" s="396" t="s">
        <v>17645</v>
      </c>
      <c r="D9394" s="396" t="s">
        <v>17797</v>
      </c>
      <c r="E9394" s="396" t="s">
        <v>17798</v>
      </c>
      <c r="F9394" s="396" t="s">
        <v>17532</v>
      </c>
    </row>
    <row r="9395">
      <c r="A9395" s="311">
        <v>9394</v>
      </c>
      <c r="B9395" s="396" t="s">
        <v>17812</v>
      </c>
      <c r="C9395" s="396" t="s">
        <v>17671</v>
      </c>
      <c r="D9395" s="396" t="s">
        <v>17797</v>
      </c>
      <c r="E9395" s="396" t="s">
        <v>17798</v>
      </c>
      <c r="F9395" s="396" t="s">
        <v>17532</v>
      </c>
    </row>
    <row r="9396">
      <c r="A9396" s="311">
        <v>9395</v>
      </c>
      <c r="B9396" s="396" t="s">
        <v>17813</v>
      </c>
      <c r="C9396" s="396" t="s">
        <v>17633</v>
      </c>
      <c r="D9396" s="396" t="s">
        <v>17797</v>
      </c>
      <c r="E9396" s="396" t="s">
        <v>17798</v>
      </c>
      <c r="F9396" s="396" t="s">
        <v>17532</v>
      </c>
    </row>
    <row r="9397">
      <c r="A9397" s="311">
        <v>9396</v>
      </c>
      <c r="B9397" s="396" t="s">
        <v>17814</v>
      </c>
      <c r="C9397" s="396" t="s">
        <v>16292</v>
      </c>
      <c r="D9397" s="396" t="s">
        <v>17815</v>
      </c>
      <c r="E9397" s="396" t="s">
        <v>17816</v>
      </c>
      <c r="F9397" s="396" t="s">
        <v>17532</v>
      </c>
    </row>
    <row r="9398">
      <c r="A9398" s="311">
        <v>9397</v>
      </c>
      <c r="B9398" s="396" t="s">
        <v>17817</v>
      </c>
      <c r="C9398" s="396" t="s">
        <v>17628</v>
      </c>
      <c r="D9398" s="396" t="s">
        <v>17815</v>
      </c>
      <c r="E9398" s="396" t="s">
        <v>17816</v>
      </c>
      <c r="F9398" s="396" t="s">
        <v>17532</v>
      </c>
    </row>
    <row r="9399">
      <c r="A9399" s="311">
        <v>9398</v>
      </c>
      <c r="B9399" s="396" t="s">
        <v>17818</v>
      </c>
      <c r="C9399" s="396" t="s">
        <v>17699</v>
      </c>
      <c r="D9399" s="396" t="s">
        <v>17815</v>
      </c>
      <c r="E9399" s="396" t="s">
        <v>17816</v>
      </c>
      <c r="F9399" s="396" t="s">
        <v>17532</v>
      </c>
    </row>
    <row r="9400">
      <c r="A9400" s="311">
        <v>9399</v>
      </c>
      <c r="B9400" s="396" t="s">
        <v>17819</v>
      </c>
      <c r="C9400" s="396" t="s">
        <v>17667</v>
      </c>
      <c r="D9400" s="396" t="s">
        <v>17815</v>
      </c>
      <c r="E9400" s="396" t="s">
        <v>17816</v>
      </c>
      <c r="F9400" s="396" t="s">
        <v>17532</v>
      </c>
    </row>
    <row r="9401">
      <c r="A9401" s="311">
        <v>9400</v>
      </c>
      <c r="B9401" s="396" t="s">
        <v>17820</v>
      </c>
      <c r="C9401" s="396" t="s">
        <v>17697</v>
      </c>
      <c r="D9401" s="396" t="s">
        <v>17815</v>
      </c>
      <c r="E9401" s="396" t="s">
        <v>17816</v>
      </c>
      <c r="F9401" s="396" t="s">
        <v>17532</v>
      </c>
    </row>
    <row r="9402">
      <c r="A9402" s="311">
        <v>9401</v>
      </c>
      <c r="B9402" s="396" t="s">
        <v>17821</v>
      </c>
      <c r="C9402" s="396" t="s">
        <v>16300</v>
      </c>
      <c r="D9402" s="396" t="s">
        <v>17815</v>
      </c>
      <c r="E9402" s="396" t="s">
        <v>17816</v>
      </c>
      <c r="F9402" s="396" t="s">
        <v>17532</v>
      </c>
    </row>
    <row r="9403">
      <c r="A9403" s="311">
        <v>9402</v>
      </c>
      <c r="B9403" s="396" t="s">
        <v>17822</v>
      </c>
      <c r="C9403" s="396" t="s">
        <v>17639</v>
      </c>
      <c r="D9403" s="396" t="s">
        <v>17815</v>
      </c>
      <c r="E9403" s="396" t="s">
        <v>17816</v>
      </c>
      <c r="F9403" s="396" t="s">
        <v>17532</v>
      </c>
    </row>
    <row r="9404">
      <c r="A9404" s="311">
        <v>9403</v>
      </c>
      <c r="B9404" s="396" t="s">
        <v>17823</v>
      </c>
      <c r="C9404" s="396" t="s">
        <v>17824</v>
      </c>
      <c r="D9404" s="396" t="s">
        <v>17815</v>
      </c>
      <c r="E9404" s="396" t="s">
        <v>17816</v>
      </c>
      <c r="F9404" s="396" t="s">
        <v>17532</v>
      </c>
    </row>
    <row r="9405">
      <c r="A9405" s="311">
        <v>9404</v>
      </c>
      <c r="B9405" s="396" t="s">
        <v>17825</v>
      </c>
      <c r="C9405" s="396" t="s">
        <v>17636</v>
      </c>
      <c r="D9405" s="396" t="s">
        <v>17815</v>
      </c>
      <c r="E9405" s="396" t="s">
        <v>17816</v>
      </c>
      <c r="F9405" s="396" t="s">
        <v>17532</v>
      </c>
    </row>
    <row r="9406">
      <c r="A9406" s="311">
        <v>9405</v>
      </c>
      <c r="B9406" s="396" t="s">
        <v>17826</v>
      </c>
      <c r="C9406" s="396" t="s">
        <v>17643</v>
      </c>
      <c r="D9406" s="396" t="s">
        <v>17815</v>
      </c>
      <c r="E9406" s="396" t="s">
        <v>17816</v>
      </c>
      <c r="F9406" s="396" t="s">
        <v>17532</v>
      </c>
    </row>
    <row r="9407">
      <c r="A9407" s="311">
        <v>9406</v>
      </c>
      <c r="B9407" s="396" t="s">
        <v>17827</v>
      </c>
      <c r="C9407" s="396" t="s">
        <v>17650</v>
      </c>
      <c r="D9407" s="396" t="s">
        <v>17815</v>
      </c>
      <c r="E9407" s="396" t="s">
        <v>17816</v>
      </c>
      <c r="F9407" s="396" t="s">
        <v>17532</v>
      </c>
    </row>
    <row r="9408">
      <c r="A9408" s="311">
        <v>9407</v>
      </c>
      <c r="B9408" s="396" t="s">
        <v>17828</v>
      </c>
      <c r="C9408" s="396" t="s">
        <v>17633</v>
      </c>
      <c r="D9408" s="396" t="s">
        <v>17815</v>
      </c>
      <c r="E9408" s="396" t="s">
        <v>17816</v>
      </c>
      <c r="F9408" s="396" t="s">
        <v>17532</v>
      </c>
    </row>
    <row r="9409">
      <c r="A9409" s="311">
        <v>9408</v>
      </c>
      <c r="B9409" s="396" t="s">
        <v>17829</v>
      </c>
      <c r="C9409" s="396" t="s">
        <v>17671</v>
      </c>
      <c r="D9409" s="396" t="s">
        <v>17815</v>
      </c>
      <c r="E9409" s="396" t="s">
        <v>17816</v>
      </c>
      <c r="F9409" s="396" t="s">
        <v>17532</v>
      </c>
    </row>
    <row r="9410">
      <c r="A9410" s="311">
        <v>9409</v>
      </c>
      <c r="B9410" s="396" t="s">
        <v>17830</v>
      </c>
      <c r="C9410" s="396" t="s">
        <v>17624</v>
      </c>
      <c r="D9410" s="396" t="s">
        <v>17815</v>
      </c>
      <c r="E9410" s="396" t="s">
        <v>17816</v>
      </c>
      <c r="F9410" s="396" t="s">
        <v>17532</v>
      </c>
    </row>
    <row r="9411">
      <c r="A9411" s="311">
        <v>9410</v>
      </c>
      <c r="B9411" s="396" t="s">
        <v>17831</v>
      </c>
      <c r="C9411" s="396" t="s">
        <v>17645</v>
      </c>
      <c r="D9411" s="396" t="s">
        <v>17815</v>
      </c>
      <c r="E9411" s="396" t="s">
        <v>17816</v>
      </c>
      <c r="F9411" s="396" t="s">
        <v>17532</v>
      </c>
    </row>
    <row r="9412">
      <c r="A9412" s="311">
        <v>9411</v>
      </c>
      <c r="B9412" s="396" t="s">
        <v>17832</v>
      </c>
      <c r="C9412" s="396" t="s">
        <v>17643</v>
      </c>
      <c r="D9412" s="396" t="s">
        <v>17833</v>
      </c>
      <c r="E9412" s="396" t="s">
        <v>17834</v>
      </c>
      <c r="F9412" s="396" t="s">
        <v>17532</v>
      </c>
    </row>
    <row r="9413">
      <c r="A9413" s="311">
        <v>9412</v>
      </c>
      <c r="B9413" s="396" t="s">
        <v>17835</v>
      </c>
      <c r="C9413" s="396" t="s">
        <v>17699</v>
      </c>
      <c r="D9413" s="396" t="s">
        <v>17833</v>
      </c>
      <c r="E9413" s="396" t="s">
        <v>17834</v>
      </c>
      <c r="F9413" s="396" t="s">
        <v>17532</v>
      </c>
    </row>
    <row r="9414">
      <c r="A9414" s="311">
        <v>9413</v>
      </c>
      <c r="B9414" s="396" t="s">
        <v>17836</v>
      </c>
      <c r="C9414" s="396" t="s">
        <v>17650</v>
      </c>
      <c r="D9414" s="396" t="s">
        <v>17833</v>
      </c>
      <c r="E9414" s="396" t="s">
        <v>17834</v>
      </c>
      <c r="F9414" s="396" t="s">
        <v>17532</v>
      </c>
    </row>
    <row r="9415">
      <c r="A9415" s="311">
        <v>9414</v>
      </c>
      <c r="B9415" s="396" t="s">
        <v>17837</v>
      </c>
      <c r="C9415" s="396" t="s">
        <v>16292</v>
      </c>
      <c r="D9415" s="396" t="s">
        <v>17833</v>
      </c>
      <c r="E9415" s="396" t="s">
        <v>17834</v>
      </c>
      <c r="F9415" s="396" t="s">
        <v>17532</v>
      </c>
    </row>
    <row r="9416">
      <c r="A9416" s="311">
        <v>9415</v>
      </c>
      <c r="B9416" s="396" t="s">
        <v>17838</v>
      </c>
      <c r="C9416" s="396" t="s">
        <v>17671</v>
      </c>
      <c r="D9416" s="396" t="s">
        <v>17833</v>
      </c>
      <c r="E9416" s="396" t="s">
        <v>17834</v>
      </c>
      <c r="F9416" s="396" t="s">
        <v>17532</v>
      </c>
    </row>
    <row r="9417">
      <c r="A9417" s="311">
        <v>9416</v>
      </c>
      <c r="B9417" s="396" t="s">
        <v>17839</v>
      </c>
      <c r="C9417" s="396" t="s">
        <v>17697</v>
      </c>
      <c r="D9417" s="396" t="s">
        <v>17833</v>
      </c>
      <c r="E9417" s="396" t="s">
        <v>17834</v>
      </c>
      <c r="F9417" s="396" t="s">
        <v>17532</v>
      </c>
    </row>
    <row r="9418">
      <c r="A9418" s="311">
        <v>9417</v>
      </c>
      <c r="B9418" s="396" t="s">
        <v>17840</v>
      </c>
      <c r="C9418" s="396" t="s">
        <v>17624</v>
      </c>
      <c r="D9418" s="396" t="s">
        <v>17833</v>
      </c>
      <c r="E9418" s="396" t="s">
        <v>17834</v>
      </c>
      <c r="F9418" s="396" t="s">
        <v>17532</v>
      </c>
    </row>
    <row r="9419">
      <c r="A9419" s="311">
        <v>9418</v>
      </c>
      <c r="B9419" s="396" t="s">
        <v>17841</v>
      </c>
      <c r="C9419" s="396" t="s">
        <v>17641</v>
      </c>
      <c r="D9419" s="396" t="s">
        <v>17833</v>
      </c>
      <c r="E9419" s="396" t="s">
        <v>17834</v>
      </c>
      <c r="F9419" s="396" t="s">
        <v>17532</v>
      </c>
    </row>
    <row r="9420">
      <c r="A9420" s="311">
        <v>9419</v>
      </c>
      <c r="B9420" s="396" t="s">
        <v>17842</v>
      </c>
      <c r="C9420" s="396" t="s">
        <v>17645</v>
      </c>
      <c r="D9420" s="396" t="s">
        <v>17833</v>
      </c>
      <c r="E9420" s="396" t="s">
        <v>17834</v>
      </c>
      <c r="F9420" s="396" t="s">
        <v>17532</v>
      </c>
    </row>
    <row r="9421">
      <c r="A9421" s="311">
        <v>9420</v>
      </c>
      <c r="B9421" s="396" t="s">
        <v>17843</v>
      </c>
      <c r="C9421" s="396" t="s">
        <v>16302</v>
      </c>
      <c r="D9421" s="396" t="s">
        <v>17833</v>
      </c>
      <c r="E9421" s="396" t="s">
        <v>17834</v>
      </c>
      <c r="F9421" s="396" t="s">
        <v>17532</v>
      </c>
    </row>
    <row r="9422">
      <c r="A9422" s="311">
        <v>9421</v>
      </c>
      <c r="B9422" s="396" t="s">
        <v>17844</v>
      </c>
      <c r="C9422" s="396" t="s">
        <v>17636</v>
      </c>
      <c r="D9422" s="396" t="s">
        <v>17833</v>
      </c>
      <c r="E9422" s="396" t="s">
        <v>17834</v>
      </c>
      <c r="F9422" s="396" t="s">
        <v>17532</v>
      </c>
    </row>
    <row r="9423">
      <c r="A9423" s="311">
        <v>9422</v>
      </c>
      <c r="B9423" s="396" t="s">
        <v>17845</v>
      </c>
      <c r="C9423" s="396" t="s">
        <v>17639</v>
      </c>
      <c r="D9423" s="396" t="s">
        <v>17833</v>
      </c>
      <c r="E9423" s="396" t="s">
        <v>17834</v>
      </c>
      <c r="F9423" s="396" t="s">
        <v>17532</v>
      </c>
    </row>
    <row r="9424">
      <c r="A9424" s="311">
        <v>9423</v>
      </c>
      <c r="B9424" s="396" t="s">
        <v>17846</v>
      </c>
      <c r="C9424" s="396" t="s">
        <v>17667</v>
      </c>
      <c r="D9424" s="396" t="s">
        <v>17833</v>
      </c>
      <c r="E9424" s="396" t="s">
        <v>17834</v>
      </c>
      <c r="F9424" s="396" t="s">
        <v>17532</v>
      </c>
    </row>
    <row r="9425">
      <c r="A9425" s="311">
        <v>9424</v>
      </c>
      <c r="B9425" s="396" t="s">
        <v>17847</v>
      </c>
      <c r="C9425" s="396" t="s">
        <v>16300</v>
      </c>
      <c r="D9425" s="396" t="s">
        <v>17833</v>
      </c>
      <c r="E9425" s="396" t="s">
        <v>17834</v>
      </c>
      <c r="F9425" s="396" t="s">
        <v>17532</v>
      </c>
    </row>
    <row r="9426">
      <c r="A9426" s="311">
        <v>9425</v>
      </c>
      <c r="B9426" s="396" t="s">
        <v>17848</v>
      </c>
      <c r="C9426" s="396" t="s">
        <v>17628</v>
      </c>
      <c r="D9426" s="396" t="s">
        <v>17833</v>
      </c>
      <c r="E9426" s="396" t="s">
        <v>17834</v>
      </c>
      <c r="F9426" s="396" t="s">
        <v>17532</v>
      </c>
    </row>
    <row r="9427">
      <c r="A9427" s="311">
        <v>9426</v>
      </c>
      <c r="B9427" s="396" t="s">
        <v>17849</v>
      </c>
      <c r="C9427" s="396" t="s">
        <v>17636</v>
      </c>
      <c r="D9427" s="396" t="s">
        <v>17850</v>
      </c>
      <c r="E9427" s="396" t="s">
        <v>17851</v>
      </c>
      <c r="F9427" s="396" t="s">
        <v>17532</v>
      </c>
    </row>
    <row r="9428">
      <c r="A9428" s="311">
        <v>9427</v>
      </c>
      <c r="B9428" s="396" t="s">
        <v>17852</v>
      </c>
      <c r="C9428" s="396" t="s">
        <v>17628</v>
      </c>
      <c r="D9428" s="396" t="s">
        <v>17850</v>
      </c>
      <c r="E9428" s="396" t="s">
        <v>17851</v>
      </c>
      <c r="F9428" s="396" t="s">
        <v>17532</v>
      </c>
    </row>
    <row r="9429">
      <c r="A9429" s="311">
        <v>9428</v>
      </c>
      <c r="B9429" s="396" t="s">
        <v>17853</v>
      </c>
      <c r="C9429" s="396" t="s">
        <v>17699</v>
      </c>
      <c r="D9429" s="396" t="s">
        <v>17850</v>
      </c>
      <c r="E9429" s="396" t="s">
        <v>17851</v>
      </c>
      <c r="F9429" s="396" t="s">
        <v>17532</v>
      </c>
    </row>
    <row r="9430">
      <c r="A9430" s="311">
        <v>9429</v>
      </c>
      <c r="B9430" s="396" t="s">
        <v>17854</v>
      </c>
      <c r="C9430" s="396" t="s">
        <v>17667</v>
      </c>
      <c r="D9430" s="396" t="s">
        <v>17850</v>
      </c>
      <c r="E9430" s="396" t="s">
        <v>17851</v>
      </c>
      <c r="F9430" s="396" t="s">
        <v>17532</v>
      </c>
    </row>
    <row r="9431">
      <c r="A9431" s="311">
        <v>9430</v>
      </c>
      <c r="B9431" s="396" t="s">
        <v>17855</v>
      </c>
      <c r="C9431" s="396" t="s">
        <v>16292</v>
      </c>
      <c r="D9431" s="396" t="s">
        <v>17850</v>
      </c>
      <c r="E9431" s="396" t="s">
        <v>17851</v>
      </c>
      <c r="F9431" s="396" t="s">
        <v>17532</v>
      </c>
    </row>
    <row r="9432">
      <c r="A9432" s="311">
        <v>9431</v>
      </c>
      <c r="B9432" s="396" t="s">
        <v>17856</v>
      </c>
      <c r="C9432" s="396" t="s">
        <v>17639</v>
      </c>
      <c r="D9432" s="396" t="s">
        <v>17850</v>
      </c>
      <c r="E9432" s="396" t="s">
        <v>17851</v>
      </c>
      <c r="F9432" s="396" t="s">
        <v>17532</v>
      </c>
    </row>
    <row r="9433">
      <c r="A9433" s="311">
        <v>9432</v>
      </c>
      <c r="B9433" s="396" t="s">
        <v>17857</v>
      </c>
      <c r="C9433" s="396" t="s">
        <v>16302</v>
      </c>
      <c r="D9433" s="396" t="s">
        <v>17850</v>
      </c>
      <c r="E9433" s="396" t="s">
        <v>17851</v>
      </c>
      <c r="F9433" s="396" t="s">
        <v>17532</v>
      </c>
    </row>
    <row r="9434">
      <c r="A9434" s="311">
        <v>9433</v>
      </c>
      <c r="B9434" s="396" t="s">
        <v>17858</v>
      </c>
      <c r="C9434" s="396" t="s">
        <v>17671</v>
      </c>
      <c r="D9434" s="396" t="s">
        <v>17850</v>
      </c>
      <c r="E9434" s="396" t="s">
        <v>17851</v>
      </c>
      <c r="F9434" s="396" t="s">
        <v>17532</v>
      </c>
    </row>
    <row r="9435">
      <c r="A9435" s="311">
        <v>9434</v>
      </c>
      <c r="B9435" s="396" t="s">
        <v>17859</v>
      </c>
      <c r="C9435" s="396" t="s">
        <v>17645</v>
      </c>
      <c r="D9435" s="396" t="s">
        <v>17850</v>
      </c>
      <c r="E9435" s="396" t="s">
        <v>17851</v>
      </c>
      <c r="F9435" s="396" t="s">
        <v>17532</v>
      </c>
    </row>
    <row r="9436">
      <c r="A9436" s="311">
        <v>9435</v>
      </c>
      <c r="B9436" s="396" t="s">
        <v>17860</v>
      </c>
      <c r="C9436" s="396" t="s">
        <v>17643</v>
      </c>
      <c r="D9436" s="396" t="s">
        <v>17850</v>
      </c>
      <c r="E9436" s="396" t="s">
        <v>17851</v>
      </c>
      <c r="F9436" s="396" t="s">
        <v>17532</v>
      </c>
    </row>
    <row r="9437">
      <c r="A9437" s="311">
        <v>9436</v>
      </c>
      <c r="B9437" s="396" t="s">
        <v>17861</v>
      </c>
      <c r="C9437" s="396" t="s">
        <v>17697</v>
      </c>
      <c r="D9437" s="396" t="s">
        <v>17850</v>
      </c>
      <c r="E9437" s="396" t="s">
        <v>17851</v>
      </c>
      <c r="F9437" s="396" t="s">
        <v>17532</v>
      </c>
    </row>
    <row r="9438">
      <c r="A9438" s="311">
        <v>9437</v>
      </c>
      <c r="B9438" s="396" t="s">
        <v>17862</v>
      </c>
      <c r="C9438" s="396" t="s">
        <v>17650</v>
      </c>
      <c r="D9438" s="396" t="s">
        <v>17850</v>
      </c>
      <c r="E9438" s="396" t="s">
        <v>17851</v>
      </c>
      <c r="F9438" s="396" t="s">
        <v>17532</v>
      </c>
    </row>
    <row r="9439">
      <c r="A9439" s="311">
        <v>9438</v>
      </c>
      <c r="B9439" s="396" t="s">
        <v>17863</v>
      </c>
      <c r="C9439" s="396" t="s">
        <v>17641</v>
      </c>
      <c r="D9439" s="396" t="s">
        <v>17850</v>
      </c>
      <c r="E9439" s="396" t="s">
        <v>17851</v>
      </c>
      <c r="F9439" s="396" t="s">
        <v>17532</v>
      </c>
    </row>
    <row r="9440">
      <c r="A9440" s="311">
        <v>9439</v>
      </c>
      <c r="B9440" s="396" t="s">
        <v>17864</v>
      </c>
      <c r="C9440" s="396" t="s">
        <v>16300</v>
      </c>
      <c r="D9440" s="396" t="s">
        <v>17850</v>
      </c>
      <c r="E9440" s="396" t="s">
        <v>17851</v>
      </c>
      <c r="F9440" s="396" t="s">
        <v>17532</v>
      </c>
    </row>
    <row r="9441">
      <c r="A9441" s="311">
        <v>9440</v>
      </c>
      <c r="B9441" s="396" t="s">
        <v>17865</v>
      </c>
      <c r="C9441" s="396" t="s">
        <v>17697</v>
      </c>
      <c r="D9441" s="396" t="s">
        <v>17866</v>
      </c>
      <c r="E9441" s="396" t="s">
        <v>17867</v>
      </c>
      <c r="F9441" s="396" t="s">
        <v>17532</v>
      </c>
    </row>
    <row r="9442">
      <c r="A9442" s="311">
        <v>9441</v>
      </c>
      <c r="B9442" s="396" t="s">
        <v>17868</v>
      </c>
      <c r="C9442" s="396" t="s">
        <v>17671</v>
      </c>
      <c r="D9442" s="396" t="s">
        <v>17866</v>
      </c>
      <c r="E9442" s="396" t="s">
        <v>17867</v>
      </c>
      <c r="F9442" s="396" t="s">
        <v>17532</v>
      </c>
    </row>
    <row r="9443">
      <c r="A9443" s="311">
        <v>9442</v>
      </c>
      <c r="B9443" s="396" t="s">
        <v>17869</v>
      </c>
      <c r="C9443" s="396" t="s">
        <v>17645</v>
      </c>
      <c r="D9443" s="396" t="s">
        <v>17866</v>
      </c>
      <c r="E9443" s="396" t="s">
        <v>17867</v>
      </c>
      <c r="F9443" s="396" t="s">
        <v>17532</v>
      </c>
    </row>
    <row r="9444">
      <c r="A9444" s="311">
        <v>9443</v>
      </c>
      <c r="B9444" s="396" t="s">
        <v>17870</v>
      </c>
      <c r="C9444" s="396" t="s">
        <v>17650</v>
      </c>
      <c r="D9444" s="396" t="s">
        <v>17866</v>
      </c>
      <c r="E9444" s="396" t="s">
        <v>17867</v>
      </c>
      <c r="F9444" s="396" t="s">
        <v>17532</v>
      </c>
    </row>
    <row r="9445">
      <c r="A9445" s="311">
        <v>9444</v>
      </c>
      <c r="B9445" s="396" t="s">
        <v>17871</v>
      </c>
      <c r="C9445" s="396" t="s">
        <v>16302</v>
      </c>
      <c r="D9445" s="396" t="s">
        <v>17866</v>
      </c>
      <c r="E9445" s="396" t="s">
        <v>17867</v>
      </c>
      <c r="F9445" s="396" t="s">
        <v>17532</v>
      </c>
    </row>
    <row r="9446">
      <c r="A9446" s="311">
        <v>9445</v>
      </c>
      <c r="B9446" s="396" t="s">
        <v>17872</v>
      </c>
      <c r="C9446" s="396" t="s">
        <v>17699</v>
      </c>
      <c r="D9446" s="396" t="s">
        <v>17866</v>
      </c>
      <c r="E9446" s="396" t="s">
        <v>17867</v>
      </c>
      <c r="F9446" s="396" t="s">
        <v>17532</v>
      </c>
    </row>
    <row r="9447">
      <c r="A9447" s="311">
        <v>9446</v>
      </c>
      <c r="B9447" s="396" t="s">
        <v>17873</v>
      </c>
      <c r="C9447" s="396" t="s">
        <v>16300</v>
      </c>
      <c r="D9447" s="396" t="s">
        <v>17866</v>
      </c>
      <c r="E9447" s="396" t="s">
        <v>17867</v>
      </c>
      <c r="F9447" s="396" t="s">
        <v>17532</v>
      </c>
    </row>
    <row r="9448">
      <c r="A9448" s="311">
        <v>9447</v>
      </c>
      <c r="B9448" s="396" t="s">
        <v>17874</v>
      </c>
      <c r="C9448" s="396" t="s">
        <v>17643</v>
      </c>
      <c r="D9448" s="396" t="s">
        <v>17866</v>
      </c>
      <c r="E9448" s="396" t="s">
        <v>17867</v>
      </c>
      <c r="F9448" s="396" t="s">
        <v>17532</v>
      </c>
    </row>
    <row r="9449">
      <c r="A9449" s="311">
        <v>9448</v>
      </c>
      <c r="B9449" s="396" t="s">
        <v>17875</v>
      </c>
      <c r="C9449" s="396" t="s">
        <v>17628</v>
      </c>
      <c r="D9449" s="396" t="s">
        <v>17866</v>
      </c>
      <c r="E9449" s="396" t="s">
        <v>17867</v>
      </c>
      <c r="F9449" s="396" t="s">
        <v>17532</v>
      </c>
    </row>
    <row r="9450">
      <c r="A9450" s="311">
        <v>9449</v>
      </c>
      <c r="B9450" s="396" t="s">
        <v>17876</v>
      </c>
      <c r="C9450" s="396" t="s">
        <v>16292</v>
      </c>
      <c r="D9450" s="396" t="s">
        <v>17866</v>
      </c>
      <c r="E9450" s="396" t="s">
        <v>17867</v>
      </c>
      <c r="F9450" s="396" t="s">
        <v>17532</v>
      </c>
    </row>
    <row r="9451">
      <c r="A9451" s="311">
        <v>9450</v>
      </c>
      <c r="B9451" s="396" t="s">
        <v>17877</v>
      </c>
      <c r="C9451" s="396" t="s">
        <v>17639</v>
      </c>
      <c r="D9451" s="396" t="s">
        <v>17866</v>
      </c>
      <c r="E9451" s="396" t="s">
        <v>17867</v>
      </c>
      <c r="F9451" s="396" t="s">
        <v>17532</v>
      </c>
    </row>
    <row r="9452">
      <c r="A9452" s="311">
        <v>9451</v>
      </c>
      <c r="B9452" s="396" t="s">
        <v>17878</v>
      </c>
      <c r="C9452" s="396" t="s">
        <v>17636</v>
      </c>
      <c r="D9452" s="396" t="s">
        <v>17866</v>
      </c>
      <c r="E9452" s="396" t="s">
        <v>17867</v>
      </c>
      <c r="F9452" s="396" t="s">
        <v>17532</v>
      </c>
    </row>
    <row r="9453">
      <c r="A9453" s="311">
        <v>9452</v>
      </c>
      <c r="B9453" s="396" t="s">
        <v>17879</v>
      </c>
      <c r="C9453" s="396" t="s">
        <v>17667</v>
      </c>
      <c r="D9453" s="396" t="s">
        <v>17866</v>
      </c>
      <c r="E9453" s="396" t="s">
        <v>17867</v>
      </c>
      <c r="F9453" s="396" t="s">
        <v>17532</v>
      </c>
    </row>
    <row r="9454">
      <c r="A9454" s="311">
        <v>9453</v>
      </c>
      <c r="B9454" s="396" t="s">
        <v>17880</v>
      </c>
      <c r="C9454" s="396" t="s">
        <v>17624</v>
      </c>
      <c r="D9454" s="396" t="s">
        <v>17866</v>
      </c>
      <c r="E9454" s="396" t="s">
        <v>17867</v>
      </c>
      <c r="F9454" s="396" t="s">
        <v>17532</v>
      </c>
    </row>
    <row r="9455">
      <c r="A9455" s="311">
        <v>9454</v>
      </c>
      <c r="B9455" s="396" t="s">
        <v>17881</v>
      </c>
      <c r="C9455" s="396" t="s">
        <v>17633</v>
      </c>
      <c r="D9455" s="396" t="s">
        <v>17866</v>
      </c>
      <c r="E9455" s="396" t="s">
        <v>17867</v>
      </c>
      <c r="F9455" s="396" t="s">
        <v>17532</v>
      </c>
    </row>
    <row r="9456">
      <c r="A9456" s="311">
        <v>9455</v>
      </c>
      <c r="B9456" s="396" t="s">
        <v>17882</v>
      </c>
      <c r="C9456" s="396" t="s">
        <v>17641</v>
      </c>
      <c r="D9456" s="396" t="s">
        <v>17866</v>
      </c>
      <c r="E9456" s="396" t="s">
        <v>17867</v>
      </c>
      <c r="F9456" s="396" t="s">
        <v>17532</v>
      </c>
    </row>
    <row r="9457">
      <c r="A9457" s="311">
        <v>9456</v>
      </c>
      <c r="B9457" s="396" t="s">
        <v>17883</v>
      </c>
      <c r="C9457" s="396" t="s">
        <v>17884</v>
      </c>
      <c r="D9457" s="396" t="s">
        <v>17885</v>
      </c>
      <c r="E9457" s="396" t="s">
        <v>17886</v>
      </c>
      <c r="F9457" s="396" t="s">
        <v>17532</v>
      </c>
    </row>
    <row r="9458">
      <c r="A9458" s="311">
        <v>9457</v>
      </c>
      <c r="B9458" s="396" t="s">
        <v>17887</v>
      </c>
      <c r="C9458" s="396" t="s">
        <v>17888</v>
      </c>
      <c r="D9458" s="396" t="s">
        <v>17885</v>
      </c>
      <c r="E9458" s="396" t="s">
        <v>17886</v>
      </c>
      <c r="F9458" s="396" t="s">
        <v>17532</v>
      </c>
    </row>
    <row r="9459">
      <c r="A9459" s="311">
        <v>9458</v>
      </c>
      <c r="B9459" s="396" t="s">
        <v>17889</v>
      </c>
      <c r="C9459" s="396" t="s">
        <v>17890</v>
      </c>
      <c r="D9459" s="396" t="s">
        <v>17885</v>
      </c>
      <c r="E9459" s="396" t="s">
        <v>17886</v>
      </c>
      <c r="F9459" s="396" t="s">
        <v>17532</v>
      </c>
    </row>
    <row r="9460">
      <c r="A9460" s="311">
        <v>9459</v>
      </c>
      <c r="B9460" s="396" t="s">
        <v>17891</v>
      </c>
      <c r="C9460" s="396" t="s">
        <v>17892</v>
      </c>
      <c r="D9460" s="396" t="s">
        <v>17885</v>
      </c>
      <c r="E9460" s="396" t="s">
        <v>17886</v>
      </c>
      <c r="F9460" s="396" t="s">
        <v>17532</v>
      </c>
    </row>
    <row r="9461">
      <c r="A9461" s="311">
        <v>9460</v>
      </c>
      <c r="B9461" s="396" t="s">
        <v>17893</v>
      </c>
      <c r="C9461" s="396" t="s">
        <v>17894</v>
      </c>
      <c r="D9461" s="396" t="s">
        <v>17885</v>
      </c>
      <c r="E9461" s="396" t="s">
        <v>17886</v>
      </c>
      <c r="F9461" s="396" t="s">
        <v>17532</v>
      </c>
    </row>
    <row r="9462">
      <c r="A9462" s="311">
        <v>9461</v>
      </c>
      <c r="B9462" s="396" t="s">
        <v>17895</v>
      </c>
      <c r="C9462" s="396" t="s">
        <v>17896</v>
      </c>
      <c r="D9462" s="396" t="s">
        <v>17885</v>
      </c>
      <c r="E9462" s="396" t="s">
        <v>17886</v>
      </c>
      <c r="F9462" s="396" t="s">
        <v>17532</v>
      </c>
    </row>
    <row r="9463">
      <c r="A9463" s="311">
        <v>9462</v>
      </c>
      <c r="B9463" s="396" t="s">
        <v>17897</v>
      </c>
      <c r="C9463" s="396" t="s">
        <v>17898</v>
      </c>
      <c r="D9463" s="396" t="s">
        <v>17885</v>
      </c>
      <c r="E9463" s="396" t="s">
        <v>17886</v>
      </c>
      <c r="F9463" s="396" t="s">
        <v>17532</v>
      </c>
    </row>
    <row r="9464">
      <c r="A9464" s="311">
        <v>9463</v>
      </c>
      <c r="B9464" s="396" t="s">
        <v>17899</v>
      </c>
      <c r="C9464" s="396" t="s">
        <v>17900</v>
      </c>
      <c r="D9464" s="396" t="s">
        <v>17885</v>
      </c>
      <c r="E9464" s="396" t="s">
        <v>17886</v>
      </c>
      <c r="F9464" s="396" t="s">
        <v>17532</v>
      </c>
    </row>
    <row r="9465">
      <c r="A9465" s="311">
        <v>9464</v>
      </c>
      <c r="B9465" s="396" t="s">
        <v>17901</v>
      </c>
      <c r="C9465" s="396" t="s">
        <v>15810</v>
      </c>
      <c r="D9465" s="396" t="s">
        <v>17885</v>
      </c>
      <c r="E9465" s="396" t="s">
        <v>17886</v>
      </c>
      <c r="F9465" s="396" t="s">
        <v>17532</v>
      </c>
    </row>
    <row r="9466">
      <c r="A9466" s="311">
        <v>9465</v>
      </c>
      <c r="B9466" s="396" t="s">
        <v>17902</v>
      </c>
      <c r="C9466" s="396" t="s">
        <v>17903</v>
      </c>
      <c r="D9466" s="396" t="s">
        <v>17885</v>
      </c>
      <c r="E9466" s="396" t="s">
        <v>17886</v>
      </c>
      <c r="F9466" s="396" t="s">
        <v>17532</v>
      </c>
    </row>
    <row r="9467">
      <c r="A9467" s="311">
        <v>9466</v>
      </c>
      <c r="B9467" s="396" t="s">
        <v>17904</v>
      </c>
      <c r="C9467" s="396" t="s">
        <v>17905</v>
      </c>
      <c r="D9467" s="396" t="s">
        <v>17906</v>
      </c>
      <c r="E9467" s="396" t="s">
        <v>17907</v>
      </c>
      <c r="F9467" s="396" t="s">
        <v>17532</v>
      </c>
    </row>
    <row r="9468">
      <c r="A9468" s="311">
        <v>9467</v>
      </c>
      <c r="B9468" s="396" t="s">
        <v>17908</v>
      </c>
      <c r="C9468" s="396" t="s">
        <v>17909</v>
      </c>
      <c r="D9468" s="396" t="s">
        <v>17906</v>
      </c>
      <c r="E9468" s="396" t="s">
        <v>17907</v>
      </c>
      <c r="F9468" s="396" t="s">
        <v>17532</v>
      </c>
    </row>
    <row r="9469">
      <c r="A9469" s="311">
        <v>9468</v>
      </c>
      <c r="B9469" s="396" t="s">
        <v>17910</v>
      </c>
      <c r="C9469" s="396" t="s">
        <v>17911</v>
      </c>
      <c r="D9469" s="396" t="s">
        <v>17906</v>
      </c>
      <c r="E9469" s="396" t="s">
        <v>17907</v>
      </c>
      <c r="F9469" s="396" t="s">
        <v>17532</v>
      </c>
    </row>
    <row r="9470">
      <c r="A9470" s="311">
        <v>9469</v>
      </c>
      <c r="B9470" s="396" t="s">
        <v>17912</v>
      </c>
      <c r="C9470" s="396" t="s">
        <v>17913</v>
      </c>
      <c r="D9470" s="396" t="s">
        <v>17906</v>
      </c>
      <c r="E9470" s="396" t="s">
        <v>17907</v>
      </c>
      <c r="F9470" s="396" t="s">
        <v>17532</v>
      </c>
    </row>
    <row r="9471">
      <c r="A9471" s="311">
        <v>9470</v>
      </c>
      <c r="B9471" s="396" t="s">
        <v>17914</v>
      </c>
      <c r="C9471" s="396" t="s">
        <v>13055</v>
      </c>
      <c r="D9471" s="396" t="s">
        <v>17906</v>
      </c>
      <c r="E9471" s="396" t="s">
        <v>17907</v>
      </c>
      <c r="F9471" s="396" t="s">
        <v>17532</v>
      </c>
    </row>
    <row r="9472">
      <c r="A9472" s="311">
        <v>9471</v>
      </c>
      <c r="B9472" s="396" t="s">
        <v>17915</v>
      </c>
      <c r="C9472" s="396" t="s">
        <v>17916</v>
      </c>
      <c r="D9472" s="396" t="s">
        <v>17906</v>
      </c>
      <c r="E9472" s="396" t="s">
        <v>17907</v>
      </c>
      <c r="F9472" s="396" t="s">
        <v>17532</v>
      </c>
    </row>
    <row r="9473">
      <c r="A9473" s="311">
        <v>9472</v>
      </c>
      <c r="B9473" s="396" t="s">
        <v>17917</v>
      </c>
      <c r="C9473" s="396" t="s">
        <v>12711</v>
      </c>
      <c r="D9473" s="396" t="s">
        <v>17906</v>
      </c>
      <c r="E9473" s="396" t="s">
        <v>17907</v>
      </c>
      <c r="F9473" s="396" t="s">
        <v>17532</v>
      </c>
    </row>
    <row r="9474">
      <c r="A9474" s="311">
        <v>9473</v>
      </c>
      <c r="B9474" s="396" t="s">
        <v>17918</v>
      </c>
      <c r="C9474" s="396" t="s">
        <v>16578</v>
      </c>
      <c r="D9474" s="396" t="s">
        <v>17906</v>
      </c>
      <c r="E9474" s="396" t="s">
        <v>17907</v>
      </c>
      <c r="F9474" s="396" t="s">
        <v>17532</v>
      </c>
    </row>
    <row r="9475">
      <c r="A9475" s="311">
        <v>9474</v>
      </c>
      <c r="B9475" s="396" t="s">
        <v>17919</v>
      </c>
      <c r="C9475" s="396" t="s">
        <v>3174</v>
      </c>
      <c r="D9475" s="396" t="s">
        <v>17906</v>
      </c>
      <c r="E9475" s="396" t="s">
        <v>17907</v>
      </c>
      <c r="F9475" s="396" t="s">
        <v>17532</v>
      </c>
    </row>
    <row r="9476">
      <c r="A9476" s="311">
        <v>9475</v>
      </c>
      <c r="B9476" s="396" t="s">
        <v>17920</v>
      </c>
      <c r="C9476" s="396" t="s">
        <v>16944</v>
      </c>
      <c r="D9476" s="396" t="s">
        <v>17906</v>
      </c>
      <c r="E9476" s="396" t="s">
        <v>17907</v>
      </c>
      <c r="F9476" s="396" t="s">
        <v>17532</v>
      </c>
    </row>
    <row r="9477">
      <c r="A9477" s="311">
        <v>9476</v>
      </c>
      <c r="B9477" s="396" t="s">
        <v>17921</v>
      </c>
      <c r="C9477" s="396" t="s">
        <v>17922</v>
      </c>
      <c r="D9477" s="396" t="s">
        <v>17923</v>
      </c>
      <c r="E9477" s="396" t="s">
        <v>17924</v>
      </c>
      <c r="F9477" s="396" t="s">
        <v>17532</v>
      </c>
    </row>
    <row r="9478">
      <c r="A9478" s="311">
        <v>9477</v>
      </c>
      <c r="B9478" s="396" t="s">
        <v>17925</v>
      </c>
      <c r="C9478" s="396" t="s">
        <v>17926</v>
      </c>
      <c r="D9478" s="396" t="s">
        <v>17923</v>
      </c>
      <c r="E9478" s="396" t="s">
        <v>17924</v>
      </c>
      <c r="F9478" s="396" t="s">
        <v>17532</v>
      </c>
    </row>
    <row r="9479">
      <c r="A9479" s="311">
        <v>9478</v>
      </c>
      <c r="B9479" s="396" t="s">
        <v>17927</v>
      </c>
      <c r="C9479" s="396" t="s">
        <v>1220</v>
      </c>
      <c r="D9479" s="396" t="s">
        <v>17923</v>
      </c>
      <c r="E9479" s="396" t="s">
        <v>17924</v>
      </c>
      <c r="F9479" s="396" t="s">
        <v>17532</v>
      </c>
    </row>
    <row r="9480">
      <c r="A9480" s="311">
        <v>9479</v>
      </c>
      <c r="B9480" s="396" t="s">
        <v>17928</v>
      </c>
      <c r="C9480" s="396" t="s">
        <v>17929</v>
      </c>
      <c r="D9480" s="396" t="s">
        <v>17923</v>
      </c>
      <c r="E9480" s="396" t="s">
        <v>17924</v>
      </c>
      <c r="F9480" s="396" t="s">
        <v>17532</v>
      </c>
    </row>
    <row r="9481">
      <c r="A9481" s="311">
        <v>9480</v>
      </c>
      <c r="B9481" s="396" t="s">
        <v>17930</v>
      </c>
      <c r="C9481" s="396" t="s">
        <v>17931</v>
      </c>
      <c r="D9481" s="396" t="s">
        <v>17923</v>
      </c>
      <c r="E9481" s="396" t="s">
        <v>17924</v>
      </c>
      <c r="F9481" s="396" t="s">
        <v>17532</v>
      </c>
    </row>
    <row r="9482">
      <c r="A9482" s="311">
        <v>9481</v>
      </c>
      <c r="B9482" s="396" t="s">
        <v>17932</v>
      </c>
      <c r="C9482" s="396" t="s">
        <v>17933</v>
      </c>
      <c r="D9482" s="396" t="s">
        <v>17923</v>
      </c>
      <c r="E9482" s="396" t="s">
        <v>17924</v>
      </c>
      <c r="F9482" s="396" t="s">
        <v>17532</v>
      </c>
    </row>
    <row r="9483">
      <c r="A9483" s="311">
        <v>9482</v>
      </c>
      <c r="B9483" s="396" t="s">
        <v>17934</v>
      </c>
      <c r="C9483" s="396" t="s">
        <v>17935</v>
      </c>
      <c r="D9483" s="396" t="s">
        <v>17923</v>
      </c>
      <c r="E9483" s="396" t="s">
        <v>17924</v>
      </c>
      <c r="F9483" s="396" t="s">
        <v>17532</v>
      </c>
    </row>
    <row r="9484">
      <c r="A9484" s="311">
        <v>9483</v>
      </c>
      <c r="B9484" s="396" t="s">
        <v>17936</v>
      </c>
      <c r="C9484" s="396" t="s">
        <v>17937</v>
      </c>
      <c r="D9484" s="396" t="s">
        <v>17923</v>
      </c>
      <c r="E9484" s="396" t="s">
        <v>17924</v>
      </c>
      <c r="F9484" s="396" t="s">
        <v>17532</v>
      </c>
    </row>
    <row r="9485">
      <c r="A9485" s="311">
        <v>9484</v>
      </c>
      <c r="B9485" s="396" t="s">
        <v>17938</v>
      </c>
      <c r="C9485" s="396" t="s">
        <v>17939</v>
      </c>
      <c r="D9485" s="396" t="s">
        <v>17923</v>
      </c>
      <c r="E9485" s="396" t="s">
        <v>17924</v>
      </c>
      <c r="F9485" s="396" t="s">
        <v>17532</v>
      </c>
    </row>
    <row r="9486">
      <c r="A9486" s="311">
        <v>9485</v>
      </c>
      <c r="B9486" s="396" t="s">
        <v>17940</v>
      </c>
      <c r="C9486" s="396" t="s">
        <v>8737</v>
      </c>
      <c r="D9486" s="396" t="s">
        <v>17923</v>
      </c>
      <c r="E9486" s="396" t="s">
        <v>17924</v>
      </c>
      <c r="F9486" s="396" t="s">
        <v>17532</v>
      </c>
    </row>
    <row r="9487">
      <c r="A9487" s="311">
        <v>9486</v>
      </c>
      <c r="B9487" s="396" t="s">
        <v>17941</v>
      </c>
      <c r="C9487" s="396" t="s">
        <v>16880</v>
      </c>
      <c r="D9487" s="396" t="s">
        <v>17923</v>
      </c>
      <c r="E9487" s="396" t="s">
        <v>17924</v>
      </c>
      <c r="F9487" s="396" t="s">
        <v>17532</v>
      </c>
    </row>
    <row r="9488">
      <c r="A9488" s="311">
        <v>9487</v>
      </c>
      <c r="B9488" s="396" t="s">
        <v>17942</v>
      </c>
      <c r="C9488" s="396" t="s">
        <v>13382</v>
      </c>
      <c r="D9488" s="396" t="s">
        <v>17923</v>
      </c>
      <c r="E9488" s="396" t="s">
        <v>17924</v>
      </c>
      <c r="F9488" s="396" t="s">
        <v>17532</v>
      </c>
    </row>
    <row r="9489">
      <c r="A9489" s="311">
        <v>9488</v>
      </c>
      <c r="B9489" s="396" t="s">
        <v>17943</v>
      </c>
      <c r="C9489" s="396" t="s">
        <v>17944</v>
      </c>
      <c r="D9489" s="396" t="s">
        <v>17923</v>
      </c>
      <c r="E9489" s="396" t="s">
        <v>17924</v>
      </c>
      <c r="F9489" s="396" t="s">
        <v>17532</v>
      </c>
    </row>
    <row r="9490">
      <c r="A9490" s="311">
        <v>9489</v>
      </c>
      <c r="B9490" s="396" t="s">
        <v>17945</v>
      </c>
      <c r="C9490" s="396" t="s">
        <v>17946</v>
      </c>
      <c r="D9490" s="396" t="s">
        <v>17923</v>
      </c>
      <c r="E9490" s="396" t="s">
        <v>17924</v>
      </c>
      <c r="F9490" s="396" t="s">
        <v>17532</v>
      </c>
    </row>
    <row r="9491">
      <c r="A9491" s="311">
        <v>9490</v>
      </c>
      <c r="B9491" s="396" t="s">
        <v>17947</v>
      </c>
      <c r="C9491" s="396" t="s">
        <v>17948</v>
      </c>
      <c r="D9491" s="396" t="s">
        <v>17923</v>
      </c>
      <c r="E9491" s="396" t="s">
        <v>17924</v>
      </c>
      <c r="F9491" s="396" t="s">
        <v>17532</v>
      </c>
    </row>
    <row r="9492">
      <c r="A9492" s="311">
        <v>9491</v>
      </c>
      <c r="B9492" s="396" t="s">
        <v>17949</v>
      </c>
      <c r="C9492" s="396" t="s">
        <v>17950</v>
      </c>
      <c r="D9492" s="396" t="s">
        <v>17923</v>
      </c>
      <c r="E9492" s="396" t="s">
        <v>17924</v>
      </c>
      <c r="F9492" s="396" t="s">
        <v>17532</v>
      </c>
    </row>
    <row r="9493">
      <c r="A9493" s="311">
        <v>9492</v>
      </c>
      <c r="B9493" s="396" t="s">
        <v>17951</v>
      </c>
      <c r="C9493" s="396" t="s">
        <v>1161</v>
      </c>
      <c r="D9493" s="396" t="s">
        <v>17923</v>
      </c>
      <c r="E9493" s="396" t="s">
        <v>17924</v>
      </c>
      <c r="F9493" s="396" t="s">
        <v>17532</v>
      </c>
    </row>
    <row r="9494">
      <c r="A9494" s="311">
        <v>9493</v>
      </c>
      <c r="B9494" s="396" t="s">
        <v>17952</v>
      </c>
      <c r="C9494" s="396" t="s">
        <v>17953</v>
      </c>
      <c r="D9494" s="396" t="s">
        <v>17923</v>
      </c>
      <c r="E9494" s="396" t="s">
        <v>17924</v>
      </c>
      <c r="F9494" s="396" t="s">
        <v>17532</v>
      </c>
    </row>
    <row r="9495">
      <c r="A9495" s="311">
        <v>9494</v>
      </c>
      <c r="B9495" s="396" t="s">
        <v>17954</v>
      </c>
      <c r="C9495" s="396" t="s">
        <v>13689</v>
      </c>
      <c r="D9495" s="396" t="s">
        <v>17923</v>
      </c>
      <c r="E9495" s="396" t="s">
        <v>17924</v>
      </c>
      <c r="F9495" s="396" t="s">
        <v>17532</v>
      </c>
    </row>
    <row r="9496">
      <c r="A9496" s="311">
        <v>9495</v>
      </c>
      <c r="B9496" s="396" t="s">
        <v>17955</v>
      </c>
      <c r="C9496" s="396" t="s">
        <v>17956</v>
      </c>
      <c r="D9496" s="396" t="s">
        <v>17923</v>
      </c>
      <c r="E9496" s="396" t="s">
        <v>17924</v>
      </c>
      <c r="F9496" s="396" t="s">
        <v>17532</v>
      </c>
    </row>
    <row r="9497">
      <c r="A9497" s="311">
        <v>9496</v>
      </c>
      <c r="B9497" s="396" t="s">
        <v>17957</v>
      </c>
      <c r="C9497" s="396" t="s">
        <v>17958</v>
      </c>
      <c r="D9497" s="396" t="s">
        <v>17923</v>
      </c>
      <c r="E9497" s="396" t="s">
        <v>17924</v>
      </c>
      <c r="F9497" s="396" t="s">
        <v>17532</v>
      </c>
    </row>
    <row r="9498">
      <c r="A9498" s="311">
        <v>9497</v>
      </c>
      <c r="B9498" s="396" t="s">
        <v>17959</v>
      </c>
      <c r="C9498" s="396" t="s">
        <v>17960</v>
      </c>
      <c r="D9498" s="396" t="s">
        <v>17961</v>
      </c>
      <c r="E9498" s="396" t="s">
        <v>17962</v>
      </c>
      <c r="F9498" s="396" t="s">
        <v>17532</v>
      </c>
    </row>
    <row r="9499">
      <c r="A9499" s="311">
        <v>9498</v>
      </c>
      <c r="B9499" s="396" t="s">
        <v>17963</v>
      </c>
      <c r="C9499" s="396" t="s">
        <v>5732</v>
      </c>
      <c r="D9499" s="396" t="s">
        <v>17961</v>
      </c>
      <c r="E9499" s="396" t="s">
        <v>17962</v>
      </c>
      <c r="F9499" s="396" t="s">
        <v>17532</v>
      </c>
    </row>
    <row r="9500">
      <c r="A9500" s="311">
        <v>9499</v>
      </c>
      <c r="B9500" s="396" t="s">
        <v>17964</v>
      </c>
      <c r="C9500" s="396" t="s">
        <v>17965</v>
      </c>
      <c r="D9500" s="396" t="s">
        <v>17961</v>
      </c>
      <c r="E9500" s="396" t="s">
        <v>17962</v>
      </c>
      <c r="F9500" s="396" t="s">
        <v>17532</v>
      </c>
    </row>
    <row r="9501">
      <c r="A9501" s="311">
        <v>9500</v>
      </c>
      <c r="B9501" s="396" t="s">
        <v>17966</v>
      </c>
      <c r="C9501" s="396" t="s">
        <v>17967</v>
      </c>
      <c r="D9501" s="396" t="s">
        <v>17961</v>
      </c>
      <c r="E9501" s="396" t="s">
        <v>17962</v>
      </c>
      <c r="F9501" s="396" t="s">
        <v>17532</v>
      </c>
    </row>
    <row r="9502">
      <c r="A9502" s="311">
        <v>9501</v>
      </c>
      <c r="B9502" s="396" t="s">
        <v>17968</v>
      </c>
      <c r="C9502" s="396" t="s">
        <v>17969</v>
      </c>
      <c r="D9502" s="396" t="s">
        <v>17961</v>
      </c>
      <c r="E9502" s="396" t="s">
        <v>17962</v>
      </c>
      <c r="F9502" s="396" t="s">
        <v>17532</v>
      </c>
    </row>
    <row r="9503">
      <c r="A9503" s="311">
        <v>9502</v>
      </c>
      <c r="B9503" s="396" t="s">
        <v>17970</v>
      </c>
      <c r="C9503" s="396" t="s">
        <v>17971</v>
      </c>
      <c r="D9503" s="396" t="s">
        <v>17961</v>
      </c>
      <c r="E9503" s="396" t="s">
        <v>17962</v>
      </c>
      <c r="F9503" s="396" t="s">
        <v>17532</v>
      </c>
    </row>
    <row r="9504">
      <c r="A9504" s="311">
        <v>9503</v>
      </c>
      <c r="B9504" s="396" t="s">
        <v>17972</v>
      </c>
      <c r="C9504" s="396" t="s">
        <v>17973</v>
      </c>
      <c r="D9504" s="396" t="s">
        <v>17961</v>
      </c>
      <c r="E9504" s="396" t="s">
        <v>17962</v>
      </c>
      <c r="F9504" s="396" t="s">
        <v>17532</v>
      </c>
    </row>
    <row r="9505">
      <c r="A9505" s="311">
        <v>9504</v>
      </c>
      <c r="B9505" s="396" t="s">
        <v>17974</v>
      </c>
      <c r="C9505" s="396" t="s">
        <v>3815</v>
      </c>
      <c r="D9505" s="396" t="s">
        <v>17961</v>
      </c>
      <c r="E9505" s="396" t="s">
        <v>17962</v>
      </c>
      <c r="F9505" s="396" t="s">
        <v>17532</v>
      </c>
    </row>
    <row r="9506">
      <c r="A9506" s="311">
        <v>9505</v>
      </c>
      <c r="B9506" s="396" t="s">
        <v>17975</v>
      </c>
      <c r="C9506" s="396" t="s">
        <v>17976</v>
      </c>
      <c r="D9506" s="396" t="s">
        <v>17961</v>
      </c>
      <c r="E9506" s="396" t="s">
        <v>17962</v>
      </c>
      <c r="F9506" s="396" t="s">
        <v>17532</v>
      </c>
    </row>
    <row r="9507">
      <c r="A9507" s="311">
        <v>9506</v>
      </c>
      <c r="B9507" s="396" t="s">
        <v>17977</v>
      </c>
      <c r="C9507" s="396" t="s">
        <v>17978</v>
      </c>
      <c r="D9507" s="396" t="s">
        <v>17961</v>
      </c>
      <c r="E9507" s="396" t="s">
        <v>17962</v>
      </c>
      <c r="F9507" s="396" t="s">
        <v>17532</v>
      </c>
    </row>
    <row r="9508">
      <c r="A9508" s="311">
        <v>9507</v>
      </c>
      <c r="B9508" s="396" t="s">
        <v>17979</v>
      </c>
      <c r="C9508" s="396" t="s">
        <v>17980</v>
      </c>
      <c r="D9508" s="396" t="s">
        <v>17961</v>
      </c>
      <c r="E9508" s="396" t="s">
        <v>17962</v>
      </c>
      <c r="F9508" s="396" t="s">
        <v>17532</v>
      </c>
    </row>
    <row r="9509">
      <c r="A9509" s="311">
        <v>9508</v>
      </c>
      <c r="B9509" s="396" t="s">
        <v>17981</v>
      </c>
      <c r="C9509" s="396" t="s">
        <v>17982</v>
      </c>
      <c r="D9509" s="396" t="s">
        <v>17961</v>
      </c>
      <c r="E9509" s="396" t="s">
        <v>17962</v>
      </c>
      <c r="F9509" s="396" t="s">
        <v>17532</v>
      </c>
    </row>
    <row r="9510">
      <c r="A9510" s="311">
        <v>9509</v>
      </c>
      <c r="B9510" s="396" t="s">
        <v>17983</v>
      </c>
      <c r="C9510" s="396" t="s">
        <v>17984</v>
      </c>
      <c r="D9510" s="396" t="s">
        <v>17985</v>
      </c>
      <c r="E9510" s="396" t="s">
        <v>17986</v>
      </c>
      <c r="F9510" s="396" t="s">
        <v>17532</v>
      </c>
    </row>
    <row r="9511">
      <c r="A9511" s="311">
        <v>9510</v>
      </c>
      <c r="B9511" s="396" t="s">
        <v>17987</v>
      </c>
      <c r="C9511" s="396" t="s">
        <v>17988</v>
      </c>
      <c r="D9511" s="396" t="s">
        <v>17985</v>
      </c>
      <c r="E9511" s="396" t="s">
        <v>17986</v>
      </c>
      <c r="F9511" s="396" t="s">
        <v>17532</v>
      </c>
    </row>
    <row r="9512">
      <c r="A9512" s="311">
        <v>9511</v>
      </c>
      <c r="B9512" s="396" t="s">
        <v>17989</v>
      </c>
      <c r="C9512" s="396" t="s">
        <v>17990</v>
      </c>
      <c r="D9512" s="396" t="s">
        <v>17985</v>
      </c>
      <c r="E9512" s="396" t="s">
        <v>17986</v>
      </c>
      <c r="F9512" s="396" t="s">
        <v>17532</v>
      </c>
    </row>
    <row r="9513">
      <c r="A9513" s="311">
        <v>9512</v>
      </c>
      <c r="B9513" s="396" t="s">
        <v>17991</v>
      </c>
      <c r="C9513" s="396" t="s">
        <v>17992</v>
      </c>
      <c r="D9513" s="396" t="s">
        <v>17985</v>
      </c>
      <c r="E9513" s="396" t="s">
        <v>17986</v>
      </c>
      <c r="F9513" s="396" t="s">
        <v>17532</v>
      </c>
    </row>
    <row r="9514">
      <c r="A9514" s="311">
        <v>9513</v>
      </c>
      <c r="B9514" s="396" t="s">
        <v>17993</v>
      </c>
      <c r="C9514" s="396" t="s">
        <v>17208</v>
      </c>
      <c r="D9514" s="396" t="s">
        <v>17985</v>
      </c>
      <c r="E9514" s="396" t="s">
        <v>17986</v>
      </c>
      <c r="F9514" s="396" t="s">
        <v>17532</v>
      </c>
    </row>
    <row r="9515">
      <c r="A9515" s="311">
        <v>9514</v>
      </c>
      <c r="B9515" s="396" t="s">
        <v>17994</v>
      </c>
      <c r="C9515" s="396" t="s">
        <v>17995</v>
      </c>
      <c r="D9515" s="396" t="s">
        <v>17985</v>
      </c>
      <c r="E9515" s="396" t="s">
        <v>17986</v>
      </c>
      <c r="F9515" s="396" t="s">
        <v>17532</v>
      </c>
    </row>
    <row r="9516">
      <c r="A9516" s="311">
        <v>9515</v>
      </c>
      <c r="B9516" s="396" t="s">
        <v>17996</v>
      </c>
      <c r="C9516" s="396" t="s">
        <v>17997</v>
      </c>
      <c r="D9516" s="396" t="s">
        <v>17985</v>
      </c>
      <c r="E9516" s="396" t="s">
        <v>17986</v>
      </c>
      <c r="F9516" s="396" t="s">
        <v>17532</v>
      </c>
    </row>
    <row r="9517">
      <c r="A9517" s="311">
        <v>9516</v>
      </c>
      <c r="B9517" s="396" t="s">
        <v>17998</v>
      </c>
      <c r="C9517" s="396" t="s">
        <v>17999</v>
      </c>
      <c r="D9517" s="396" t="s">
        <v>17985</v>
      </c>
      <c r="E9517" s="396" t="s">
        <v>17986</v>
      </c>
      <c r="F9517" s="396" t="s">
        <v>17532</v>
      </c>
    </row>
    <row r="9518">
      <c r="A9518" s="311">
        <v>9517</v>
      </c>
      <c r="B9518" s="396" t="s">
        <v>18000</v>
      </c>
      <c r="C9518" s="396" t="s">
        <v>18001</v>
      </c>
      <c r="D9518" s="396" t="s">
        <v>17985</v>
      </c>
      <c r="E9518" s="396" t="s">
        <v>17986</v>
      </c>
      <c r="F9518" s="396" t="s">
        <v>17532</v>
      </c>
    </row>
    <row r="9519">
      <c r="A9519" s="311">
        <v>9518</v>
      </c>
      <c r="B9519" s="396" t="s">
        <v>18002</v>
      </c>
      <c r="C9519" s="396" t="s">
        <v>4380</v>
      </c>
      <c r="D9519" s="396" t="s">
        <v>17985</v>
      </c>
      <c r="E9519" s="396" t="s">
        <v>17986</v>
      </c>
      <c r="F9519" s="396" t="s">
        <v>17532</v>
      </c>
    </row>
    <row r="9520">
      <c r="A9520" s="311">
        <v>9519</v>
      </c>
      <c r="B9520" s="396" t="s">
        <v>18003</v>
      </c>
      <c r="C9520" s="396" t="s">
        <v>18004</v>
      </c>
      <c r="D9520" s="396" t="s">
        <v>17985</v>
      </c>
      <c r="E9520" s="396" t="s">
        <v>17986</v>
      </c>
      <c r="F9520" s="396" t="s">
        <v>17532</v>
      </c>
    </row>
    <row r="9521">
      <c r="A9521" s="311">
        <v>9520</v>
      </c>
      <c r="B9521" s="396" t="s">
        <v>18005</v>
      </c>
      <c r="C9521" s="396" t="s">
        <v>6388</v>
      </c>
      <c r="D9521" s="396" t="s">
        <v>17985</v>
      </c>
      <c r="E9521" s="396" t="s">
        <v>17986</v>
      </c>
      <c r="F9521" s="396" t="s">
        <v>17532</v>
      </c>
    </row>
    <row r="9522">
      <c r="A9522" s="311">
        <v>9521</v>
      </c>
      <c r="B9522" s="396" t="s">
        <v>18006</v>
      </c>
      <c r="C9522" s="396" t="s">
        <v>18007</v>
      </c>
      <c r="D9522" s="396" t="s">
        <v>17985</v>
      </c>
      <c r="E9522" s="396" t="s">
        <v>17986</v>
      </c>
      <c r="F9522" s="396" t="s">
        <v>17532</v>
      </c>
    </row>
    <row r="9523">
      <c r="A9523" s="311">
        <v>9522</v>
      </c>
      <c r="B9523" s="396" t="s">
        <v>18008</v>
      </c>
      <c r="C9523" s="396" t="s">
        <v>18009</v>
      </c>
      <c r="D9523" s="396" t="s">
        <v>17985</v>
      </c>
      <c r="E9523" s="396" t="s">
        <v>17986</v>
      </c>
      <c r="F9523" s="396" t="s">
        <v>17532</v>
      </c>
    </row>
    <row r="9524">
      <c r="A9524" s="311">
        <v>9523</v>
      </c>
      <c r="B9524" s="396" t="s">
        <v>18010</v>
      </c>
      <c r="C9524" s="396" t="s">
        <v>13451</v>
      </c>
      <c r="D9524" s="396" t="s">
        <v>17985</v>
      </c>
      <c r="E9524" s="396" t="s">
        <v>17986</v>
      </c>
      <c r="F9524" s="396" t="s">
        <v>17532</v>
      </c>
    </row>
    <row r="9525">
      <c r="A9525" s="311">
        <v>9524</v>
      </c>
      <c r="B9525" s="396" t="s">
        <v>18011</v>
      </c>
      <c r="C9525" s="396" t="s">
        <v>18012</v>
      </c>
      <c r="D9525" s="396" t="s">
        <v>17985</v>
      </c>
      <c r="E9525" s="396" t="s">
        <v>17986</v>
      </c>
      <c r="F9525" s="396" t="s">
        <v>17532</v>
      </c>
    </row>
    <row r="9526">
      <c r="A9526" s="311">
        <v>9525</v>
      </c>
      <c r="B9526" s="396" t="s">
        <v>18013</v>
      </c>
      <c r="C9526" s="396" t="s">
        <v>18014</v>
      </c>
      <c r="D9526" s="396" t="s">
        <v>18015</v>
      </c>
      <c r="E9526" s="396" t="s">
        <v>18016</v>
      </c>
      <c r="F9526" s="396" t="s">
        <v>17532</v>
      </c>
    </row>
    <row r="9527">
      <c r="A9527" s="311">
        <v>9526</v>
      </c>
      <c r="B9527" s="396" t="s">
        <v>18017</v>
      </c>
      <c r="C9527" s="396" t="s">
        <v>18018</v>
      </c>
      <c r="D9527" s="396" t="s">
        <v>18015</v>
      </c>
      <c r="E9527" s="396" t="s">
        <v>18016</v>
      </c>
      <c r="F9527" s="396" t="s">
        <v>17532</v>
      </c>
    </row>
    <row r="9528">
      <c r="A9528" s="311">
        <v>9527</v>
      </c>
      <c r="B9528" s="396" t="s">
        <v>18019</v>
      </c>
      <c r="C9528" s="396" t="s">
        <v>13398</v>
      </c>
      <c r="D9528" s="396" t="s">
        <v>18015</v>
      </c>
      <c r="E9528" s="396" t="s">
        <v>18016</v>
      </c>
      <c r="F9528" s="396" t="s">
        <v>17532</v>
      </c>
    </row>
    <row r="9529">
      <c r="A9529" s="311">
        <v>9528</v>
      </c>
      <c r="B9529" s="396" t="s">
        <v>18020</v>
      </c>
      <c r="C9529" s="396" t="s">
        <v>18021</v>
      </c>
      <c r="D9529" s="396" t="s">
        <v>18015</v>
      </c>
      <c r="E9529" s="396" t="s">
        <v>18016</v>
      </c>
      <c r="F9529" s="396" t="s">
        <v>17532</v>
      </c>
    </row>
    <row r="9530">
      <c r="A9530" s="311">
        <v>9529</v>
      </c>
      <c r="B9530" s="396" t="s">
        <v>18022</v>
      </c>
      <c r="C9530" s="396" t="s">
        <v>6770</v>
      </c>
      <c r="D9530" s="396" t="s">
        <v>18015</v>
      </c>
      <c r="E9530" s="396" t="s">
        <v>18016</v>
      </c>
      <c r="F9530" s="396" t="s">
        <v>17532</v>
      </c>
    </row>
    <row r="9531">
      <c r="A9531" s="311">
        <v>9530</v>
      </c>
      <c r="B9531" s="396" t="s">
        <v>18023</v>
      </c>
      <c r="C9531" s="396" t="s">
        <v>18024</v>
      </c>
      <c r="D9531" s="396" t="s">
        <v>18015</v>
      </c>
      <c r="E9531" s="396" t="s">
        <v>18016</v>
      </c>
      <c r="F9531" s="396" t="s">
        <v>17532</v>
      </c>
    </row>
    <row r="9532">
      <c r="A9532" s="311">
        <v>9531</v>
      </c>
      <c r="B9532" s="396" t="s">
        <v>18025</v>
      </c>
      <c r="C9532" s="396" t="s">
        <v>17372</v>
      </c>
      <c r="D9532" s="396" t="s">
        <v>18015</v>
      </c>
      <c r="E9532" s="396" t="s">
        <v>18016</v>
      </c>
      <c r="F9532" s="396" t="s">
        <v>17532</v>
      </c>
    </row>
    <row r="9533">
      <c r="A9533" s="311">
        <v>9532</v>
      </c>
      <c r="B9533" s="396" t="s">
        <v>18026</v>
      </c>
      <c r="C9533" s="396" t="s">
        <v>18027</v>
      </c>
      <c r="D9533" s="396" t="s">
        <v>18028</v>
      </c>
      <c r="E9533" s="396" t="s">
        <v>18029</v>
      </c>
      <c r="F9533" s="396" t="s">
        <v>17532</v>
      </c>
    </row>
    <row r="9534">
      <c r="A9534" s="311">
        <v>9533</v>
      </c>
      <c r="B9534" s="396" t="s">
        <v>18030</v>
      </c>
      <c r="C9534" s="396" t="s">
        <v>18031</v>
      </c>
      <c r="D9534" s="396" t="s">
        <v>18028</v>
      </c>
      <c r="E9534" s="396" t="s">
        <v>18029</v>
      </c>
      <c r="F9534" s="396" t="s">
        <v>17532</v>
      </c>
    </row>
    <row r="9535">
      <c r="A9535" s="311">
        <v>9534</v>
      </c>
      <c r="B9535" s="396" t="s">
        <v>18032</v>
      </c>
      <c r="C9535" s="396" t="s">
        <v>18033</v>
      </c>
      <c r="D9535" s="396" t="s">
        <v>18028</v>
      </c>
      <c r="E9535" s="396" t="s">
        <v>18029</v>
      </c>
      <c r="F9535" s="396" t="s">
        <v>17532</v>
      </c>
    </row>
    <row r="9536">
      <c r="A9536" s="311">
        <v>9535</v>
      </c>
      <c r="B9536" s="396" t="s">
        <v>18034</v>
      </c>
      <c r="C9536" s="396" t="s">
        <v>18035</v>
      </c>
      <c r="D9536" s="396" t="s">
        <v>18028</v>
      </c>
      <c r="E9536" s="396" t="s">
        <v>18029</v>
      </c>
      <c r="F9536" s="396" t="s">
        <v>17532</v>
      </c>
    </row>
    <row r="9537">
      <c r="A9537" s="311">
        <v>9536</v>
      </c>
      <c r="B9537" s="396" t="s">
        <v>18036</v>
      </c>
      <c r="C9537" s="396" t="s">
        <v>18037</v>
      </c>
      <c r="D9537" s="396" t="s">
        <v>18028</v>
      </c>
      <c r="E9537" s="396" t="s">
        <v>18029</v>
      </c>
      <c r="F9537" s="396" t="s">
        <v>17532</v>
      </c>
    </row>
    <row r="9538">
      <c r="A9538" s="311">
        <v>9537</v>
      </c>
      <c r="B9538" s="396" t="s">
        <v>18038</v>
      </c>
      <c r="C9538" s="396" t="s">
        <v>16979</v>
      </c>
      <c r="D9538" s="396" t="s">
        <v>18028</v>
      </c>
      <c r="E9538" s="396" t="s">
        <v>18029</v>
      </c>
      <c r="F9538" s="396" t="s">
        <v>17532</v>
      </c>
    </row>
    <row r="9539">
      <c r="A9539" s="311">
        <v>9538</v>
      </c>
      <c r="B9539" s="396" t="s">
        <v>18039</v>
      </c>
      <c r="C9539" s="396" t="s">
        <v>18040</v>
      </c>
      <c r="D9539" s="396" t="s">
        <v>18028</v>
      </c>
      <c r="E9539" s="396" t="s">
        <v>18029</v>
      </c>
      <c r="F9539" s="396" t="s">
        <v>17532</v>
      </c>
    </row>
    <row r="9540">
      <c r="A9540" s="311">
        <v>9539</v>
      </c>
      <c r="B9540" s="396" t="s">
        <v>18041</v>
      </c>
      <c r="C9540" s="396" t="s">
        <v>12451</v>
      </c>
      <c r="D9540" s="396" t="s">
        <v>18042</v>
      </c>
      <c r="E9540" s="396" t="s">
        <v>18043</v>
      </c>
      <c r="F9540" s="396" t="s">
        <v>18044</v>
      </c>
    </row>
    <row r="9541">
      <c r="A9541" s="311">
        <v>9540</v>
      </c>
      <c r="B9541" s="396" t="s">
        <v>18045</v>
      </c>
      <c r="C9541" s="396" t="s">
        <v>12447</v>
      </c>
      <c r="D9541" s="396" t="s">
        <v>18042</v>
      </c>
      <c r="E9541" s="396" t="s">
        <v>18043</v>
      </c>
      <c r="F9541" s="396" t="s">
        <v>18044</v>
      </c>
    </row>
    <row r="9542">
      <c r="A9542" s="311">
        <v>9541</v>
      </c>
      <c r="B9542" s="396" t="s">
        <v>18046</v>
      </c>
      <c r="C9542" s="396" t="s">
        <v>12449</v>
      </c>
      <c r="D9542" s="396" t="s">
        <v>18042</v>
      </c>
      <c r="E9542" s="396" t="s">
        <v>18043</v>
      </c>
      <c r="F9542" s="396" t="s">
        <v>18044</v>
      </c>
    </row>
    <row r="9543">
      <c r="A9543" s="311">
        <v>9542</v>
      </c>
      <c r="B9543" s="396" t="s">
        <v>18047</v>
      </c>
      <c r="C9543" s="396" t="s">
        <v>18048</v>
      </c>
      <c r="D9543" s="396" t="s">
        <v>18042</v>
      </c>
      <c r="E9543" s="396" t="s">
        <v>18043</v>
      </c>
      <c r="F9543" s="396" t="s">
        <v>18044</v>
      </c>
    </row>
    <row r="9544">
      <c r="A9544" s="311">
        <v>9543</v>
      </c>
      <c r="B9544" s="396" t="s">
        <v>18049</v>
      </c>
      <c r="C9544" s="396" t="s">
        <v>12441</v>
      </c>
      <c r="D9544" s="396" t="s">
        <v>18042</v>
      </c>
      <c r="E9544" s="396" t="s">
        <v>18043</v>
      </c>
      <c r="F9544" s="396" t="s">
        <v>18044</v>
      </c>
    </row>
    <row r="9545">
      <c r="A9545" s="311">
        <v>9544</v>
      </c>
      <c r="B9545" s="396" t="s">
        <v>18050</v>
      </c>
      <c r="C9545" s="396" t="s">
        <v>12455</v>
      </c>
      <c r="D9545" s="396" t="s">
        <v>18042</v>
      </c>
      <c r="E9545" s="396" t="s">
        <v>18043</v>
      </c>
      <c r="F9545" s="396" t="s">
        <v>18044</v>
      </c>
    </row>
    <row r="9546">
      <c r="A9546" s="311">
        <v>9545</v>
      </c>
      <c r="B9546" s="396" t="s">
        <v>18051</v>
      </c>
      <c r="C9546" s="396" t="s">
        <v>14278</v>
      </c>
      <c r="D9546" s="396" t="s">
        <v>18042</v>
      </c>
      <c r="E9546" s="396" t="s">
        <v>18043</v>
      </c>
      <c r="F9546" s="396" t="s">
        <v>18044</v>
      </c>
    </row>
    <row r="9547">
      <c r="A9547" s="311">
        <v>9546</v>
      </c>
      <c r="B9547" s="396" t="s">
        <v>18052</v>
      </c>
      <c r="C9547" s="396" t="s">
        <v>14280</v>
      </c>
      <c r="D9547" s="396" t="s">
        <v>18042</v>
      </c>
      <c r="E9547" s="396" t="s">
        <v>18043</v>
      </c>
      <c r="F9547" s="396" t="s">
        <v>18044</v>
      </c>
    </row>
    <row r="9548">
      <c r="A9548" s="311">
        <v>9547</v>
      </c>
      <c r="B9548" s="396" t="s">
        <v>18053</v>
      </c>
      <c r="C9548" s="396" t="s">
        <v>18054</v>
      </c>
      <c r="D9548" s="396" t="s">
        <v>18042</v>
      </c>
      <c r="E9548" s="396" t="s">
        <v>18043</v>
      </c>
      <c r="F9548" s="396" t="s">
        <v>18044</v>
      </c>
    </row>
    <row r="9549">
      <c r="A9549" s="311">
        <v>9548</v>
      </c>
      <c r="B9549" s="396" t="s">
        <v>18055</v>
      </c>
      <c r="C9549" s="396" t="s">
        <v>18056</v>
      </c>
      <c r="D9549" s="396" t="s">
        <v>18042</v>
      </c>
      <c r="E9549" s="396" t="s">
        <v>18043</v>
      </c>
      <c r="F9549" s="396" t="s">
        <v>18044</v>
      </c>
    </row>
    <row r="9550">
      <c r="A9550" s="311">
        <v>9549</v>
      </c>
      <c r="B9550" s="396" t="s">
        <v>18057</v>
      </c>
      <c r="C9550" s="396" t="s">
        <v>18058</v>
      </c>
      <c r="D9550" s="396" t="s">
        <v>18042</v>
      </c>
      <c r="E9550" s="396" t="s">
        <v>18043</v>
      </c>
      <c r="F9550" s="396" t="s">
        <v>18044</v>
      </c>
    </row>
    <row r="9551">
      <c r="A9551" s="311">
        <v>9550</v>
      </c>
      <c r="B9551" s="396" t="s">
        <v>18059</v>
      </c>
      <c r="C9551" s="396" t="s">
        <v>18060</v>
      </c>
      <c r="D9551" s="396" t="s">
        <v>18042</v>
      </c>
      <c r="E9551" s="396" t="s">
        <v>18043</v>
      </c>
      <c r="F9551" s="396" t="s">
        <v>18044</v>
      </c>
    </row>
    <row r="9552">
      <c r="A9552" s="311">
        <v>9551</v>
      </c>
      <c r="B9552" s="396" t="s">
        <v>18061</v>
      </c>
      <c r="C9552" s="396" t="s">
        <v>18062</v>
      </c>
      <c r="D9552" s="396" t="s">
        <v>18042</v>
      </c>
      <c r="E9552" s="396" t="s">
        <v>18043</v>
      </c>
      <c r="F9552" s="396" t="s">
        <v>18044</v>
      </c>
    </row>
    <row r="9553">
      <c r="A9553" s="311">
        <v>9552</v>
      </c>
      <c r="B9553" s="396" t="s">
        <v>18063</v>
      </c>
      <c r="C9553" s="396" t="s">
        <v>18064</v>
      </c>
      <c r="D9553" s="396" t="s">
        <v>18042</v>
      </c>
      <c r="E9553" s="396" t="s">
        <v>18043</v>
      </c>
      <c r="F9553" s="396" t="s">
        <v>18044</v>
      </c>
    </row>
    <row r="9554">
      <c r="A9554" s="311">
        <v>9553</v>
      </c>
      <c r="B9554" s="396" t="s">
        <v>18065</v>
      </c>
      <c r="C9554" s="396" t="s">
        <v>12441</v>
      </c>
      <c r="D9554" s="396" t="s">
        <v>18066</v>
      </c>
      <c r="E9554" s="396" t="s">
        <v>18067</v>
      </c>
      <c r="F9554" s="396" t="s">
        <v>18044</v>
      </c>
    </row>
    <row r="9555">
      <c r="A9555" s="311">
        <v>9554</v>
      </c>
      <c r="B9555" s="396" t="s">
        <v>18068</v>
      </c>
      <c r="C9555" s="396" t="s">
        <v>12447</v>
      </c>
      <c r="D9555" s="396" t="s">
        <v>18066</v>
      </c>
      <c r="E9555" s="396" t="s">
        <v>18067</v>
      </c>
      <c r="F9555" s="396" t="s">
        <v>18044</v>
      </c>
    </row>
    <row r="9556">
      <c r="A9556" s="311">
        <v>9555</v>
      </c>
      <c r="B9556" s="396" t="s">
        <v>18069</v>
      </c>
      <c r="C9556" s="396" t="s">
        <v>18070</v>
      </c>
      <c r="D9556" s="396" t="s">
        <v>18066</v>
      </c>
      <c r="E9556" s="396" t="s">
        <v>18067</v>
      </c>
      <c r="F9556" s="396" t="s">
        <v>18044</v>
      </c>
    </row>
    <row r="9557">
      <c r="A9557" s="311">
        <v>9556</v>
      </c>
      <c r="B9557" s="396" t="s">
        <v>18071</v>
      </c>
      <c r="C9557" s="396" t="s">
        <v>13687</v>
      </c>
      <c r="D9557" s="396" t="s">
        <v>18066</v>
      </c>
      <c r="E9557" s="396" t="s">
        <v>18067</v>
      </c>
      <c r="F9557" s="396" t="s">
        <v>18044</v>
      </c>
    </row>
    <row r="9558">
      <c r="A9558" s="311">
        <v>9557</v>
      </c>
      <c r="B9558" s="396" t="s">
        <v>18072</v>
      </c>
      <c r="C9558" s="396" t="s">
        <v>13691</v>
      </c>
      <c r="D9558" s="396" t="s">
        <v>18066</v>
      </c>
      <c r="E9558" s="396" t="s">
        <v>18067</v>
      </c>
      <c r="F9558" s="396" t="s">
        <v>18044</v>
      </c>
    </row>
    <row r="9559">
      <c r="A9559" s="311">
        <v>9558</v>
      </c>
      <c r="B9559" s="396" t="s">
        <v>18073</v>
      </c>
      <c r="C9559" s="396" t="s">
        <v>18074</v>
      </c>
      <c r="D9559" s="396" t="s">
        <v>18066</v>
      </c>
      <c r="E9559" s="396" t="s">
        <v>18067</v>
      </c>
      <c r="F9559" s="396" t="s">
        <v>18044</v>
      </c>
    </row>
    <row r="9560">
      <c r="A9560" s="311">
        <v>9559</v>
      </c>
      <c r="B9560" s="396" t="s">
        <v>18075</v>
      </c>
      <c r="C9560" s="396" t="s">
        <v>12455</v>
      </c>
      <c r="D9560" s="396" t="s">
        <v>18066</v>
      </c>
      <c r="E9560" s="396" t="s">
        <v>18067</v>
      </c>
      <c r="F9560" s="396" t="s">
        <v>18044</v>
      </c>
    </row>
    <row r="9561">
      <c r="A9561" s="311">
        <v>9560</v>
      </c>
      <c r="B9561" s="396" t="s">
        <v>18076</v>
      </c>
      <c r="C9561" s="396" t="s">
        <v>18077</v>
      </c>
      <c r="D9561" s="396" t="s">
        <v>18066</v>
      </c>
      <c r="E9561" s="396" t="s">
        <v>18067</v>
      </c>
      <c r="F9561" s="396" t="s">
        <v>18044</v>
      </c>
    </row>
    <row r="9562">
      <c r="A9562" s="311">
        <v>9561</v>
      </c>
      <c r="B9562" s="396" t="s">
        <v>18078</v>
      </c>
      <c r="C9562" s="396" t="s">
        <v>18079</v>
      </c>
      <c r="D9562" s="396" t="s">
        <v>18080</v>
      </c>
      <c r="E9562" s="396" t="s">
        <v>18081</v>
      </c>
      <c r="F9562" s="396" t="s">
        <v>18044</v>
      </c>
    </row>
    <row r="9563">
      <c r="A9563" s="311">
        <v>9562</v>
      </c>
      <c r="B9563" s="396" t="s">
        <v>18082</v>
      </c>
      <c r="C9563" s="396" t="s">
        <v>18083</v>
      </c>
      <c r="D9563" s="396" t="s">
        <v>18080</v>
      </c>
      <c r="E9563" s="396" t="s">
        <v>18081</v>
      </c>
      <c r="F9563" s="396" t="s">
        <v>18044</v>
      </c>
    </row>
    <row r="9564">
      <c r="A9564" s="311">
        <v>9563</v>
      </c>
      <c r="B9564" s="396" t="s">
        <v>18084</v>
      </c>
      <c r="C9564" s="396" t="s">
        <v>18085</v>
      </c>
      <c r="D9564" s="396" t="s">
        <v>18080</v>
      </c>
      <c r="E9564" s="396" t="s">
        <v>18081</v>
      </c>
      <c r="F9564" s="396" t="s">
        <v>18044</v>
      </c>
    </row>
    <row r="9565">
      <c r="A9565" s="311">
        <v>9564</v>
      </c>
      <c r="B9565" s="396" t="s">
        <v>18086</v>
      </c>
      <c r="C9565" s="396" t="s">
        <v>18087</v>
      </c>
      <c r="D9565" s="396" t="s">
        <v>18080</v>
      </c>
      <c r="E9565" s="396" t="s">
        <v>18081</v>
      </c>
      <c r="F9565" s="396" t="s">
        <v>18044</v>
      </c>
    </row>
    <row r="9566">
      <c r="A9566" s="311">
        <v>9565</v>
      </c>
      <c r="B9566" s="396" t="s">
        <v>18088</v>
      </c>
      <c r="C9566" s="396" t="s">
        <v>18077</v>
      </c>
      <c r="D9566" s="396" t="s">
        <v>18080</v>
      </c>
      <c r="E9566" s="396" t="s">
        <v>18081</v>
      </c>
      <c r="F9566" s="396" t="s">
        <v>18044</v>
      </c>
    </row>
    <row r="9567">
      <c r="A9567" s="311">
        <v>9566</v>
      </c>
      <c r="B9567" s="396" t="s">
        <v>18089</v>
      </c>
      <c r="C9567" s="396" t="s">
        <v>18090</v>
      </c>
      <c r="D9567" s="396" t="s">
        <v>18080</v>
      </c>
      <c r="E9567" s="396" t="s">
        <v>18081</v>
      </c>
      <c r="F9567" s="396" t="s">
        <v>18044</v>
      </c>
    </row>
    <row r="9568">
      <c r="A9568" s="311">
        <v>9567</v>
      </c>
      <c r="B9568" s="396" t="s">
        <v>18091</v>
      </c>
      <c r="C9568" s="396" t="s">
        <v>14524</v>
      </c>
      <c r="D9568" s="396" t="s">
        <v>18080</v>
      </c>
      <c r="E9568" s="396" t="s">
        <v>18081</v>
      </c>
      <c r="F9568" s="396" t="s">
        <v>18044</v>
      </c>
    </row>
    <row r="9569">
      <c r="A9569" s="311">
        <v>9568</v>
      </c>
      <c r="B9569" s="396" t="s">
        <v>18092</v>
      </c>
      <c r="C9569" s="396" t="s">
        <v>18093</v>
      </c>
      <c r="D9569" s="396" t="s">
        <v>18080</v>
      </c>
      <c r="E9569" s="396" t="s">
        <v>18081</v>
      </c>
      <c r="F9569" s="396" t="s">
        <v>18044</v>
      </c>
    </row>
    <row r="9570">
      <c r="A9570" s="311">
        <v>9569</v>
      </c>
      <c r="B9570" s="396" t="s">
        <v>18094</v>
      </c>
      <c r="C9570" s="396" t="s">
        <v>2503</v>
      </c>
      <c r="D9570" s="396" t="s">
        <v>18080</v>
      </c>
      <c r="E9570" s="396" t="s">
        <v>18081</v>
      </c>
      <c r="F9570" s="396" t="s">
        <v>18044</v>
      </c>
    </row>
    <row r="9571">
      <c r="A9571" s="311">
        <v>9570</v>
      </c>
      <c r="B9571" s="396" t="s">
        <v>18095</v>
      </c>
      <c r="C9571" s="396" t="s">
        <v>18096</v>
      </c>
      <c r="D9571" s="396" t="s">
        <v>18080</v>
      </c>
      <c r="E9571" s="396" t="s">
        <v>18081</v>
      </c>
      <c r="F9571" s="396" t="s">
        <v>18044</v>
      </c>
    </row>
    <row r="9572">
      <c r="A9572" s="311">
        <v>9571</v>
      </c>
      <c r="B9572" s="396" t="s">
        <v>18097</v>
      </c>
      <c r="C9572" s="396" t="s">
        <v>18098</v>
      </c>
      <c r="D9572" s="396" t="s">
        <v>18080</v>
      </c>
      <c r="E9572" s="396" t="s">
        <v>18081</v>
      </c>
      <c r="F9572" s="396" t="s">
        <v>18044</v>
      </c>
    </row>
    <row r="9573">
      <c r="A9573" s="311">
        <v>9572</v>
      </c>
      <c r="B9573" s="396" t="s">
        <v>18099</v>
      </c>
      <c r="C9573" s="396" t="s">
        <v>18100</v>
      </c>
      <c r="D9573" s="396" t="s">
        <v>18080</v>
      </c>
      <c r="E9573" s="396" t="s">
        <v>18081</v>
      </c>
      <c r="F9573" s="396" t="s">
        <v>18044</v>
      </c>
    </row>
    <row r="9574">
      <c r="A9574" s="311">
        <v>9573</v>
      </c>
      <c r="B9574" s="396" t="s">
        <v>18101</v>
      </c>
      <c r="C9574" s="396" t="s">
        <v>18102</v>
      </c>
      <c r="D9574" s="396" t="s">
        <v>18103</v>
      </c>
      <c r="E9574" s="396" t="s">
        <v>18104</v>
      </c>
      <c r="F9574" s="396" t="s">
        <v>18044</v>
      </c>
    </row>
    <row r="9575">
      <c r="A9575" s="311">
        <v>9574</v>
      </c>
      <c r="B9575" s="396" t="s">
        <v>18105</v>
      </c>
      <c r="C9575" s="396" t="s">
        <v>18106</v>
      </c>
      <c r="D9575" s="396" t="s">
        <v>18103</v>
      </c>
      <c r="E9575" s="396" t="s">
        <v>18104</v>
      </c>
      <c r="F9575" s="396" t="s">
        <v>18044</v>
      </c>
    </row>
    <row r="9576">
      <c r="A9576" s="311">
        <v>9575</v>
      </c>
      <c r="B9576" s="396" t="s">
        <v>18107</v>
      </c>
      <c r="C9576" s="396" t="s">
        <v>18108</v>
      </c>
      <c r="D9576" s="396" t="s">
        <v>18103</v>
      </c>
      <c r="E9576" s="396" t="s">
        <v>18104</v>
      </c>
      <c r="F9576" s="396" t="s">
        <v>18044</v>
      </c>
    </row>
    <row r="9577">
      <c r="A9577" s="311">
        <v>9576</v>
      </c>
      <c r="B9577" s="396" t="s">
        <v>18109</v>
      </c>
      <c r="C9577" s="396" t="s">
        <v>18110</v>
      </c>
      <c r="D9577" s="396" t="s">
        <v>18103</v>
      </c>
      <c r="E9577" s="396" t="s">
        <v>18104</v>
      </c>
      <c r="F9577" s="396" t="s">
        <v>18044</v>
      </c>
    </row>
    <row r="9578">
      <c r="A9578" s="311">
        <v>9577</v>
      </c>
      <c r="B9578" s="396" t="s">
        <v>18111</v>
      </c>
      <c r="C9578" s="396" t="s">
        <v>18112</v>
      </c>
      <c r="D9578" s="396" t="s">
        <v>18103</v>
      </c>
      <c r="E9578" s="396" t="s">
        <v>18104</v>
      </c>
      <c r="F9578" s="396" t="s">
        <v>18044</v>
      </c>
    </row>
    <row r="9579">
      <c r="A9579" s="311">
        <v>9578</v>
      </c>
      <c r="B9579" s="396" t="s">
        <v>18113</v>
      </c>
      <c r="C9579" s="396" t="s">
        <v>18114</v>
      </c>
      <c r="D9579" s="396" t="s">
        <v>18103</v>
      </c>
      <c r="E9579" s="396" t="s">
        <v>18104</v>
      </c>
      <c r="F9579" s="396" t="s">
        <v>18044</v>
      </c>
    </row>
    <row r="9580">
      <c r="A9580" s="311">
        <v>9579</v>
      </c>
      <c r="B9580" s="396" t="s">
        <v>18115</v>
      </c>
      <c r="C9580" s="396" t="s">
        <v>18116</v>
      </c>
      <c r="D9580" s="396" t="s">
        <v>18103</v>
      </c>
      <c r="E9580" s="396" t="s">
        <v>18104</v>
      </c>
      <c r="F9580" s="396" t="s">
        <v>18044</v>
      </c>
    </row>
    <row r="9581">
      <c r="A9581" s="311">
        <v>9580</v>
      </c>
      <c r="B9581" s="396" t="s">
        <v>18117</v>
      </c>
      <c r="C9581" s="396" t="s">
        <v>14129</v>
      </c>
      <c r="D9581" s="396" t="s">
        <v>18103</v>
      </c>
      <c r="E9581" s="396" t="s">
        <v>18104</v>
      </c>
      <c r="F9581" s="396" t="s">
        <v>18044</v>
      </c>
    </row>
    <row r="9582">
      <c r="A9582" s="311">
        <v>9581</v>
      </c>
      <c r="B9582" s="396" t="s">
        <v>18118</v>
      </c>
      <c r="C9582" s="396" t="s">
        <v>18119</v>
      </c>
      <c r="D9582" s="396" t="s">
        <v>18103</v>
      </c>
      <c r="E9582" s="396" t="s">
        <v>18104</v>
      </c>
      <c r="F9582" s="396" t="s">
        <v>18044</v>
      </c>
    </row>
    <row r="9583">
      <c r="A9583" s="311">
        <v>9582</v>
      </c>
      <c r="B9583" s="396" t="s">
        <v>18120</v>
      </c>
      <c r="C9583" s="396" t="s">
        <v>18121</v>
      </c>
      <c r="D9583" s="396" t="s">
        <v>18103</v>
      </c>
      <c r="E9583" s="396" t="s">
        <v>18104</v>
      </c>
      <c r="F9583" s="396" t="s">
        <v>18044</v>
      </c>
    </row>
    <row r="9584">
      <c r="A9584" s="311">
        <v>9583</v>
      </c>
      <c r="B9584" s="396" t="s">
        <v>18122</v>
      </c>
      <c r="C9584" s="396" t="s">
        <v>18123</v>
      </c>
      <c r="D9584" s="396" t="s">
        <v>18124</v>
      </c>
      <c r="E9584" s="396" t="s">
        <v>18125</v>
      </c>
      <c r="F9584" s="396" t="s">
        <v>18044</v>
      </c>
    </row>
    <row r="9585">
      <c r="A9585" s="311">
        <v>9584</v>
      </c>
      <c r="B9585" s="396" t="s">
        <v>18126</v>
      </c>
      <c r="C9585" s="396" t="s">
        <v>13660</v>
      </c>
      <c r="D9585" s="396" t="s">
        <v>18124</v>
      </c>
      <c r="E9585" s="396" t="s">
        <v>18125</v>
      </c>
      <c r="F9585" s="396" t="s">
        <v>18044</v>
      </c>
    </row>
    <row r="9586">
      <c r="A9586" s="311">
        <v>9585</v>
      </c>
      <c r="B9586" s="396" t="s">
        <v>18127</v>
      </c>
      <c r="C9586" s="396" t="s">
        <v>18128</v>
      </c>
      <c r="D9586" s="396" t="s">
        <v>18124</v>
      </c>
      <c r="E9586" s="396" t="s">
        <v>18125</v>
      </c>
      <c r="F9586" s="396" t="s">
        <v>18044</v>
      </c>
    </row>
    <row r="9587">
      <c r="A9587" s="311">
        <v>9586</v>
      </c>
      <c r="B9587" s="396" t="s">
        <v>18129</v>
      </c>
      <c r="C9587" s="396" t="s">
        <v>18130</v>
      </c>
      <c r="D9587" s="396" t="s">
        <v>18124</v>
      </c>
      <c r="E9587" s="396" t="s">
        <v>18125</v>
      </c>
      <c r="F9587" s="396" t="s">
        <v>18044</v>
      </c>
    </row>
    <row r="9588">
      <c r="A9588" s="311">
        <v>9587</v>
      </c>
      <c r="B9588" s="396" t="s">
        <v>18131</v>
      </c>
      <c r="C9588" s="396" t="s">
        <v>18132</v>
      </c>
      <c r="D9588" s="396" t="s">
        <v>18124</v>
      </c>
      <c r="E9588" s="396" t="s">
        <v>18125</v>
      </c>
      <c r="F9588" s="396" t="s">
        <v>18044</v>
      </c>
    </row>
    <row r="9589">
      <c r="A9589" s="311">
        <v>9588</v>
      </c>
      <c r="B9589" s="396" t="s">
        <v>18133</v>
      </c>
      <c r="C9589" s="396" t="s">
        <v>752</v>
      </c>
      <c r="D9589" s="396" t="s">
        <v>18124</v>
      </c>
      <c r="E9589" s="396" t="s">
        <v>18125</v>
      </c>
      <c r="F9589" s="396" t="s">
        <v>18044</v>
      </c>
    </row>
    <row r="9590">
      <c r="A9590" s="311">
        <v>9589</v>
      </c>
      <c r="B9590" s="396" t="s">
        <v>18134</v>
      </c>
      <c r="C9590" s="396" t="s">
        <v>1552</v>
      </c>
      <c r="D9590" s="396" t="s">
        <v>18124</v>
      </c>
      <c r="E9590" s="396" t="s">
        <v>18125</v>
      </c>
      <c r="F9590" s="396" t="s">
        <v>18044</v>
      </c>
    </row>
    <row r="9591">
      <c r="A9591" s="311">
        <v>9590</v>
      </c>
      <c r="B9591" s="396" t="s">
        <v>18135</v>
      </c>
      <c r="C9591" s="396" t="s">
        <v>18136</v>
      </c>
      <c r="D9591" s="396" t="s">
        <v>18137</v>
      </c>
      <c r="E9591" s="396" t="s">
        <v>18138</v>
      </c>
      <c r="F9591" s="396" t="s">
        <v>18044</v>
      </c>
    </row>
    <row r="9592">
      <c r="A9592" s="311">
        <v>9591</v>
      </c>
      <c r="B9592" s="396" t="s">
        <v>18139</v>
      </c>
      <c r="C9592" s="396" t="s">
        <v>18140</v>
      </c>
      <c r="D9592" s="396" t="s">
        <v>18137</v>
      </c>
      <c r="E9592" s="396" t="s">
        <v>18138</v>
      </c>
      <c r="F9592" s="396" t="s">
        <v>18044</v>
      </c>
    </row>
    <row r="9593">
      <c r="A9593" s="311">
        <v>9592</v>
      </c>
      <c r="B9593" s="396" t="s">
        <v>18141</v>
      </c>
      <c r="C9593" s="396" t="s">
        <v>18142</v>
      </c>
      <c r="D9593" s="396" t="s">
        <v>18137</v>
      </c>
      <c r="E9593" s="396" t="s">
        <v>18138</v>
      </c>
      <c r="F9593" s="396" t="s">
        <v>18044</v>
      </c>
    </row>
    <row r="9594">
      <c r="A9594" s="311">
        <v>9593</v>
      </c>
      <c r="B9594" s="396" t="s">
        <v>18143</v>
      </c>
      <c r="C9594" s="396" t="s">
        <v>18144</v>
      </c>
      <c r="D9594" s="396" t="s">
        <v>18137</v>
      </c>
      <c r="E9594" s="396" t="s">
        <v>18138</v>
      </c>
      <c r="F9594" s="396" t="s">
        <v>18044</v>
      </c>
    </row>
    <row r="9595">
      <c r="A9595" s="311">
        <v>9594</v>
      </c>
      <c r="B9595" s="396" t="s">
        <v>18145</v>
      </c>
      <c r="C9595" s="396" t="s">
        <v>752</v>
      </c>
      <c r="D9595" s="396" t="s">
        <v>18137</v>
      </c>
      <c r="E9595" s="396" t="s">
        <v>18138</v>
      </c>
      <c r="F9595" s="396" t="s">
        <v>18044</v>
      </c>
    </row>
    <row r="9596">
      <c r="A9596" s="311">
        <v>9595</v>
      </c>
      <c r="B9596" s="396" t="s">
        <v>18146</v>
      </c>
      <c r="C9596" s="396" t="s">
        <v>18147</v>
      </c>
      <c r="D9596" s="396" t="s">
        <v>18137</v>
      </c>
      <c r="E9596" s="396" t="s">
        <v>18138</v>
      </c>
      <c r="F9596" s="396" t="s">
        <v>18044</v>
      </c>
    </row>
    <row r="9597">
      <c r="A9597" s="311">
        <v>9596</v>
      </c>
      <c r="B9597" s="396" t="s">
        <v>18148</v>
      </c>
      <c r="C9597" s="396" t="s">
        <v>18149</v>
      </c>
      <c r="D9597" s="396" t="s">
        <v>18137</v>
      </c>
      <c r="E9597" s="396" t="s">
        <v>18138</v>
      </c>
      <c r="F9597" s="396" t="s">
        <v>18044</v>
      </c>
    </row>
    <row r="9598">
      <c r="A9598" s="311">
        <v>9597</v>
      </c>
      <c r="B9598" s="396" t="s">
        <v>18150</v>
      </c>
      <c r="C9598" s="396" t="s">
        <v>18151</v>
      </c>
      <c r="D9598" s="396" t="s">
        <v>18137</v>
      </c>
      <c r="E9598" s="396" t="s">
        <v>18138</v>
      </c>
      <c r="F9598" s="396" t="s">
        <v>18044</v>
      </c>
    </row>
    <row r="9599">
      <c r="A9599" s="311">
        <v>9598</v>
      </c>
      <c r="B9599" s="396" t="s">
        <v>18152</v>
      </c>
      <c r="C9599" s="396" t="s">
        <v>1552</v>
      </c>
      <c r="D9599" s="396" t="s">
        <v>18137</v>
      </c>
      <c r="E9599" s="396" t="s">
        <v>18138</v>
      </c>
      <c r="F9599" s="396" t="s">
        <v>18044</v>
      </c>
    </row>
    <row r="9600">
      <c r="A9600" s="311">
        <v>9599</v>
      </c>
      <c r="B9600" s="396" t="s">
        <v>18153</v>
      </c>
      <c r="C9600" s="396" t="s">
        <v>5492</v>
      </c>
      <c r="D9600" s="396" t="s">
        <v>18137</v>
      </c>
      <c r="E9600" s="396" t="s">
        <v>18138</v>
      </c>
      <c r="F9600" s="396" t="s">
        <v>18044</v>
      </c>
    </row>
    <row r="9601">
      <c r="A9601" s="311">
        <v>9600</v>
      </c>
      <c r="B9601" s="396" t="s">
        <v>18154</v>
      </c>
      <c r="C9601" s="396" t="s">
        <v>10261</v>
      </c>
      <c r="D9601" s="396" t="s">
        <v>18137</v>
      </c>
      <c r="E9601" s="396" t="s">
        <v>18138</v>
      </c>
      <c r="F9601" s="396" t="s">
        <v>18044</v>
      </c>
    </row>
    <row r="9602">
      <c r="A9602" s="311">
        <v>9601</v>
      </c>
      <c r="B9602" s="396" t="s">
        <v>18155</v>
      </c>
      <c r="C9602" s="396" t="s">
        <v>18156</v>
      </c>
      <c r="D9602" s="396" t="s">
        <v>18137</v>
      </c>
      <c r="E9602" s="396" t="s">
        <v>18138</v>
      </c>
      <c r="F9602" s="396" t="s">
        <v>18044</v>
      </c>
    </row>
    <row r="9603">
      <c r="A9603" s="311">
        <v>9602</v>
      </c>
      <c r="B9603" s="396" t="s">
        <v>18157</v>
      </c>
      <c r="C9603" s="396" t="s">
        <v>838</v>
      </c>
      <c r="D9603" s="396" t="s">
        <v>18137</v>
      </c>
      <c r="E9603" s="396" t="s">
        <v>18138</v>
      </c>
      <c r="F9603" s="396" t="s">
        <v>18044</v>
      </c>
    </row>
    <row r="9604">
      <c r="A9604" s="311">
        <v>9603</v>
      </c>
      <c r="B9604" s="396" t="s">
        <v>18158</v>
      </c>
      <c r="C9604" s="396" t="s">
        <v>18159</v>
      </c>
      <c r="D9604" s="396" t="s">
        <v>18160</v>
      </c>
      <c r="E9604" s="396" t="s">
        <v>18161</v>
      </c>
      <c r="F9604" s="396" t="s">
        <v>18044</v>
      </c>
    </row>
    <row r="9605">
      <c r="A9605" s="311">
        <v>9604</v>
      </c>
      <c r="B9605" s="396" t="s">
        <v>18162</v>
      </c>
      <c r="C9605" s="396" t="s">
        <v>5732</v>
      </c>
      <c r="D9605" s="396" t="s">
        <v>18160</v>
      </c>
      <c r="E9605" s="396" t="s">
        <v>18161</v>
      </c>
      <c r="F9605" s="396" t="s">
        <v>18044</v>
      </c>
    </row>
    <row r="9606">
      <c r="A9606" s="311">
        <v>9605</v>
      </c>
      <c r="B9606" s="396" t="s">
        <v>18163</v>
      </c>
      <c r="C9606" s="396" t="s">
        <v>18164</v>
      </c>
      <c r="D9606" s="396" t="s">
        <v>18160</v>
      </c>
      <c r="E9606" s="396" t="s">
        <v>18161</v>
      </c>
      <c r="F9606" s="396" t="s">
        <v>18044</v>
      </c>
    </row>
    <row r="9607">
      <c r="A9607" s="311">
        <v>9606</v>
      </c>
      <c r="B9607" s="396" t="s">
        <v>18165</v>
      </c>
      <c r="C9607" s="396" t="s">
        <v>18166</v>
      </c>
      <c r="D9607" s="396" t="s">
        <v>18160</v>
      </c>
      <c r="E9607" s="396" t="s">
        <v>18161</v>
      </c>
      <c r="F9607" s="396" t="s">
        <v>18044</v>
      </c>
    </row>
    <row r="9608">
      <c r="A9608" s="311">
        <v>9607</v>
      </c>
      <c r="B9608" s="396" t="s">
        <v>18167</v>
      </c>
      <c r="C9608" s="396" t="s">
        <v>17210</v>
      </c>
      <c r="D9608" s="396" t="s">
        <v>18160</v>
      </c>
      <c r="E9608" s="396" t="s">
        <v>18161</v>
      </c>
      <c r="F9608" s="396" t="s">
        <v>18044</v>
      </c>
    </row>
    <row r="9609">
      <c r="A9609" s="311">
        <v>9608</v>
      </c>
      <c r="B9609" s="396" t="s">
        <v>18168</v>
      </c>
      <c r="C9609" s="396" t="s">
        <v>18169</v>
      </c>
      <c r="D9609" s="396" t="s">
        <v>18160</v>
      </c>
      <c r="E9609" s="396" t="s">
        <v>18161</v>
      </c>
      <c r="F9609" s="396" t="s">
        <v>18044</v>
      </c>
    </row>
    <row r="9610">
      <c r="A9610" s="311">
        <v>9609</v>
      </c>
      <c r="B9610" s="396" t="s">
        <v>18170</v>
      </c>
      <c r="C9610" s="396" t="s">
        <v>18171</v>
      </c>
      <c r="D9610" s="396" t="s">
        <v>18160</v>
      </c>
      <c r="E9610" s="396" t="s">
        <v>18161</v>
      </c>
      <c r="F9610" s="396" t="s">
        <v>18044</v>
      </c>
    </row>
    <row r="9611">
      <c r="A9611" s="311">
        <v>9610</v>
      </c>
      <c r="B9611" s="396" t="s">
        <v>18172</v>
      </c>
      <c r="C9611" s="396" t="s">
        <v>18173</v>
      </c>
      <c r="D9611" s="396" t="s">
        <v>18160</v>
      </c>
      <c r="E9611" s="396" t="s">
        <v>18161</v>
      </c>
      <c r="F9611" s="396" t="s">
        <v>18044</v>
      </c>
    </row>
    <row r="9612">
      <c r="A9612" s="311">
        <v>9611</v>
      </c>
      <c r="B9612" s="396" t="s">
        <v>18174</v>
      </c>
      <c r="C9612" s="396" t="s">
        <v>18175</v>
      </c>
      <c r="D9612" s="396" t="s">
        <v>18160</v>
      </c>
      <c r="E9612" s="396" t="s">
        <v>18161</v>
      </c>
      <c r="F9612" s="396" t="s">
        <v>18044</v>
      </c>
    </row>
    <row r="9613">
      <c r="A9613" s="311">
        <v>9612</v>
      </c>
      <c r="B9613" s="396" t="s">
        <v>18176</v>
      </c>
      <c r="C9613" s="396" t="s">
        <v>16790</v>
      </c>
      <c r="D9613" s="396" t="s">
        <v>18160</v>
      </c>
      <c r="E9613" s="396" t="s">
        <v>18161</v>
      </c>
      <c r="F9613" s="396" t="s">
        <v>18044</v>
      </c>
    </row>
    <row r="9614">
      <c r="A9614" s="311">
        <v>9613</v>
      </c>
      <c r="B9614" s="396" t="s">
        <v>18177</v>
      </c>
      <c r="C9614" s="396" t="s">
        <v>18037</v>
      </c>
      <c r="D9614" s="396" t="s">
        <v>18160</v>
      </c>
      <c r="E9614" s="396" t="s">
        <v>18161</v>
      </c>
      <c r="F9614" s="396" t="s">
        <v>18044</v>
      </c>
    </row>
    <row r="9615">
      <c r="A9615" s="311">
        <v>9614</v>
      </c>
      <c r="B9615" s="396" t="s">
        <v>18178</v>
      </c>
      <c r="C9615" s="396" t="s">
        <v>18179</v>
      </c>
      <c r="D9615" s="396" t="s">
        <v>18180</v>
      </c>
      <c r="E9615" s="396" t="s">
        <v>18181</v>
      </c>
      <c r="F9615" s="396" t="s">
        <v>18044</v>
      </c>
    </row>
    <row r="9616">
      <c r="A9616" s="311">
        <v>9615</v>
      </c>
      <c r="B9616" s="396" t="s">
        <v>18182</v>
      </c>
      <c r="C9616" s="396" t="s">
        <v>18183</v>
      </c>
      <c r="D9616" s="396" t="s">
        <v>18180</v>
      </c>
      <c r="E9616" s="396" t="s">
        <v>18181</v>
      </c>
      <c r="F9616" s="396" t="s">
        <v>18044</v>
      </c>
    </row>
    <row r="9617">
      <c r="A9617" s="311">
        <v>9616</v>
      </c>
      <c r="B9617" s="396" t="s">
        <v>18184</v>
      </c>
      <c r="C9617" s="396" t="s">
        <v>18185</v>
      </c>
      <c r="D9617" s="396" t="s">
        <v>18180</v>
      </c>
      <c r="E9617" s="396" t="s">
        <v>18181</v>
      </c>
      <c r="F9617" s="396" t="s">
        <v>18044</v>
      </c>
    </row>
    <row r="9618">
      <c r="A9618" s="311">
        <v>9617</v>
      </c>
      <c r="B9618" s="396" t="s">
        <v>18186</v>
      </c>
      <c r="C9618" s="396" t="s">
        <v>18187</v>
      </c>
      <c r="D9618" s="396" t="s">
        <v>18180</v>
      </c>
      <c r="E9618" s="396" t="s">
        <v>18181</v>
      </c>
      <c r="F9618" s="396" t="s">
        <v>18044</v>
      </c>
    </row>
    <row r="9619">
      <c r="A9619" s="311">
        <v>9618</v>
      </c>
      <c r="B9619" s="396" t="s">
        <v>18188</v>
      </c>
      <c r="C9619" s="396" t="s">
        <v>18189</v>
      </c>
      <c r="D9619" s="396" t="s">
        <v>18180</v>
      </c>
      <c r="E9619" s="396" t="s">
        <v>18181</v>
      </c>
      <c r="F9619" s="396" t="s">
        <v>18044</v>
      </c>
    </row>
    <row r="9620">
      <c r="A9620" s="311">
        <v>9619</v>
      </c>
      <c r="B9620" s="396" t="s">
        <v>18190</v>
      </c>
      <c r="C9620" s="396" t="s">
        <v>18191</v>
      </c>
      <c r="D9620" s="396" t="s">
        <v>18180</v>
      </c>
      <c r="E9620" s="396" t="s">
        <v>18181</v>
      </c>
      <c r="F9620" s="396" t="s">
        <v>18044</v>
      </c>
    </row>
    <row r="9621">
      <c r="A9621" s="311">
        <v>9620</v>
      </c>
      <c r="B9621" s="396" t="s">
        <v>18192</v>
      </c>
      <c r="C9621" s="396" t="s">
        <v>4690</v>
      </c>
      <c r="D9621" s="396" t="s">
        <v>18180</v>
      </c>
      <c r="E9621" s="396" t="s">
        <v>18181</v>
      </c>
      <c r="F9621" s="396" t="s">
        <v>18044</v>
      </c>
    </row>
    <row r="9622">
      <c r="A9622" s="311">
        <v>9621</v>
      </c>
      <c r="B9622" s="396" t="s">
        <v>18193</v>
      </c>
      <c r="C9622" s="396" t="s">
        <v>18194</v>
      </c>
      <c r="D9622" s="396" t="s">
        <v>18180</v>
      </c>
      <c r="E9622" s="396" t="s">
        <v>18181</v>
      </c>
      <c r="F9622" s="396" t="s">
        <v>18044</v>
      </c>
    </row>
    <row r="9623">
      <c r="A9623" s="311">
        <v>9622</v>
      </c>
      <c r="B9623" s="396" t="s">
        <v>18195</v>
      </c>
      <c r="C9623" s="396" t="s">
        <v>18196</v>
      </c>
      <c r="D9623" s="396" t="s">
        <v>18180</v>
      </c>
      <c r="E9623" s="396" t="s">
        <v>18181</v>
      </c>
      <c r="F9623" s="396" t="s">
        <v>18044</v>
      </c>
    </row>
    <row r="9624">
      <c r="A9624" s="311">
        <v>9623</v>
      </c>
      <c r="B9624" s="396" t="s">
        <v>18197</v>
      </c>
      <c r="C9624" s="396" t="s">
        <v>18198</v>
      </c>
      <c r="D9624" s="396" t="s">
        <v>18180</v>
      </c>
      <c r="E9624" s="396" t="s">
        <v>18181</v>
      </c>
      <c r="F9624" s="396" t="s">
        <v>18044</v>
      </c>
    </row>
    <row r="9625">
      <c r="A9625" s="311">
        <v>9624</v>
      </c>
      <c r="B9625" s="396" t="s">
        <v>18199</v>
      </c>
      <c r="C9625" s="396" t="s">
        <v>18200</v>
      </c>
      <c r="D9625" s="396" t="s">
        <v>18180</v>
      </c>
      <c r="E9625" s="396" t="s">
        <v>18181</v>
      </c>
      <c r="F9625" s="396" t="s">
        <v>18044</v>
      </c>
    </row>
    <row r="9626">
      <c r="A9626" s="311">
        <v>9625</v>
      </c>
      <c r="B9626" s="396" t="s">
        <v>18201</v>
      </c>
      <c r="C9626" s="396" t="s">
        <v>18202</v>
      </c>
      <c r="D9626" s="396" t="s">
        <v>18203</v>
      </c>
      <c r="E9626" s="396" t="s">
        <v>18204</v>
      </c>
      <c r="F9626" s="396" t="s">
        <v>18044</v>
      </c>
    </row>
    <row r="9627">
      <c r="A9627" s="311">
        <v>9626</v>
      </c>
      <c r="B9627" s="396" t="s">
        <v>18205</v>
      </c>
      <c r="C9627" s="396" t="s">
        <v>18206</v>
      </c>
      <c r="D9627" s="396" t="s">
        <v>18203</v>
      </c>
      <c r="E9627" s="396" t="s">
        <v>18204</v>
      </c>
      <c r="F9627" s="396" t="s">
        <v>18044</v>
      </c>
    </row>
    <row r="9628">
      <c r="A9628" s="311">
        <v>9627</v>
      </c>
      <c r="B9628" s="396" t="s">
        <v>18207</v>
      </c>
      <c r="C9628" s="396" t="s">
        <v>18208</v>
      </c>
      <c r="D9628" s="396" t="s">
        <v>18203</v>
      </c>
      <c r="E9628" s="396" t="s">
        <v>18204</v>
      </c>
      <c r="F9628" s="396" t="s">
        <v>18044</v>
      </c>
    </row>
    <row r="9629">
      <c r="A9629" s="311">
        <v>9628</v>
      </c>
      <c r="B9629" s="396" t="s">
        <v>18209</v>
      </c>
      <c r="C9629" s="396" t="s">
        <v>18210</v>
      </c>
      <c r="D9629" s="396" t="s">
        <v>18203</v>
      </c>
      <c r="E9629" s="396" t="s">
        <v>18204</v>
      </c>
      <c r="F9629" s="396" t="s">
        <v>18044</v>
      </c>
    </row>
    <row r="9630">
      <c r="A9630" s="311">
        <v>9629</v>
      </c>
      <c r="B9630" s="396" t="s">
        <v>18211</v>
      </c>
      <c r="C9630" s="396" t="s">
        <v>14347</v>
      </c>
      <c r="D9630" s="396" t="s">
        <v>18203</v>
      </c>
      <c r="E9630" s="396" t="s">
        <v>18204</v>
      </c>
      <c r="F9630" s="396" t="s">
        <v>18044</v>
      </c>
    </row>
    <row r="9631">
      <c r="A9631" s="311">
        <v>9630</v>
      </c>
      <c r="B9631" s="396" t="s">
        <v>18212</v>
      </c>
      <c r="C9631" s="396" t="s">
        <v>14345</v>
      </c>
      <c r="D9631" s="396" t="s">
        <v>18203</v>
      </c>
      <c r="E9631" s="396" t="s">
        <v>18204</v>
      </c>
      <c r="F9631" s="396" t="s">
        <v>18044</v>
      </c>
    </row>
    <row r="9632">
      <c r="A9632" s="311">
        <v>9631</v>
      </c>
      <c r="B9632" s="396" t="s">
        <v>18213</v>
      </c>
      <c r="C9632" s="396" t="s">
        <v>2358</v>
      </c>
      <c r="D9632" s="396" t="s">
        <v>18203</v>
      </c>
      <c r="E9632" s="396" t="s">
        <v>18204</v>
      </c>
      <c r="F9632" s="396" t="s">
        <v>18044</v>
      </c>
    </row>
    <row r="9633">
      <c r="A9633" s="311">
        <v>9632</v>
      </c>
      <c r="B9633" s="396" t="s">
        <v>18214</v>
      </c>
      <c r="C9633" s="396" t="s">
        <v>5648</v>
      </c>
      <c r="D9633" s="396" t="s">
        <v>18203</v>
      </c>
      <c r="E9633" s="396" t="s">
        <v>18204</v>
      </c>
      <c r="F9633" s="396" t="s">
        <v>18044</v>
      </c>
    </row>
    <row r="9634">
      <c r="A9634" s="311">
        <v>9633</v>
      </c>
      <c r="B9634" s="396" t="s">
        <v>18215</v>
      </c>
      <c r="C9634" s="396" t="s">
        <v>18216</v>
      </c>
      <c r="D9634" s="396" t="s">
        <v>18203</v>
      </c>
      <c r="E9634" s="396" t="s">
        <v>18204</v>
      </c>
      <c r="F9634" s="396" t="s">
        <v>18044</v>
      </c>
    </row>
    <row r="9635">
      <c r="A9635" s="311">
        <v>9634</v>
      </c>
      <c r="B9635" s="396" t="s">
        <v>18217</v>
      </c>
      <c r="C9635" s="396" t="s">
        <v>18218</v>
      </c>
      <c r="D9635" s="396" t="s">
        <v>18203</v>
      </c>
      <c r="E9635" s="396" t="s">
        <v>18204</v>
      </c>
      <c r="F9635" s="396" t="s">
        <v>18044</v>
      </c>
    </row>
    <row r="9636">
      <c r="A9636" s="311">
        <v>9635</v>
      </c>
      <c r="B9636" s="396" t="s">
        <v>18219</v>
      </c>
      <c r="C9636" s="396" t="s">
        <v>830</v>
      </c>
      <c r="D9636" s="396" t="s">
        <v>18203</v>
      </c>
      <c r="E9636" s="396" t="s">
        <v>18204</v>
      </c>
      <c r="F9636" s="396" t="s">
        <v>18044</v>
      </c>
    </row>
    <row r="9637">
      <c r="A9637" s="311">
        <v>9636</v>
      </c>
      <c r="B9637" s="396" t="s">
        <v>18220</v>
      </c>
      <c r="C9637" s="396" t="s">
        <v>18221</v>
      </c>
      <c r="D9637" s="396" t="s">
        <v>18203</v>
      </c>
      <c r="E9637" s="396" t="s">
        <v>18204</v>
      </c>
      <c r="F9637" s="396" t="s">
        <v>18044</v>
      </c>
    </row>
    <row r="9638">
      <c r="A9638" s="311">
        <v>9637</v>
      </c>
      <c r="B9638" s="396" t="s">
        <v>18222</v>
      </c>
      <c r="C9638" s="396" t="s">
        <v>18223</v>
      </c>
      <c r="D9638" s="396" t="s">
        <v>18203</v>
      </c>
      <c r="E9638" s="396" t="s">
        <v>18204</v>
      </c>
      <c r="F9638" s="396" t="s">
        <v>18044</v>
      </c>
    </row>
    <row r="9639">
      <c r="A9639" s="311">
        <v>9638</v>
      </c>
      <c r="B9639" s="396" t="s">
        <v>18224</v>
      </c>
      <c r="C9639" s="396" t="s">
        <v>18225</v>
      </c>
      <c r="D9639" s="396" t="s">
        <v>18203</v>
      </c>
      <c r="E9639" s="396" t="s">
        <v>18204</v>
      </c>
      <c r="F9639" s="396" t="s">
        <v>18044</v>
      </c>
    </row>
    <row r="9640">
      <c r="A9640" s="311">
        <v>9639</v>
      </c>
      <c r="B9640" s="396" t="s">
        <v>18226</v>
      </c>
      <c r="C9640" s="396" t="s">
        <v>18227</v>
      </c>
      <c r="D9640" s="396" t="s">
        <v>18203</v>
      </c>
      <c r="E9640" s="396" t="s">
        <v>18204</v>
      </c>
      <c r="F9640" s="396" t="s">
        <v>18044</v>
      </c>
    </row>
    <row r="9641">
      <c r="A9641" s="311">
        <v>9640</v>
      </c>
      <c r="B9641" s="396" t="s">
        <v>18228</v>
      </c>
      <c r="C9641" s="396" t="s">
        <v>18229</v>
      </c>
      <c r="D9641" s="396" t="s">
        <v>18203</v>
      </c>
      <c r="E9641" s="396" t="s">
        <v>18204</v>
      </c>
      <c r="F9641" s="396" t="s">
        <v>18044</v>
      </c>
    </row>
    <row r="9642">
      <c r="A9642" s="311">
        <v>9641</v>
      </c>
      <c r="B9642" s="396" t="s">
        <v>18230</v>
      </c>
      <c r="C9642" s="396" t="s">
        <v>18231</v>
      </c>
      <c r="D9642" s="396" t="s">
        <v>18203</v>
      </c>
      <c r="E9642" s="396" t="s">
        <v>18204</v>
      </c>
      <c r="F9642" s="396" t="s">
        <v>18044</v>
      </c>
    </row>
    <row r="9643">
      <c r="A9643" s="311">
        <v>9642</v>
      </c>
      <c r="B9643" s="396" t="s">
        <v>18232</v>
      </c>
      <c r="C9643" s="396" t="s">
        <v>18233</v>
      </c>
      <c r="D9643" s="396" t="s">
        <v>18203</v>
      </c>
      <c r="E9643" s="396" t="s">
        <v>18204</v>
      </c>
      <c r="F9643" s="396" t="s">
        <v>18044</v>
      </c>
    </row>
    <row r="9644">
      <c r="A9644" s="311">
        <v>9643</v>
      </c>
      <c r="B9644" s="396" t="s">
        <v>18234</v>
      </c>
      <c r="C9644" s="396" t="s">
        <v>18235</v>
      </c>
      <c r="D9644" s="396" t="s">
        <v>18203</v>
      </c>
      <c r="E9644" s="396" t="s">
        <v>18204</v>
      </c>
      <c r="F9644" s="396" t="s">
        <v>18044</v>
      </c>
    </row>
    <row r="9645">
      <c r="A9645" s="311">
        <v>9644</v>
      </c>
      <c r="B9645" s="396" t="s">
        <v>18236</v>
      </c>
      <c r="C9645" s="396" t="s">
        <v>18237</v>
      </c>
      <c r="D9645" s="396" t="s">
        <v>18203</v>
      </c>
      <c r="E9645" s="396" t="s">
        <v>18204</v>
      </c>
      <c r="F9645" s="396" t="s">
        <v>18044</v>
      </c>
    </row>
    <row r="9646">
      <c r="A9646" s="311">
        <v>9645</v>
      </c>
      <c r="B9646" s="396" t="s">
        <v>18238</v>
      </c>
      <c r="C9646" s="396" t="s">
        <v>18239</v>
      </c>
      <c r="D9646" s="396" t="s">
        <v>18240</v>
      </c>
      <c r="E9646" s="396" t="s">
        <v>18241</v>
      </c>
      <c r="F9646" s="396" t="s">
        <v>18044</v>
      </c>
    </row>
    <row r="9647">
      <c r="A9647" s="311">
        <v>9646</v>
      </c>
      <c r="B9647" s="396" t="s">
        <v>18242</v>
      </c>
      <c r="C9647" s="396" t="s">
        <v>18243</v>
      </c>
      <c r="D9647" s="396" t="s">
        <v>18240</v>
      </c>
      <c r="E9647" s="396" t="s">
        <v>18241</v>
      </c>
      <c r="F9647" s="396" t="s">
        <v>18044</v>
      </c>
    </row>
    <row r="9648">
      <c r="A9648" s="311">
        <v>9647</v>
      </c>
      <c r="B9648" s="396" t="s">
        <v>18244</v>
      </c>
      <c r="C9648" s="396" t="s">
        <v>18245</v>
      </c>
      <c r="D9648" s="396" t="s">
        <v>18240</v>
      </c>
      <c r="E9648" s="396" t="s">
        <v>18241</v>
      </c>
      <c r="F9648" s="396" t="s">
        <v>18044</v>
      </c>
    </row>
    <row r="9649">
      <c r="A9649" s="311">
        <v>9648</v>
      </c>
      <c r="B9649" s="396" t="s">
        <v>18246</v>
      </c>
      <c r="C9649" s="396" t="s">
        <v>18247</v>
      </c>
      <c r="D9649" s="396" t="s">
        <v>18240</v>
      </c>
      <c r="E9649" s="396" t="s">
        <v>18241</v>
      </c>
      <c r="F9649" s="396" t="s">
        <v>18044</v>
      </c>
    </row>
    <row r="9650">
      <c r="A9650" s="311">
        <v>9649</v>
      </c>
      <c r="B9650" s="396" t="s">
        <v>18248</v>
      </c>
      <c r="C9650" s="396" t="s">
        <v>18249</v>
      </c>
      <c r="D9650" s="396" t="s">
        <v>18240</v>
      </c>
      <c r="E9650" s="396" t="s">
        <v>18241</v>
      </c>
      <c r="F9650" s="396" t="s">
        <v>18044</v>
      </c>
    </row>
    <row r="9651">
      <c r="A9651" s="311">
        <v>9650</v>
      </c>
      <c r="B9651" s="396" t="s">
        <v>18250</v>
      </c>
      <c r="C9651" s="396" t="s">
        <v>838</v>
      </c>
      <c r="D9651" s="396" t="s">
        <v>18240</v>
      </c>
      <c r="E9651" s="396" t="s">
        <v>18241</v>
      </c>
      <c r="F9651" s="396" t="s">
        <v>18044</v>
      </c>
    </row>
    <row r="9652">
      <c r="A9652" s="311">
        <v>9651</v>
      </c>
      <c r="B9652" s="396" t="s">
        <v>18251</v>
      </c>
      <c r="C9652" s="396" t="s">
        <v>18252</v>
      </c>
      <c r="D9652" s="396" t="s">
        <v>18240</v>
      </c>
      <c r="E9652" s="396" t="s">
        <v>18241</v>
      </c>
      <c r="F9652" s="396" t="s">
        <v>18044</v>
      </c>
    </row>
    <row r="9653">
      <c r="A9653" s="311">
        <v>9652</v>
      </c>
      <c r="B9653" s="396" t="s">
        <v>18253</v>
      </c>
      <c r="C9653" s="396" t="s">
        <v>16904</v>
      </c>
      <c r="D9653" s="396" t="s">
        <v>18240</v>
      </c>
      <c r="E9653" s="396" t="s">
        <v>18241</v>
      </c>
      <c r="F9653" s="396" t="s">
        <v>18044</v>
      </c>
    </row>
    <row r="9654">
      <c r="A9654" s="311">
        <v>9653</v>
      </c>
      <c r="B9654" s="396" t="s">
        <v>18254</v>
      </c>
      <c r="C9654" s="396" t="s">
        <v>18255</v>
      </c>
      <c r="D9654" s="396" t="s">
        <v>18240</v>
      </c>
      <c r="E9654" s="396" t="s">
        <v>18241</v>
      </c>
      <c r="F9654" s="396" t="s">
        <v>18044</v>
      </c>
    </row>
    <row r="9655">
      <c r="A9655" s="311">
        <v>9654</v>
      </c>
      <c r="B9655" s="396" t="s">
        <v>18256</v>
      </c>
      <c r="C9655" s="396" t="s">
        <v>4827</v>
      </c>
      <c r="D9655" s="396" t="s">
        <v>18240</v>
      </c>
      <c r="E9655" s="396" t="s">
        <v>18241</v>
      </c>
      <c r="F9655" s="396" t="s">
        <v>18044</v>
      </c>
    </row>
    <row r="9656">
      <c r="A9656" s="311">
        <v>9655</v>
      </c>
      <c r="B9656" s="396" t="s">
        <v>18257</v>
      </c>
      <c r="C9656" s="396" t="s">
        <v>2836</v>
      </c>
      <c r="D9656" s="396" t="s">
        <v>18240</v>
      </c>
      <c r="E9656" s="396" t="s">
        <v>18241</v>
      </c>
      <c r="F9656" s="396" t="s">
        <v>18044</v>
      </c>
    </row>
    <row r="9657">
      <c r="A9657" s="311">
        <v>9656</v>
      </c>
      <c r="B9657" s="396" t="s">
        <v>18258</v>
      </c>
      <c r="C9657" s="396" t="s">
        <v>13830</v>
      </c>
      <c r="D9657" s="396" t="s">
        <v>18240</v>
      </c>
      <c r="E9657" s="396" t="s">
        <v>18241</v>
      </c>
      <c r="F9657" s="396" t="s">
        <v>18044</v>
      </c>
    </row>
    <row r="9658">
      <c r="A9658" s="311">
        <v>9657</v>
      </c>
      <c r="B9658" s="396" t="s">
        <v>18259</v>
      </c>
      <c r="C9658" s="396" t="s">
        <v>16874</v>
      </c>
      <c r="D9658" s="396" t="s">
        <v>18240</v>
      </c>
      <c r="E9658" s="396" t="s">
        <v>18241</v>
      </c>
      <c r="F9658" s="396" t="s">
        <v>18044</v>
      </c>
    </row>
    <row r="9659">
      <c r="A9659" s="311">
        <v>9658</v>
      </c>
      <c r="B9659" s="396" t="s">
        <v>18260</v>
      </c>
      <c r="C9659" s="396" t="s">
        <v>18261</v>
      </c>
      <c r="D9659" s="396" t="s">
        <v>18240</v>
      </c>
      <c r="E9659" s="396" t="s">
        <v>18241</v>
      </c>
      <c r="F9659" s="396" t="s">
        <v>18044</v>
      </c>
    </row>
    <row r="9660">
      <c r="A9660" s="311">
        <v>9659</v>
      </c>
      <c r="B9660" s="396" t="s">
        <v>18262</v>
      </c>
      <c r="C9660" s="396" t="s">
        <v>18263</v>
      </c>
      <c r="D9660" s="396" t="s">
        <v>18240</v>
      </c>
      <c r="E9660" s="396" t="s">
        <v>18241</v>
      </c>
      <c r="F9660" s="396" t="s">
        <v>18044</v>
      </c>
    </row>
    <row r="9661">
      <c r="A9661" s="311">
        <v>9660</v>
      </c>
      <c r="B9661" s="396" t="s">
        <v>18264</v>
      </c>
      <c r="C9661" s="396" t="s">
        <v>18265</v>
      </c>
      <c r="D9661" s="396" t="s">
        <v>18266</v>
      </c>
      <c r="E9661" s="396" t="s">
        <v>18267</v>
      </c>
      <c r="F9661" s="396" t="s">
        <v>18044</v>
      </c>
    </row>
    <row r="9662">
      <c r="A9662" s="311">
        <v>9661</v>
      </c>
      <c r="B9662" s="396" t="s">
        <v>18268</v>
      </c>
      <c r="C9662" s="396" t="s">
        <v>18269</v>
      </c>
      <c r="D9662" s="396" t="s">
        <v>18266</v>
      </c>
      <c r="E9662" s="396" t="s">
        <v>18267</v>
      </c>
      <c r="F9662" s="396" t="s">
        <v>18044</v>
      </c>
    </row>
    <row r="9663">
      <c r="A9663" s="311">
        <v>9662</v>
      </c>
      <c r="B9663" s="396" t="s">
        <v>18270</v>
      </c>
      <c r="C9663" s="396" t="s">
        <v>1552</v>
      </c>
      <c r="D9663" s="396" t="s">
        <v>18266</v>
      </c>
      <c r="E9663" s="396" t="s">
        <v>18267</v>
      </c>
      <c r="F9663" s="396" t="s">
        <v>18044</v>
      </c>
    </row>
    <row r="9664">
      <c r="A9664" s="311">
        <v>9663</v>
      </c>
      <c r="B9664" s="396" t="s">
        <v>18271</v>
      </c>
      <c r="C9664" s="396" t="s">
        <v>16902</v>
      </c>
      <c r="D9664" s="396" t="s">
        <v>18266</v>
      </c>
      <c r="E9664" s="396" t="s">
        <v>18267</v>
      </c>
      <c r="F9664" s="396" t="s">
        <v>18044</v>
      </c>
    </row>
    <row r="9665">
      <c r="A9665" s="311">
        <v>9664</v>
      </c>
      <c r="B9665" s="396" t="s">
        <v>18272</v>
      </c>
      <c r="C9665" s="396" t="s">
        <v>18273</v>
      </c>
      <c r="D9665" s="396" t="s">
        <v>18266</v>
      </c>
      <c r="E9665" s="396" t="s">
        <v>18267</v>
      </c>
      <c r="F9665" s="396" t="s">
        <v>18044</v>
      </c>
    </row>
    <row r="9666">
      <c r="A9666" s="311">
        <v>9665</v>
      </c>
      <c r="B9666" s="396" t="s">
        <v>18274</v>
      </c>
      <c r="C9666" s="396" t="s">
        <v>15019</v>
      </c>
      <c r="D9666" s="396" t="s">
        <v>18266</v>
      </c>
      <c r="E9666" s="396" t="s">
        <v>18267</v>
      </c>
      <c r="F9666" s="396" t="s">
        <v>18044</v>
      </c>
    </row>
    <row r="9667">
      <c r="A9667" s="311">
        <v>9666</v>
      </c>
      <c r="B9667" s="396" t="s">
        <v>18275</v>
      </c>
      <c r="C9667" s="396" t="s">
        <v>2319</v>
      </c>
      <c r="D9667" s="396" t="s">
        <v>18266</v>
      </c>
      <c r="E9667" s="396" t="s">
        <v>18267</v>
      </c>
      <c r="F9667" s="396" t="s">
        <v>18044</v>
      </c>
    </row>
    <row r="9668">
      <c r="A9668" s="311">
        <v>9667</v>
      </c>
      <c r="B9668" s="396" t="s">
        <v>18276</v>
      </c>
      <c r="C9668" s="396" t="s">
        <v>18277</v>
      </c>
      <c r="D9668" s="396" t="s">
        <v>18266</v>
      </c>
      <c r="E9668" s="396" t="s">
        <v>18267</v>
      </c>
      <c r="F9668" s="396" t="s">
        <v>18044</v>
      </c>
    </row>
    <row r="9669">
      <c r="A9669" s="311">
        <v>9668</v>
      </c>
      <c r="B9669" s="396" t="s">
        <v>18278</v>
      </c>
      <c r="C9669" s="396" t="s">
        <v>5928</v>
      </c>
      <c r="D9669" s="396" t="s">
        <v>18266</v>
      </c>
      <c r="E9669" s="396" t="s">
        <v>18267</v>
      </c>
      <c r="F9669" s="396" t="s">
        <v>18044</v>
      </c>
    </row>
    <row r="9670">
      <c r="A9670" s="311">
        <v>9669</v>
      </c>
      <c r="B9670" s="396" t="s">
        <v>18279</v>
      </c>
      <c r="C9670" s="396" t="s">
        <v>13660</v>
      </c>
      <c r="D9670" s="396" t="s">
        <v>18266</v>
      </c>
      <c r="E9670" s="396" t="s">
        <v>18267</v>
      </c>
      <c r="F9670" s="396" t="s">
        <v>18044</v>
      </c>
    </row>
    <row r="9671">
      <c r="A9671" s="311">
        <v>9670</v>
      </c>
      <c r="B9671" s="396" t="s">
        <v>18280</v>
      </c>
      <c r="C9671" s="396" t="s">
        <v>18281</v>
      </c>
      <c r="D9671" s="396" t="s">
        <v>18266</v>
      </c>
      <c r="E9671" s="396" t="s">
        <v>18267</v>
      </c>
      <c r="F9671" s="396" t="s">
        <v>18044</v>
      </c>
    </row>
    <row r="9672">
      <c r="A9672" s="311">
        <v>9671</v>
      </c>
      <c r="B9672" s="396" t="s">
        <v>18282</v>
      </c>
      <c r="C9672" s="396" t="s">
        <v>11346</v>
      </c>
      <c r="D9672" s="396" t="s">
        <v>18266</v>
      </c>
      <c r="E9672" s="396" t="s">
        <v>18267</v>
      </c>
      <c r="F9672" s="396" t="s">
        <v>18044</v>
      </c>
    </row>
    <row r="9673">
      <c r="A9673" s="311">
        <v>9672</v>
      </c>
      <c r="B9673" s="396" t="s">
        <v>18283</v>
      </c>
      <c r="C9673" s="396" t="s">
        <v>752</v>
      </c>
      <c r="D9673" s="396" t="s">
        <v>18266</v>
      </c>
      <c r="E9673" s="396" t="s">
        <v>18267</v>
      </c>
      <c r="F9673" s="396" t="s">
        <v>18044</v>
      </c>
    </row>
    <row r="9674">
      <c r="A9674" s="311">
        <v>9673</v>
      </c>
      <c r="B9674" s="396" t="s">
        <v>18284</v>
      </c>
      <c r="C9674" s="396" t="s">
        <v>18285</v>
      </c>
      <c r="D9674" s="396" t="s">
        <v>18286</v>
      </c>
      <c r="E9674" s="396" t="s">
        <v>18287</v>
      </c>
      <c r="F9674" s="396" t="s">
        <v>18044</v>
      </c>
    </row>
    <row r="9675">
      <c r="A9675" s="311">
        <v>9674</v>
      </c>
      <c r="B9675" s="396" t="s">
        <v>18288</v>
      </c>
      <c r="C9675" s="396" t="s">
        <v>18200</v>
      </c>
      <c r="D9675" s="396" t="s">
        <v>18286</v>
      </c>
      <c r="E9675" s="396" t="s">
        <v>18287</v>
      </c>
      <c r="F9675" s="396" t="s">
        <v>18044</v>
      </c>
    </row>
    <row r="9676">
      <c r="A9676" s="311">
        <v>9675</v>
      </c>
      <c r="B9676" s="396" t="s">
        <v>18289</v>
      </c>
      <c r="C9676" s="396" t="s">
        <v>18290</v>
      </c>
      <c r="D9676" s="396" t="s">
        <v>18286</v>
      </c>
      <c r="E9676" s="396" t="s">
        <v>18287</v>
      </c>
      <c r="F9676" s="396" t="s">
        <v>18044</v>
      </c>
    </row>
    <row r="9677">
      <c r="A9677" s="311">
        <v>9676</v>
      </c>
      <c r="B9677" s="396" t="s">
        <v>18291</v>
      </c>
      <c r="C9677" s="396" t="s">
        <v>18292</v>
      </c>
      <c r="D9677" s="396" t="s">
        <v>18286</v>
      </c>
      <c r="E9677" s="396" t="s">
        <v>18287</v>
      </c>
      <c r="F9677" s="396" t="s">
        <v>18044</v>
      </c>
    </row>
    <row r="9678">
      <c r="A9678" s="311">
        <v>9677</v>
      </c>
      <c r="B9678" s="396" t="s">
        <v>18293</v>
      </c>
      <c r="C9678" s="396" t="s">
        <v>18294</v>
      </c>
      <c r="D9678" s="396" t="s">
        <v>18286</v>
      </c>
      <c r="E9678" s="396" t="s">
        <v>18287</v>
      </c>
      <c r="F9678" s="396" t="s">
        <v>18044</v>
      </c>
    </row>
    <row r="9679">
      <c r="A9679" s="311">
        <v>9678</v>
      </c>
      <c r="B9679" s="396" t="s">
        <v>18295</v>
      </c>
      <c r="C9679" s="396" t="s">
        <v>18296</v>
      </c>
      <c r="D9679" s="396" t="s">
        <v>18286</v>
      </c>
      <c r="E9679" s="396" t="s">
        <v>18287</v>
      </c>
      <c r="F9679" s="396" t="s">
        <v>18044</v>
      </c>
    </row>
    <row r="9680">
      <c r="A9680" s="311">
        <v>9679</v>
      </c>
      <c r="B9680" s="396" t="s">
        <v>18297</v>
      </c>
      <c r="C9680" s="396" t="s">
        <v>18298</v>
      </c>
      <c r="D9680" s="396" t="s">
        <v>18286</v>
      </c>
      <c r="E9680" s="396" t="s">
        <v>18287</v>
      </c>
      <c r="F9680" s="396" t="s">
        <v>18044</v>
      </c>
    </row>
    <row r="9681">
      <c r="A9681" s="311">
        <v>9680</v>
      </c>
      <c r="B9681" s="396" t="s">
        <v>18299</v>
      </c>
      <c r="C9681" s="396" t="s">
        <v>1729</v>
      </c>
      <c r="D9681" s="396" t="s">
        <v>18286</v>
      </c>
      <c r="E9681" s="396" t="s">
        <v>18287</v>
      </c>
      <c r="F9681" s="396" t="s">
        <v>18044</v>
      </c>
    </row>
    <row r="9682">
      <c r="A9682" s="311">
        <v>9681</v>
      </c>
      <c r="B9682" s="396" t="s">
        <v>18300</v>
      </c>
      <c r="C9682" s="396" t="s">
        <v>18301</v>
      </c>
      <c r="D9682" s="396" t="s">
        <v>18286</v>
      </c>
      <c r="E9682" s="396" t="s">
        <v>18287</v>
      </c>
      <c r="F9682" s="396" t="s">
        <v>18044</v>
      </c>
    </row>
    <row r="9683">
      <c r="A9683" s="311">
        <v>9682</v>
      </c>
      <c r="B9683" s="396" t="s">
        <v>18302</v>
      </c>
      <c r="C9683" s="396" t="s">
        <v>13876</v>
      </c>
      <c r="D9683" s="396" t="s">
        <v>18286</v>
      </c>
      <c r="E9683" s="396" t="s">
        <v>18287</v>
      </c>
      <c r="F9683" s="396" t="s">
        <v>18044</v>
      </c>
    </row>
    <row r="9684">
      <c r="A9684" s="311">
        <v>9683</v>
      </c>
      <c r="B9684" s="396" t="s">
        <v>18303</v>
      </c>
      <c r="C9684" s="396" t="s">
        <v>18304</v>
      </c>
      <c r="D9684" s="396" t="s">
        <v>18286</v>
      </c>
      <c r="E9684" s="396" t="s">
        <v>18287</v>
      </c>
      <c r="F9684" s="396" t="s">
        <v>18044</v>
      </c>
    </row>
    <row r="9685">
      <c r="A9685" s="311">
        <v>9684</v>
      </c>
      <c r="B9685" s="396" t="s">
        <v>18305</v>
      </c>
      <c r="C9685" s="396" t="s">
        <v>18306</v>
      </c>
      <c r="D9685" s="396" t="s">
        <v>18307</v>
      </c>
      <c r="E9685" s="396" t="s">
        <v>18308</v>
      </c>
      <c r="F9685" s="396" t="s">
        <v>18044</v>
      </c>
    </row>
    <row r="9686">
      <c r="A9686" s="311">
        <v>9685</v>
      </c>
      <c r="B9686" s="396" t="s">
        <v>18309</v>
      </c>
      <c r="C9686" s="396" t="s">
        <v>18310</v>
      </c>
      <c r="D9686" s="396" t="s">
        <v>18307</v>
      </c>
      <c r="E9686" s="396" t="s">
        <v>18308</v>
      </c>
      <c r="F9686" s="396" t="s">
        <v>18044</v>
      </c>
    </row>
    <row r="9687">
      <c r="A9687" s="311">
        <v>9686</v>
      </c>
      <c r="B9687" s="396" t="s">
        <v>18311</v>
      </c>
      <c r="C9687" s="396" t="s">
        <v>18312</v>
      </c>
      <c r="D9687" s="396" t="s">
        <v>18307</v>
      </c>
      <c r="E9687" s="396" t="s">
        <v>18308</v>
      </c>
      <c r="F9687" s="396" t="s">
        <v>18044</v>
      </c>
    </row>
    <row r="9688">
      <c r="A9688" s="311">
        <v>9687</v>
      </c>
      <c r="B9688" s="396" t="s">
        <v>18313</v>
      </c>
      <c r="C9688" s="396" t="s">
        <v>18314</v>
      </c>
      <c r="D9688" s="396" t="s">
        <v>18307</v>
      </c>
      <c r="E9688" s="396" t="s">
        <v>18308</v>
      </c>
      <c r="F9688" s="396" t="s">
        <v>18044</v>
      </c>
    </row>
    <row r="9689">
      <c r="A9689" s="311">
        <v>9688</v>
      </c>
      <c r="B9689" s="396" t="s">
        <v>18315</v>
      </c>
      <c r="C9689" s="396" t="s">
        <v>18316</v>
      </c>
      <c r="D9689" s="396" t="s">
        <v>18307</v>
      </c>
      <c r="E9689" s="396" t="s">
        <v>18308</v>
      </c>
      <c r="F9689" s="396" t="s">
        <v>18044</v>
      </c>
    </row>
    <row r="9690">
      <c r="A9690" s="311">
        <v>9689</v>
      </c>
      <c r="B9690" s="396" t="s">
        <v>18317</v>
      </c>
      <c r="C9690" s="396" t="s">
        <v>16979</v>
      </c>
      <c r="D9690" s="396" t="s">
        <v>18307</v>
      </c>
      <c r="E9690" s="396" t="s">
        <v>18308</v>
      </c>
      <c r="F9690" s="396" t="s">
        <v>18044</v>
      </c>
    </row>
    <row r="9691">
      <c r="A9691" s="311">
        <v>9690</v>
      </c>
      <c r="B9691" s="396" t="s">
        <v>18318</v>
      </c>
      <c r="C9691" s="396" t="s">
        <v>18319</v>
      </c>
      <c r="D9691" s="396" t="s">
        <v>18307</v>
      </c>
      <c r="E9691" s="396" t="s">
        <v>18308</v>
      </c>
      <c r="F9691" s="396" t="s">
        <v>18044</v>
      </c>
    </row>
    <row r="9692">
      <c r="A9692" s="311">
        <v>9691</v>
      </c>
      <c r="B9692" s="396" t="s">
        <v>18320</v>
      </c>
      <c r="C9692" s="396" t="s">
        <v>4284</v>
      </c>
      <c r="D9692" s="396" t="s">
        <v>18307</v>
      </c>
      <c r="E9692" s="396" t="s">
        <v>18308</v>
      </c>
      <c r="F9692" s="396" t="s">
        <v>18044</v>
      </c>
    </row>
    <row r="9693">
      <c r="A9693" s="311">
        <v>9692</v>
      </c>
      <c r="B9693" s="396" t="s">
        <v>18321</v>
      </c>
      <c r="C9693" s="396" t="s">
        <v>12327</v>
      </c>
      <c r="D9693" s="396" t="s">
        <v>18307</v>
      </c>
      <c r="E9693" s="396" t="s">
        <v>18308</v>
      </c>
      <c r="F9693" s="396" t="s">
        <v>18044</v>
      </c>
    </row>
    <row r="9694">
      <c r="A9694" s="311">
        <v>9693</v>
      </c>
      <c r="B9694" s="396" t="s">
        <v>18322</v>
      </c>
      <c r="C9694" s="396" t="s">
        <v>18323</v>
      </c>
      <c r="D9694" s="396" t="s">
        <v>18307</v>
      </c>
      <c r="E9694" s="396" t="s">
        <v>18308</v>
      </c>
      <c r="F9694" s="396" t="s">
        <v>18044</v>
      </c>
    </row>
    <row r="9695">
      <c r="A9695" s="311">
        <v>9694</v>
      </c>
      <c r="B9695" s="396" t="s">
        <v>18324</v>
      </c>
      <c r="C9695" s="396" t="s">
        <v>18325</v>
      </c>
      <c r="D9695" s="396" t="s">
        <v>18307</v>
      </c>
      <c r="E9695" s="396" t="s">
        <v>18308</v>
      </c>
      <c r="F9695" s="396" t="s">
        <v>18044</v>
      </c>
    </row>
    <row r="9696">
      <c r="A9696" s="311">
        <v>9695</v>
      </c>
      <c r="B9696" s="396" t="s">
        <v>18326</v>
      </c>
      <c r="C9696" s="396" t="s">
        <v>18327</v>
      </c>
      <c r="D9696" s="396" t="s">
        <v>18307</v>
      </c>
      <c r="E9696" s="396" t="s">
        <v>18308</v>
      </c>
      <c r="F9696" s="396" t="s">
        <v>18044</v>
      </c>
    </row>
    <row r="9697">
      <c r="A9697" s="311">
        <v>9696</v>
      </c>
      <c r="B9697" s="396" t="s">
        <v>18328</v>
      </c>
      <c r="C9697" s="396" t="s">
        <v>18329</v>
      </c>
      <c r="D9697" s="396" t="s">
        <v>18307</v>
      </c>
      <c r="E9697" s="396" t="s">
        <v>18308</v>
      </c>
      <c r="F9697" s="396" t="s">
        <v>18044</v>
      </c>
    </row>
    <row r="9698">
      <c r="A9698" s="311">
        <v>9697</v>
      </c>
      <c r="B9698" s="396" t="s">
        <v>18330</v>
      </c>
      <c r="C9698" s="396" t="s">
        <v>18331</v>
      </c>
      <c r="D9698" s="396" t="s">
        <v>18307</v>
      </c>
      <c r="E9698" s="396" t="s">
        <v>18308</v>
      </c>
      <c r="F9698" s="396" t="s">
        <v>18044</v>
      </c>
    </row>
    <row r="9699">
      <c r="A9699" s="311">
        <v>9698</v>
      </c>
      <c r="B9699" s="396" t="s">
        <v>18332</v>
      </c>
      <c r="C9699" s="396" t="s">
        <v>16882</v>
      </c>
      <c r="D9699" s="396" t="s">
        <v>18307</v>
      </c>
      <c r="E9699" s="396" t="s">
        <v>18308</v>
      </c>
      <c r="F9699" s="396" t="s">
        <v>18044</v>
      </c>
    </row>
    <row r="9700">
      <c r="A9700" s="311">
        <v>9699</v>
      </c>
      <c r="B9700" s="396" t="s">
        <v>18333</v>
      </c>
      <c r="C9700" s="396" t="s">
        <v>18334</v>
      </c>
      <c r="D9700" s="396" t="s">
        <v>18307</v>
      </c>
      <c r="E9700" s="396" t="s">
        <v>18308</v>
      </c>
      <c r="F9700" s="396" t="s">
        <v>18044</v>
      </c>
    </row>
    <row r="9701">
      <c r="A9701" s="311">
        <v>9700</v>
      </c>
      <c r="B9701" s="396" t="s">
        <v>18335</v>
      </c>
      <c r="C9701" s="396" t="s">
        <v>18336</v>
      </c>
      <c r="D9701" s="396" t="s">
        <v>18307</v>
      </c>
      <c r="E9701" s="396" t="s">
        <v>18308</v>
      </c>
      <c r="F9701" s="396" t="s">
        <v>18044</v>
      </c>
    </row>
    <row r="9702">
      <c r="A9702" s="311">
        <v>9701</v>
      </c>
      <c r="B9702" s="396" t="s">
        <v>18337</v>
      </c>
      <c r="C9702" s="396" t="s">
        <v>18338</v>
      </c>
      <c r="D9702" s="396" t="s">
        <v>18339</v>
      </c>
      <c r="E9702" s="396" t="s">
        <v>18340</v>
      </c>
      <c r="F9702" s="396" t="s">
        <v>18044</v>
      </c>
    </row>
    <row r="9703">
      <c r="A9703" s="311">
        <v>9702</v>
      </c>
      <c r="B9703" s="396" t="s">
        <v>18341</v>
      </c>
      <c r="C9703" s="396" t="s">
        <v>18342</v>
      </c>
      <c r="D9703" s="396" t="s">
        <v>18339</v>
      </c>
      <c r="E9703" s="396" t="s">
        <v>18340</v>
      </c>
      <c r="F9703" s="396" t="s">
        <v>18044</v>
      </c>
    </row>
    <row r="9704">
      <c r="A9704" s="311">
        <v>9703</v>
      </c>
      <c r="B9704" s="396" t="s">
        <v>18343</v>
      </c>
      <c r="C9704" s="396" t="s">
        <v>18344</v>
      </c>
      <c r="D9704" s="396" t="s">
        <v>18339</v>
      </c>
      <c r="E9704" s="396" t="s">
        <v>18340</v>
      </c>
      <c r="F9704" s="396" t="s">
        <v>18044</v>
      </c>
    </row>
    <row r="9705">
      <c r="A9705" s="311">
        <v>9704</v>
      </c>
      <c r="B9705" s="396" t="s">
        <v>18345</v>
      </c>
      <c r="C9705" s="396" t="s">
        <v>18346</v>
      </c>
      <c r="D9705" s="396" t="s">
        <v>18339</v>
      </c>
      <c r="E9705" s="396" t="s">
        <v>18340</v>
      </c>
      <c r="F9705" s="396" t="s">
        <v>18044</v>
      </c>
    </row>
    <row r="9706">
      <c r="A9706" s="311">
        <v>9705</v>
      </c>
      <c r="B9706" s="396" t="s">
        <v>18347</v>
      </c>
      <c r="C9706" s="396" t="s">
        <v>4878</v>
      </c>
      <c r="D9706" s="396" t="s">
        <v>18339</v>
      </c>
      <c r="E9706" s="396" t="s">
        <v>18340</v>
      </c>
      <c r="F9706" s="396" t="s">
        <v>18044</v>
      </c>
    </row>
    <row r="9707">
      <c r="A9707" s="311">
        <v>9706</v>
      </c>
      <c r="B9707" s="396" t="s">
        <v>18348</v>
      </c>
      <c r="C9707" s="396" t="s">
        <v>14841</v>
      </c>
      <c r="D9707" s="396" t="s">
        <v>18339</v>
      </c>
      <c r="E9707" s="396" t="s">
        <v>18340</v>
      </c>
      <c r="F9707" s="396" t="s">
        <v>18044</v>
      </c>
    </row>
    <row r="9708">
      <c r="A9708" s="311">
        <v>9707</v>
      </c>
      <c r="B9708" s="396" t="s">
        <v>18349</v>
      </c>
      <c r="C9708" s="396" t="s">
        <v>8578</v>
      </c>
      <c r="D9708" s="396" t="s">
        <v>18339</v>
      </c>
      <c r="E9708" s="396" t="s">
        <v>18340</v>
      </c>
      <c r="F9708" s="396" t="s">
        <v>18044</v>
      </c>
    </row>
    <row r="9709">
      <c r="A9709" s="311">
        <v>9708</v>
      </c>
      <c r="B9709" s="396" t="s">
        <v>18350</v>
      </c>
      <c r="C9709" s="396" t="s">
        <v>18351</v>
      </c>
      <c r="D9709" s="396" t="s">
        <v>18339</v>
      </c>
      <c r="E9709" s="396" t="s">
        <v>18340</v>
      </c>
      <c r="F9709" s="396" t="s">
        <v>18044</v>
      </c>
    </row>
    <row r="9710">
      <c r="A9710" s="311">
        <v>9709</v>
      </c>
      <c r="B9710" s="396" t="s">
        <v>18352</v>
      </c>
      <c r="C9710" s="396" t="s">
        <v>18353</v>
      </c>
      <c r="D9710" s="396" t="s">
        <v>18339</v>
      </c>
      <c r="E9710" s="396" t="s">
        <v>18340</v>
      </c>
      <c r="F9710" s="396" t="s">
        <v>18044</v>
      </c>
    </row>
    <row r="9711">
      <c r="A9711" s="311">
        <v>9710</v>
      </c>
      <c r="B9711" s="396" t="s">
        <v>18354</v>
      </c>
      <c r="C9711" s="396" t="s">
        <v>18355</v>
      </c>
      <c r="D9711" s="396" t="s">
        <v>18339</v>
      </c>
      <c r="E9711" s="396" t="s">
        <v>18340</v>
      </c>
      <c r="F9711" s="396" t="s">
        <v>18044</v>
      </c>
    </row>
    <row r="9712">
      <c r="A9712" s="311">
        <v>9711</v>
      </c>
      <c r="B9712" s="396" t="s">
        <v>18356</v>
      </c>
      <c r="C9712" s="396" t="s">
        <v>4868</v>
      </c>
      <c r="D9712" s="396" t="s">
        <v>18339</v>
      </c>
      <c r="E9712" s="396" t="s">
        <v>18340</v>
      </c>
      <c r="F9712" s="396" t="s">
        <v>18044</v>
      </c>
    </row>
    <row r="9713">
      <c r="A9713" s="311">
        <v>9712</v>
      </c>
      <c r="B9713" s="396" t="s">
        <v>18357</v>
      </c>
      <c r="C9713" s="396" t="s">
        <v>18358</v>
      </c>
      <c r="D9713" s="396" t="s">
        <v>18339</v>
      </c>
      <c r="E9713" s="396" t="s">
        <v>18340</v>
      </c>
      <c r="F9713" s="396" t="s">
        <v>18044</v>
      </c>
    </row>
    <row r="9714">
      <c r="A9714" s="311">
        <v>9713</v>
      </c>
      <c r="B9714" s="396" t="s">
        <v>18359</v>
      </c>
      <c r="C9714" s="396" t="s">
        <v>18360</v>
      </c>
      <c r="D9714" s="396" t="s">
        <v>18339</v>
      </c>
      <c r="E9714" s="396" t="s">
        <v>18340</v>
      </c>
      <c r="F9714" s="396" t="s">
        <v>18044</v>
      </c>
    </row>
    <row r="9715">
      <c r="A9715" s="311">
        <v>9714</v>
      </c>
      <c r="B9715" s="396" t="s">
        <v>18361</v>
      </c>
      <c r="C9715" s="396" t="s">
        <v>17332</v>
      </c>
      <c r="D9715" s="396" t="s">
        <v>18339</v>
      </c>
      <c r="E9715" s="396" t="s">
        <v>18340</v>
      </c>
      <c r="F9715" s="396" t="s">
        <v>18044</v>
      </c>
    </row>
    <row r="9716">
      <c r="A9716" s="311">
        <v>9715</v>
      </c>
      <c r="B9716" s="396" t="s">
        <v>18362</v>
      </c>
      <c r="C9716" s="396" t="s">
        <v>18363</v>
      </c>
      <c r="D9716" s="396" t="s">
        <v>18339</v>
      </c>
      <c r="E9716" s="396" t="s">
        <v>18340</v>
      </c>
      <c r="F9716" s="396" t="s">
        <v>18044</v>
      </c>
    </row>
    <row r="9717">
      <c r="A9717" s="311">
        <v>9716</v>
      </c>
      <c r="B9717" s="396" t="s">
        <v>18364</v>
      </c>
      <c r="C9717" s="396" t="s">
        <v>17967</v>
      </c>
      <c r="D9717" s="396" t="s">
        <v>18339</v>
      </c>
      <c r="E9717" s="396" t="s">
        <v>18340</v>
      </c>
      <c r="F9717" s="396" t="s">
        <v>18044</v>
      </c>
    </row>
    <row r="9718">
      <c r="A9718" s="311">
        <v>9717</v>
      </c>
      <c r="B9718" s="396" t="s">
        <v>18365</v>
      </c>
      <c r="C9718" s="396" t="s">
        <v>18366</v>
      </c>
      <c r="D9718" s="396" t="s">
        <v>18339</v>
      </c>
      <c r="E9718" s="396" t="s">
        <v>18340</v>
      </c>
      <c r="F9718" s="396" t="s">
        <v>18044</v>
      </c>
    </row>
    <row r="9719">
      <c r="A9719" s="311">
        <v>9718</v>
      </c>
      <c r="B9719" s="396" t="s">
        <v>18367</v>
      </c>
      <c r="C9719" s="396" t="s">
        <v>18368</v>
      </c>
      <c r="D9719" s="396" t="s">
        <v>18369</v>
      </c>
      <c r="E9719" s="396" t="s">
        <v>16827</v>
      </c>
      <c r="F9719" s="396" t="s">
        <v>18044</v>
      </c>
    </row>
    <row r="9720">
      <c r="A9720" s="311">
        <v>9719</v>
      </c>
      <c r="B9720" s="396" t="s">
        <v>18370</v>
      </c>
      <c r="C9720" s="396" t="s">
        <v>18371</v>
      </c>
      <c r="D9720" s="396" t="s">
        <v>18369</v>
      </c>
      <c r="E9720" s="396" t="s">
        <v>16827</v>
      </c>
      <c r="F9720" s="396" t="s">
        <v>18044</v>
      </c>
    </row>
    <row r="9721">
      <c r="A9721" s="311">
        <v>9720</v>
      </c>
      <c r="B9721" s="396" t="s">
        <v>18372</v>
      </c>
      <c r="C9721" s="396" t="s">
        <v>1161</v>
      </c>
      <c r="D9721" s="396" t="s">
        <v>18369</v>
      </c>
      <c r="E9721" s="396" t="s">
        <v>16827</v>
      </c>
      <c r="F9721" s="396" t="s">
        <v>18044</v>
      </c>
    </row>
    <row r="9722">
      <c r="A9722" s="311">
        <v>9721</v>
      </c>
      <c r="B9722" s="396" t="s">
        <v>18373</v>
      </c>
      <c r="C9722" s="396" t="s">
        <v>18374</v>
      </c>
      <c r="D9722" s="396" t="s">
        <v>18369</v>
      </c>
      <c r="E9722" s="396" t="s">
        <v>16827</v>
      </c>
      <c r="F9722" s="396" t="s">
        <v>18044</v>
      </c>
    </row>
    <row r="9723">
      <c r="A9723" s="311">
        <v>9722</v>
      </c>
      <c r="B9723" s="396" t="s">
        <v>18375</v>
      </c>
      <c r="C9723" s="396" t="s">
        <v>18376</v>
      </c>
      <c r="D9723" s="396" t="s">
        <v>18369</v>
      </c>
      <c r="E9723" s="396" t="s">
        <v>16827</v>
      </c>
      <c r="F9723" s="396" t="s">
        <v>18044</v>
      </c>
    </row>
    <row r="9724">
      <c r="A9724" s="311">
        <v>9723</v>
      </c>
      <c r="B9724" s="396" t="s">
        <v>18377</v>
      </c>
      <c r="C9724" s="396" t="s">
        <v>18378</v>
      </c>
      <c r="D9724" s="396" t="s">
        <v>18369</v>
      </c>
      <c r="E9724" s="396" t="s">
        <v>16827</v>
      </c>
      <c r="F9724" s="396" t="s">
        <v>18044</v>
      </c>
    </row>
    <row r="9725">
      <c r="A9725" s="311">
        <v>9724</v>
      </c>
      <c r="B9725" s="396" t="s">
        <v>18379</v>
      </c>
      <c r="C9725" s="396" t="s">
        <v>16414</v>
      </c>
      <c r="D9725" s="396" t="s">
        <v>18369</v>
      </c>
      <c r="E9725" s="396" t="s">
        <v>16827</v>
      </c>
      <c r="F9725" s="396" t="s">
        <v>18044</v>
      </c>
    </row>
    <row r="9726">
      <c r="A9726" s="311">
        <v>9725</v>
      </c>
      <c r="B9726" s="396" t="s">
        <v>18380</v>
      </c>
      <c r="C9726" s="396" t="s">
        <v>18381</v>
      </c>
      <c r="D9726" s="396" t="s">
        <v>18369</v>
      </c>
      <c r="E9726" s="396" t="s">
        <v>16827</v>
      </c>
      <c r="F9726" s="396" t="s">
        <v>18044</v>
      </c>
    </row>
    <row r="9727">
      <c r="A9727" s="311">
        <v>9726</v>
      </c>
      <c r="B9727" s="396" t="s">
        <v>18382</v>
      </c>
      <c r="C9727" s="396" t="s">
        <v>18383</v>
      </c>
      <c r="D9727" s="396" t="s">
        <v>18369</v>
      </c>
      <c r="E9727" s="396" t="s">
        <v>16827</v>
      </c>
      <c r="F9727" s="396" t="s">
        <v>18044</v>
      </c>
    </row>
    <row r="9728">
      <c r="A9728" s="311">
        <v>9727</v>
      </c>
      <c r="B9728" s="396" t="s">
        <v>18384</v>
      </c>
      <c r="C9728" s="396" t="s">
        <v>18385</v>
      </c>
      <c r="D9728" s="396" t="s">
        <v>18369</v>
      </c>
      <c r="E9728" s="396" t="s">
        <v>16827</v>
      </c>
      <c r="F9728" s="396" t="s">
        <v>18044</v>
      </c>
    </row>
    <row r="9729">
      <c r="A9729" s="311">
        <v>9728</v>
      </c>
      <c r="B9729" s="396" t="s">
        <v>18386</v>
      </c>
      <c r="C9729" s="396" t="s">
        <v>18387</v>
      </c>
      <c r="D9729" s="396" t="s">
        <v>18369</v>
      </c>
      <c r="E9729" s="396" t="s">
        <v>16827</v>
      </c>
      <c r="F9729" s="396" t="s">
        <v>18044</v>
      </c>
    </row>
    <row r="9730">
      <c r="A9730" s="311">
        <v>9729</v>
      </c>
      <c r="B9730" s="396" t="s">
        <v>18388</v>
      </c>
      <c r="C9730" s="396" t="s">
        <v>18389</v>
      </c>
      <c r="D9730" s="396" t="s">
        <v>18369</v>
      </c>
      <c r="E9730" s="396" t="s">
        <v>16827</v>
      </c>
      <c r="F9730" s="396" t="s">
        <v>18044</v>
      </c>
    </row>
    <row r="9731">
      <c r="A9731" s="311">
        <v>9730</v>
      </c>
      <c r="B9731" s="396" t="s">
        <v>18390</v>
      </c>
      <c r="C9731" s="396" t="s">
        <v>18391</v>
      </c>
      <c r="D9731" s="396" t="s">
        <v>18369</v>
      </c>
      <c r="E9731" s="396" t="s">
        <v>16827</v>
      </c>
      <c r="F9731" s="396" t="s">
        <v>18044</v>
      </c>
    </row>
    <row r="9732">
      <c r="A9732" s="311">
        <v>9731</v>
      </c>
      <c r="B9732" s="396" t="s">
        <v>18392</v>
      </c>
      <c r="C9732" s="396" t="s">
        <v>12451</v>
      </c>
      <c r="D9732" s="396" t="s">
        <v>18393</v>
      </c>
      <c r="E9732" s="396" t="s">
        <v>18394</v>
      </c>
      <c r="F9732" s="396" t="s">
        <v>18395</v>
      </c>
    </row>
    <row r="9733">
      <c r="A9733" s="311">
        <v>9732</v>
      </c>
      <c r="B9733" s="396" t="s">
        <v>18396</v>
      </c>
      <c r="C9733" s="396" t="s">
        <v>12449</v>
      </c>
      <c r="D9733" s="396" t="s">
        <v>18393</v>
      </c>
      <c r="E9733" s="396" t="s">
        <v>18394</v>
      </c>
      <c r="F9733" s="396" t="s">
        <v>18395</v>
      </c>
    </row>
    <row r="9734">
      <c r="A9734" s="311">
        <v>9733</v>
      </c>
      <c r="B9734" s="396" t="s">
        <v>18397</v>
      </c>
      <c r="C9734" s="396" t="s">
        <v>14278</v>
      </c>
      <c r="D9734" s="396" t="s">
        <v>18393</v>
      </c>
      <c r="E9734" s="396" t="s">
        <v>18394</v>
      </c>
      <c r="F9734" s="396" t="s">
        <v>18395</v>
      </c>
    </row>
    <row r="9735">
      <c r="A9735" s="311">
        <v>9734</v>
      </c>
      <c r="B9735" s="396" t="s">
        <v>18398</v>
      </c>
      <c r="C9735" s="396" t="s">
        <v>12455</v>
      </c>
      <c r="D9735" s="396" t="s">
        <v>18393</v>
      </c>
      <c r="E9735" s="396" t="s">
        <v>18394</v>
      </c>
      <c r="F9735" s="396" t="s">
        <v>18395</v>
      </c>
    </row>
    <row r="9736">
      <c r="A9736" s="311">
        <v>9735</v>
      </c>
      <c r="B9736" s="396" t="s">
        <v>18399</v>
      </c>
      <c r="C9736" s="396" t="s">
        <v>12441</v>
      </c>
      <c r="D9736" s="396" t="s">
        <v>18393</v>
      </c>
      <c r="E9736" s="396" t="s">
        <v>18394</v>
      </c>
      <c r="F9736" s="396" t="s">
        <v>18395</v>
      </c>
    </row>
    <row r="9737">
      <c r="A9737" s="311">
        <v>9736</v>
      </c>
      <c r="B9737" s="396" t="s">
        <v>18400</v>
      </c>
      <c r="C9737" s="396" t="s">
        <v>12447</v>
      </c>
      <c r="D9737" s="396" t="s">
        <v>18393</v>
      </c>
      <c r="E9737" s="396" t="s">
        <v>18394</v>
      </c>
      <c r="F9737" s="396" t="s">
        <v>18395</v>
      </c>
    </row>
    <row r="9738">
      <c r="A9738" s="311">
        <v>9737</v>
      </c>
      <c r="B9738" s="396" t="s">
        <v>18401</v>
      </c>
      <c r="C9738" s="396" t="s">
        <v>14270</v>
      </c>
      <c r="D9738" s="396" t="s">
        <v>18393</v>
      </c>
      <c r="E9738" s="396" t="s">
        <v>18394</v>
      </c>
      <c r="F9738" s="396" t="s">
        <v>18395</v>
      </c>
    </row>
    <row r="9739">
      <c r="A9739" s="311">
        <v>9738</v>
      </c>
      <c r="B9739" s="396" t="s">
        <v>18402</v>
      </c>
      <c r="C9739" s="396" t="s">
        <v>14280</v>
      </c>
      <c r="D9739" s="396" t="s">
        <v>18393</v>
      </c>
      <c r="E9739" s="396" t="s">
        <v>18394</v>
      </c>
      <c r="F9739" s="396" t="s">
        <v>18395</v>
      </c>
    </row>
    <row r="9740">
      <c r="A9740" s="311">
        <v>9739</v>
      </c>
      <c r="B9740" s="396" t="s">
        <v>18403</v>
      </c>
      <c r="C9740" s="396" t="s">
        <v>14273</v>
      </c>
      <c r="D9740" s="396" t="s">
        <v>18393</v>
      </c>
      <c r="E9740" s="396" t="s">
        <v>18394</v>
      </c>
      <c r="F9740" s="396" t="s">
        <v>18395</v>
      </c>
    </row>
    <row r="9741">
      <c r="A9741" s="311">
        <v>9740</v>
      </c>
      <c r="B9741" s="396" t="s">
        <v>18404</v>
      </c>
      <c r="C9741" s="396" t="s">
        <v>16300</v>
      </c>
      <c r="D9741" s="396" t="s">
        <v>18393</v>
      </c>
      <c r="E9741" s="396" t="s">
        <v>18394</v>
      </c>
      <c r="F9741" s="396" t="s">
        <v>18395</v>
      </c>
    </row>
    <row r="9742">
      <c r="A9742" s="311">
        <v>9741</v>
      </c>
      <c r="B9742" s="396" t="s">
        <v>18405</v>
      </c>
      <c r="C9742" s="396" t="s">
        <v>4596</v>
      </c>
      <c r="D9742" s="396" t="s">
        <v>18393</v>
      </c>
      <c r="E9742" s="396" t="s">
        <v>18394</v>
      </c>
      <c r="F9742" s="396" t="s">
        <v>18395</v>
      </c>
    </row>
    <row r="9743">
      <c r="A9743" s="311">
        <v>9742</v>
      </c>
      <c r="B9743" s="396" t="s">
        <v>18406</v>
      </c>
      <c r="C9743" s="396" t="s">
        <v>18407</v>
      </c>
      <c r="D9743" s="396" t="s">
        <v>18393</v>
      </c>
      <c r="E9743" s="396" t="s">
        <v>18394</v>
      </c>
      <c r="F9743" s="396" t="s">
        <v>18395</v>
      </c>
    </row>
    <row r="9744">
      <c r="A9744" s="311">
        <v>9743</v>
      </c>
      <c r="B9744" s="396" t="s">
        <v>18408</v>
      </c>
      <c r="C9744" s="396" t="s">
        <v>8737</v>
      </c>
      <c r="D9744" s="396" t="s">
        <v>18393</v>
      </c>
      <c r="E9744" s="396" t="s">
        <v>18394</v>
      </c>
      <c r="F9744" s="396" t="s">
        <v>18395</v>
      </c>
    </row>
    <row r="9745">
      <c r="A9745" s="311">
        <v>9744</v>
      </c>
      <c r="B9745" s="396" t="s">
        <v>18409</v>
      </c>
      <c r="C9745" s="396" t="s">
        <v>14099</v>
      </c>
      <c r="D9745" s="396" t="s">
        <v>18393</v>
      </c>
      <c r="E9745" s="396" t="s">
        <v>18394</v>
      </c>
      <c r="F9745" s="396" t="s">
        <v>18395</v>
      </c>
    </row>
    <row r="9746">
      <c r="A9746" s="311">
        <v>9745</v>
      </c>
      <c r="B9746" s="396" t="s">
        <v>18410</v>
      </c>
      <c r="C9746" s="396" t="s">
        <v>18411</v>
      </c>
      <c r="D9746" s="396" t="s">
        <v>18393</v>
      </c>
      <c r="E9746" s="396" t="s">
        <v>18394</v>
      </c>
      <c r="F9746" s="396" t="s">
        <v>18395</v>
      </c>
    </row>
    <row r="9747">
      <c r="A9747" s="311">
        <v>9746</v>
      </c>
      <c r="B9747" s="396" t="s">
        <v>18412</v>
      </c>
      <c r="C9747" s="396" t="s">
        <v>16880</v>
      </c>
      <c r="D9747" s="396" t="s">
        <v>18393</v>
      </c>
      <c r="E9747" s="396" t="s">
        <v>18394</v>
      </c>
      <c r="F9747" s="396" t="s">
        <v>18395</v>
      </c>
    </row>
    <row r="9748">
      <c r="A9748" s="311">
        <v>9747</v>
      </c>
      <c r="B9748" s="396" t="s">
        <v>18413</v>
      </c>
      <c r="C9748" s="396" t="s">
        <v>18414</v>
      </c>
      <c r="D9748" s="396" t="s">
        <v>18393</v>
      </c>
      <c r="E9748" s="396" t="s">
        <v>18394</v>
      </c>
      <c r="F9748" s="396" t="s">
        <v>18395</v>
      </c>
    </row>
    <row r="9749">
      <c r="A9749" s="311">
        <v>9748</v>
      </c>
      <c r="B9749" s="396" t="s">
        <v>18415</v>
      </c>
      <c r="C9749" s="396" t="s">
        <v>12455</v>
      </c>
      <c r="D9749" s="396" t="s">
        <v>18416</v>
      </c>
      <c r="E9749" s="396" t="s">
        <v>18417</v>
      </c>
      <c r="F9749" s="396" t="s">
        <v>18395</v>
      </c>
    </row>
    <row r="9750">
      <c r="A9750" s="311">
        <v>9749</v>
      </c>
      <c r="B9750" s="396" t="s">
        <v>18418</v>
      </c>
      <c r="C9750" s="396" t="s">
        <v>12447</v>
      </c>
      <c r="D9750" s="396" t="s">
        <v>18416</v>
      </c>
      <c r="E9750" s="396" t="s">
        <v>18417</v>
      </c>
      <c r="F9750" s="396" t="s">
        <v>18395</v>
      </c>
    </row>
    <row r="9751">
      <c r="A9751" s="311">
        <v>9750</v>
      </c>
      <c r="B9751" s="396" t="s">
        <v>18419</v>
      </c>
      <c r="C9751" s="396" t="s">
        <v>12449</v>
      </c>
      <c r="D9751" s="396" t="s">
        <v>18416</v>
      </c>
      <c r="E9751" s="396" t="s">
        <v>18417</v>
      </c>
      <c r="F9751" s="396" t="s">
        <v>18395</v>
      </c>
    </row>
    <row r="9752">
      <c r="A9752" s="311">
        <v>9751</v>
      </c>
      <c r="B9752" s="396" t="s">
        <v>18420</v>
      </c>
      <c r="C9752" s="396" t="s">
        <v>12441</v>
      </c>
      <c r="D9752" s="396" t="s">
        <v>18416</v>
      </c>
      <c r="E9752" s="396" t="s">
        <v>18417</v>
      </c>
      <c r="F9752" s="396" t="s">
        <v>18395</v>
      </c>
    </row>
    <row r="9753">
      <c r="A9753" s="311">
        <v>9752</v>
      </c>
      <c r="B9753" s="396" t="s">
        <v>18421</v>
      </c>
      <c r="C9753" s="396" t="s">
        <v>12451</v>
      </c>
      <c r="D9753" s="396" t="s">
        <v>18416</v>
      </c>
      <c r="E9753" s="396" t="s">
        <v>18417</v>
      </c>
      <c r="F9753" s="396" t="s">
        <v>18395</v>
      </c>
    </row>
    <row r="9754">
      <c r="A9754" s="311">
        <v>9753</v>
      </c>
      <c r="B9754" s="396" t="s">
        <v>18422</v>
      </c>
      <c r="C9754" s="396" t="s">
        <v>8054</v>
      </c>
      <c r="D9754" s="396" t="s">
        <v>18416</v>
      </c>
      <c r="E9754" s="396" t="s">
        <v>18417</v>
      </c>
      <c r="F9754" s="396" t="s">
        <v>18395</v>
      </c>
    </row>
    <row r="9755">
      <c r="A9755" s="311">
        <v>9754</v>
      </c>
      <c r="B9755" s="396" t="s">
        <v>18423</v>
      </c>
      <c r="C9755" s="396" t="s">
        <v>16902</v>
      </c>
      <c r="D9755" s="396" t="s">
        <v>18416</v>
      </c>
      <c r="E9755" s="396" t="s">
        <v>18417</v>
      </c>
      <c r="F9755" s="396" t="s">
        <v>18395</v>
      </c>
    </row>
    <row r="9756">
      <c r="A9756" s="311">
        <v>9755</v>
      </c>
      <c r="B9756" s="396" t="s">
        <v>18424</v>
      </c>
      <c r="C9756" s="396" t="s">
        <v>18425</v>
      </c>
      <c r="D9756" s="396" t="s">
        <v>18416</v>
      </c>
      <c r="E9756" s="396" t="s">
        <v>18417</v>
      </c>
      <c r="F9756" s="396" t="s">
        <v>18395</v>
      </c>
    </row>
    <row r="9757">
      <c r="A9757" s="311">
        <v>9756</v>
      </c>
      <c r="B9757" s="396" t="s">
        <v>18426</v>
      </c>
      <c r="C9757" s="396" t="s">
        <v>16979</v>
      </c>
      <c r="D9757" s="396" t="s">
        <v>18416</v>
      </c>
      <c r="E9757" s="396" t="s">
        <v>18417</v>
      </c>
      <c r="F9757" s="396" t="s">
        <v>18395</v>
      </c>
    </row>
    <row r="9758">
      <c r="A9758" s="311">
        <v>9757</v>
      </c>
      <c r="B9758" s="396" t="s">
        <v>18427</v>
      </c>
      <c r="C9758" s="396" t="s">
        <v>13662</v>
      </c>
      <c r="D9758" s="396" t="s">
        <v>18416</v>
      </c>
      <c r="E9758" s="396" t="s">
        <v>18417</v>
      </c>
      <c r="F9758" s="396" t="s">
        <v>18395</v>
      </c>
    </row>
    <row r="9759">
      <c r="A9759" s="311">
        <v>9758</v>
      </c>
      <c r="B9759" s="396" t="s">
        <v>18428</v>
      </c>
      <c r="C9759" s="396" t="s">
        <v>18429</v>
      </c>
      <c r="D9759" s="396" t="s">
        <v>18416</v>
      </c>
      <c r="E9759" s="396" t="s">
        <v>18417</v>
      </c>
      <c r="F9759" s="396" t="s">
        <v>18395</v>
      </c>
    </row>
    <row r="9760">
      <c r="A9760" s="311">
        <v>9759</v>
      </c>
      <c r="B9760" s="396" t="s">
        <v>18430</v>
      </c>
      <c r="C9760" s="396" t="s">
        <v>5755</v>
      </c>
      <c r="D9760" s="396" t="s">
        <v>18416</v>
      </c>
      <c r="E9760" s="396" t="s">
        <v>18417</v>
      </c>
      <c r="F9760" s="396" t="s">
        <v>18395</v>
      </c>
    </row>
    <row r="9761">
      <c r="A9761" s="311">
        <v>9760</v>
      </c>
      <c r="B9761" s="396" t="s">
        <v>18431</v>
      </c>
      <c r="C9761" s="396" t="s">
        <v>12441</v>
      </c>
      <c r="D9761" s="396" t="s">
        <v>18432</v>
      </c>
      <c r="E9761" s="396" t="s">
        <v>18433</v>
      </c>
      <c r="F9761" s="396" t="s">
        <v>18395</v>
      </c>
    </row>
    <row r="9762">
      <c r="A9762" s="311">
        <v>9761</v>
      </c>
      <c r="B9762" s="396" t="s">
        <v>18434</v>
      </c>
      <c r="C9762" s="396" t="s">
        <v>12447</v>
      </c>
      <c r="D9762" s="396" t="s">
        <v>18432</v>
      </c>
      <c r="E9762" s="396" t="s">
        <v>18433</v>
      </c>
      <c r="F9762" s="396" t="s">
        <v>18395</v>
      </c>
    </row>
    <row r="9763">
      <c r="A9763" s="311">
        <v>9762</v>
      </c>
      <c r="B9763" s="396" t="s">
        <v>18435</v>
      </c>
      <c r="C9763" s="396" t="s">
        <v>12455</v>
      </c>
      <c r="D9763" s="396" t="s">
        <v>18432</v>
      </c>
      <c r="E9763" s="396" t="s">
        <v>18433</v>
      </c>
      <c r="F9763" s="396" t="s">
        <v>18395</v>
      </c>
    </row>
    <row r="9764">
      <c r="A9764" s="311">
        <v>9763</v>
      </c>
      <c r="B9764" s="396" t="s">
        <v>18436</v>
      </c>
      <c r="C9764" s="396" t="s">
        <v>12449</v>
      </c>
      <c r="D9764" s="396" t="s">
        <v>18432</v>
      </c>
      <c r="E9764" s="396" t="s">
        <v>18433</v>
      </c>
      <c r="F9764" s="396" t="s">
        <v>18395</v>
      </c>
    </row>
    <row r="9765">
      <c r="A9765" s="311">
        <v>9764</v>
      </c>
      <c r="B9765" s="396" t="s">
        <v>18437</v>
      </c>
      <c r="C9765" s="396" t="s">
        <v>12451</v>
      </c>
      <c r="D9765" s="396" t="s">
        <v>18432</v>
      </c>
      <c r="E9765" s="396" t="s">
        <v>18433</v>
      </c>
      <c r="F9765" s="396" t="s">
        <v>18395</v>
      </c>
    </row>
    <row r="9766">
      <c r="A9766" s="311">
        <v>9765</v>
      </c>
      <c r="B9766" s="396" t="s">
        <v>18438</v>
      </c>
      <c r="C9766" s="396" t="s">
        <v>18439</v>
      </c>
      <c r="D9766" s="396" t="s">
        <v>18432</v>
      </c>
      <c r="E9766" s="396" t="s">
        <v>18433</v>
      </c>
      <c r="F9766" s="396" t="s">
        <v>18395</v>
      </c>
    </row>
    <row r="9767">
      <c r="A9767" s="311">
        <v>9766</v>
      </c>
      <c r="B9767" s="396" t="s">
        <v>18440</v>
      </c>
      <c r="C9767" s="396" t="s">
        <v>18441</v>
      </c>
      <c r="D9767" s="396" t="s">
        <v>18432</v>
      </c>
      <c r="E9767" s="396" t="s">
        <v>18433</v>
      </c>
      <c r="F9767" s="396" t="s">
        <v>18395</v>
      </c>
    </row>
    <row r="9768">
      <c r="A9768" s="311">
        <v>9767</v>
      </c>
      <c r="B9768" s="396" t="s">
        <v>18442</v>
      </c>
      <c r="C9768" s="396" t="s">
        <v>18443</v>
      </c>
      <c r="D9768" s="396" t="s">
        <v>18432</v>
      </c>
      <c r="E9768" s="396" t="s">
        <v>18433</v>
      </c>
      <c r="F9768" s="396" t="s">
        <v>18395</v>
      </c>
    </row>
    <row r="9769">
      <c r="A9769" s="311">
        <v>9768</v>
      </c>
      <c r="B9769" s="396" t="s">
        <v>18444</v>
      </c>
      <c r="C9769" s="396" t="s">
        <v>830</v>
      </c>
      <c r="D9769" s="396" t="s">
        <v>18432</v>
      </c>
      <c r="E9769" s="396" t="s">
        <v>18433</v>
      </c>
      <c r="F9769" s="396" t="s">
        <v>18395</v>
      </c>
    </row>
    <row r="9770">
      <c r="A9770" s="311">
        <v>9769</v>
      </c>
      <c r="B9770" s="396" t="s">
        <v>18445</v>
      </c>
      <c r="C9770" s="396" t="s">
        <v>5492</v>
      </c>
      <c r="D9770" s="396" t="s">
        <v>18432</v>
      </c>
      <c r="E9770" s="396" t="s">
        <v>18433</v>
      </c>
      <c r="F9770" s="396" t="s">
        <v>18395</v>
      </c>
    </row>
    <row r="9771">
      <c r="A9771" s="311">
        <v>9770</v>
      </c>
      <c r="B9771" s="396" t="s">
        <v>18446</v>
      </c>
      <c r="C9771" s="396" t="s">
        <v>750</v>
      </c>
      <c r="D9771" s="396" t="s">
        <v>18432</v>
      </c>
      <c r="E9771" s="396" t="s">
        <v>18433</v>
      </c>
      <c r="F9771" s="396" t="s">
        <v>18395</v>
      </c>
    </row>
    <row r="9772">
      <c r="A9772" s="311">
        <v>9771</v>
      </c>
      <c r="B9772" s="396" t="s">
        <v>18447</v>
      </c>
      <c r="C9772" s="396" t="s">
        <v>18448</v>
      </c>
      <c r="D9772" s="396" t="s">
        <v>18432</v>
      </c>
      <c r="E9772" s="396" t="s">
        <v>18433</v>
      </c>
      <c r="F9772" s="396" t="s">
        <v>18395</v>
      </c>
    </row>
    <row r="9773">
      <c r="A9773" s="311">
        <v>9772</v>
      </c>
      <c r="B9773" s="396" t="s">
        <v>18449</v>
      </c>
      <c r="C9773" s="396" t="s">
        <v>18450</v>
      </c>
      <c r="D9773" s="396" t="s">
        <v>18432</v>
      </c>
      <c r="E9773" s="396" t="s">
        <v>18433</v>
      </c>
      <c r="F9773" s="396" t="s">
        <v>18395</v>
      </c>
    </row>
    <row r="9774">
      <c r="A9774" s="311">
        <v>9773</v>
      </c>
      <c r="B9774" s="396" t="s">
        <v>18451</v>
      </c>
      <c r="C9774" s="396" t="s">
        <v>10570</v>
      </c>
      <c r="D9774" s="396" t="s">
        <v>18432</v>
      </c>
      <c r="E9774" s="396" t="s">
        <v>18433</v>
      </c>
      <c r="F9774" s="396" t="s">
        <v>18395</v>
      </c>
    </row>
    <row r="9775">
      <c r="A9775" s="311">
        <v>9774</v>
      </c>
      <c r="B9775" s="396" t="s">
        <v>18452</v>
      </c>
      <c r="C9775" s="396" t="s">
        <v>18453</v>
      </c>
      <c r="D9775" s="396" t="s">
        <v>18432</v>
      </c>
      <c r="E9775" s="396" t="s">
        <v>18433</v>
      </c>
      <c r="F9775" s="396" t="s">
        <v>18395</v>
      </c>
    </row>
    <row r="9776">
      <c r="A9776" s="311">
        <v>9775</v>
      </c>
      <c r="B9776" s="396" t="s">
        <v>18454</v>
      </c>
      <c r="C9776" s="396" t="s">
        <v>2807</v>
      </c>
      <c r="D9776" s="396" t="s">
        <v>18432</v>
      </c>
      <c r="E9776" s="396" t="s">
        <v>18433</v>
      </c>
      <c r="F9776" s="396" t="s">
        <v>18395</v>
      </c>
    </row>
    <row r="9777">
      <c r="A9777" s="311">
        <v>9776</v>
      </c>
      <c r="B9777" s="396" t="s">
        <v>18455</v>
      </c>
      <c r="C9777" s="396" t="s">
        <v>18456</v>
      </c>
      <c r="D9777" s="396" t="s">
        <v>18457</v>
      </c>
      <c r="E9777" s="396" t="s">
        <v>18458</v>
      </c>
      <c r="F9777" s="396" t="s">
        <v>18395</v>
      </c>
    </row>
    <row r="9778">
      <c r="A9778" s="311">
        <v>9777</v>
      </c>
      <c r="B9778" s="396" t="s">
        <v>18459</v>
      </c>
      <c r="C9778" s="396" t="s">
        <v>18460</v>
      </c>
      <c r="D9778" s="396" t="s">
        <v>18457</v>
      </c>
      <c r="E9778" s="396" t="s">
        <v>18458</v>
      </c>
      <c r="F9778" s="396" t="s">
        <v>18395</v>
      </c>
    </row>
    <row r="9779">
      <c r="A9779" s="311">
        <v>9778</v>
      </c>
      <c r="B9779" s="396" t="s">
        <v>18461</v>
      </c>
      <c r="C9779" s="396" t="s">
        <v>16760</v>
      </c>
      <c r="D9779" s="396" t="s">
        <v>18457</v>
      </c>
      <c r="E9779" s="396" t="s">
        <v>18458</v>
      </c>
      <c r="F9779" s="396" t="s">
        <v>18395</v>
      </c>
    </row>
    <row r="9780">
      <c r="A9780" s="311">
        <v>9779</v>
      </c>
      <c r="B9780" s="396" t="s">
        <v>18462</v>
      </c>
      <c r="C9780" s="396" t="s">
        <v>18463</v>
      </c>
      <c r="D9780" s="396" t="s">
        <v>18457</v>
      </c>
      <c r="E9780" s="396" t="s">
        <v>18458</v>
      </c>
      <c r="F9780" s="396" t="s">
        <v>18395</v>
      </c>
    </row>
    <row r="9781">
      <c r="A9781" s="311">
        <v>9780</v>
      </c>
      <c r="B9781" s="396" t="s">
        <v>18464</v>
      </c>
      <c r="C9781" s="396" t="s">
        <v>18247</v>
      </c>
      <c r="D9781" s="396" t="s">
        <v>18457</v>
      </c>
      <c r="E9781" s="396" t="s">
        <v>18458</v>
      </c>
      <c r="F9781" s="396" t="s">
        <v>18395</v>
      </c>
    </row>
    <row r="9782">
      <c r="A9782" s="311">
        <v>9781</v>
      </c>
      <c r="B9782" s="396" t="s">
        <v>18465</v>
      </c>
      <c r="C9782" s="396" t="s">
        <v>5078</v>
      </c>
      <c r="D9782" s="396" t="s">
        <v>18457</v>
      </c>
      <c r="E9782" s="396" t="s">
        <v>18458</v>
      </c>
      <c r="F9782" s="396" t="s">
        <v>18395</v>
      </c>
    </row>
    <row r="9783">
      <c r="A9783" s="311">
        <v>9782</v>
      </c>
      <c r="B9783" s="396" t="s">
        <v>18466</v>
      </c>
      <c r="C9783" s="396" t="s">
        <v>18467</v>
      </c>
      <c r="D9783" s="396" t="s">
        <v>18457</v>
      </c>
      <c r="E9783" s="396" t="s">
        <v>18458</v>
      </c>
      <c r="F9783" s="396" t="s">
        <v>18395</v>
      </c>
    </row>
    <row r="9784">
      <c r="A9784" s="311">
        <v>9783</v>
      </c>
      <c r="B9784" s="396" t="s">
        <v>18468</v>
      </c>
      <c r="C9784" s="396" t="s">
        <v>18090</v>
      </c>
      <c r="D9784" s="396" t="s">
        <v>18457</v>
      </c>
      <c r="E9784" s="396" t="s">
        <v>18458</v>
      </c>
      <c r="F9784" s="396" t="s">
        <v>18395</v>
      </c>
    </row>
    <row r="9785">
      <c r="A9785" s="311">
        <v>9784</v>
      </c>
      <c r="B9785" s="396" t="s">
        <v>18469</v>
      </c>
      <c r="C9785" s="396" t="s">
        <v>18470</v>
      </c>
      <c r="D9785" s="396" t="s">
        <v>18457</v>
      </c>
      <c r="E9785" s="396" t="s">
        <v>18458</v>
      </c>
      <c r="F9785" s="396" t="s">
        <v>18395</v>
      </c>
    </row>
    <row r="9786">
      <c r="A9786" s="311">
        <v>9785</v>
      </c>
      <c r="B9786" s="396" t="s">
        <v>18471</v>
      </c>
      <c r="C9786" s="396" t="s">
        <v>18472</v>
      </c>
      <c r="D9786" s="396" t="s">
        <v>18457</v>
      </c>
      <c r="E9786" s="396" t="s">
        <v>18458</v>
      </c>
      <c r="F9786" s="396" t="s">
        <v>18395</v>
      </c>
    </row>
    <row r="9787">
      <c r="A9787" s="311">
        <v>9786</v>
      </c>
      <c r="B9787" s="396" t="s">
        <v>18473</v>
      </c>
      <c r="C9787" s="396" t="s">
        <v>18474</v>
      </c>
      <c r="D9787" s="396" t="s">
        <v>18457</v>
      </c>
      <c r="E9787" s="396" t="s">
        <v>18458</v>
      </c>
      <c r="F9787" s="396" t="s">
        <v>18395</v>
      </c>
    </row>
    <row r="9788">
      <c r="A9788" s="311">
        <v>9787</v>
      </c>
      <c r="B9788" s="396" t="s">
        <v>18475</v>
      </c>
      <c r="C9788" s="396" t="s">
        <v>18476</v>
      </c>
      <c r="D9788" s="396" t="s">
        <v>18457</v>
      </c>
      <c r="E9788" s="396" t="s">
        <v>18458</v>
      </c>
      <c r="F9788" s="396" t="s">
        <v>18395</v>
      </c>
    </row>
    <row r="9789">
      <c r="A9789" s="311">
        <v>9788</v>
      </c>
      <c r="B9789" s="396" t="s">
        <v>18477</v>
      </c>
      <c r="C9789" s="396" t="s">
        <v>18478</v>
      </c>
      <c r="D9789" s="396" t="s">
        <v>18457</v>
      </c>
      <c r="E9789" s="396" t="s">
        <v>18458</v>
      </c>
      <c r="F9789" s="396" t="s">
        <v>18395</v>
      </c>
    </row>
    <row r="9790">
      <c r="A9790" s="311">
        <v>9789</v>
      </c>
      <c r="B9790" s="396" t="s">
        <v>18479</v>
      </c>
      <c r="C9790" s="396" t="s">
        <v>18480</v>
      </c>
      <c r="D9790" s="396" t="s">
        <v>18481</v>
      </c>
      <c r="E9790" s="396" t="s">
        <v>18482</v>
      </c>
      <c r="F9790" s="396" t="s">
        <v>18395</v>
      </c>
    </row>
    <row r="9791">
      <c r="A9791" s="311">
        <v>9790</v>
      </c>
      <c r="B9791" s="396" t="s">
        <v>18483</v>
      </c>
      <c r="C9791" s="396" t="s">
        <v>18484</v>
      </c>
      <c r="D9791" s="396" t="s">
        <v>18481</v>
      </c>
      <c r="E9791" s="396" t="s">
        <v>18482</v>
      </c>
      <c r="F9791" s="396" t="s">
        <v>18395</v>
      </c>
    </row>
    <row r="9792">
      <c r="A9792" s="311">
        <v>9791</v>
      </c>
      <c r="B9792" s="396" t="s">
        <v>18485</v>
      </c>
      <c r="C9792" s="396" t="s">
        <v>18486</v>
      </c>
      <c r="D9792" s="396" t="s">
        <v>18481</v>
      </c>
      <c r="E9792" s="396" t="s">
        <v>18482</v>
      </c>
      <c r="F9792" s="396" t="s">
        <v>18395</v>
      </c>
    </row>
    <row r="9793">
      <c r="A9793" s="311">
        <v>9792</v>
      </c>
      <c r="B9793" s="396" t="s">
        <v>18487</v>
      </c>
      <c r="C9793" s="396" t="s">
        <v>9025</v>
      </c>
      <c r="D9793" s="396" t="s">
        <v>18481</v>
      </c>
      <c r="E9793" s="396" t="s">
        <v>18482</v>
      </c>
      <c r="F9793" s="396" t="s">
        <v>18395</v>
      </c>
    </row>
    <row r="9794">
      <c r="A9794" s="311">
        <v>9793</v>
      </c>
      <c r="B9794" s="396" t="s">
        <v>18488</v>
      </c>
      <c r="C9794" s="396" t="s">
        <v>18489</v>
      </c>
      <c r="D9794" s="396" t="s">
        <v>18481</v>
      </c>
      <c r="E9794" s="396" t="s">
        <v>18482</v>
      </c>
      <c r="F9794" s="396" t="s">
        <v>18395</v>
      </c>
    </row>
    <row r="9795">
      <c r="A9795" s="311">
        <v>9794</v>
      </c>
      <c r="B9795" s="396" t="s">
        <v>18490</v>
      </c>
      <c r="C9795" s="396" t="s">
        <v>18491</v>
      </c>
      <c r="D9795" s="396" t="s">
        <v>18481</v>
      </c>
      <c r="E9795" s="396" t="s">
        <v>18482</v>
      </c>
      <c r="F9795" s="396" t="s">
        <v>18395</v>
      </c>
    </row>
    <row r="9796">
      <c r="A9796" s="311">
        <v>9795</v>
      </c>
      <c r="B9796" s="396" t="s">
        <v>18492</v>
      </c>
      <c r="C9796" s="396" t="s">
        <v>9027</v>
      </c>
      <c r="D9796" s="396" t="s">
        <v>18481</v>
      </c>
      <c r="E9796" s="396" t="s">
        <v>18482</v>
      </c>
      <c r="F9796" s="396" t="s">
        <v>18395</v>
      </c>
    </row>
    <row r="9797">
      <c r="A9797" s="311">
        <v>9796</v>
      </c>
      <c r="B9797" s="396" t="s">
        <v>18493</v>
      </c>
      <c r="C9797" s="396" t="s">
        <v>18494</v>
      </c>
      <c r="D9797" s="396" t="s">
        <v>18481</v>
      </c>
      <c r="E9797" s="396" t="s">
        <v>18482</v>
      </c>
      <c r="F9797" s="396" t="s">
        <v>18395</v>
      </c>
    </row>
    <row r="9798">
      <c r="A9798" s="311">
        <v>9797</v>
      </c>
      <c r="B9798" s="396" t="s">
        <v>18495</v>
      </c>
      <c r="C9798" s="396" t="s">
        <v>18496</v>
      </c>
      <c r="D9798" s="396" t="s">
        <v>18481</v>
      </c>
      <c r="E9798" s="396" t="s">
        <v>18482</v>
      </c>
      <c r="F9798" s="396" t="s">
        <v>18395</v>
      </c>
    </row>
    <row r="9799">
      <c r="A9799" s="311">
        <v>9798</v>
      </c>
      <c r="B9799" s="396" t="s">
        <v>18497</v>
      </c>
      <c r="C9799" s="396" t="s">
        <v>18498</v>
      </c>
      <c r="D9799" s="396" t="s">
        <v>18481</v>
      </c>
      <c r="E9799" s="396" t="s">
        <v>18482</v>
      </c>
      <c r="F9799" s="396" t="s">
        <v>18395</v>
      </c>
    </row>
    <row r="9800">
      <c r="A9800" s="311">
        <v>9799</v>
      </c>
      <c r="B9800" s="396" t="s">
        <v>18499</v>
      </c>
      <c r="C9800" s="396" t="s">
        <v>14356</v>
      </c>
      <c r="D9800" s="396" t="s">
        <v>18481</v>
      </c>
      <c r="E9800" s="396" t="s">
        <v>18482</v>
      </c>
      <c r="F9800" s="396" t="s">
        <v>18395</v>
      </c>
    </row>
    <row r="9801">
      <c r="A9801" s="311">
        <v>9800</v>
      </c>
      <c r="B9801" s="396" t="s">
        <v>18500</v>
      </c>
      <c r="C9801" s="396" t="s">
        <v>11314</v>
      </c>
      <c r="D9801" s="396" t="s">
        <v>18481</v>
      </c>
      <c r="E9801" s="396" t="s">
        <v>18482</v>
      </c>
      <c r="F9801" s="396" t="s">
        <v>18395</v>
      </c>
    </row>
    <row r="9802">
      <c r="A9802" s="311">
        <v>9801</v>
      </c>
      <c r="B9802" s="396" t="s">
        <v>18501</v>
      </c>
      <c r="C9802" s="396" t="s">
        <v>18502</v>
      </c>
      <c r="D9802" s="396" t="s">
        <v>18481</v>
      </c>
      <c r="E9802" s="396" t="s">
        <v>18482</v>
      </c>
      <c r="F9802" s="396" t="s">
        <v>18395</v>
      </c>
    </row>
    <row r="9803">
      <c r="A9803" s="311">
        <v>9802</v>
      </c>
      <c r="B9803" s="396" t="s">
        <v>18503</v>
      </c>
      <c r="C9803" s="396" t="s">
        <v>15806</v>
      </c>
      <c r="D9803" s="396" t="s">
        <v>18481</v>
      </c>
      <c r="E9803" s="396" t="s">
        <v>18482</v>
      </c>
      <c r="F9803" s="396" t="s">
        <v>18395</v>
      </c>
    </row>
    <row r="9804">
      <c r="A9804" s="311">
        <v>9803</v>
      </c>
      <c r="B9804" s="396" t="s">
        <v>18504</v>
      </c>
      <c r="C9804" s="396" t="s">
        <v>18505</v>
      </c>
      <c r="D9804" s="396" t="s">
        <v>18481</v>
      </c>
      <c r="E9804" s="396" t="s">
        <v>18482</v>
      </c>
      <c r="F9804" s="396" t="s">
        <v>18395</v>
      </c>
    </row>
    <row r="9805">
      <c r="A9805" s="311">
        <v>9804</v>
      </c>
      <c r="B9805" s="396" t="s">
        <v>18506</v>
      </c>
      <c r="C9805" s="396" t="s">
        <v>18507</v>
      </c>
      <c r="D9805" s="396" t="s">
        <v>18481</v>
      </c>
      <c r="E9805" s="396" t="s">
        <v>18482</v>
      </c>
      <c r="F9805" s="396" t="s">
        <v>18395</v>
      </c>
    </row>
    <row r="9806">
      <c r="A9806" s="311">
        <v>9805</v>
      </c>
      <c r="B9806" s="396" t="s">
        <v>18508</v>
      </c>
      <c r="C9806" s="396" t="s">
        <v>18509</v>
      </c>
      <c r="D9806" s="396" t="s">
        <v>18481</v>
      </c>
      <c r="E9806" s="396" t="s">
        <v>18482</v>
      </c>
      <c r="F9806" s="396" t="s">
        <v>18395</v>
      </c>
    </row>
    <row r="9807">
      <c r="A9807" s="311">
        <v>9806</v>
      </c>
      <c r="B9807" s="396" t="s">
        <v>18510</v>
      </c>
      <c r="C9807" s="396" t="s">
        <v>18511</v>
      </c>
      <c r="D9807" s="396" t="s">
        <v>18481</v>
      </c>
      <c r="E9807" s="396" t="s">
        <v>18482</v>
      </c>
      <c r="F9807" s="396" t="s">
        <v>18395</v>
      </c>
    </row>
    <row r="9808">
      <c r="A9808" s="311">
        <v>9807</v>
      </c>
      <c r="B9808" s="396" t="s">
        <v>18512</v>
      </c>
      <c r="C9808" s="396" t="s">
        <v>18513</v>
      </c>
      <c r="D9808" s="396" t="s">
        <v>18481</v>
      </c>
      <c r="E9808" s="396" t="s">
        <v>18482</v>
      </c>
      <c r="F9808" s="396" t="s">
        <v>18395</v>
      </c>
    </row>
    <row r="9809">
      <c r="A9809" s="311">
        <v>9808</v>
      </c>
      <c r="B9809" s="396" t="s">
        <v>18514</v>
      </c>
      <c r="C9809" s="396" t="s">
        <v>296</v>
      </c>
      <c r="D9809" s="396" t="s">
        <v>18481</v>
      </c>
      <c r="E9809" s="396" t="s">
        <v>18482</v>
      </c>
      <c r="F9809" s="396" t="s">
        <v>18395</v>
      </c>
    </row>
    <row r="9810">
      <c r="A9810" s="311">
        <v>9809</v>
      </c>
      <c r="B9810" s="396" t="s">
        <v>18515</v>
      </c>
      <c r="C9810" s="396" t="s">
        <v>940</v>
      </c>
      <c r="D9810" s="396" t="s">
        <v>18481</v>
      </c>
      <c r="E9810" s="396" t="s">
        <v>18482</v>
      </c>
      <c r="F9810" s="396" t="s">
        <v>18395</v>
      </c>
    </row>
    <row r="9811">
      <c r="A9811" s="311">
        <v>9810</v>
      </c>
      <c r="B9811" s="396" t="s">
        <v>18516</v>
      </c>
      <c r="C9811" s="396" t="s">
        <v>5022</v>
      </c>
      <c r="D9811" s="396" t="s">
        <v>18481</v>
      </c>
      <c r="E9811" s="396" t="s">
        <v>18482</v>
      </c>
      <c r="F9811" s="396" t="s">
        <v>18395</v>
      </c>
    </row>
    <row r="9812">
      <c r="A9812" s="311">
        <v>9811</v>
      </c>
      <c r="B9812" s="396" t="s">
        <v>18517</v>
      </c>
      <c r="C9812" s="396" t="s">
        <v>18518</v>
      </c>
      <c r="D9812" s="396" t="s">
        <v>18481</v>
      </c>
      <c r="E9812" s="396" t="s">
        <v>18482</v>
      </c>
      <c r="F9812" s="396" t="s">
        <v>18395</v>
      </c>
    </row>
    <row r="9813">
      <c r="A9813" s="311">
        <v>9812</v>
      </c>
      <c r="B9813" s="396" t="s">
        <v>18519</v>
      </c>
      <c r="C9813" s="396" t="s">
        <v>18520</v>
      </c>
      <c r="D9813" s="396" t="s">
        <v>18481</v>
      </c>
      <c r="E9813" s="396" t="s">
        <v>18482</v>
      </c>
      <c r="F9813" s="396" t="s">
        <v>18395</v>
      </c>
    </row>
    <row r="9814">
      <c r="A9814" s="311">
        <v>9813</v>
      </c>
      <c r="B9814" s="396" t="s">
        <v>18521</v>
      </c>
      <c r="C9814" s="396" t="s">
        <v>17475</v>
      </c>
      <c r="D9814" s="396" t="s">
        <v>18481</v>
      </c>
      <c r="E9814" s="396" t="s">
        <v>18482</v>
      </c>
      <c r="F9814" s="396" t="s">
        <v>18395</v>
      </c>
    </row>
    <row r="9815">
      <c r="A9815" s="311">
        <v>9814</v>
      </c>
      <c r="B9815" s="396" t="s">
        <v>18522</v>
      </c>
      <c r="C9815" s="396" t="s">
        <v>18523</v>
      </c>
      <c r="D9815" s="396" t="s">
        <v>18524</v>
      </c>
      <c r="E9815" s="396" t="s">
        <v>18525</v>
      </c>
      <c r="F9815" s="396" t="s">
        <v>18395</v>
      </c>
    </row>
    <row r="9816">
      <c r="A9816" s="311">
        <v>9815</v>
      </c>
      <c r="B9816" s="396" t="s">
        <v>18526</v>
      </c>
      <c r="C9816" s="396" t="s">
        <v>18527</v>
      </c>
      <c r="D9816" s="396" t="s">
        <v>18524</v>
      </c>
      <c r="E9816" s="396" t="s">
        <v>18525</v>
      </c>
      <c r="F9816" s="396" t="s">
        <v>18395</v>
      </c>
    </row>
    <row r="9817">
      <c r="A9817" s="311">
        <v>9816</v>
      </c>
      <c r="B9817" s="396" t="s">
        <v>18528</v>
      </c>
      <c r="C9817" s="396" t="s">
        <v>328</v>
      </c>
      <c r="D9817" s="396" t="s">
        <v>18524</v>
      </c>
      <c r="E9817" s="396" t="s">
        <v>18525</v>
      </c>
      <c r="F9817" s="396" t="s">
        <v>18395</v>
      </c>
    </row>
    <row r="9818">
      <c r="A9818" s="311">
        <v>9817</v>
      </c>
      <c r="B9818" s="396" t="s">
        <v>18529</v>
      </c>
      <c r="C9818" s="396" t="s">
        <v>18530</v>
      </c>
      <c r="D9818" s="396" t="s">
        <v>18524</v>
      </c>
      <c r="E9818" s="396" t="s">
        <v>18525</v>
      </c>
      <c r="F9818" s="396" t="s">
        <v>18395</v>
      </c>
    </row>
    <row r="9819">
      <c r="A9819" s="311">
        <v>9818</v>
      </c>
      <c r="B9819" s="396" t="s">
        <v>18531</v>
      </c>
      <c r="C9819" s="396" t="s">
        <v>2774</v>
      </c>
      <c r="D9819" s="396" t="s">
        <v>18524</v>
      </c>
      <c r="E9819" s="396" t="s">
        <v>18525</v>
      </c>
      <c r="F9819" s="396" t="s">
        <v>18395</v>
      </c>
    </row>
    <row r="9820">
      <c r="A9820" s="311">
        <v>9819</v>
      </c>
      <c r="B9820" s="396" t="s">
        <v>18532</v>
      </c>
      <c r="C9820" s="396" t="s">
        <v>886</v>
      </c>
      <c r="D9820" s="396" t="s">
        <v>18524</v>
      </c>
      <c r="E9820" s="396" t="s">
        <v>18525</v>
      </c>
      <c r="F9820" s="396" t="s">
        <v>18395</v>
      </c>
    </row>
    <row r="9821">
      <c r="A9821" s="311">
        <v>9820</v>
      </c>
      <c r="B9821" s="396" t="s">
        <v>18533</v>
      </c>
      <c r="C9821" s="396" t="s">
        <v>7376</v>
      </c>
      <c r="D9821" s="396" t="s">
        <v>18524</v>
      </c>
      <c r="E9821" s="396" t="s">
        <v>18525</v>
      </c>
      <c r="F9821" s="396" t="s">
        <v>18395</v>
      </c>
    </row>
    <row r="9822">
      <c r="A9822" s="311">
        <v>9821</v>
      </c>
      <c r="B9822" s="396" t="s">
        <v>18534</v>
      </c>
      <c r="C9822" s="396" t="s">
        <v>12831</v>
      </c>
      <c r="D9822" s="396" t="s">
        <v>18524</v>
      </c>
      <c r="E9822" s="396" t="s">
        <v>18525</v>
      </c>
      <c r="F9822" s="396" t="s">
        <v>18395</v>
      </c>
    </row>
    <row r="9823">
      <c r="A9823" s="311">
        <v>9822</v>
      </c>
      <c r="B9823" s="396" t="s">
        <v>18535</v>
      </c>
      <c r="C9823" s="396" t="s">
        <v>18536</v>
      </c>
      <c r="D9823" s="396" t="s">
        <v>18524</v>
      </c>
      <c r="E9823" s="396" t="s">
        <v>18525</v>
      </c>
      <c r="F9823" s="396" t="s">
        <v>18395</v>
      </c>
    </row>
    <row r="9824">
      <c r="A9824" s="311">
        <v>9823</v>
      </c>
      <c r="B9824" s="396" t="s">
        <v>18537</v>
      </c>
      <c r="C9824" s="396" t="s">
        <v>18538</v>
      </c>
      <c r="D9824" s="396" t="s">
        <v>18524</v>
      </c>
      <c r="E9824" s="396" t="s">
        <v>18525</v>
      </c>
      <c r="F9824" s="396" t="s">
        <v>18395</v>
      </c>
    </row>
    <row r="9825">
      <c r="A9825" s="311">
        <v>9824</v>
      </c>
      <c r="B9825" s="396" t="s">
        <v>18539</v>
      </c>
      <c r="C9825" s="396" t="s">
        <v>18540</v>
      </c>
      <c r="D9825" s="396" t="s">
        <v>18524</v>
      </c>
      <c r="E9825" s="396" t="s">
        <v>18525</v>
      </c>
      <c r="F9825" s="396" t="s">
        <v>18395</v>
      </c>
    </row>
    <row r="9826">
      <c r="A9826" s="311">
        <v>9825</v>
      </c>
      <c r="B9826" s="396" t="s">
        <v>18541</v>
      </c>
      <c r="C9826" s="396" t="s">
        <v>18542</v>
      </c>
      <c r="D9826" s="396" t="s">
        <v>18524</v>
      </c>
      <c r="E9826" s="396" t="s">
        <v>18525</v>
      </c>
      <c r="F9826" s="396" t="s">
        <v>18395</v>
      </c>
    </row>
    <row r="9827">
      <c r="A9827" s="311">
        <v>9826</v>
      </c>
      <c r="B9827" s="396" t="s">
        <v>18543</v>
      </c>
      <c r="C9827" s="396" t="s">
        <v>18544</v>
      </c>
      <c r="D9827" s="396" t="s">
        <v>18524</v>
      </c>
      <c r="E9827" s="396" t="s">
        <v>18525</v>
      </c>
      <c r="F9827" s="396" t="s">
        <v>18395</v>
      </c>
    </row>
    <row r="9828">
      <c r="A9828" s="311">
        <v>9827</v>
      </c>
      <c r="B9828" s="396" t="s">
        <v>18545</v>
      </c>
      <c r="C9828" s="396" t="s">
        <v>3622</v>
      </c>
      <c r="D9828" s="396" t="s">
        <v>18524</v>
      </c>
      <c r="E9828" s="396" t="s">
        <v>18525</v>
      </c>
      <c r="F9828" s="396" t="s">
        <v>18395</v>
      </c>
    </row>
    <row r="9829">
      <c r="A9829" s="311">
        <v>9828</v>
      </c>
      <c r="B9829" s="396" t="s">
        <v>18546</v>
      </c>
      <c r="C9829" s="396" t="s">
        <v>18547</v>
      </c>
      <c r="D9829" s="396" t="s">
        <v>18524</v>
      </c>
      <c r="E9829" s="396" t="s">
        <v>18525</v>
      </c>
      <c r="F9829" s="396" t="s">
        <v>18395</v>
      </c>
    </row>
    <row r="9830">
      <c r="A9830" s="311">
        <v>9829</v>
      </c>
      <c r="B9830" s="396" t="s">
        <v>18548</v>
      </c>
      <c r="C9830" s="396" t="s">
        <v>474</v>
      </c>
      <c r="D9830" s="396" t="s">
        <v>18524</v>
      </c>
      <c r="E9830" s="396" t="s">
        <v>18525</v>
      </c>
      <c r="F9830" s="396" t="s">
        <v>18395</v>
      </c>
    </row>
    <row r="9831">
      <c r="A9831" s="311">
        <v>9830</v>
      </c>
      <c r="B9831" s="396" t="s">
        <v>18549</v>
      </c>
      <c r="C9831" s="396" t="s">
        <v>18550</v>
      </c>
      <c r="D9831" s="396" t="s">
        <v>18551</v>
      </c>
      <c r="E9831" s="396" t="s">
        <v>16827</v>
      </c>
      <c r="F9831" s="396" t="s">
        <v>18395</v>
      </c>
    </row>
    <row r="9832">
      <c r="A9832" s="311">
        <v>9831</v>
      </c>
      <c r="B9832" s="396" t="s">
        <v>18552</v>
      </c>
      <c r="C9832" s="396" t="s">
        <v>18553</v>
      </c>
      <c r="D9832" s="396" t="s">
        <v>18551</v>
      </c>
      <c r="E9832" s="396" t="s">
        <v>16827</v>
      </c>
      <c r="F9832" s="396" t="s">
        <v>18395</v>
      </c>
    </row>
    <row r="9833">
      <c r="A9833" s="311">
        <v>9832</v>
      </c>
      <c r="B9833" s="396" t="s">
        <v>18554</v>
      </c>
      <c r="C9833" s="396" t="s">
        <v>4151</v>
      </c>
      <c r="D9833" s="396" t="s">
        <v>18551</v>
      </c>
      <c r="E9833" s="396" t="s">
        <v>16827</v>
      </c>
      <c r="F9833" s="396" t="s">
        <v>18395</v>
      </c>
    </row>
    <row r="9834">
      <c r="A9834" s="311">
        <v>9833</v>
      </c>
      <c r="B9834" s="396" t="s">
        <v>18555</v>
      </c>
      <c r="C9834" s="396" t="s">
        <v>18556</v>
      </c>
      <c r="D9834" s="396" t="s">
        <v>18551</v>
      </c>
      <c r="E9834" s="396" t="s">
        <v>16827</v>
      </c>
      <c r="F9834" s="396" t="s">
        <v>18395</v>
      </c>
    </row>
    <row r="9835">
      <c r="A9835" s="311">
        <v>9834</v>
      </c>
      <c r="B9835" s="396" t="s">
        <v>18557</v>
      </c>
      <c r="C9835" s="396" t="s">
        <v>18558</v>
      </c>
      <c r="D9835" s="396" t="s">
        <v>18551</v>
      </c>
      <c r="E9835" s="396" t="s">
        <v>16827</v>
      </c>
      <c r="F9835" s="396" t="s">
        <v>18395</v>
      </c>
    </row>
    <row r="9836">
      <c r="A9836" s="311">
        <v>9835</v>
      </c>
      <c r="B9836" s="396" t="s">
        <v>18559</v>
      </c>
      <c r="C9836" s="396" t="s">
        <v>18560</v>
      </c>
      <c r="D9836" s="396" t="s">
        <v>18551</v>
      </c>
      <c r="E9836" s="396" t="s">
        <v>16827</v>
      </c>
      <c r="F9836" s="396" t="s">
        <v>18395</v>
      </c>
    </row>
    <row r="9837">
      <c r="A9837" s="311">
        <v>9836</v>
      </c>
      <c r="B9837" s="396" t="s">
        <v>18561</v>
      </c>
      <c r="C9837" s="396" t="s">
        <v>466</v>
      </c>
      <c r="D9837" s="396" t="s">
        <v>18551</v>
      </c>
      <c r="E9837" s="396" t="s">
        <v>16827</v>
      </c>
      <c r="F9837" s="396" t="s">
        <v>18395</v>
      </c>
    </row>
    <row r="9838">
      <c r="A9838" s="311">
        <v>9837</v>
      </c>
      <c r="B9838" s="396" t="s">
        <v>18562</v>
      </c>
      <c r="C9838" s="396" t="s">
        <v>18563</v>
      </c>
      <c r="D9838" s="396" t="s">
        <v>18551</v>
      </c>
      <c r="E9838" s="396" t="s">
        <v>16827</v>
      </c>
      <c r="F9838" s="396" t="s">
        <v>18395</v>
      </c>
    </row>
    <row r="9839">
      <c r="A9839" s="311">
        <v>9838</v>
      </c>
      <c r="B9839" s="396" t="s">
        <v>18564</v>
      </c>
      <c r="C9839" s="396" t="s">
        <v>17965</v>
      </c>
      <c r="D9839" s="396" t="s">
        <v>18551</v>
      </c>
      <c r="E9839" s="396" t="s">
        <v>16827</v>
      </c>
      <c r="F9839" s="396" t="s">
        <v>18395</v>
      </c>
    </row>
    <row r="9840">
      <c r="A9840" s="311">
        <v>9839</v>
      </c>
      <c r="B9840" s="396" t="s">
        <v>18565</v>
      </c>
      <c r="C9840" s="396" t="s">
        <v>18566</v>
      </c>
      <c r="D9840" s="396" t="s">
        <v>18551</v>
      </c>
      <c r="E9840" s="396" t="s">
        <v>16827</v>
      </c>
      <c r="F9840" s="396" t="s">
        <v>18395</v>
      </c>
    </row>
    <row r="9841">
      <c r="A9841" s="311">
        <v>9840</v>
      </c>
      <c r="B9841" s="396" t="s">
        <v>18567</v>
      </c>
      <c r="C9841" s="396" t="s">
        <v>8296</v>
      </c>
      <c r="D9841" s="396" t="s">
        <v>18551</v>
      </c>
      <c r="E9841" s="396" t="s">
        <v>16827</v>
      </c>
      <c r="F9841" s="396" t="s">
        <v>18395</v>
      </c>
    </row>
    <row r="9842">
      <c r="A9842" s="311">
        <v>9841</v>
      </c>
      <c r="B9842" s="396" t="s">
        <v>18568</v>
      </c>
      <c r="C9842" s="396" t="s">
        <v>18314</v>
      </c>
      <c r="D9842" s="396" t="s">
        <v>18551</v>
      </c>
      <c r="E9842" s="396" t="s">
        <v>16827</v>
      </c>
      <c r="F9842" s="396" t="s">
        <v>18395</v>
      </c>
    </row>
    <row r="9843">
      <c r="A9843" s="311">
        <v>9842</v>
      </c>
      <c r="B9843" s="396" t="s">
        <v>18569</v>
      </c>
      <c r="C9843" s="396" t="s">
        <v>18570</v>
      </c>
      <c r="D9843" s="396" t="s">
        <v>18551</v>
      </c>
      <c r="E9843" s="396" t="s">
        <v>16827</v>
      </c>
      <c r="F9843" s="396" t="s">
        <v>18395</v>
      </c>
    </row>
    <row r="9844">
      <c r="A9844" s="311">
        <v>9843</v>
      </c>
      <c r="B9844" s="396" t="s">
        <v>18571</v>
      </c>
      <c r="C9844" s="396" t="s">
        <v>17332</v>
      </c>
      <c r="D9844" s="396" t="s">
        <v>18551</v>
      </c>
      <c r="E9844" s="396" t="s">
        <v>16827</v>
      </c>
      <c r="F9844" s="396" t="s">
        <v>18395</v>
      </c>
    </row>
    <row r="9845">
      <c r="A9845" s="311">
        <v>9844</v>
      </c>
      <c r="B9845" s="396" t="s">
        <v>18572</v>
      </c>
      <c r="C9845" s="396" t="s">
        <v>8054</v>
      </c>
      <c r="D9845" s="396" t="s">
        <v>18551</v>
      </c>
      <c r="E9845" s="396" t="s">
        <v>16827</v>
      </c>
      <c r="F9845" s="396" t="s">
        <v>18395</v>
      </c>
    </row>
    <row r="9846">
      <c r="A9846" s="311">
        <v>9845</v>
      </c>
      <c r="B9846" s="396" t="s">
        <v>18573</v>
      </c>
      <c r="C9846" s="396" t="s">
        <v>18574</v>
      </c>
      <c r="D9846" s="396" t="s">
        <v>18551</v>
      </c>
      <c r="E9846" s="396" t="s">
        <v>16827</v>
      </c>
      <c r="F9846" s="396" t="s">
        <v>18395</v>
      </c>
    </row>
    <row r="9847">
      <c r="A9847" s="311">
        <v>9846</v>
      </c>
      <c r="B9847" s="396" t="s">
        <v>18575</v>
      </c>
      <c r="C9847" s="396" t="s">
        <v>17210</v>
      </c>
      <c r="D9847" s="396" t="s">
        <v>18551</v>
      </c>
      <c r="E9847" s="396" t="s">
        <v>16827</v>
      </c>
      <c r="F9847" s="396" t="s">
        <v>18395</v>
      </c>
    </row>
    <row r="9848">
      <c r="A9848" s="311">
        <v>9847</v>
      </c>
      <c r="B9848" s="396" t="s">
        <v>18576</v>
      </c>
      <c r="C9848" s="396" t="s">
        <v>18577</v>
      </c>
      <c r="D9848" s="396" t="s">
        <v>18551</v>
      </c>
      <c r="E9848" s="396" t="s">
        <v>16827</v>
      </c>
      <c r="F9848" s="396" t="s">
        <v>18395</v>
      </c>
    </row>
    <row r="9849">
      <c r="A9849" s="311">
        <v>9848</v>
      </c>
      <c r="B9849" s="396" t="s">
        <v>18578</v>
      </c>
      <c r="C9849" s="396" t="s">
        <v>12479</v>
      </c>
      <c r="D9849" s="396" t="s">
        <v>18551</v>
      </c>
      <c r="E9849" s="396" t="s">
        <v>16827</v>
      </c>
      <c r="F9849" s="396" t="s">
        <v>18395</v>
      </c>
    </row>
    <row r="9850">
      <c r="A9850" s="311">
        <v>9849</v>
      </c>
      <c r="B9850" s="396" t="s">
        <v>18579</v>
      </c>
      <c r="C9850" s="396" t="s">
        <v>18255</v>
      </c>
      <c r="D9850" s="396" t="s">
        <v>18551</v>
      </c>
      <c r="E9850" s="396" t="s">
        <v>16827</v>
      </c>
      <c r="F9850" s="396" t="s">
        <v>18395</v>
      </c>
    </row>
    <row r="9851">
      <c r="A9851" s="311">
        <v>9850</v>
      </c>
      <c r="B9851" s="396" t="s">
        <v>18580</v>
      </c>
      <c r="C9851" s="396" t="s">
        <v>18581</v>
      </c>
      <c r="D9851" s="396" t="s">
        <v>18551</v>
      </c>
      <c r="E9851" s="396" t="s">
        <v>16827</v>
      </c>
      <c r="F9851" s="396" t="s">
        <v>18395</v>
      </c>
    </row>
    <row r="9852">
      <c r="A9852" s="311">
        <v>9851</v>
      </c>
      <c r="B9852" s="396" t="s">
        <v>18582</v>
      </c>
      <c r="C9852" s="396" t="s">
        <v>412</v>
      </c>
      <c r="D9852" s="396" t="s">
        <v>18551</v>
      </c>
      <c r="E9852" s="396" t="s">
        <v>16827</v>
      </c>
      <c r="F9852" s="396" t="s">
        <v>18395</v>
      </c>
    </row>
    <row r="9853">
      <c r="A9853" s="311">
        <v>9852</v>
      </c>
      <c r="B9853" s="396" t="s">
        <v>18583</v>
      </c>
      <c r="C9853" s="396" t="s">
        <v>11922</v>
      </c>
      <c r="D9853" s="396" t="s">
        <v>18551</v>
      </c>
      <c r="E9853" s="396" t="s">
        <v>16827</v>
      </c>
      <c r="F9853" s="396" t="s">
        <v>18395</v>
      </c>
    </row>
    <row r="9854">
      <c r="A9854" s="311">
        <v>9853</v>
      </c>
      <c r="B9854" s="396" t="s">
        <v>18584</v>
      </c>
      <c r="C9854" s="396" t="s">
        <v>18585</v>
      </c>
      <c r="D9854" s="396" t="s">
        <v>18586</v>
      </c>
      <c r="E9854" s="396" t="s">
        <v>18587</v>
      </c>
      <c r="F9854" s="396" t="s">
        <v>18395</v>
      </c>
    </row>
    <row r="9855">
      <c r="A9855" s="311">
        <v>9854</v>
      </c>
      <c r="B9855" s="396" t="s">
        <v>18588</v>
      </c>
      <c r="C9855" s="396" t="s">
        <v>916</v>
      </c>
      <c r="D9855" s="396" t="s">
        <v>18586</v>
      </c>
      <c r="E9855" s="396" t="s">
        <v>18587</v>
      </c>
      <c r="F9855" s="396" t="s">
        <v>18395</v>
      </c>
    </row>
    <row r="9856">
      <c r="A9856" s="311">
        <v>9855</v>
      </c>
      <c r="B9856" s="396" t="s">
        <v>18589</v>
      </c>
      <c r="C9856" s="396" t="s">
        <v>18590</v>
      </c>
      <c r="D9856" s="396" t="s">
        <v>18586</v>
      </c>
      <c r="E9856" s="396" t="s">
        <v>18587</v>
      </c>
      <c r="F9856" s="396" t="s">
        <v>18395</v>
      </c>
    </row>
    <row r="9857">
      <c r="A9857" s="311">
        <v>9856</v>
      </c>
      <c r="B9857" s="396" t="s">
        <v>18591</v>
      </c>
      <c r="C9857" s="396" t="s">
        <v>18592</v>
      </c>
      <c r="D9857" s="396" t="s">
        <v>18586</v>
      </c>
      <c r="E9857" s="396" t="s">
        <v>18587</v>
      </c>
      <c r="F9857" s="396" t="s">
        <v>18395</v>
      </c>
    </row>
    <row r="9858">
      <c r="A9858" s="311">
        <v>9857</v>
      </c>
      <c r="B9858" s="396" t="s">
        <v>18593</v>
      </c>
      <c r="C9858" s="396" t="s">
        <v>18594</v>
      </c>
      <c r="D9858" s="396" t="s">
        <v>18586</v>
      </c>
      <c r="E9858" s="396" t="s">
        <v>18587</v>
      </c>
      <c r="F9858" s="396" t="s">
        <v>18395</v>
      </c>
    </row>
    <row r="9859">
      <c r="A9859" s="311">
        <v>9858</v>
      </c>
      <c r="B9859" s="396" t="s">
        <v>18595</v>
      </c>
      <c r="C9859" s="396" t="s">
        <v>18596</v>
      </c>
      <c r="D9859" s="396" t="s">
        <v>18586</v>
      </c>
      <c r="E9859" s="396" t="s">
        <v>18587</v>
      </c>
      <c r="F9859" s="396" t="s">
        <v>18395</v>
      </c>
    </row>
    <row r="9860">
      <c r="A9860" s="311">
        <v>9859</v>
      </c>
      <c r="B9860" s="396" t="s">
        <v>18597</v>
      </c>
      <c r="C9860" s="396" t="s">
        <v>18598</v>
      </c>
      <c r="D9860" s="396" t="s">
        <v>18586</v>
      </c>
      <c r="E9860" s="396" t="s">
        <v>18587</v>
      </c>
      <c r="F9860" s="396" t="s">
        <v>18395</v>
      </c>
    </row>
    <row r="9861">
      <c r="A9861" s="311">
        <v>9860</v>
      </c>
      <c r="B9861" s="396" t="s">
        <v>18599</v>
      </c>
      <c r="C9861" s="396" t="s">
        <v>914</v>
      </c>
      <c r="D9861" s="396" t="s">
        <v>18586</v>
      </c>
      <c r="E9861" s="396" t="s">
        <v>18587</v>
      </c>
      <c r="F9861" s="396" t="s">
        <v>18395</v>
      </c>
    </row>
    <row r="9862">
      <c r="A9862" s="311">
        <v>9861</v>
      </c>
      <c r="B9862" s="396" t="s">
        <v>18600</v>
      </c>
      <c r="C9862" s="396" t="s">
        <v>18601</v>
      </c>
      <c r="D9862" s="396" t="s">
        <v>18586</v>
      </c>
      <c r="E9862" s="396" t="s">
        <v>18587</v>
      </c>
      <c r="F9862" s="396" t="s">
        <v>18395</v>
      </c>
    </row>
    <row r="9863">
      <c r="A9863" s="311">
        <v>9862</v>
      </c>
      <c r="B9863" s="396" t="s">
        <v>18602</v>
      </c>
      <c r="C9863" s="396" t="s">
        <v>18603</v>
      </c>
      <c r="D9863" s="396" t="s">
        <v>18586</v>
      </c>
      <c r="E9863" s="396" t="s">
        <v>18587</v>
      </c>
      <c r="F9863" s="396" t="s">
        <v>18395</v>
      </c>
    </row>
    <row r="9864">
      <c r="A9864" s="311">
        <v>9863</v>
      </c>
      <c r="B9864" s="396" t="s">
        <v>18604</v>
      </c>
      <c r="C9864" s="396" t="s">
        <v>18605</v>
      </c>
      <c r="D9864" s="396" t="s">
        <v>18586</v>
      </c>
      <c r="E9864" s="396" t="s">
        <v>18587</v>
      </c>
      <c r="F9864" s="396" t="s">
        <v>18395</v>
      </c>
    </row>
    <row r="9865">
      <c r="A9865" s="311">
        <v>9864</v>
      </c>
      <c r="B9865" s="396" t="s">
        <v>18606</v>
      </c>
      <c r="C9865" s="396" t="s">
        <v>18607</v>
      </c>
      <c r="D9865" s="396" t="s">
        <v>18586</v>
      </c>
      <c r="E9865" s="396" t="s">
        <v>18587</v>
      </c>
      <c r="F9865" s="396" t="s">
        <v>18395</v>
      </c>
    </row>
    <row r="9866">
      <c r="A9866" s="311">
        <v>9865</v>
      </c>
      <c r="B9866" s="396" t="s">
        <v>18608</v>
      </c>
      <c r="C9866" s="396" t="s">
        <v>18609</v>
      </c>
      <c r="D9866" s="396" t="s">
        <v>18586</v>
      </c>
      <c r="E9866" s="396" t="s">
        <v>18587</v>
      </c>
      <c r="F9866" s="396" t="s">
        <v>18395</v>
      </c>
    </row>
    <row r="9867">
      <c r="A9867" s="311">
        <v>9866</v>
      </c>
      <c r="B9867" s="396" t="s">
        <v>18610</v>
      </c>
      <c r="C9867" s="396" t="s">
        <v>18611</v>
      </c>
      <c r="D9867" s="396" t="s">
        <v>18586</v>
      </c>
      <c r="E9867" s="396" t="s">
        <v>18587</v>
      </c>
      <c r="F9867" s="396" t="s">
        <v>18395</v>
      </c>
    </row>
    <row r="9868">
      <c r="A9868" s="311">
        <v>9867</v>
      </c>
      <c r="B9868" s="396" t="s">
        <v>18612</v>
      </c>
      <c r="C9868" s="396" t="s">
        <v>18613</v>
      </c>
      <c r="D9868" s="396" t="s">
        <v>18586</v>
      </c>
      <c r="E9868" s="396" t="s">
        <v>18587</v>
      </c>
      <c r="F9868" s="396" t="s">
        <v>18395</v>
      </c>
    </row>
    <row r="9869">
      <c r="A9869" s="311">
        <v>9868</v>
      </c>
      <c r="B9869" s="396" t="s">
        <v>18614</v>
      </c>
      <c r="C9869" s="396" t="s">
        <v>18615</v>
      </c>
      <c r="D9869" s="396" t="s">
        <v>18586</v>
      </c>
      <c r="E9869" s="396" t="s">
        <v>18587</v>
      </c>
      <c r="F9869" s="396" t="s">
        <v>18395</v>
      </c>
    </row>
    <row r="9870">
      <c r="A9870" s="311">
        <v>9869</v>
      </c>
      <c r="B9870" s="396" t="s">
        <v>18616</v>
      </c>
      <c r="C9870" s="396" t="s">
        <v>17312</v>
      </c>
      <c r="D9870" s="396" t="s">
        <v>18586</v>
      </c>
      <c r="E9870" s="396" t="s">
        <v>18587</v>
      </c>
      <c r="F9870" s="396" t="s">
        <v>18395</v>
      </c>
    </row>
    <row r="9871">
      <c r="A9871" s="311">
        <v>9870</v>
      </c>
      <c r="B9871" s="396" t="s">
        <v>18617</v>
      </c>
      <c r="C9871" s="396" t="s">
        <v>18618</v>
      </c>
      <c r="D9871" s="396" t="s">
        <v>18586</v>
      </c>
      <c r="E9871" s="396" t="s">
        <v>18587</v>
      </c>
      <c r="F9871" s="396" t="s">
        <v>18395</v>
      </c>
    </row>
    <row r="9872">
      <c r="A9872" s="311">
        <v>9871</v>
      </c>
      <c r="B9872" s="396" t="s">
        <v>18619</v>
      </c>
      <c r="C9872" s="396" t="s">
        <v>18620</v>
      </c>
      <c r="D9872" s="396" t="s">
        <v>18586</v>
      </c>
      <c r="E9872" s="396" t="s">
        <v>18587</v>
      </c>
      <c r="F9872" s="396" t="s">
        <v>18395</v>
      </c>
    </row>
    <row r="9873">
      <c r="A9873" s="311">
        <v>9872</v>
      </c>
      <c r="B9873" s="396" t="s">
        <v>18621</v>
      </c>
      <c r="C9873" s="396" t="s">
        <v>18622</v>
      </c>
      <c r="D9873" s="396" t="s">
        <v>18623</v>
      </c>
      <c r="E9873" s="396" t="s">
        <v>18624</v>
      </c>
      <c r="F9873" s="396" t="s">
        <v>18395</v>
      </c>
    </row>
    <row r="9874">
      <c r="A9874" s="311">
        <v>9873</v>
      </c>
      <c r="B9874" s="396" t="s">
        <v>18625</v>
      </c>
      <c r="C9874" s="396" t="s">
        <v>5581</v>
      </c>
      <c r="D9874" s="396" t="s">
        <v>18623</v>
      </c>
      <c r="E9874" s="396" t="s">
        <v>18624</v>
      </c>
      <c r="F9874" s="396" t="s">
        <v>18395</v>
      </c>
    </row>
    <row r="9875">
      <c r="A9875" s="311">
        <v>9874</v>
      </c>
      <c r="B9875" s="396" t="s">
        <v>18626</v>
      </c>
      <c r="C9875" s="396" t="s">
        <v>886</v>
      </c>
      <c r="D9875" s="396" t="s">
        <v>18623</v>
      </c>
      <c r="E9875" s="396" t="s">
        <v>18624</v>
      </c>
      <c r="F9875" s="396" t="s">
        <v>18395</v>
      </c>
    </row>
    <row r="9876">
      <c r="A9876" s="311">
        <v>9875</v>
      </c>
      <c r="B9876" s="396" t="s">
        <v>18627</v>
      </c>
      <c r="C9876" s="396" t="s">
        <v>18628</v>
      </c>
      <c r="D9876" s="396" t="s">
        <v>18623</v>
      </c>
      <c r="E9876" s="396" t="s">
        <v>18624</v>
      </c>
      <c r="F9876" s="396" t="s">
        <v>18395</v>
      </c>
    </row>
    <row r="9877">
      <c r="A9877" s="311">
        <v>9876</v>
      </c>
      <c r="B9877" s="396" t="s">
        <v>18629</v>
      </c>
      <c r="C9877" s="396" t="s">
        <v>1992</v>
      </c>
      <c r="D9877" s="396" t="s">
        <v>18623</v>
      </c>
      <c r="E9877" s="396" t="s">
        <v>18624</v>
      </c>
      <c r="F9877" s="396" t="s">
        <v>18395</v>
      </c>
    </row>
    <row r="9878">
      <c r="A9878" s="311">
        <v>9877</v>
      </c>
      <c r="B9878" s="396" t="s">
        <v>18630</v>
      </c>
      <c r="C9878" s="396" t="s">
        <v>18631</v>
      </c>
      <c r="D9878" s="396" t="s">
        <v>18623</v>
      </c>
      <c r="E9878" s="396" t="s">
        <v>18624</v>
      </c>
      <c r="F9878" s="396" t="s">
        <v>18395</v>
      </c>
    </row>
    <row r="9879">
      <c r="A9879" s="311">
        <v>9878</v>
      </c>
      <c r="B9879" s="396" t="s">
        <v>18632</v>
      </c>
      <c r="C9879" s="396" t="s">
        <v>18633</v>
      </c>
      <c r="D9879" s="396" t="s">
        <v>18623</v>
      </c>
      <c r="E9879" s="396" t="s">
        <v>18624</v>
      </c>
      <c r="F9879" s="396" t="s">
        <v>18395</v>
      </c>
    </row>
    <row r="9880">
      <c r="A9880" s="311">
        <v>9879</v>
      </c>
      <c r="B9880" s="396" t="s">
        <v>18634</v>
      </c>
      <c r="C9880" s="396" t="s">
        <v>18070</v>
      </c>
      <c r="D9880" s="396" t="s">
        <v>18623</v>
      </c>
      <c r="E9880" s="396" t="s">
        <v>18624</v>
      </c>
      <c r="F9880" s="396" t="s">
        <v>18395</v>
      </c>
    </row>
    <row r="9881">
      <c r="A9881" s="311">
        <v>9880</v>
      </c>
      <c r="B9881" s="396" t="s">
        <v>18635</v>
      </c>
      <c r="C9881" s="396" t="s">
        <v>18636</v>
      </c>
      <c r="D9881" s="396" t="s">
        <v>18623</v>
      </c>
      <c r="E9881" s="396" t="s">
        <v>18624</v>
      </c>
      <c r="F9881" s="396" t="s">
        <v>18395</v>
      </c>
    </row>
    <row r="9882">
      <c r="A9882" s="311">
        <v>9881</v>
      </c>
      <c r="B9882" s="396" t="s">
        <v>18637</v>
      </c>
      <c r="C9882" s="396" t="s">
        <v>16850</v>
      </c>
      <c r="D9882" s="396" t="s">
        <v>18623</v>
      </c>
      <c r="E9882" s="396" t="s">
        <v>18624</v>
      </c>
      <c r="F9882" s="396" t="s">
        <v>18395</v>
      </c>
    </row>
    <row r="9883">
      <c r="A9883" s="311">
        <v>9882</v>
      </c>
      <c r="B9883" s="396" t="s">
        <v>18638</v>
      </c>
      <c r="C9883" s="396" t="s">
        <v>13691</v>
      </c>
      <c r="D9883" s="396" t="s">
        <v>18623</v>
      </c>
      <c r="E9883" s="396" t="s">
        <v>18624</v>
      </c>
      <c r="F9883" s="396" t="s">
        <v>18395</v>
      </c>
    </row>
    <row r="9884">
      <c r="A9884" s="311">
        <v>9883</v>
      </c>
      <c r="B9884" s="396" t="s">
        <v>18639</v>
      </c>
      <c r="C9884" s="396" t="s">
        <v>18640</v>
      </c>
      <c r="D9884" s="396" t="s">
        <v>18623</v>
      </c>
      <c r="E9884" s="396" t="s">
        <v>18624</v>
      </c>
      <c r="F9884" s="396" t="s">
        <v>18395</v>
      </c>
    </row>
    <row r="9885">
      <c r="A9885" s="311">
        <v>9884</v>
      </c>
      <c r="B9885" s="396" t="s">
        <v>18641</v>
      </c>
      <c r="C9885" s="396" t="s">
        <v>16733</v>
      </c>
      <c r="D9885" s="396" t="s">
        <v>18623</v>
      </c>
      <c r="E9885" s="396" t="s">
        <v>18624</v>
      </c>
      <c r="F9885" s="396" t="s">
        <v>18395</v>
      </c>
    </row>
    <row r="9886">
      <c r="A9886" s="311">
        <v>9885</v>
      </c>
      <c r="B9886" s="396" t="s">
        <v>18642</v>
      </c>
      <c r="C9886" s="396" t="s">
        <v>18643</v>
      </c>
      <c r="D9886" s="396" t="s">
        <v>18644</v>
      </c>
      <c r="E9886" s="396" t="s">
        <v>18645</v>
      </c>
      <c r="F9886" s="396" t="s">
        <v>18395</v>
      </c>
    </row>
    <row r="9887">
      <c r="A9887" s="311">
        <v>9886</v>
      </c>
      <c r="B9887" s="396" t="s">
        <v>18646</v>
      </c>
      <c r="C9887" s="396" t="s">
        <v>18647</v>
      </c>
      <c r="D9887" s="396" t="s">
        <v>18644</v>
      </c>
      <c r="E9887" s="396" t="s">
        <v>18645</v>
      </c>
      <c r="F9887" s="396" t="s">
        <v>18395</v>
      </c>
    </row>
    <row r="9888">
      <c r="A9888" s="311">
        <v>9887</v>
      </c>
      <c r="B9888" s="396" t="s">
        <v>18648</v>
      </c>
      <c r="C9888" s="396" t="s">
        <v>14931</v>
      </c>
      <c r="D9888" s="396" t="s">
        <v>18644</v>
      </c>
      <c r="E9888" s="396" t="s">
        <v>18645</v>
      </c>
      <c r="F9888" s="396" t="s">
        <v>18395</v>
      </c>
    </row>
    <row r="9889">
      <c r="A9889" s="311">
        <v>9888</v>
      </c>
      <c r="B9889" s="396" t="s">
        <v>18649</v>
      </c>
      <c r="C9889" s="396" t="s">
        <v>18650</v>
      </c>
      <c r="D9889" s="396" t="s">
        <v>18644</v>
      </c>
      <c r="E9889" s="396" t="s">
        <v>18645</v>
      </c>
      <c r="F9889" s="396" t="s">
        <v>18395</v>
      </c>
    </row>
    <row r="9890">
      <c r="A9890" s="311">
        <v>9889</v>
      </c>
      <c r="B9890" s="396" t="s">
        <v>18651</v>
      </c>
      <c r="C9890" s="396" t="s">
        <v>18652</v>
      </c>
      <c r="D9890" s="396" t="s">
        <v>18644</v>
      </c>
      <c r="E9890" s="396" t="s">
        <v>18645</v>
      </c>
      <c r="F9890" s="396" t="s">
        <v>18395</v>
      </c>
    </row>
    <row r="9891">
      <c r="A9891" s="311">
        <v>9890</v>
      </c>
      <c r="B9891" s="396" t="s">
        <v>18653</v>
      </c>
      <c r="C9891" s="396" t="s">
        <v>18175</v>
      </c>
      <c r="D9891" s="396" t="s">
        <v>18644</v>
      </c>
      <c r="E9891" s="396" t="s">
        <v>18645</v>
      </c>
      <c r="F9891" s="396" t="s">
        <v>18395</v>
      </c>
    </row>
    <row r="9892">
      <c r="A9892" s="311">
        <v>9891</v>
      </c>
      <c r="B9892" s="396" t="s">
        <v>18654</v>
      </c>
      <c r="C9892" s="396" t="s">
        <v>18655</v>
      </c>
      <c r="D9892" s="396" t="s">
        <v>18644</v>
      </c>
      <c r="E9892" s="396" t="s">
        <v>18645</v>
      </c>
      <c r="F9892" s="396" t="s">
        <v>18395</v>
      </c>
    </row>
    <row r="9893">
      <c r="A9893" s="311">
        <v>9892</v>
      </c>
      <c r="B9893" s="396" t="s">
        <v>18656</v>
      </c>
      <c r="C9893" s="396" t="s">
        <v>16790</v>
      </c>
      <c r="D9893" s="396" t="s">
        <v>18644</v>
      </c>
      <c r="E9893" s="396" t="s">
        <v>18645</v>
      </c>
      <c r="F9893" s="396" t="s">
        <v>18395</v>
      </c>
    </row>
    <row r="9894">
      <c r="A9894" s="311">
        <v>9893</v>
      </c>
      <c r="B9894" s="396" t="s">
        <v>18657</v>
      </c>
      <c r="C9894" s="396" t="s">
        <v>18658</v>
      </c>
      <c r="D9894" s="396" t="s">
        <v>18644</v>
      </c>
      <c r="E9894" s="396" t="s">
        <v>18645</v>
      </c>
      <c r="F9894" s="396" t="s">
        <v>18395</v>
      </c>
    </row>
    <row r="9895">
      <c r="A9895" s="311">
        <v>9894</v>
      </c>
      <c r="B9895" s="396" t="s">
        <v>18659</v>
      </c>
      <c r="C9895" s="396" t="s">
        <v>18660</v>
      </c>
      <c r="D9895" s="396" t="s">
        <v>18644</v>
      </c>
      <c r="E9895" s="396" t="s">
        <v>18645</v>
      </c>
      <c r="F9895" s="396" t="s">
        <v>18395</v>
      </c>
    </row>
    <row r="9896">
      <c r="A9896" s="311">
        <v>9895</v>
      </c>
      <c r="B9896" s="396" t="s">
        <v>18661</v>
      </c>
      <c r="C9896" s="396" t="s">
        <v>18662</v>
      </c>
      <c r="D9896" s="396" t="s">
        <v>18644</v>
      </c>
      <c r="E9896" s="396" t="s">
        <v>18645</v>
      </c>
      <c r="F9896" s="396" t="s">
        <v>18395</v>
      </c>
    </row>
    <row r="9897">
      <c r="A9897" s="311">
        <v>9896</v>
      </c>
      <c r="B9897" s="396" t="s">
        <v>18663</v>
      </c>
      <c r="C9897" s="396" t="s">
        <v>14802</v>
      </c>
      <c r="D9897" s="396" t="s">
        <v>18644</v>
      </c>
      <c r="E9897" s="396" t="s">
        <v>18645</v>
      </c>
      <c r="F9897" s="396" t="s">
        <v>18395</v>
      </c>
    </row>
    <row r="9898">
      <c r="A9898" s="311">
        <v>9897</v>
      </c>
      <c r="B9898" s="396" t="s">
        <v>18664</v>
      </c>
      <c r="C9898" s="396" t="s">
        <v>1552</v>
      </c>
      <c r="D9898" s="396" t="s">
        <v>18644</v>
      </c>
      <c r="E9898" s="396" t="s">
        <v>18645</v>
      </c>
      <c r="F9898" s="396" t="s">
        <v>18395</v>
      </c>
    </row>
    <row r="9899">
      <c r="A9899" s="311">
        <v>9898</v>
      </c>
      <c r="B9899" s="396" t="s">
        <v>18665</v>
      </c>
      <c r="C9899" s="396" t="s">
        <v>18666</v>
      </c>
      <c r="D9899" s="396" t="s">
        <v>18667</v>
      </c>
      <c r="E9899" s="396" t="s">
        <v>18668</v>
      </c>
      <c r="F9899" s="396" t="s">
        <v>18395</v>
      </c>
    </row>
    <row r="9900">
      <c r="A9900" s="311">
        <v>9899</v>
      </c>
      <c r="B9900" s="396" t="s">
        <v>18669</v>
      </c>
      <c r="C9900" s="396" t="s">
        <v>830</v>
      </c>
      <c r="D9900" s="396" t="s">
        <v>18667</v>
      </c>
      <c r="E9900" s="396" t="s">
        <v>18668</v>
      </c>
      <c r="F9900" s="396" t="s">
        <v>18395</v>
      </c>
    </row>
    <row r="9901">
      <c r="A9901" s="311">
        <v>9900</v>
      </c>
      <c r="B9901" s="396" t="s">
        <v>18670</v>
      </c>
      <c r="C9901" s="396" t="s">
        <v>17377</v>
      </c>
      <c r="D9901" s="396" t="s">
        <v>18667</v>
      </c>
      <c r="E9901" s="396" t="s">
        <v>18668</v>
      </c>
      <c r="F9901" s="396" t="s">
        <v>18395</v>
      </c>
    </row>
    <row r="9902">
      <c r="A9902" s="311">
        <v>9901</v>
      </c>
      <c r="B9902" s="396" t="s">
        <v>18671</v>
      </c>
      <c r="C9902" s="396" t="s">
        <v>18672</v>
      </c>
      <c r="D9902" s="396" t="s">
        <v>18667</v>
      </c>
      <c r="E9902" s="396" t="s">
        <v>18668</v>
      </c>
      <c r="F9902" s="396" t="s">
        <v>18395</v>
      </c>
    </row>
    <row r="9903">
      <c r="A9903" s="311">
        <v>9902</v>
      </c>
      <c r="B9903" s="396" t="s">
        <v>18673</v>
      </c>
      <c r="C9903" s="396" t="s">
        <v>633</v>
      </c>
      <c r="D9903" s="396" t="s">
        <v>18667</v>
      </c>
      <c r="E9903" s="396" t="s">
        <v>18668</v>
      </c>
      <c r="F9903" s="396" t="s">
        <v>18395</v>
      </c>
    </row>
    <row r="9904">
      <c r="A9904" s="311">
        <v>9903</v>
      </c>
      <c r="B9904" s="396" t="s">
        <v>18674</v>
      </c>
      <c r="C9904" s="396" t="s">
        <v>17224</v>
      </c>
      <c r="D9904" s="396" t="s">
        <v>18667</v>
      </c>
      <c r="E9904" s="396" t="s">
        <v>18668</v>
      </c>
      <c r="F9904" s="396" t="s">
        <v>18395</v>
      </c>
    </row>
    <row r="9905">
      <c r="A9905" s="311">
        <v>9904</v>
      </c>
      <c r="B9905" s="396" t="s">
        <v>18675</v>
      </c>
      <c r="C9905" s="396" t="s">
        <v>18676</v>
      </c>
      <c r="D9905" s="396" t="s">
        <v>18677</v>
      </c>
      <c r="E9905" s="396" t="s">
        <v>18678</v>
      </c>
      <c r="F9905" s="396" t="s">
        <v>18679</v>
      </c>
    </row>
    <row r="9906">
      <c r="A9906" s="311">
        <v>9905</v>
      </c>
      <c r="B9906" s="396" t="s">
        <v>18680</v>
      </c>
      <c r="C9906" s="396" t="s">
        <v>16946</v>
      </c>
      <c r="D9906" s="396" t="s">
        <v>18677</v>
      </c>
      <c r="E9906" s="396" t="s">
        <v>18678</v>
      </c>
      <c r="F9906" s="396" t="s">
        <v>18679</v>
      </c>
    </row>
    <row r="9907">
      <c r="A9907" s="311">
        <v>9906</v>
      </c>
      <c r="B9907" s="396" t="s">
        <v>18681</v>
      </c>
      <c r="C9907" s="396" t="s">
        <v>14270</v>
      </c>
      <c r="D9907" s="396" t="s">
        <v>18677</v>
      </c>
      <c r="E9907" s="396" t="s">
        <v>18678</v>
      </c>
      <c r="F9907" s="396" t="s">
        <v>18679</v>
      </c>
    </row>
    <row r="9908">
      <c r="A9908" s="311">
        <v>9907</v>
      </c>
      <c r="B9908" s="396" t="s">
        <v>18682</v>
      </c>
      <c r="C9908" s="396" t="s">
        <v>14280</v>
      </c>
      <c r="D9908" s="396" t="s">
        <v>18677</v>
      </c>
      <c r="E9908" s="396" t="s">
        <v>18678</v>
      </c>
      <c r="F9908" s="396" t="s">
        <v>18679</v>
      </c>
    </row>
    <row r="9909">
      <c r="A9909" s="311">
        <v>9908</v>
      </c>
      <c r="B9909" s="396" t="s">
        <v>18683</v>
      </c>
      <c r="C9909" s="396" t="s">
        <v>12449</v>
      </c>
      <c r="D9909" s="396" t="s">
        <v>18677</v>
      </c>
      <c r="E9909" s="396" t="s">
        <v>18678</v>
      </c>
      <c r="F9909" s="396" t="s">
        <v>18679</v>
      </c>
    </row>
    <row r="9910">
      <c r="A9910" s="311">
        <v>9909</v>
      </c>
      <c r="B9910" s="396" t="s">
        <v>18684</v>
      </c>
      <c r="C9910" s="396" t="s">
        <v>12451</v>
      </c>
      <c r="D9910" s="396" t="s">
        <v>18677</v>
      </c>
      <c r="E9910" s="396" t="s">
        <v>18678</v>
      </c>
      <c r="F9910" s="396" t="s">
        <v>18679</v>
      </c>
    </row>
    <row r="9911">
      <c r="A9911" s="311">
        <v>9910</v>
      </c>
      <c r="B9911" s="396" t="s">
        <v>18685</v>
      </c>
      <c r="C9911" s="396" t="s">
        <v>12441</v>
      </c>
      <c r="D9911" s="396" t="s">
        <v>18677</v>
      </c>
      <c r="E9911" s="396" t="s">
        <v>18678</v>
      </c>
      <c r="F9911" s="396" t="s">
        <v>18679</v>
      </c>
    </row>
    <row r="9912">
      <c r="A9912" s="311">
        <v>9911</v>
      </c>
      <c r="B9912" s="396" t="s">
        <v>18686</v>
      </c>
      <c r="C9912" s="396" t="s">
        <v>12455</v>
      </c>
      <c r="D9912" s="396" t="s">
        <v>18677</v>
      </c>
      <c r="E9912" s="396" t="s">
        <v>18678</v>
      </c>
      <c r="F9912" s="396" t="s">
        <v>18679</v>
      </c>
    </row>
    <row r="9913">
      <c r="A9913" s="311">
        <v>9912</v>
      </c>
      <c r="B9913" s="396" t="s">
        <v>18687</v>
      </c>
      <c r="C9913" s="396" t="s">
        <v>12447</v>
      </c>
      <c r="D9913" s="396" t="s">
        <v>18677</v>
      </c>
      <c r="E9913" s="396" t="s">
        <v>18678</v>
      </c>
      <c r="F9913" s="396" t="s">
        <v>18679</v>
      </c>
    </row>
    <row r="9914">
      <c r="A9914" s="311">
        <v>9913</v>
      </c>
      <c r="B9914" s="396" t="s">
        <v>18688</v>
      </c>
      <c r="C9914" s="396" t="s">
        <v>14278</v>
      </c>
      <c r="D9914" s="396" t="s">
        <v>18677</v>
      </c>
      <c r="E9914" s="396" t="s">
        <v>18678</v>
      </c>
      <c r="F9914" s="396" t="s">
        <v>18679</v>
      </c>
    </row>
    <row r="9915">
      <c r="A9915" s="311">
        <v>9914</v>
      </c>
      <c r="B9915" s="396" t="s">
        <v>18689</v>
      </c>
      <c r="C9915" s="396" t="s">
        <v>614</v>
      </c>
      <c r="D9915" s="396" t="s">
        <v>18677</v>
      </c>
      <c r="E9915" s="396" t="s">
        <v>18678</v>
      </c>
      <c r="F9915" s="396" t="s">
        <v>18679</v>
      </c>
    </row>
    <row r="9916">
      <c r="A9916" s="311">
        <v>9915</v>
      </c>
      <c r="B9916" s="396" t="s">
        <v>18690</v>
      </c>
      <c r="C9916" s="396" t="s">
        <v>18691</v>
      </c>
      <c r="D9916" s="396" t="s">
        <v>18677</v>
      </c>
      <c r="E9916" s="396" t="s">
        <v>18678</v>
      </c>
      <c r="F9916" s="396" t="s">
        <v>18679</v>
      </c>
    </row>
    <row r="9917">
      <c r="A9917" s="311">
        <v>9916</v>
      </c>
      <c r="B9917" s="396" t="s">
        <v>18692</v>
      </c>
      <c r="C9917" s="396" t="s">
        <v>886</v>
      </c>
      <c r="D9917" s="396" t="s">
        <v>18677</v>
      </c>
      <c r="E9917" s="396" t="s">
        <v>18678</v>
      </c>
      <c r="F9917" s="396" t="s">
        <v>18679</v>
      </c>
    </row>
    <row r="9918">
      <c r="A9918" s="311">
        <v>9917</v>
      </c>
      <c r="B9918" s="396" t="s">
        <v>18693</v>
      </c>
      <c r="C9918" s="396" t="s">
        <v>18694</v>
      </c>
      <c r="D9918" s="396" t="s">
        <v>18677</v>
      </c>
      <c r="E9918" s="396" t="s">
        <v>18678</v>
      </c>
      <c r="F9918" s="396" t="s">
        <v>18679</v>
      </c>
    </row>
    <row r="9919">
      <c r="A9919" s="311">
        <v>9918</v>
      </c>
      <c r="B9919" s="396" t="s">
        <v>18695</v>
      </c>
      <c r="C9919" s="396" t="s">
        <v>18696</v>
      </c>
      <c r="D9919" s="396" t="s">
        <v>18677</v>
      </c>
      <c r="E9919" s="396" t="s">
        <v>18678</v>
      </c>
      <c r="F9919" s="396" t="s">
        <v>18679</v>
      </c>
    </row>
    <row r="9920">
      <c r="A9920" s="311">
        <v>9919</v>
      </c>
      <c r="B9920" s="396" t="s">
        <v>18697</v>
      </c>
      <c r="C9920" s="396" t="s">
        <v>2774</v>
      </c>
      <c r="D9920" s="396" t="s">
        <v>18677</v>
      </c>
      <c r="E9920" s="396" t="s">
        <v>18678</v>
      </c>
      <c r="F9920" s="396" t="s">
        <v>18679</v>
      </c>
    </row>
    <row r="9921">
      <c r="A9921" s="311">
        <v>9920</v>
      </c>
      <c r="B9921" s="396" t="s">
        <v>18698</v>
      </c>
      <c r="C9921" s="396" t="s">
        <v>1189</v>
      </c>
      <c r="D9921" s="396" t="s">
        <v>18677</v>
      </c>
      <c r="E9921" s="396" t="s">
        <v>18678</v>
      </c>
      <c r="F9921" s="396" t="s">
        <v>18679</v>
      </c>
    </row>
    <row r="9922">
      <c r="A9922" s="311">
        <v>9921</v>
      </c>
      <c r="B9922" s="396" t="s">
        <v>18699</v>
      </c>
      <c r="C9922" s="396" t="s">
        <v>16825</v>
      </c>
      <c r="D9922" s="396" t="s">
        <v>18700</v>
      </c>
      <c r="E9922" s="396" t="s">
        <v>16827</v>
      </c>
      <c r="F9922" s="396" t="s">
        <v>18679</v>
      </c>
    </row>
    <row r="9923">
      <c r="A9923" s="311">
        <v>9922</v>
      </c>
      <c r="B9923" s="396" t="s">
        <v>18701</v>
      </c>
      <c r="C9923" s="396" t="s">
        <v>18702</v>
      </c>
      <c r="D9923" s="396" t="s">
        <v>18700</v>
      </c>
      <c r="E9923" s="396" t="s">
        <v>16827</v>
      </c>
      <c r="F9923" s="396" t="s">
        <v>18679</v>
      </c>
    </row>
    <row r="9924">
      <c r="A9924" s="311">
        <v>9923</v>
      </c>
      <c r="B9924" s="396" t="s">
        <v>18703</v>
      </c>
      <c r="C9924" s="396" t="s">
        <v>18704</v>
      </c>
      <c r="D9924" s="396" t="s">
        <v>18700</v>
      </c>
      <c r="E9924" s="396" t="s">
        <v>16827</v>
      </c>
      <c r="F9924" s="396" t="s">
        <v>18679</v>
      </c>
    </row>
    <row r="9925">
      <c r="A9925" s="311">
        <v>9924</v>
      </c>
      <c r="B9925" s="396" t="s">
        <v>18705</v>
      </c>
      <c r="C9925" s="396" t="s">
        <v>791</v>
      </c>
      <c r="D9925" s="396" t="s">
        <v>18700</v>
      </c>
      <c r="E9925" s="396" t="s">
        <v>16827</v>
      </c>
      <c r="F9925" s="396" t="s">
        <v>18679</v>
      </c>
    </row>
    <row r="9926">
      <c r="A9926" s="311">
        <v>9925</v>
      </c>
      <c r="B9926" s="396" t="s">
        <v>18706</v>
      </c>
      <c r="C9926" s="396" t="s">
        <v>9308</v>
      </c>
      <c r="D9926" s="396" t="s">
        <v>18700</v>
      </c>
      <c r="E9926" s="396" t="s">
        <v>16827</v>
      </c>
      <c r="F9926" s="396" t="s">
        <v>18679</v>
      </c>
    </row>
    <row r="9927">
      <c r="A9927" s="311">
        <v>9926</v>
      </c>
      <c r="B9927" s="396" t="s">
        <v>18707</v>
      </c>
      <c r="C9927" s="396" t="s">
        <v>18708</v>
      </c>
      <c r="D9927" s="396" t="s">
        <v>18700</v>
      </c>
      <c r="E9927" s="396" t="s">
        <v>16827</v>
      </c>
      <c r="F9927" s="396" t="s">
        <v>18679</v>
      </c>
    </row>
    <row r="9928">
      <c r="A9928" s="311">
        <v>9927</v>
      </c>
      <c r="B9928" s="396" t="s">
        <v>18709</v>
      </c>
      <c r="C9928" s="396" t="s">
        <v>1078</v>
      </c>
      <c r="D9928" s="396" t="s">
        <v>18700</v>
      </c>
      <c r="E9928" s="396" t="s">
        <v>16827</v>
      </c>
      <c r="F9928" s="396" t="s">
        <v>18679</v>
      </c>
    </row>
    <row r="9929">
      <c r="A9929" s="311">
        <v>9928</v>
      </c>
      <c r="B9929" s="396" t="s">
        <v>18710</v>
      </c>
      <c r="C9929" s="396" t="s">
        <v>18711</v>
      </c>
      <c r="D9929" s="396" t="s">
        <v>18700</v>
      </c>
      <c r="E9929" s="396" t="s">
        <v>16827</v>
      </c>
      <c r="F9929" s="396" t="s">
        <v>18679</v>
      </c>
    </row>
    <row r="9930">
      <c r="A9930" s="311">
        <v>9929</v>
      </c>
      <c r="B9930" s="396" t="s">
        <v>18712</v>
      </c>
      <c r="C9930" s="396" t="s">
        <v>18713</v>
      </c>
      <c r="D9930" s="396" t="s">
        <v>18700</v>
      </c>
      <c r="E9930" s="396" t="s">
        <v>16827</v>
      </c>
      <c r="F9930" s="396" t="s">
        <v>18679</v>
      </c>
    </row>
    <row r="9931">
      <c r="A9931" s="311">
        <v>9930</v>
      </c>
      <c r="B9931" s="396" t="s">
        <v>18714</v>
      </c>
      <c r="C9931" s="396" t="s">
        <v>17322</v>
      </c>
      <c r="D9931" s="396" t="s">
        <v>18700</v>
      </c>
      <c r="E9931" s="396" t="s">
        <v>16827</v>
      </c>
      <c r="F9931" s="396" t="s">
        <v>18679</v>
      </c>
    </row>
    <row r="9932">
      <c r="A9932" s="311">
        <v>9931</v>
      </c>
      <c r="B9932" s="396" t="s">
        <v>18715</v>
      </c>
      <c r="C9932" s="396" t="s">
        <v>13586</v>
      </c>
      <c r="D9932" s="396" t="s">
        <v>18700</v>
      </c>
      <c r="E9932" s="396" t="s">
        <v>16827</v>
      </c>
      <c r="F9932" s="396" t="s">
        <v>18679</v>
      </c>
    </row>
    <row r="9933">
      <c r="A9933" s="311">
        <v>9932</v>
      </c>
      <c r="B9933" s="396" t="s">
        <v>18716</v>
      </c>
      <c r="C9933" s="396" t="s">
        <v>18717</v>
      </c>
      <c r="D9933" s="396" t="s">
        <v>18700</v>
      </c>
      <c r="E9933" s="396" t="s">
        <v>16827</v>
      </c>
      <c r="F9933" s="396" t="s">
        <v>18679</v>
      </c>
    </row>
    <row r="9934">
      <c r="A9934" s="311">
        <v>9933</v>
      </c>
      <c r="B9934" s="396" t="s">
        <v>18718</v>
      </c>
      <c r="C9934" s="396" t="s">
        <v>18719</v>
      </c>
      <c r="D9934" s="396" t="s">
        <v>18700</v>
      </c>
      <c r="E9934" s="396" t="s">
        <v>16827</v>
      </c>
      <c r="F9934" s="396" t="s">
        <v>18679</v>
      </c>
    </row>
    <row r="9935">
      <c r="A9935" s="311">
        <v>9934</v>
      </c>
      <c r="B9935" s="396" t="s">
        <v>18720</v>
      </c>
      <c r="C9935" s="396" t="s">
        <v>830</v>
      </c>
      <c r="D9935" s="396" t="s">
        <v>18700</v>
      </c>
      <c r="E9935" s="396" t="s">
        <v>16827</v>
      </c>
      <c r="F9935" s="396" t="s">
        <v>18679</v>
      </c>
    </row>
    <row r="9936">
      <c r="A9936" s="311">
        <v>9935</v>
      </c>
      <c r="B9936" s="396" t="s">
        <v>18721</v>
      </c>
      <c r="C9936" s="396" t="s">
        <v>18722</v>
      </c>
      <c r="D9936" s="396" t="s">
        <v>18700</v>
      </c>
      <c r="E9936" s="396" t="s">
        <v>16827</v>
      </c>
      <c r="F9936" s="396" t="s">
        <v>18679</v>
      </c>
    </row>
    <row r="9937">
      <c r="A9937" s="311">
        <v>9936</v>
      </c>
      <c r="B9937" s="396" t="s">
        <v>18723</v>
      </c>
      <c r="C9937" s="396" t="s">
        <v>16880</v>
      </c>
      <c r="D9937" s="396" t="s">
        <v>18700</v>
      </c>
      <c r="E9937" s="396" t="s">
        <v>16827</v>
      </c>
      <c r="F9937" s="396" t="s">
        <v>18679</v>
      </c>
    </row>
    <row r="9938">
      <c r="A9938" s="311">
        <v>9937</v>
      </c>
      <c r="B9938" s="396" t="s">
        <v>18724</v>
      </c>
      <c r="C9938" s="396" t="s">
        <v>18725</v>
      </c>
      <c r="D9938" s="396" t="s">
        <v>18700</v>
      </c>
      <c r="E9938" s="396" t="s">
        <v>16827</v>
      </c>
      <c r="F9938" s="396" t="s">
        <v>18679</v>
      </c>
    </row>
    <row r="9939">
      <c r="A9939" s="311">
        <v>9938</v>
      </c>
      <c r="B9939" s="396" t="s">
        <v>18726</v>
      </c>
      <c r="C9939" s="396" t="s">
        <v>18727</v>
      </c>
      <c r="D9939" s="396" t="s">
        <v>18700</v>
      </c>
      <c r="E9939" s="396" t="s">
        <v>16827</v>
      </c>
      <c r="F9939" s="396" t="s">
        <v>18679</v>
      </c>
    </row>
    <row r="9940">
      <c r="A9940" s="311">
        <v>9939</v>
      </c>
      <c r="B9940" s="396" t="s">
        <v>18728</v>
      </c>
      <c r="C9940" s="396" t="s">
        <v>8325</v>
      </c>
      <c r="D9940" s="396" t="s">
        <v>18700</v>
      </c>
      <c r="E9940" s="396" t="s">
        <v>16827</v>
      </c>
      <c r="F9940" s="396" t="s">
        <v>18679</v>
      </c>
    </row>
    <row r="9941">
      <c r="A9941" s="311">
        <v>9940</v>
      </c>
      <c r="B9941" s="396" t="s">
        <v>18729</v>
      </c>
      <c r="C9941" s="396" t="s">
        <v>18730</v>
      </c>
      <c r="D9941" s="396" t="s">
        <v>18700</v>
      </c>
      <c r="E9941" s="396" t="s">
        <v>16827</v>
      </c>
      <c r="F9941" s="396" t="s">
        <v>18679</v>
      </c>
    </row>
    <row r="9942">
      <c r="A9942" s="311">
        <v>9941</v>
      </c>
      <c r="B9942" s="396" t="s">
        <v>18731</v>
      </c>
      <c r="C9942" s="396" t="s">
        <v>18732</v>
      </c>
      <c r="D9942" s="396" t="s">
        <v>18700</v>
      </c>
      <c r="E9942" s="396" t="s">
        <v>16827</v>
      </c>
      <c r="F9942" s="396" t="s">
        <v>18679</v>
      </c>
    </row>
    <row r="9943">
      <c r="A9943" s="311">
        <v>9942</v>
      </c>
      <c r="B9943" s="396" t="s">
        <v>18733</v>
      </c>
      <c r="C9943" s="396" t="s">
        <v>11704</v>
      </c>
      <c r="D9943" s="396" t="s">
        <v>18700</v>
      </c>
      <c r="E9943" s="396" t="s">
        <v>16827</v>
      </c>
      <c r="F9943" s="396" t="s">
        <v>18679</v>
      </c>
    </row>
    <row r="9944">
      <c r="A9944" s="311">
        <v>9943</v>
      </c>
      <c r="B9944" s="396" t="s">
        <v>18734</v>
      </c>
      <c r="C9944" s="396" t="s">
        <v>18735</v>
      </c>
      <c r="D9944" s="396" t="s">
        <v>18736</v>
      </c>
      <c r="E9944" s="396" t="s">
        <v>18737</v>
      </c>
      <c r="F9944" s="396" t="s">
        <v>18679</v>
      </c>
    </row>
    <row r="9945">
      <c r="A9945" s="311">
        <v>9944</v>
      </c>
      <c r="B9945" s="396" t="s">
        <v>18738</v>
      </c>
      <c r="C9945" s="396" t="s">
        <v>18739</v>
      </c>
      <c r="D9945" s="396" t="s">
        <v>18736</v>
      </c>
      <c r="E9945" s="396" t="s">
        <v>18737</v>
      </c>
      <c r="F9945" s="396" t="s">
        <v>18679</v>
      </c>
    </row>
    <row r="9946">
      <c r="A9946" s="311">
        <v>9945</v>
      </c>
      <c r="B9946" s="396" t="s">
        <v>18740</v>
      </c>
      <c r="C9946" s="396" t="s">
        <v>14376</v>
      </c>
      <c r="D9946" s="396" t="s">
        <v>18736</v>
      </c>
      <c r="E9946" s="396" t="s">
        <v>18737</v>
      </c>
      <c r="F9946" s="396" t="s">
        <v>18679</v>
      </c>
    </row>
    <row r="9947">
      <c r="A9947" s="311">
        <v>9946</v>
      </c>
      <c r="B9947" s="396" t="s">
        <v>18741</v>
      </c>
      <c r="C9947" s="396" t="s">
        <v>18116</v>
      </c>
      <c r="D9947" s="396" t="s">
        <v>18736</v>
      </c>
      <c r="E9947" s="396" t="s">
        <v>18737</v>
      </c>
      <c r="F9947" s="396" t="s">
        <v>18679</v>
      </c>
    </row>
    <row r="9948">
      <c r="A9948" s="311">
        <v>9947</v>
      </c>
      <c r="B9948" s="396" t="s">
        <v>18742</v>
      </c>
      <c r="C9948" s="396" t="s">
        <v>18743</v>
      </c>
      <c r="D9948" s="396" t="s">
        <v>18736</v>
      </c>
      <c r="E9948" s="396" t="s">
        <v>18737</v>
      </c>
      <c r="F9948" s="396" t="s">
        <v>18679</v>
      </c>
    </row>
    <row r="9949">
      <c r="A9949" s="311">
        <v>9948</v>
      </c>
      <c r="B9949" s="396" t="s">
        <v>18744</v>
      </c>
      <c r="C9949" s="396" t="s">
        <v>18024</v>
      </c>
      <c r="D9949" s="396" t="s">
        <v>18736</v>
      </c>
      <c r="E9949" s="396" t="s">
        <v>18737</v>
      </c>
      <c r="F9949" s="396" t="s">
        <v>18679</v>
      </c>
    </row>
    <row r="9950">
      <c r="A9950" s="311">
        <v>9949</v>
      </c>
      <c r="B9950" s="396" t="s">
        <v>18745</v>
      </c>
      <c r="C9950" s="396" t="s">
        <v>643</v>
      </c>
      <c r="D9950" s="396" t="s">
        <v>18736</v>
      </c>
      <c r="E9950" s="396" t="s">
        <v>18737</v>
      </c>
      <c r="F9950" s="396" t="s">
        <v>18679</v>
      </c>
    </row>
    <row r="9951">
      <c r="A9951" s="311">
        <v>9950</v>
      </c>
      <c r="B9951" s="396" t="s">
        <v>18746</v>
      </c>
      <c r="C9951" s="396" t="s">
        <v>18747</v>
      </c>
      <c r="D9951" s="396" t="s">
        <v>18736</v>
      </c>
      <c r="E9951" s="396" t="s">
        <v>18737</v>
      </c>
      <c r="F9951" s="396" t="s">
        <v>18679</v>
      </c>
    </row>
    <row r="9952">
      <c r="A9952" s="311">
        <v>9951</v>
      </c>
      <c r="B9952" s="396" t="s">
        <v>18748</v>
      </c>
      <c r="C9952" s="396" t="s">
        <v>10064</v>
      </c>
      <c r="D9952" s="396" t="s">
        <v>18736</v>
      </c>
      <c r="E9952" s="396" t="s">
        <v>18737</v>
      </c>
      <c r="F9952" s="396" t="s">
        <v>18679</v>
      </c>
    </row>
    <row r="9953">
      <c r="A9953" s="311">
        <v>9952</v>
      </c>
      <c r="B9953" s="396" t="s">
        <v>18749</v>
      </c>
      <c r="C9953" s="396" t="s">
        <v>7534</v>
      </c>
      <c r="D9953" s="396" t="s">
        <v>18736</v>
      </c>
      <c r="E9953" s="396" t="s">
        <v>18737</v>
      </c>
      <c r="F9953" s="396" t="s">
        <v>18679</v>
      </c>
    </row>
    <row r="9954">
      <c r="A9954" s="311">
        <v>9953</v>
      </c>
      <c r="B9954" s="396" t="s">
        <v>18750</v>
      </c>
      <c r="C9954" s="396" t="s">
        <v>18751</v>
      </c>
      <c r="D9954" s="396" t="s">
        <v>18736</v>
      </c>
      <c r="E9954" s="396" t="s">
        <v>18737</v>
      </c>
      <c r="F9954" s="396" t="s">
        <v>18679</v>
      </c>
    </row>
    <row r="9955">
      <c r="A9955" s="311">
        <v>9954</v>
      </c>
      <c r="B9955" s="396" t="s">
        <v>18752</v>
      </c>
      <c r="C9955" s="396" t="s">
        <v>18753</v>
      </c>
      <c r="D9955" s="396" t="s">
        <v>18754</v>
      </c>
      <c r="E9955" s="396" t="s">
        <v>18755</v>
      </c>
      <c r="F9955" s="396" t="s">
        <v>18679</v>
      </c>
    </row>
    <row r="9956">
      <c r="A9956" s="311">
        <v>9955</v>
      </c>
      <c r="B9956" s="396" t="s">
        <v>18756</v>
      </c>
      <c r="C9956" s="396" t="s">
        <v>18757</v>
      </c>
      <c r="D9956" s="396" t="s">
        <v>18754</v>
      </c>
      <c r="E9956" s="396" t="s">
        <v>18755</v>
      </c>
      <c r="F9956" s="396" t="s">
        <v>18679</v>
      </c>
    </row>
    <row r="9957">
      <c r="A9957" s="311">
        <v>9956</v>
      </c>
      <c r="B9957" s="396" t="s">
        <v>18758</v>
      </c>
      <c r="C9957" s="396" t="s">
        <v>18759</v>
      </c>
      <c r="D9957" s="396" t="s">
        <v>18754</v>
      </c>
      <c r="E9957" s="396" t="s">
        <v>18755</v>
      </c>
      <c r="F9957" s="396" t="s">
        <v>18679</v>
      </c>
    </row>
    <row r="9958">
      <c r="A9958" s="311">
        <v>9957</v>
      </c>
      <c r="B9958" s="396" t="s">
        <v>18760</v>
      </c>
      <c r="C9958" s="396" t="s">
        <v>750</v>
      </c>
      <c r="D9958" s="396" t="s">
        <v>18754</v>
      </c>
      <c r="E9958" s="396" t="s">
        <v>18755</v>
      </c>
      <c r="F9958" s="396" t="s">
        <v>18679</v>
      </c>
    </row>
    <row r="9959">
      <c r="A9959" s="311">
        <v>9958</v>
      </c>
      <c r="B9959" s="396" t="s">
        <v>18761</v>
      </c>
      <c r="C9959" s="396" t="s">
        <v>13382</v>
      </c>
      <c r="D9959" s="396" t="s">
        <v>18754</v>
      </c>
      <c r="E9959" s="396" t="s">
        <v>18755</v>
      </c>
      <c r="F9959" s="396" t="s">
        <v>18679</v>
      </c>
    </row>
    <row r="9960">
      <c r="A9960" s="311">
        <v>9959</v>
      </c>
      <c r="B9960" s="396" t="s">
        <v>18762</v>
      </c>
      <c r="C9960" s="396" t="s">
        <v>18763</v>
      </c>
      <c r="D9960" s="396" t="s">
        <v>18754</v>
      </c>
      <c r="E9960" s="396" t="s">
        <v>18755</v>
      </c>
      <c r="F9960" s="396" t="s">
        <v>18679</v>
      </c>
    </row>
    <row r="9961">
      <c r="A9961" s="311">
        <v>9960</v>
      </c>
      <c r="B9961" s="396" t="s">
        <v>18764</v>
      </c>
      <c r="C9961" s="396" t="s">
        <v>16904</v>
      </c>
      <c r="D9961" s="396" t="s">
        <v>18754</v>
      </c>
      <c r="E9961" s="396" t="s">
        <v>18755</v>
      </c>
      <c r="F9961" s="396" t="s">
        <v>18679</v>
      </c>
    </row>
    <row r="9962">
      <c r="A9962" s="311">
        <v>9961</v>
      </c>
      <c r="B9962" s="396" t="s">
        <v>18765</v>
      </c>
      <c r="C9962" s="396" t="s">
        <v>18766</v>
      </c>
      <c r="D9962" s="396" t="s">
        <v>18754</v>
      </c>
      <c r="E9962" s="396" t="s">
        <v>18755</v>
      </c>
      <c r="F9962" s="396" t="s">
        <v>18679</v>
      </c>
    </row>
    <row r="9963">
      <c r="A9963" s="311">
        <v>9962</v>
      </c>
      <c r="B9963" s="396" t="s">
        <v>18767</v>
      </c>
      <c r="C9963" s="396" t="s">
        <v>14351</v>
      </c>
      <c r="D9963" s="396" t="s">
        <v>18754</v>
      </c>
      <c r="E9963" s="396" t="s">
        <v>18755</v>
      </c>
      <c r="F9963" s="396" t="s">
        <v>18679</v>
      </c>
    </row>
    <row r="9964">
      <c r="A9964" s="311">
        <v>9963</v>
      </c>
      <c r="B9964" s="396" t="s">
        <v>18768</v>
      </c>
      <c r="C9964" s="396" t="s">
        <v>18769</v>
      </c>
      <c r="D9964" s="396" t="s">
        <v>18754</v>
      </c>
      <c r="E9964" s="396" t="s">
        <v>18755</v>
      </c>
      <c r="F9964" s="396" t="s">
        <v>18679</v>
      </c>
    </row>
    <row r="9965">
      <c r="A9965" s="311">
        <v>9964</v>
      </c>
      <c r="B9965" s="396" t="s">
        <v>18770</v>
      </c>
      <c r="C9965" s="396" t="s">
        <v>5755</v>
      </c>
      <c r="D9965" s="396" t="s">
        <v>18754</v>
      </c>
      <c r="E9965" s="396" t="s">
        <v>18755</v>
      </c>
      <c r="F9965" s="396" t="s">
        <v>18679</v>
      </c>
    </row>
    <row r="9966">
      <c r="A9966" s="311">
        <v>9965</v>
      </c>
      <c r="B9966" s="396" t="s">
        <v>18771</v>
      </c>
      <c r="C9966" s="396" t="s">
        <v>18772</v>
      </c>
      <c r="D9966" s="396" t="s">
        <v>18754</v>
      </c>
      <c r="E9966" s="396" t="s">
        <v>18755</v>
      </c>
      <c r="F9966" s="396" t="s">
        <v>18679</v>
      </c>
    </row>
    <row r="9967">
      <c r="A9967" s="311">
        <v>9966</v>
      </c>
      <c r="B9967" s="396" t="s">
        <v>18773</v>
      </c>
      <c r="C9967" s="396" t="s">
        <v>18774</v>
      </c>
      <c r="D9967" s="396" t="s">
        <v>18754</v>
      </c>
      <c r="E9967" s="396" t="s">
        <v>18755</v>
      </c>
      <c r="F9967" s="396" t="s">
        <v>18679</v>
      </c>
    </row>
    <row r="9968">
      <c r="A9968" s="311">
        <v>9967</v>
      </c>
      <c r="B9968" s="396" t="s">
        <v>18775</v>
      </c>
      <c r="C9968" s="396" t="s">
        <v>1149</v>
      </c>
      <c r="D9968" s="396" t="s">
        <v>18754</v>
      </c>
      <c r="E9968" s="396" t="s">
        <v>18755</v>
      </c>
      <c r="F9968" s="396" t="s">
        <v>18679</v>
      </c>
    </row>
    <row r="9969">
      <c r="A9969" s="311">
        <v>9968</v>
      </c>
      <c r="B9969" s="396" t="s">
        <v>18776</v>
      </c>
      <c r="C9969" s="396" t="s">
        <v>18777</v>
      </c>
      <c r="D9969" s="396" t="s">
        <v>18754</v>
      </c>
      <c r="E9969" s="396" t="s">
        <v>18755</v>
      </c>
      <c r="F9969" s="396" t="s">
        <v>18679</v>
      </c>
    </row>
    <row r="9970">
      <c r="A9970" s="311">
        <v>9969</v>
      </c>
      <c r="B9970" s="396" t="s">
        <v>18778</v>
      </c>
      <c r="C9970" s="396" t="s">
        <v>7376</v>
      </c>
      <c r="D9970" s="396" t="s">
        <v>18754</v>
      </c>
      <c r="E9970" s="396" t="s">
        <v>18755</v>
      </c>
      <c r="F9970" s="396" t="s">
        <v>18679</v>
      </c>
    </row>
    <row r="9971">
      <c r="A9971" s="311">
        <v>9970</v>
      </c>
      <c r="B9971" s="396" t="s">
        <v>18779</v>
      </c>
      <c r="C9971" s="396" t="s">
        <v>18780</v>
      </c>
      <c r="D9971" s="396" t="s">
        <v>18754</v>
      </c>
      <c r="E9971" s="396" t="s">
        <v>18755</v>
      </c>
      <c r="F9971" s="396" t="s">
        <v>18679</v>
      </c>
    </row>
    <row r="9972">
      <c r="A9972" s="311">
        <v>9971</v>
      </c>
      <c r="B9972" s="396" t="s">
        <v>18781</v>
      </c>
      <c r="C9972" s="396" t="s">
        <v>18782</v>
      </c>
      <c r="D9972" s="396" t="s">
        <v>18783</v>
      </c>
      <c r="E9972" s="396" t="s">
        <v>18784</v>
      </c>
      <c r="F9972" s="396" t="s">
        <v>18679</v>
      </c>
    </row>
    <row r="9973">
      <c r="A9973" s="311">
        <v>9972</v>
      </c>
      <c r="B9973" s="396" t="s">
        <v>18785</v>
      </c>
      <c r="C9973" s="396" t="s">
        <v>14912</v>
      </c>
      <c r="D9973" s="396" t="s">
        <v>18783</v>
      </c>
      <c r="E9973" s="396" t="s">
        <v>18784</v>
      </c>
      <c r="F9973" s="396" t="s">
        <v>18679</v>
      </c>
    </row>
    <row r="9974">
      <c r="A9974" s="311">
        <v>9973</v>
      </c>
      <c r="B9974" s="396" t="s">
        <v>18786</v>
      </c>
      <c r="C9974" s="396" t="s">
        <v>12794</v>
      </c>
      <c r="D9974" s="396" t="s">
        <v>18783</v>
      </c>
      <c r="E9974" s="396" t="s">
        <v>18784</v>
      </c>
      <c r="F9974" s="396" t="s">
        <v>18679</v>
      </c>
    </row>
    <row r="9975">
      <c r="A9975" s="311">
        <v>9974</v>
      </c>
      <c r="B9975" s="396" t="s">
        <v>18787</v>
      </c>
      <c r="C9975" s="396" t="s">
        <v>15019</v>
      </c>
      <c r="D9975" s="396" t="s">
        <v>18783</v>
      </c>
      <c r="E9975" s="396" t="s">
        <v>18784</v>
      </c>
      <c r="F9975" s="396" t="s">
        <v>18679</v>
      </c>
    </row>
    <row r="9976">
      <c r="A9976" s="311">
        <v>9975</v>
      </c>
      <c r="B9976" s="396" t="s">
        <v>18788</v>
      </c>
      <c r="C9976" s="396" t="s">
        <v>18789</v>
      </c>
      <c r="D9976" s="396" t="s">
        <v>18783</v>
      </c>
      <c r="E9976" s="396" t="s">
        <v>18784</v>
      </c>
      <c r="F9976" s="396" t="s">
        <v>18679</v>
      </c>
    </row>
    <row r="9977">
      <c r="A9977" s="311">
        <v>9976</v>
      </c>
      <c r="B9977" s="396" t="s">
        <v>18790</v>
      </c>
      <c r="C9977" s="396" t="s">
        <v>18249</v>
      </c>
      <c r="D9977" s="396" t="s">
        <v>18783</v>
      </c>
      <c r="E9977" s="396" t="s">
        <v>18784</v>
      </c>
      <c r="F9977" s="396" t="s">
        <v>18679</v>
      </c>
    </row>
    <row r="9978">
      <c r="A9978" s="311">
        <v>9977</v>
      </c>
      <c r="B9978" s="396" t="s">
        <v>18791</v>
      </c>
      <c r="C9978" s="396" t="s">
        <v>18792</v>
      </c>
      <c r="D9978" s="396" t="s">
        <v>18783</v>
      </c>
      <c r="E9978" s="396" t="s">
        <v>18784</v>
      </c>
      <c r="F9978" s="396" t="s">
        <v>18679</v>
      </c>
    </row>
    <row r="9979">
      <c r="A9979" s="311">
        <v>9978</v>
      </c>
      <c r="B9979" s="396" t="s">
        <v>18793</v>
      </c>
      <c r="C9979" s="396" t="s">
        <v>4898</v>
      </c>
      <c r="D9979" s="396" t="s">
        <v>18783</v>
      </c>
      <c r="E9979" s="396" t="s">
        <v>18784</v>
      </c>
      <c r="F9979" s="396" t="s">
        <v>18679</v>
      </c>
    </row>
    <row r="9980">
      <c r="A9980" s="311">
        <v>9979</v>
      </c>
      <c r="B9980" s="396" t="s">
        <v>18794</v>
      </c>
      <c r="C9980" s="396" t="s">
        <v>10918</v>
      </c>
      <c r="D9980" s="396" t="s">
        <v>18783</v>
      </c>
      <c r="E9980" s="396" t="s">
        <v>18784</v>
      </c>
      <c r="F9980" s="396" t="s">
        <v>18679</v>
      </c>
    </row>
    <row r="9981">
      <c r="A9981" s="311">
        <v>9980</v>
      </c>
      <c r="B9981" s="396" t="s">
        <v>18795</v>
      </c>
      <c r="C9981" s="396" t="s">
        <v>18796</v>
      </c>
      <c r="D9981" s="396" t="s">
        <v>18783</v>
      </c>
      <c r="E9981" s="396" t="s">
        <v>18784</v>
      </c>
      <c r="F9981" s="396" t="s">
        <v>18679</v>
      </c>
    </row>
    <row r="9982">
      <c r="A9982" s="311">
        <v>9981</v>
      </c>
      <c r="B9982" s="396" t="s">
        <v>18797</v>
      </c>
      <c r="C9982" s="396" t="s">
        <v>2343</v>
      </c>
      <c r="D9982" s="396" t="s">
        <v>18783</v>
      </c>
      <c r="E9982" s="396" t="s">
        <v>18784</v>
      </c>
      <c r="F9982" s="396" t="s">
        <v>18679</v>
      </c>
    </row>
    <row r="9983">
      <c r="A9983" s="311">
        <v>9982</v>
      </c>
      <c r="B9983" s="396" t="s">
        <v>18798</v>
      </c>
      <c r="C9983" s="396" t="s">
        <v>9282</v>
      </c>
      <c r="D9983" s="396" t="s">
        <v>18783</v>
      </c>
      <c r="E9983" s="396" t="s">
        <v>18784</v>
      </c>
      <c r="F9983" s="396" t="s">
        <v>18679</v>
      </c>
    </row>
    <row r="9984">
      <c r="A9984" s="311">
        <v>9983</v>
      </c>
      <c r="B9984" s="396" t="s">
        <v>18799</v>
      </c>
      <c r="C9984" s="396" t="s">
        <v>18800</v>
      </c>
      <c r="D9984" s="396" t="s">
        <v>18783</v>
      </c>
      <c r="E9984" s="396" t="s">
        <v>18784</v>
      </c>
      <c r="F9984" s="396" t="s">
        <v>18679</v>
      </c>
    </row>
    <row r="9985">
      <c r="A9985" s="311">
        <v>9984</v>
      </c>
      <c r="B9985" s="396" t="s">
        <v>18801</v>
      </c>
      <c r="C9985" s="396" t="s">
        <v>18802</v>
      </c>
      <c r="D9985" s="396" t="s">
        <v>18783</v>
      </c>
      <c r="E9985" s="396" t="s">
        <v>18784</v>
      </c>
      <c r="F9985" s="396" t="s">
        <v>18679</v>
      </c>
    </row>
    <row r="9986">
      <c r="A9986" s="311">
        <v>9985</v>
      </c>
      <c r="B9986" s="396" t="s">
        <v>18803</v>
      </c>
      <c r="C9986" s="396" t="s">
        <v>17504</v>
      </c>
      <c r="D9986" s="396" t="s">
        <v>18783</v>
      </c>
      <c r="E9986" s="396" t="s">
        <v>18784</v>
      </c>
      <c r="F9986" s="396" t="s">
        <v>18679</v>
      </c>
    </row>
    <row r="9987">
      <c r="A9987" s="311">
        <v>9986</v>
      </c>
      <c r="B9987" s="396" t="s">
        <v>18804</v>
      </c>
      <c r="C9987" s="396" t="s">
        <v>18805</v>
      </c>
      <c r="D9987" s="396" t="s">
        <v>18783</v>
      </c>
      <c r="E9987" s="396" t="s">
        <v>18784</v>
      </c>
      <c r="F9987" s="396" t="s">
        <v>18679</v>
      </c>
    </row>
    <row r="9988">
      <c r="A9988" s="311">
        <v>9987</v>
      </c>
      <c r="B9988" s="396" t="s">
        <v>18806</v>
      </c>
      <c r="C9988" s="396" t="s">
        <v>4690</v>
      </c>
      <c r="D9988" s="396" t="s">
        <v>18783</v>
      </c>
      <c r="E9988" s="396" t="s">
        <v>18784</v>
      </c>
      <c r="F9988" s="396" t="s">
        <v>18679</v>
      </c>
    </row>
    <row r="9989">
      <c r="A9989" s="311">
        <v>9988</v>
      </c>
      <c r="B9989" s="396" t="s">
        <v>18807</v>
      </c>
      <c r="C9989" s="396" t="s">
        <v>5022</v>
      </c>
      <c r="D9989" s="396" t="s">
        <v>18783</v>
      </c>
      <c r="E9989" s="396" t="s">
        <v>18784</v>
      </c>
      <c r="F9989" s="396" t="s">
        <v>18679</v>
      </c>
    </row>
    <row r="9990">
      <c r="A9990" s="311">
        <v>9989</v>
      </c>
      <c r="B9990" s="396" t="s">
        <v>18808</v>
      </c>
      <c r="C9990" s="396" t="s">
        <v>18809</v>
      </c>
      <c r="D9990" s="396" t="s">
        <v>18783</v>
      </c>
      <c r="E9990" s="396" t="s">
        <v>18784</v>
      </c>
      <c r="F9990" s="396" t="s">
        <v>18679</v>
      </c>
    </row>
    <row r="9991">
      <c r="A9991" s="311">
        <v>9990</v>
      </c>
      <c r="B9991" s="396" t="s">
        <v>18810</v>
      </c>
      <c r="C9991" s="396" t="s">
        <v>18811</v>
      </c>
      <c r="D9991" s="396" t="s">
        <v>18783</v>
      </c>
      <c r="E9991" s="396" t="s">
        <v>18784</v>
      </c>
      <c r="F9991" s="396" t="s">
        <v>18679</v>
      </c>
    </row>
    <row r="9992">
      <c r="A9992" s="311">
        <v>9991</v>
      </c>
      <c r="B9992" s="396" t="s">
        <v>18812</v>
      </c>
      <c r="C9992" s="396" t="s">
        <v>18813</v>
      </c>
      <c r="D9992" s="396" t="s">
        <v>18783</v>
      </c>
      <c r="E9992" s="396" t="s">
        <v>18784</v>
      </c>
      <c r="F9992" s="396" t="s">
        <v>18679</v>
      </c>
    </row>
    <row r="9993">
      <c r="A9993" s="311">
        <v>9992</v>
      </c>
      <c r="B9993" s="396" t="s">
        <v>18814</v>
      </c>
      <c r="C9993" s="396" t="s">
        <v>18815</v>
      </c>
      <c r="D9993" s="396" t="s">
        <v>18783</v>
      </c>
      <c r="E9993" s="396" t="s">
        <v>18784</v>
      </c>
      <c r="F9993" s="396" t="s">
        <v>18679</v>
      </c>
    </row>
    <row r="9994">
      <c r="A9994" s="311">
        <v>9993</v>
      </c>
      <c r="B9994" s="396" t="s">
        <v>18816</v>
      </c>
      <c r="C9994" s="396" t="s">
        <v>18817</v>
      </c>
      <c r="D9994" s="396" t="s">
        <v>18818</v>
      </c>
      <c r="E9994" s="396" t="s">
        <v>18819</v>
      </c>
      <c r="F9994" s="396" t="s">
        <v>18679</v>
      </c>
    </row>
    <row r="9995">
      <c r="A9995" s="311">
        <v>9994</v>
      </c>
      <c r="B9995" s="396" t="s">
        <v>18820</v>
      </c>
      <c r="C9995" s="396" t="s">
        <v>466</v>
      </c>
      <c r="D9995" s="396" t="s">
        <v>18818</v>
      </c>
      <c r="E9995" s="396" t="s">
        <v>18819</v>
      </c>
      <c r="F9995" s="396" t="s">
        <v>18679</v>
      </c>
    </row>
    <row r="9996">
      <c r="A9996" s="311">
        <v>9995</v>
      </c>
      <c r="B9996" s="396" t="s">
        <v>18821</v>
      </c>
      <c r="C9996" s="396" t="s">
        <v>18314</v>
      </c>
      <c r="D9996" s="396" t="s">
        <v>18818</v>
      </c>
      <c r="E9996" s="396" t="s">
        <v>18819</v>
      </c>
      <c r="F9996" s="396" t="s">
        <v>18679</v>
      </c>
    </row>
    <row r="9997">
      <c r="A9997" s="311">
        <v>9996</v>
      </c>
      <c r="B9997" s="396" t="s">
        <v>18822</v>
      </c>
      <c r="C9997" s="396" t="s">
        <v>16979</v>
      </c>
      <c r="D9997" s="396" t="s">
        <v>18818</v>
      </c>
      <c r="E9997" s="396" t="s">
        <v>18819</v>
      </c>
      <c r="F9997" s="396" t="s">
        <v>18679</v>
      </c>
    </row>
    <row r="9998">
      <c r="A9998" s="311">
        <v>9997</v>
      </c>
      <c r="B9998" s="396" t="s">
        <v>18823</v>
      </c>
      <c r="C9998" s="396" t="s">
        <v>12825</v>
      </c>
      <c r="D9998" s="396" t="s">
        <v>18818</v>
      </c>
      <c r="E9998" s="396" t="s">
        <v>18819</v>
      </c>
      <c r="F9998" s="396" t="s">
        <v>18679</v>
      </c>
    </row>
    <row r="9999">
      <c r="A9999" s="311">
        <v>9998</v>
      </c>
      <c r="B9999" s="396" t="s">
        <v>18824</v>
      </c>
      <c r="C9999" s="396" t="s">
        <v>18825</v>
      </c>
      <c r="D9999" s="396" t="s">
        <v>18818</v>
      </c>
      <c r="E9999" s="396" t="s">
        <v>18819</v>
      </c>
      <c r="F9999" s="396" t="s">
        <v>18679</v>
      </c>
    </row>
    <row r="10000">
      <c r="A10000" s="311">
        <v>9999</v>
      </c>
      <c r="B10000" s="396" t="s">
        <v>18826</v>
      </c>
      <c r="C10000" s="396" t="s">
        <v>18827</v>
      </c>
      <c r="D10000" s="396" t="s">
        <v>18818</v>
      </c>
      <c r="E10000" s="396" t="s">
        <v>18819</v>
      </c>
      <c r="F10000" s="396" t="s">
        <v>18679</v>
      </c>
    </row>
    <row r="10001">
      <c r="A10001" s="311">
        <v>10000</v>
      </c>
      <c r="B10001" s="396" t="s">
        <v>18828</v>
      </c>
      <c r="C10001" s="396" t="s">
        <v>18829</v>
      </c>
      <c r="D10001" s="396" t="s">
        <v>18818</v>
      </c>
      <c r="E10001" s="396" t="s">
        <v>18819</v>
      </c>
      <c r="F10001" s="396" t="s">
        <v>18679</v>
      </c>
    </row>
    <row r="10002">
      <c r="A10002" s="311">
        <v>10001</v>
      </c>
      <c r="B10002" s="396" t="s">
        <v>18830</v>
      </c>
      <c r="C10002" s="396" t="s">
        <v>18831</v>
      </c>
      <c r="D10002" s="396" t="s">
        <v>18818</v>
      </c>
      <c r="E10002" s="396" t="s">
        <v>18819</v>
      </c>
      <c r="F10002" s="396" t="s">
        <v>18679</v>
      </c>
    </row>
    <row r="10003">
      <c r="A10003" s="311">
        <v>10002</v>
      </c>
      <c r="B10003" s="396" t="s">
        <v>18832</v>
      </c>
      <c r="C10003" s="396" t="s">
        <v>16632</v>
      </c>
      <c r="D10003" s="396" t="s">
        <v>18818</v>
      </c>
      <c r="E10003" s="396" t="s">
        <v>18819</v>
      </c>
      <c r="F10003" s="396" t="s">
        <v>18679</v>
      </c>
    </row>
    <row r="10004">
      <c r="A10004" s="311">
        <v>10003</v>
      </c>
      <c r="B10004" s="396" t="s">
        <v>18833</v>
      </c>
      <c r="C10004" s="396" t="s">
        <v>6645</v>
      </c>
      <c r="D10004" s="396" t="s">
        <v>18818</v>
      </c>
      <c r="E10004" s="396" t="s">
        <v>18819</v>
      </c>
      <c r="F10004" s="396" t="s">
        <v>18679</v>
      </c>
    </row>
    <row r="10005">
      <c r="A10005" s="311">
        <v>10004</v>
      </c>
      <c r="B10005" s="396" t="s">
        <v>18834</v>
      </c>
      <c r="C10005" s="396" t="s">
        <v>18835</v>
      </c>
      <c r="D10005" s="396" t="s">
        <v>18818</v>
      </c>
      <c r="E10005" s="396" t="s">
        <v>18819</v>
      </c>
      <c r="F10005" s="396" t="s">
        <v>18679</v>
      </c>
    </row>
    <row r="10006">
      <c r="A10006" s="311">
        <v>10005</v>
      </c>
      <c r="B10006" s="396" t="s">
        <v>18836</v>
      </c>
      <c r="C10006" s="396" t="s">
        <v>13674</v>
      </c>
      <c r="D10006" s="396" t="s">
        <v>18818</v>
      </c>
      <c r="E10006" s="396" t="s">
        <v>18819</v>
      </c>
      <c r="F10006" s="396" t="s">
        <v>18679</v>
      </c>
    </row>
    <row r="10007">
      <c r="A10007" s="311">
        <v>10006</v>
      </c>
      <c r="B10007" s="396" t="s">
        <v>18837</v>
      </c>
      <c r="C10007" s="396" t="s">
        <v>9468</v>
      </c>
      <c r="D10007" s="396" t="s">
        <v>18818</v>
      </c>
      <c r="E10007" s="396" t="s">
        <v>18819</v>
      </c>
      <c r="F10007" s="396" t="s">
        <v>18679</v>
      </c>
    </row>
    <row r="10008">
      <c r="A10008" s="311">
        <v>10007</v>
      </c>
      <c r="B10008" s="396" t="s">
        <v>18838</v>
      </c>
      <c r="C10008" s="396" t="s">
        <v>16615</v>
      </c>
      <c r="D10008" s="396" t="s">
        <v>18818</v>
      </c>
      <c r="E10008" s="396" t="s">
        <v>18819</v>
      </c>
      <c r="F10008" s="396" t="s">
        <v>18679</v>
      </c>
    </row>
    <row r="10009">
      <c r="A10009" s="311">
        <v>10008</v>
      </c>
      <c r="B10009" s="396" t="s">
        <v>18839</v>
      </c>
      <c r="C10009" s="396" t="s">
        <v>18070</v>
      </c>
      <c r="D10009" s="396" t="s">
        <v>18818</v>
      </c>
      <c r="E10009" s="396" t="s">
        <v>18819</v>
      </c>
      <c r="F10009" s="396" t="s">
        <v>18679</v>
      </c>
    </row>
    <row r="10010">
      <c r="A10010" s="311">
        <v>10009</v>
      </c>
      <c r="B10010" s="396" t="s">
        <v>18840</v>
      </c>
      <c r="C10010" s="396" t="s">
        <v>18841</v>
      </c>
      <c r="D10010" s="396" t="s">
        <v>18818</v>
      </c>
      <c r="E10010" s="396" t="s">
        <v>18819</v>
      </c>
      <c r="F10010" s="396" t="s">
        <v>18679</v>
      </c>
    </row>
    <row r="10011">
      <c r="A10011" s="311">
        <v>10010</v>
      </c>
      <c r="B10011" s="396" t="s">
        <v>18842</v>
      </c>
      <c r="C10011" s="396" t="s">
        <v>17304</v>
      </c>
      <c r="D10011" s="396" t="s">
        <v>18818</v>
      </c>
      <c r="E10011" s="396" t="s">
        <v>18819</v>
      </c>
      <c r="F10011" s="396" t="s">
        <v>18679</v>
      </c>
    </row>
    <row r="10012">
      <c r="A10012" s="311">
        <v>10011</v>
      </c>
      <c r="B10012" s="396" t="s">
        <v>18843</v>
      </c>
      <c r="C10012" s="396" t="s">
        <v>18166</v>
      </c>
      <c r="D10012" s="396" t="s">
        <v>18818</v>
      </c>
      <c r="E10012" s="396" t="s">
        <v>18819</v>
      </c>
      <c r="F10012" s="396" t="s">
        <v>18679</v>
      </c>
    </row>
    <row r="10013">
      <c r="A10013" s="311">
        <v>10012</v>
      </c>
      <c r="B10013" s="396" t="s">
        <v>18844</v>
      </c>
      <c r="C10013" s="396" t="s">
        <v>18845</v>
      </c>
      <c r="D10013" s="396" t="s">
        <v>18818</v>
      </c>
      <c r="E10013" s="396" t="s">
        <v>18819</v>
      </c>
      <c r="F10013" s="396" t="s">
        <v>18679</v>
      </c>
    </row>
    <row r="10014">
      <c r="A10014" s="311">
        <v>10013</v>
      </c>
      <c r="B10014" s="396" t="s">
        <v>18846</v>
      </c>
      <c r="C10014" s="396" t="s">
        <v>18847</v>
      </c>
      <c r="D10014" s="396" t="s">
        <v>18848</v>
      </c>
      <c r="E10014" s="396" t="s">
        <v>18849</v>
      </c>
      <c r="F10014" s="396" t="s">
        <v>18679</v>
      </c>
    </row>
    <row r="10015">
      <c r="A10015" s="311">
        <v>10014</v>
      </c>
      <c r="B10015" s="396" t="s">
        <v>18850</v>
      </c>
      <c r="C10015" s="396" t="s">
        <v>2358</v>
      </c>
      <c r="D10015" s="396" t="s">
        <v>18848</v>
      </c>
      <c r="E10015" s="396" t="s">
        <v>18849</v>
      </c>
      <c r="F10015" s="396" t="s">
        <v>18679</v>
      </c>
    </row>
    <row r="10016">
      <c r="A10016" s="311">
        <v>10015</v>
      </c>
      <c r="B10016" s="396" t="s">
        <v>18851</v>
      </c>
      <c r="C10016" s="396" t="s">
        <v>4376</v>
      </c>
      <c r="D10016" s="396" t="s">
        <v>18848</v>
      </c>
      <c r="E10016" s="396" t="s">
        <v>18849</v>
      </c>
      <c r="F10016" s="396" t="s">
        <v>18679</v>
      </c>
    </row>
    <row r="10017">
      <c r="A10017" s="311">
        <v>10016</v>
      </c>
      <c r="B10017" s="396" t="s">
        <v>18852</v>
      </c>
      <c r="C10017" s="396" t="s">
        <v>3815</v>
      </c>
      <c r="D10017" s="396" t="s">
        <v>18848</v>
      </c>
      <c r="E10017" s="396" t="s">
        <v>18849</v>
      </c>
      <c r="F10017" s="396" t="s">
        <v>18679</v>
      </c>
    </row>
    <row r="10018">
      <c r="A10018" s="311">
        <v>10017</v>
      </c>
      <c r="B10018" s="396" t="s">
        <v>18853</v>
      </c>
      <c r="C10018" s="396" t="s">
        <v>14106</v>
      </c>
      <c r="D10018" s="396" t="s">
        <v>18848</v>
      </c>
      <c r="E10018" s="396" t="s">
        <v>18849</v>
      </c>
      <c r="F10018" s="396" t="s">
        <v>18679</v>
      </c>
    </row>
    <row r="10019">
      <c r="A10019" s="311">
        <v>10018</v>
      </c>
      <c r="B10019" s="396" t="s">
        <v>18854</v>
      </c>
      <c r="C10019" s="396" t="s">
        <v>18855</v>
      </c>
      <c r="D10019" s="396" t="s">
        <v>18848</v>
      </c>
      <c r="E10019" s="396" t="s">
        <v>18849</v>
      </c>
      <c r="F10019" s="396" t="s">
        <v>18679</v>
      </c>
    </row>
    <row r="10020">
      <c r="A10020" s="311">
        <v>10019</v>
      </c>
      <c r="B10020" s="396" t="s">
        <v>18856</v>
      </c>
      <c r="C10020" s="396" t="s">
        <v>18857</v>
      </c>
      <c r="D10020" s="396" t="s">
        <v>18848</v>
      </c>
      <c r="E10020" s="396" t="s">
        <v>18849</v>
      </c>
      <c r="F10020" s="396" t="s">
        <v>18679</v>
      </c>
    </row>
    <row r="10021">
      <c r="A10021" s="311">
        <v>10020</v>
      </c>
      <c r="B10021" s="396" t="s">
        <v>18858</v>
      </c>
      <c r="C10021" s="396" t="s">
        <v>15019</v>
      </c>
      <c r="D10021" s="396" t="s">
        <v>18848</v>
      </c>
      <c r="E10021" s="396" t="s">
        <v>18849</v>
      </c>
      <c r="F10021" s="396" t="s">
        <v>18679</v>
      </c>
    </row>
    <row r="10022">
      <c r="A10022" s="311">
        <v>10021</v>
      </c>
      <c r="B10022" s="396" t="s">
        <v>18859</v>
      </c>
      <c r="C10022" s="396" t="s">
        <v>18860</v>
      </c>
      <c r="D10022" s="396" t="s">
        <v>18848</v>
      </c>
      <c r="E10022" s="396" t="s">
        <v>18849</v>
      </c>
      <c r="F10022" s="396" t="s">
        <v>18679</v>
      </c>
    </row>
    <row r="10023">
      <c r="A10023" s="311">
        <v>10022</v>
      </c>
      <c r="B10023" s="396" t="s">
        <v>18861</v>
      </c>
      <c r="C10023" s="396" t="s">
        <v>18327</v>
      </c>
      <c r="D10023" s="396" t="s">
        <v>18848</v>
      </c>
      <c r="E10023" s="396" t="s">
        <v>18849</v>
      </c>
      <c r="F10023" s="396" t="s">
        <v>18679</v>
      </c>
    </row>
    <row r="10024">
      <c r="A10024" s="311">
        <v>10023</v>
      </c>
      <c r="B10024" s="396" t="s">
        <v>18862</v>
      </c>
      <c r="C10024" s="396" t="s">
        <v>18863</v>
      </c>
      <c r="D10024" s="396" t="s">
        <v>18848</v>
      </c>
      <c r="E10024" s="396" t="s">
        <v>18849</v>
      </c>
      <c r="F10024" s="396" t="s">
        <v>18679</v>
      </c>
    </row>
    <row r="10025">
      <c r="A10025" s="311">
        <v>10024</v>
      </c>
      <c r="B10025" s="396" t="s">
        <v>18864</v>
      </c>
      <c r="C10025" s="396" t="s">
        <v>18865</v>
      </c>
      <c r="D10025" s="396" t="s">
        <v>18848</v>
      </c>
      <c r="E10025" s="396" t="s">
        <v>18849</v>
      </c>
      <c r="F10025" s="396" t="s">
        <v>18679</v>
      </c>
    </row>
    <row r="10026">
      <c r="A10026" s="311">
        <v>10025</v>
      </c>
      <c r="B10026" s="396" t="s">
        <v>18866</v>
      </c>
      <c r="C10026" s="396" t="s">
        <v>18867</v>
      </c>
      <c r="D10026" s="396" t="s">
        <v>18848</v>
      </c>
      <c r="E10026" s="396" t="s">
        <v>18849</v>
      </c>
      <c r="F10026" s="396" t="s">
        <v>18679</v>
      </c>
    </row>
    <row r="10027">
      <c r="A10027" s="311">
        <v>10026</v>
      </c>
      <c r="B10027" s="396" t="s">
        <v>18868</v>
      </c>
      <c r="C10027" s="396" t="s">
        <v>18869</v>
      </c>
      <c r="D10027" s="396" t="s">
        <v>18848</v>
      </c>
      <c r="E10027" s="396" t="s">
        <v>18849</v>
      </c>
      <c r="F10027" s="396" t="s">
        <v>18679</v>
      </c>
    </row>
    <row r="10028">
      <c r="A10028" s="311">
        <v>10027</v>
      </c>
      <c r="B10028" s="396" t="s">
        <v>18870</v>
      </c>
      <c r="C10028" s="396" t="s">
        <v>16459</v>
      </c>
      <c r="D10028" s="396" t="s">
        <v>18848</v>
      </c>
      <c r="E10028" s="396" t="s">
        <v>18849</v>
      </c>
      <c r="F10028" s="396" t="s">
        <v>18679</v>
      </c>
    </row>
    <row r="10029">
      <c r="A10029" s="311">
        <v>10028</v>
      </c>
      <c r="B10029" s="396" t="s">
        <v>18871</v>
      </c>
      <c r="C10029" s="396" t="s">
        <v>296</v>
      </c>
      <c r="D10029" s="396" t="s">
        <v>18848</v>
      </c>
      <c r="E10029" s="396" t="s">
        <v>18849</v>
      </c>
      <c r="F10029" s="396" t="s">
        <v>18679</v>
      </c>
    </row>
    <row r="10030">
      <c r="A10030" s="311">
        <v>10029</v>
      </c>
      <c r="B10030" s="396" t="s">
        <v>18872</v>
      </c>
      <c r="C10030" s="396" t="s">
        <v>18873</v>
      </c>
      <c r="D10030" s="396" t="s">
        <v>18848</v>
      </c>
      <c r="E10030" s="396" t="s">
        <v>18849</v>
      </c>
      <c r="F10030" s="396" t="s">
        <v>18679</v>
      </c>
    </row>
    <row r="10031">
      <c r="A10031" s="311">
        <v>10030</v>
      </c>
      <c r="B10031" s="396" t="s">
        <v>18874</v>
      </c>
      <c r="C10031" s="396" t="s">
        <v>8325</v>
      </c>
      <c r="D10031" s="396" t="s">
        <v>18848</v>
      </c>
      <c r="E10031" s="396" t="s">
        <v>18849</v>
      </c>
      <c r="F10031" s="396" t="s">
        <v>18679</v>
      </c>
    </row>
    <row r="10032">
      <c r="A10032" s="311">
        <v>10031</v>
      </c>
      <c r="B10032" s="396" t="s">
        <v>18875</v>
      </c>
      <c r="C10032" s="396" t="s">
        <v>7534</v>
      </c>
      <c r="D10032" s="396" t="s">
        <v>18848</v>
      </c>
      <c r="E10032" s="396" t="s">
        <v>18849</v>
      </c>
      <c r="F10032" s="396" t="s">
        <v>18679</v>
      </c>
    </row>
    <row r="10033">
      <c r="A10033" s="311">
        <v>10032</v>
      </c>
      <c r="B10033" s="396" t="s">
        <v>18876</v>
      </c>
      <c r="C10033" s="396" t="s">
        <v>12389</v>
      </c>
      <c r="D10033" s="396" t="s">
        <v>18848</v>
      </c>
      <c r="E10033" s="396" t="s">
        <v>18849</v>
      </c>
      <c r="F10033" s="396" t="s">
        <v>18679</v>
      </c>
    </row>
    <row r="10034">
      <c r="A10034" s="311">
        <v>10033</v>
      </c>
      <c r="B10034" s="396" t="s">
        <v>18877</v>
      </c>
      <c r="C10034" s="396" t="s">
        <v>7935</v>
      </c>
      <c r="D10034" s="396" t="s">
        <v>18848</v>
      </c>
      <c r="E10034" s="396" t="s">
        <v>18849</v>
      </c>
      <c r="F10034" s="396" t="s">
        <v>18679</v>
      </c>
    </row>
    <row r="10035">
      <c r="A10035" s="311">
        <v>10034</v>
      </c>
      <c r="B10035" s="396" t="s">
        <v>18878</v>
      </c>
      <c r="C10035" s="396" t="s">
        <v>7528</v>
      </c>
      <c r="D10035" s="396" t="s">
        <v>18848</v>
      </c>
      <c r="E10035" s="396" t="s">
        <v>18849</v>
      </c>
      <c r="F10035" s="396" t="s">
        <v>18679</v>
      </c>
    </row>
    <row r="10036">
      <c r="A10036" s="311">
        <v>10035</v>
      </c>
      <c r="B10036" s="396" t="s">
        <v>18879</v>
      </c>
      <c r="C10036" s="396" t="s">
        <v>18880</v>
      </c>
      <c r="D10036" s="396" t="s">
        <v>18848</v>
      </c>
      <c r="E10036" s="396" t="s">
        <v>18849</v>
      </c>
      <c r="F10036" s="396" t="s">
        <v>18679</v>
      </c>
    </row>
    <row r="10037">
      <c r="A10037" s="311">
        <v>10036</v>
      </c>
      <c r="B10037" s="396" t="s">
        <v>18881</v>
      </c>
      <c r="C10037" s="396" t="s">
        <v>12370</v>
      </c>
      <c r="D10037" s="396" t="s">
        <v>18848</v>
      </c>
      <c r="E10037" s="396" t="s">
        <v>18849</v>
      </c>
      <c r="F10037" s="396" t="s">
        <v>18679</v>
      </c>
    </row>
    <row r="10038">
      <c r="A10038" s="311">
        <v>10037</v>
      </c>
      <c r="B10038" s="396" t="s">
        <v>18882</v>
      </c>
      <c r="C10038" s="396" t="s">
        <v>18883</v>
      </c>
      <c r="D10038" s="396" t="s">
        <v>18884</v>
      </c>
      <c r="E10038" s="396" t="s">
        <v>18885</v>
      </c>
      <c r="F10038" s="396" t="s">
        <v>18679</v>
      </c>
    </row>
    <row r="10039">
      <c r="A10039" s="311">
        <v>10038</v>
      </c>
      <c r="B10039" s="396" t="s">
        <v>18886</v>
      </c>
      <c r="C10039" s="396" t="s">
        <v>18887</v>
      </c>
      <c r="D10039" s="396" t="s">
        <v>18884</v>
      </c>
      <c r="E10039" s="396" t="s">
        <v>18885</v>
      </c>
      <c r="F10039" s="396" t="s">
        <v>18679</v>
      </c>
    </row>
    <row r="10040">
      <c r="A10040" s="311">
        <v>10039</v>
      </c>
      <c r="B10040" s="396" t="s">
        <v>18888</v>
      </c>
      <c r="C10040" s="396" t="s">
        <v>18889</v>
      </c>
      <c r="D10040" s="396" t="s">
        <v>18884</v>
      </c>
      <c r="E10040" s="396" t="s">
        <v>18885</v>
      </c>
      <c r="F10040" s="396" t="s">
        <v>18679</v>
      </c>
    </row>
    <row r="10041">
      <c r="A10041" s="311">
        <v>10040</v>
      </c>
      <c r="B10041" s="396" t="s">
        <v>18890</v>
      </c>
      <c r="C10041" s="396" t="s">
        <v>18891</v>
      </c>
      <c r="D10041" s="396" t="s">
        <v>18884</v>
      </c>
      <c r="E10041" s="396" t="s">
        <v>18885</v>
      </c>
      <c r="F10041" s="396" t="s">
        <v>18679</v>
      </c>
    </row>
    <row r="10042">
      <c r="A10042" s="311">
        <v>10041</v>
      </c>
      <c r="B10042" s="396" t="s">
        <v>18892</v>
      </c>
      <c r="C10042" s="396" t="s">
        <v>3622</v>
      </c>
      <c r="D10042" s="396" t="s">
        <v>18884</v>
      </c>
      <c r="E10042" s="396" t="s">
        <v>18885</v>
      </c>
      <c r="F10042" s="396" t="s">
        <v>18679</v>
      </c>
    </row>
    <row r="10043">
      <c r="A10043" s="311">
        <v>10042</v>
      </c>
      <c r="B10043" s="396" t="s">
        <v>18893</v>
      </c>
      <c r="C10043" s="396" t="s">
        <v>966</v>
      </c>
      <c r="D10043" s="396" t="s">
        <v>18884</v>
      </c>
      <c r="E10043" s="396" t="s">
        <v>18885</v>
      </c>
      <c r="F10043" s="396" t="s">
        <v>18679</v>
      </c>
    </row>
    <row r="10044">
      <c r="A10044" s="311">
        <v>10043</v>
      </c>
      <c r="B10044" s="396" t="s">
        <v>18894</v>
      </c>
      <c r="C10044" s="396" t="s">
        <v>16904</v>
      </c>
      <c r="D10044" s="396" t="s">
        <v>18884</v>
      </c>
      <c r="E10044" s="396" t="s">
        <v>18885</v>
      </c>
      <c r="F10044" s="396" t="s">
        <v>18679</v>
      </c>
    </row>
    <row r="10045">
      <c r="A10045" s="311">
        <v>10044</v>
      </c>
      <c r="B10045" s="396" t="s">
        <v>18895</v>
      </c>
      <c r="C10045" s="396" t="s">
        <v>18896</v>
      </c>
      <c r="D10045" s="396" t="s">
        <v>18884</v>
      </c>
      <c r="E10045" s="396" t="s">
        <v>18885</v>
      </c>
      <c r="F10045" s="396" t="s">
        <v>18679</v>
      </c>
    </row>
    <row r="10046">
      <c r="A10046" s="311">
        <v>10045</v>
      </c>
      <c r="B10046" s="396" t="s">
        <v>18897</v>
      </c>
      <c r="C10046" s="396" t="s">
        <v>18898</v>
      </c>
      <c r="D10046" s="396" t="s">
        <v>18884</v>
      </c>
      <c r="E10046" s="396" t="s">
        <v>18885</v>
      </c>
      <c r="F10046" s="396" t="s">
        <v>18679</v>
      </c>
    </row>
    <row r="10047">
      <c r="A10047" s="311">
        <v>10046</v>
      </c>
      <c r="B10047" s="396" t="s">
        <v>18899</v>
      </c>
      <c r="C10047" s="396" t="s">
        <v>16995</v>
      </c>
      <c r="D10047" s="396" t="s">
        <v>18884</v>
      </c>
      <c r="E10047" s="396" t="s">
        <v>18885</v>
      </c>
      <c r="F10047" s="396" t="s">
        <v>18679</v>
      </c>
    </row>
    <row r="10048">
      <c r="A10048" s="311">
        <v>10047</v>
      </c>
      <c r="B10048" s="396" t="s">
        <v>18900</v>
      </c>
      <c r="C10048" s="396" t="s">
        <v>13660</v>
      </c>
      <c r="D10048" s="396" t="s">
        <v>18884</v>
      </c>
      <c r="E10048" s="396" t="s">
        <v>18885</v>
      </c>
      <c r="F10048" s="396" t="s">
        <v>18679</v>
      </c>
    </row>
    <row r="10049">
      <c r="A10049" s="311">
        <v>10048</v>
      </c>
      <c r="B10049" s="396" t="s">
        <v>18901</v>
      </c>
      <c r="C10049" s="396" t="s">
        <v>18902</v>
      </c>
      <c r="D10049" s="396" t="s">
        <v>18884</v>
      </c>
      <c r="E10049" s="396" t="s">
        <v>18885</v>
      </c>
      <c r="F10049" s="396" t="s">
        <v>18679</v>
      </c>
    </row>
    <row r="10050">
      <c r="A10050" s="311">
        <v>10049</v>
      </c>
      <c r="B10050" s="396" t="s">
        <v>18903</v>
      </c>
      <c r="C10050" s="396" t="s">
        <v>18904</v>
      </c>
      <c r="D10050" s="396" t="s">
        <v>18884</v>
      </c>
      <c r="E10050" s="396" t="s">
        <v>18885</v>
      </c>
      <c r="F10050" s="396" t="s">
        <v>18679</v>
      </c>
    </row>
    <row r="10051">
      <c r="A10051" s="311">
        <v>10050</v>
      </c>
      <c r="B10051" s="396" t="s">
        <v>18905</v>
      </c>
      <c r="C10051" s="396" t="s">
        <v>18906</v>
      </c>
      <c r="D10051" s="396" t="s">
        <v>18884</v>
      </c>
      <c r="E10051" s="396" t="s">
        <v>18885</v>
      </c>
      <c r="F10051" s="396" t="s">
        <v>18679</v>
      </c>
    </row>
    <row r="10052">
      <c r="A10052" s="311">
        <v>10051</v>
      </c>
      <c r="B10052" s="396" t="s">
        <v>18907</v>
      </c>
      <c r="C10052" s="396" t="s">
        <v>16520</v>
      </c>
      <c r="D10052" s="396" t="s">
        <v>18884</v>
      </c>
      <c r="E10052" s="396" t="s">
        <v>18885</v>
      </c>
      <c r="F10052" s="396" t="s">
        <v>18679</v>
      </c>
    </row>
    <row r="10053">
      <c r="A10053" s="311">
        <v>10052</v>
      </c>
      <c r="B10053" s="396" t="s">
        <v>18908</v>
      </c>
      <c r="C10053" s="396" t="s">
        <v>18909</v>
      </c>
      <c r="D10053" s="396" t="s">
        <v>18884</v>
      </c>
      <c r="E10053" s="396" t="s">
        <v>18885</v>
      </c>
      <c r="F10053" s="396" t="s">
        <v>18679</v>
      </c>
    </row>
    <row r="10054">
      <c r="A10054" s="311">
        <v>10053</v>
      </c>
      <c r="B10054" s="396" t="s">
        <v>18910</v>
      </c>
      <c r="C10054" s="396" t="s">
        <v>18911</v>
      </c>
      <c r="D10054" s="396" t="s">
        <v>18884</v>
      </c>
      <c r="E10054" s="396" t="s">
        <v>18885</v>
      </c>
      <c r="F10054" s="396" t="s">
        <v>18679</v>
      </c>
    </row>
    <row r="10055">
      <c r="A10055" s="311">
        <v>10054</v>
      </c>
      <c r="B10055" s="396" t="s">
        <v>18912</v>
      </c>
      <c r="C10055" s="396" t="s">
        <v>5928</v>
      </c>
      <c r="D10055" s="396" t="s">
        <v>18884</v>
      </c>
      <c r="E10055" s="396" t="s">
        <v>18885</v>
      </c>
      <c r="F10055" s="396" t="s">
        <v>18679</v>
      </c>
    </row>
    <row r="10056">
      <c r="A10056" s="311">
        <v>10055</v>
      </c>
      <c r="B10056" s="396" t="s">
        <v>18913</v>
      </c>
      <c r="C10056" s="396" t="s">
        <v>5078</v>
      </c>
      <c r="D10056" s="396" t="s">
        <v>18914</v>
      </c>
      <c r="E10056" s="396" t="s">
        <v>18915</v>
      </c>
      <c r="F10056" s="396" t="s">
        <v>18679</v>
      </c>
    </row>
    <row r="10057">
      <c r="A10057" s="311">
        <v>10056</v>
      </c>
      <c r="B10057" s="396" t="s">
        <v>18916</v>
      </c>
      <c r="C10057" s="396" t="s">
        <v>18917</v>
      </c>
      <c r="D10057" s="396" t="s">
        <v>18914</v>
      </c>
      <c r="E10057" s="396" t="s">
        <v>18915</v>
      </c>
      <c r="F10057" s="396" t="s">
        <v>18679</v>
      </c>
    </row>
    <row r="10058">
      <c r="A10058" s="311">
        <v>10057</v>
      </c>
      <c r="B10058" s="396" t="s">
        <v>18918</v>
      </c>
      <c r="C10058" s="396" t="s">
        <v>8665</v>
      </c>
      <c r="D10058" s="396" t="s">
        <v>18914</v>
      </c>
      <c r="E10058" s="396" t="s">
        <v>18915</v>
      </c>
      <c r="F10058" s="396" t="s">
        <v>18679</v>
      </c>
    </row>
    <row r="10059">
      <c r="A10059" s="311">
        <v>10058</v>
      </c>
      <c r="B10059" s="396" t="s">
        <v>18919</v>
      </c>
      <c r="C10059" s="396" t="s">
        <v>18920</v>
      </c>
      <c r="D10059" s="396" t="s">
        <v>18914</v>
      </c>
      <c r="E10059" s="396" t="s">
        <v>18915</v>
      </c>
      <c r="F10059" s="396" t="s">
        <v>18679</v>
      </c>
    </row>
    <row r="10060">
      <c r="A10060" s="311">
        <v>10059</v>
      </c>
      <c r="B10060" s="396" t="s">
        <v>18921</v>
      </c>
      <c r="C10060" s="396" t="s">
        <v>18922</v>
      </c>
      <c r="D10060" s="396" t="s">
        <v>18914</v>
      </c>
      <c r="E10060" s="396" t="s">
        <v>18915</v>
      </c>
      <c r="F10060" s="396" t="s">
        <v>18679</v>
      </c>
    </row>
    <row r="10061">
      <c r="A10061" s="311">
        <v>10060</v>
      </c>
      <c r="B10061" s="396" t="s">
        <v>18923</v>
      </c>
      <c r="C10061" s="396" t="s">
        <v>18924</v>
      </c>
      <c r="D10061" s="396" t="s">
        <v>18914</v>
      </c>
      <c r="E10061" s="396" t="s">
        <v>18915</v>
      </c>
      <c r="F10061" s="396" t="s">
        <v>18679</v>
      </c>
    </row>
    <row r="10062">
      <c r="A10062" s="311">
        <v>10061</v>
      </c>
      <c r="B10062" s="396" t="s">
        <v>18925</v>
      </c>
      <c r="C10062" s="396" t="s">
        <v>18926</v>
      </c>
      <c r="D10062" s="396" t="s">
        <v>18914</v>
      </c>
      <c r="E10062" s="396" t="s">
        <v>18915</v>
      </c>
      <c r="F10062" s="396" t="s">
        <v>18679</v>
      </c>
    </row>
    <row r="10063">
      <c r="A10063" s="311">
        <v>10062</v>
      </c>
      <c r="B10063" s="396" t="s">
        <v>18927</v>
      </c>
      <c r="C10063" s="396" t="s">
        <v>9998</v>
      </c>
      <c r="D10063" s="396" t="s">
        <v>18914</v>
      </c>
      <c r="E10063" s="396" t="s">
        <v>18915</v>
      </c>
      <c r="F10063" s="396" t="s">
        <v>18679</v>
      </c>
    </row>
    <row r="10064">
      <c r="A10064" s="311">
        <v>10063</v>
      </c>
      <c r="B10064" s="396" t="s">
        <v>18928</v>
      </c>
      <c r="C10064" s="396" t="s">
        <v>10479</v>
      </c>
      <c r="D10064" s="396" t="s">
        <v>18914</v>
      </c>
      <c r="E10064" s="396" t="s">
        <v>18915</v>
      </c>
      <c r="F10064" s="396" t="s">
        <v>18679</v>
      </c>
    </row>
    <row r="10065">
      <c r="A10065" s="311">
        <v>10064</v>
      </c>
      <c r="B10065" s="396" t="s">
        <v>18929</v>
      </c>
      <c r="C10065" s="396" t="s">
        <v>18930</v>
      </c>
      <c r="D10065" s="396" t="s">
        <v>18914</v>
      </c>
      <c r="E10065" s="396" t="s">
        <v>18915</v>
      </c>
      <c r="F10065" s="396" t="s">
        <v>18679</v>
      </c>
    </row>
    <row r="10066">
      <c r="A10066" s="311">
        <v>10065</v>
      </c>
      <c r="B10066" s="396" t="s">
        <v>18931</v>
      </c>
      <c r="C10066" s="396" t="s">
        <v>5492</v>
      </c>
      <c r="D10066" s="396" t="s">
        <v>18914</v>
      </c>
      <c r="E10066" s="396" t="s">
        <v>18915</v>
      </c>
      <c r="F10066" s="396" t="s">
        <v>18679</v>
      </c>
    </row>
    <row r="10067">
      <c r="A10067" s="311">
        <v>10066</v>
      </c>
      <c r="B10067" s="396" t="s">
        <v>18932</v>
      </c>
      <c r="C10067" s="396" t="s">
        <v>18933</v>
      </c>
      <c r="D10067" s="396" t="s">
        <v>18914</v>
      </c>
      <c r="E10067" s="396" t="s">
        <v>18915</v>
      </c>
      <c r="F10067" s="396" t="s">
        <v>18679</v>
      </c>
    </row>
    <row r="10068">
      <c r="A10068" s="311">
        <v>10067</v>
      </c>
      <c r="B10068" s="396" t="s">
        <v>18934</v>
      </c>
      <c r="C10068" s="396" t="s">
        <v>18935</v>
      </c>
      <c r="D10068" s="396" t="s">
        <v>18914</v>
      </c>
      <c r="E10068" s="396" t="s">
        <v>18915</v>
      </c>
      <c r="F10068" s="396" t="s">
        <v>18679</v>
      </c>
    </row>
    <row r="10069">
      <c r="A10069" s="311">
        <v>10068</v>
      </c>
      <c r="B10069" s="396" t="s">
        <v>18936</v>
      </c>
      <c r="C10069" s="396" t="s">
        <v>12449</v>
      </c>
      <c r="D10069" s="396" t="s">
        <v>18937</v>
      </c>
      <c r="E10069" s="396" t="s">
        <v>18938</v>
      </c>
      <c r="F10069" s="396" t="s">
        <v>18939</v>
      </c>
    </row>
    <row r="10070">
      <c r="A10070" s="311">
        <v>10069</v>
      </c>
      <c r="B10070" s="396" t="s">
        <v>18940</v>
      </c>
      <c r="C10070" s="396" t="s">
        <v>12441</v>
      </c>
      <c r="D10070" s="396" t="s">
        <v>18937</v>
      </c>
      <c r="E10070" s="396" t="s">
        <v>18938</v>
      </c>
      <c r="F10070" s="396" t="s">
        <v>18939</v>
      </c>
    </row>
    <row r="10071">
      <c r="A10071" s="311">
        <v>10070</v>
      </c>
      <c r="B10071" s="396" t="s">
        <v>18941</v>
      </c>
      <c r="C10071" s="396" t="s">
        <v>12455</v>
      </c>
      <c r="D10071" s="396" t="s">
        <v>18937</v>
      </c>
      <c r="E10071" s="396" t="s">
        <v>18938</v>
      </c>
      <c r="F10071" s="396" t="s">
        <v>18939</v>
      </c>
    </row>
    <row r="10072">
      <c r="A10072" s="311">
        <v>10071</v>
      </c>
      <c r="B10072" s="396" t="s">
        <v>18942</v>
      </c>
      <c r="C10072" s="396" t="s">
        <v>12447</v>
      </c>
      <c r="D10072" s="396" t="s">
        <v>18937</v>
      </c>
      <c r="E10072" s="396" t="s">
        <v>18938</v>
      </c>
      <c r="F10072" s="396" t="s">
        <v>18939</v>
      </c>
    </row>
    <row r="10073">
      <c r="A10073" s="311">
        <v>10072</v>
      </c>
      <c r="B10073" s="396" t="s">
        <v>18943</v>
      </c>
      <c r="C10073" s="396" t="s">
        <v>12451</v>
      </c>
      <c r="D10073" s="396" t="s">
        <v>18937</v>
      </c>
      <c r="E10073" s="396" t="s">
        <v>18938</v>
      </c>
      <c r="F10073" s="396" t="s">
        <v>18939</v>
      </c>
    </row>
    <row r="10074">
      <c r="A10074" s="311">
        <v>10073</v>
      </c>
      <c r="B10074" s="396" t="s">
        <v>18944</v>
      </c>
      <c r="C10074" s="396" t="s">
        <v>14280</v>
      </c>
      <c r="D10074" s="396" t="s">
        <v>18937</v>
      </c>
      <c r="E10074" s="396" t="s">
        <v>18938</v>
      </c>
      <c r="F10074" s="396" t="s">
        <v>18939</v>
      </c>
    </row>
    <row r="10075">
      <c r="A10075" s="311">
        <v>10074</v>
      </c>
      <c r="B10075" s="396" t="s">
        <v>18945</v>
      </c>
      <c r="C10075" s="396" t="s">
        <v>14278</v>
      </c>
      <c r="D10075" s="396" t="s">
        <v>18937</v>
      </c>
      <c r="E10075" s="396" t="s">
        <v>18938</v>
      </c>
      <c r="F10075" s="396" t="s">
        <v>18939</v>
      </c>
    </row>
    <row r="10076">
      <c r="A10076" s="311">
        <v>10075</v>
      </c>
      <c r="B10076" s="396" t="s">
        <v>18946</v>
      </c>
      <c r="C10076" s="396" t="s">
        <v>14270</v>
      </c>
      <c r="D10076" s="396" t="s">
        <v>18937</v>
      </c>
      <c r="E10076" s="396" t="s">
        <v>18938</v>
      </c>
      <c r="F10076" s="396" t="s">
        <v>18939</v>
      </c>
    </row>
    <row r="10077">
      <c r="A10077" s="311">
        <v>10076</v>
      </c>
      <c r="B10077" s="396" t="s">
        <v>18947</v>
      </c>
      <c r="C10077" s="396" t="s">
        <v>14273</v>
      </c>
      <c r="D10077" s="396" t="s">
        <v>18937</v>
      </c>
      <c r="E10077" s="396" t="s">
        <v>18938</v>
      </c>
      <c r="F10077" s="396" t="s">
        <v>18939</v>
      </c>
    </row>
    <row r="10078">
      <c r="A10078" s="311">
        <v>10077</v>
      </c>
      <c r="B10078" s="396" t="s">
        <v>18948</v>
      </c>
      <c r="C10078" s="396" t="s">
        <v>17325</v>
      </c>
      <c r="D10078" s="396" t="s">
        <v>18937</v>
      </c>
      <c r="E10078" s="396" t="s">
        <v>18938</v>
      </c>
      <c r="F10078" s="396" t="s">
        <v>18939</v>
      </c>
    </row>
    <row r="10079">
      <c r="A10079" s="311">
        <v>10078</v>
      </c>
      <c r="B10079" s="396" t="s">
        <v>18949</v>
      </c>
      <c r="C10079" s="396" t="s">
        <v>18950</v>
      </c>
      <c r="D10079" s="396" t="s">
        <v>18951</v>
      </c>
      <c r="E10079" s="396" t="s">
        <v>18952</v>
      </c>
      <c r="F10079" s="396" t="s">
        <v>18939</v>
      </c>
    </row>
    <row r="10080">
      <c r="A10080" s="311">
        <v>10079</v>
      </c>
      <c r="B10080" s="396" t="s">
        <v>18953</v>
      </c>
      <c r="C10080" s="396" t="s">
        <v>18954</v>
      </c>
      <c r="D10080" s="396" t="s">
        <v>18951</v>
      </c>
      <c r="E10080" s="396" t="s">
        <v>18952</v>
      </c>
      <c r="F10080" s="396" t="s">
        <v>18939</v>
      </c>
    </row>
    <row r="10081">
      <c r="A10081" s="311">
        <v>10080</v>
      </c>
      <c r="B10081" s="396" t="s">
        <v>18955</v>
      </c>
      <c r="C10081" s="396" t="s">
        <v>18956</v>
      </c>
      <c r="D10081" s="396" t="s">
        <v>18951</v>
      </c>
      <c r="E10081" s="396" t="s">
        <v>18952</v>
      </c>
      <c r="F10081" s="396" t="s">
        <v>18939</v>
      </c>
    </row>
    <row r="10082">
      <c r="A10082" s="311">
        <v>10081</v>
      </c>
      <c r="B10082" s="396" t="s">
        <v>18957</v>
      </c>
      <c r="C10082" s="396" t="s">
        <v>18958</v>
      </c>
      <c r="D10082" s="396" t="s">
        <v>18951</v>
      </c>
      <c r="E10082" s="396" t="s">
        <v>18952</v>
      </c>
      <c r="F10082" s="396" t="s">
        <v>18939</v>
      </c>
    </row>
    <row r="10083">
      <c r="A10083" s="311">
        <v>10082</v>
      </c>
      <c r="B10083" s="396" t="s">
        <v>18959</v>
      </c>
      <c r="C10083" s="396" t="s">
        <v>18960</v>
      </c>
      <c r="D10083" s="396" t="s">
        <v>18951</v>
      </c>
      <c r="E10083" s="396" t="s">
        <v>18952</v>
      </c>
      <c r="F10083" s="396" t="s">
        <v>18939</v>
      </c>
    </row>
    <row r="10084">
      <c r="A10084" s="311">
        <v>10083</v>
      </c>
      <c r="B10084" s="396" t="s">
        <v>18961</v>
      </c>
      <c r="C10084" s="396" t="s">
        <v>2366</v>
      </c>
      <c r="D10084" s="396" t="s">
        <v>18951</v>
      </c>
      <c r="E10084" s="396" t="s">
        <v>18952</v>
      </c>
      <c r="F10084" s="396" t="s">
        <v>18939</v>
      </c>
    </row>
    <row r="10085">
      <c r="A10085" s="311">
        <v>10084</v>
      </c>
      <c r="B10085" s="396" t="s">
        <v>18962</v>
      </c>
      <c r="C10085" s="396" t="s">
        <v>5492</v>
      </c>
      <c r="D10085" s="396" t="s">
        <v>18951</v>
      </c>
      <c r="E10085" s="396" t="s">
        <v>18952</v>
      </c>
      <c r="F10085" s="396" t="s">
        <v>18939</v>
      </c>
    </row>
    <row r="10086">
      <c r="A10086" s="311">
        <v>10085</v>
      </c>
      <c r="B10086" s="396" t="s">
        <v>18963</v>
      </c>
      <c r="C10086" s="396" t="s">
        <v>886</v>
      </c>
      <c r="D10086" s="396" t="s">
        <v>18951</v>
      </c>
      <c r="E10086" s="396" t="s">
        <v>18952</v>
      </c>
      <c r="F10086" s="396" t="s">
        <v>18939</v>
      </c>
    </row>
    <row r="10087">
      <c r="A10087" s="311">
        <v>10086</v>
      </c>
      <c r="B10087" s="396" t="s">
        <v>18964</v>
      </c>
      <c r="C10087" s="396" t="s">
        <v>18965</v>
      </c>
      <c r="D10087" s="396" t="s">
        <v>18951</v>
      </c>
      <c r="E10087" s="396" t="s">
        <v>18952</v>
      </c>
      <c r="F10087" s="396" t="s">
        <v>18939</v>
      </c>
    </row>
    <row r="10088">
      <c r="A10088" s="311">
        <v>10087</v>
      </c>
      <c r="B10088" s="396" t="s">
        <v>18966</v>
      </c>
      <c r="C10088" s="396" t="s">
        <v>18967</v>
      </c>
      <c r="D10088" s="396" t="s">
        <v>18951</v>
      </c>
      <c r="E10088" s="396" t="s">
        <v>18952</v>
      </c>
      <c r="F10088" s="396" t="s">
        <v>18939</v>
      </c>
    </row>
    <row r="10089">
      <c r="A10089" s="311">
        <v>10088</v>
      </c>
      <c r="B10089" s="396" t="s">
        <v>18968</v>
      </c>
      <c r="C10089" s="396" t="s">
        <v>17370</v>
      </c>
      <c r="D10089" s="396" t="s">
        <v>18951</v>
      </c>
      <c r="E10089" s="396" t="s">
        <v>18952</v>
      </c>
      <c r="F10089" s="396" t="s">
        <v>18939</v>
      </c>
    </row>
    <row r="10090">
      <c r="A10090" s="311">
        <v>10089</v>
      </c>
      <c r="B10090" s="396" t="s">
        <v>18969</v>
      </c>
      <c r="C10090" s="396" t="s">
        <v>18970</v>
      </c>
      <c r="D10090" s="396" t="s">
        <v>18951</v>
      </c>
      <c r="E10090" s="396" t="s">
        <v>18952</v>
      </c>
      <c r="F10090" s="396" t="s">
        <v>18939</v>
      </c>
    </row>
    <row r="10091">
      <c r="A10091" s="311">
        <v>10090</v>
      </c>
      <c r="B10091" s="396" t="s">
        <v>18971</v>
      </c>
      <c r="C10091" s="396" t="s">
        <v>18972</v>
      </c>
      <c r="D10091" s="396" t="s">
        <v>18951</v>
      </c>
      <c r="E10091" s="396" t="s">
        <v>18952</v>
      </c>
      <c r="F10091" s="396" t="s">
        <v>18939</v>
      </c>
    </row>
    <row r="10092">
      <c r="A10092" s="311">
        <v>10091</v>
      </c>
      <c r="B10092" s="396" t="s">
        <v>18973</v>
      </c>
      <c r="C10092" s="396" t="s">
        <v>18974</v>
      </c>
      <c r="D10092" s="396" t="s">
        <v>18951</v>
      </c>
      <c r="E10092" s="396" t="s">
        <v>18952</v>
      </c>
      <c r="F10092" s="396" t="s">
        <v>18939</v>
      </c>
    </row>
    <row r="10093">
      <c r="A10093" s="311">
        <v>10092</v>
      </c>
      <c r="B10093" s="396" t="s">
        <v>18975</v>
      </c>
      <c r="C10093" s="396" t="s">
        <v>18976</v>
      </c>
      <c r="D10093" s="396" t="s">
        <v>18977</v>
      </c>
      <c r="E10093" s="396" t="s">
        <v>18978</v>
      </c>
      <c r="F10093" s="396" t="s">
        <v>18939</v>
      </c>
    </row>
    <row r="10094">
      <c r="A10094" s="311">
        <v>10093</v>
      </c>
      <c r="B10094" s="396" t="s">
        <v>18979</v>
      </c>
      <c r="C10094" s="396" t="s">
        <v>18980</v>
      </c>
      <c r="D10094" s="396" t="s">
        <v>18977</v>
      </c>
      <c r="E10094" s="396" t="s">
        <v>18978</v>
      </c>
      <c r="F10094" s="396" t="s">
        <v>18939</v>
      </c>
    </row>
    <row r="10095">
      <c r="A10095" s="311">
        <v>10094</v>
      </c>
      <c r="B10095" s="396" t="s">
        <v>18981</v>
      </c>
      <c r="C10095" s="396" t="s">
        <v>18982</v>
      </c>
      <c r="D10095" s="396" t="s">
        <v>18977</v>
      </c>
      <c r="E10095" s="396" t="s">
        <v>18978</v>
      </c>
      <c r="F10095" s="396" t="s">
        <v>18939</v>
      </c>
    </row>
    <row r="10096">
      <c r="A10096" s="311">
        <v>10095</v>
      </c>
      <c r="B10096" s="396" t="s">
        <v>18983</v>
      </c>
      <c r="C10096" s="396" t="s">
        <v>18984</v>
      </c>
      <c r="D10096" s="396" t="s">
        <v>18977</v>
      </c>
      <c r="E10096" s="396" t="s">
        <v>18978</v>
      </c>
      <c r="F10096" s="396" t="s">
        <v>18939</v>
      </c>
    </row>
    <row r="10097">
      <c r="A10097" s="311">
        <v>10096</v>
      </c>
      <c r="B10097" s="396" t="s">
        <v>18985</v>
      </c>
      <c r="C10097" s="396" t="s">
        <v>16037</v>
      </c>
      <c r="D10097" s="396" t="s">
        <v>18977</v>
      </c>
      <c r="E10097" s="396" t="s">
        <v>18978</v>
      </c>
      <c r="F10097" s="396" t="s">
        <v>18939</v>
      </c>
    </row>
    <row r="10098">
      <c r="A10098" s="311">
        <v>10097</v>
      </c>
      <c r="B10098" s="396" t="s">
        <v>18986</v>
      </c>
      <c r="C10098" s="396" t="s">
        <v>18987</v>
      </c>
      <c r="D10098" s="396" t="s">
        <v>18977</v>
      </c>
      <c r="E10098" s="396" t="s">
        <v>18978</v>
      </c>
      <c r="F10098" s="396" t="s">
        <v>18939</v>
      </c>
    </row>
    <row r="10099">
      <c r="A10099" s="311">
        <v>10098</v>
      </c>
      <c r="B10099" s="396" t="s">
        <v>18988</v>
      </c>
      <c r="C10099" s="396" t="s">
        <v>4380</v>
      </c>
      <c r="D10099" s="396" t="s">
        <v>18977</v>
      </c>
      <c r="E10099" s="396" t="s">
        <v>18978</v>
      </c>
      <c r="F10099" s="396" t="s">
        <v>18939</v>
      </c>
    </row>
    <row r="10100">
      <c r="A10100" s="311">
        <v>10099</v>
      </c>
      <c r="B10100" s="396" t="s">
        <v>18989</v>
      </c>
      <c r="C10100" s="396" t="s">
        <v>18990</v>
      </c>
      <c r="D10100" s="396" t="s">
        <v>18977</v>
      </c>
      <c r="E10100" s="396" t="s">
        <v>18978</v>
      </c>
      <c r="F10100" s="396" t="s">
        <v>18939</v>
      </c>
    </row>
    <row r="10101">
      <c r="A10101" s="311">
        <v>10100</v>
      </c>
      <c r="B10101" s="396" t="s">
        <v>18991</v>
      </c>
      <c r="C10101" s="396" t="s">
        <v>18992</v>
      </c>
      <c r="D10101" s="396" t="s">
        <v>18977</v>
      </c>
      <c r="E10101" s="396" t="s">
        <v>18978</v>
      </c>
      <c r="F10101" s="396" t="s">
        <v>18939</v>
      </c>
    </row>
    <row r="10102">
      <c r="A10102" s="311">
        <v>10101</v>
      </c>
      <c r="B10102" s="396" t="s">
        <v>18993</v>
      </c>
      <c r="C10102" s="396" t="s">
        <v>18994</v>
      </c>
      <c r="D10102" s="396" t="s">
        <v>18977</v>
      </c>
      <c r="E10102" s="396" t="s">
        <v>18978</v>
      </c>
      <c r="F10102" s="396" t="s">
        <v>18939</v>
      </c>
    </row>
    <row r="10103">
      <c r="A10103" s="311">
        <v>10102</v>
      </c>
      <c r="B10103" s="396" t="s">
        <v>18995</v>
      </c>
      <c r="C10103" s="396" t="s">
        <v>17210</v>
      </c>
      <c r="D10103" s="396" t="s">
        <v>18977</v>
      </c>
      <c r="E10103" s="396" t="s">
        <v>18978</v>
      </c>
      <c r="F10103" s="396" t="s">
        <v>18939</v>
      </c>
    </row>
    <row r="10104">
      <c r="A10104" s="311">
        <v>10103</v>
      </c>
      <c r="B10104" s="396" t="s">
        <v>18996</v>
      </c>
      <c r="C10104" s="396" t="s">
        <v>18997</v>
      </c>
      <c r="D10104" s="396" t="s">
        <v>18998</v>
      </c>
      <c r="E10104" s="396" t="s">
        <v>18999</v>
      </c>
      <c r="F10104" s="396" t="s">
        <v>18939</v>
      </c>
    </row>
    <row r="10105">
      <c r="A10105" s="311">
        <v>10104</v>
      </c>
      <c r="B10105" s="396" t="s">
        <v>19000</v>
      </c>
      <c r="C10105" s="396" t="s">
        <v>19001</v>
      </c>
      <c r="D10105" s="396" t="s">
        <v>18998</v>
      </c>
      <c r="E10105" s="396" t="s">
        <v>18999</v>
      </c>
      <c r="F10105" s="396" t="s">
        <v>18939</v>
      </c>
    </row>
    <row r="10106">
      <c r="A10106" s="311">
        <v>10105</v>
      </c>
      <c r="B10106" s="396" t="s">
        <v>19002</v>
      </c>
      <c r="C10106" s="396" t="s">
        <v>15718</v>
      </c>
      <c r="D10106" s="396" t="s">
        <v>18998</v>
      </c>
      <c r="E10106" s="396" t="s">
        <v>18999</v>
      </c>
      <c r="F10106" s="396" t="s">
        <v>18939</v>
      </c>
    </row>
    <row r="10107">
      <c r="A10107" s="311">
        <v>10106</v>
      </c>
      <c r="B10107" s="396" t="s">
        <v>19003</v>
      </c>
      <c r="C10107" s="396" t="s">
        <v>19004</v>
      </c>
      <c r="D10107" s="396" t="s">
        <v>18998</v>
      </c>
      <c r="E10107" s="396" t="s">
        <v>18999</v>
      </c>
      <c r="F10107" s="396" t="s">
        <v>18939</v>
      </c>
    </row>
    <row r="10108">
      <c r="A10108" s="311">
        <v>10107</v>
      </c>
      <c r="B10108" s="396" t="s">
        <v>19005</v>
      </c>
      <c r="C10108" s="396" t="s">
        <v>19006</v>
      </c>
      <c r="D10108" s="396" t="s">
        <v>18998</v>
      </c>
      <c r="E10108" s="396" t="s">
        <v>18999</v>
      </c>
      <c r="F10108" s="396" t="s">
        <v>18939</v>
      </c>
    </row>
    <row r="10109">
      <c r="A10109" s="311">
        <v>10108</v>
      </c>
      <c r="B10109" s="396" t="s">
        <v>19007</v>
      </c>
      <c r="C10109" s="396" t="s">
        <v>18024</v>
      </c>
      <c r="D10109" s="396" t="s">
        <v>18998</v>
      </c>
      <c r="E10109" s="396" t="s">
        <v>18999</v>
      </c>
      <c r="F10109" s="396" t="s">
        <v>18939</v>
      </c>
    </row>
    <row r="10110">
      <c r="A10110" s="311">
        <v>10109</v>
      </c>
      <c r="B10110" s="396" t="s">
        <v>19008</v>
      </c>
      <c r="C10110" s="396" t="s">
        <v>19009</v>
      </c>
      <c r="D10110" s="396" t="s">
        <v>18998</v>
      </c>
      <c r="E10110" s="396" t="s">
        <v>18999</v>
      </c>
      <c r="F10110" s="396" t="s">
        <v>18939</v>
      </c>
    </row>
    <row r="10111">
      <c r="A10111" s="311">
        <v>10110</v>
      </c>
      <c r="B10111" s="396" t="s">
        <v>19010</v>
      </c>
      <c r="C10111" s="396" t="s">
        <v>19011</v>
      </c>
      <c r="D10111" s="396" t="s">
        <v>18998</v>
      </c>
      <c r="E10111" s="396" t="s">
        <v>18999</v>
      </c>
      <c r="F10111" s="396" t="s">
        <v>18939</v>
      </c>
    </row>
    <row r="10112">
      <c r="A10112" s="311">
        <v>10111</v>
      </c>
      <c r="B10112" s="396" t="s">
        <v>19012</v>
      </c>
      <c r="C10112" s="396" t="s">
        <v>19013</v>
      </c>
      <c r="D10112" s="396" t="s">
        <v>18998</v>
      </c>
      <c r="E10112" s="396" t="s">
        <v>18999</v>
      </c>
      <c r="F10112" s="396" t="s">
        <v>18939</v>
      </c>
    </row>
    <row r="10113">
      <c r="A10113" s="311">
        <v>10112</v>
      </c>
      <c r="B10113" s="396" t="s">
        <v>19014</v>
      </c>
      <c r="C10113" s="396" t="s">
        <v>19015</v>
      </c>
      <c r="D10113" s="396" t="s">
        <v>18998</v>
      </c>
      <c r="E10113" s="396" t="s">
        <v>18999</v>
      </c>
      <c r="F10113" s="396" t="s">
        <v>18939</v>
      </c>
    </row>
    <row r="10114">
      <c r="A10114" s="311">
        <v>10113</v>
      </c>
      <c r="B10114" s="396" t="s">
        <v>19016</v>
      </c>
      <c r="C10114" s="396" t="s">
        <v>838</v>
      </c>
      <c r="D10114" s="396" t="s">
        <v>18998</v>
      </c>
      <c r="E10114" s="396" t="s">
        <v>18999</v>
      </c>
      <c r="F10114" s="396" t="s">
        <v>18939</v>
      </c>
    </row>
    <row r="10115">
      <c r="A10115" s="311">
        <v>10114</v>
      </c>
      <c r="B10115" s="396" t="s">
        <v>19017</v>
      </c>
      <c r="C10115" s="396" t="s">
        <v>16825</v>
      </c>
      <c r="D10115" s="396" t="s">
        <v>19018</v>
      </c>
      <c r="E10115" s="396" t="s">
        <v>16827</v>
      </c>
      <c r="F10115" s="396" t="s">
        <v>18939</v>
      </c>
    </row>
    <row r="10116">
      <c r="A10116" s="311">
        <v>10115</v>
      </c>
      <c r="B10116" s="396" t="s">
        <v>19019</v>
      </c>
      <c r="C10116" s="396" t="s">
        <v>8142</v>
      </c>
      <c r="D10116" s="396" t="s">
        <v>19018</v>
      </c>
      <c r="E10116" s="396" t="s">
        <v>16827</v>
      </c>
      <c r="F10116" s="396" t="s">
        <v>18939</v>
      </c>
    </row>
    <row r="10117">
      <c r="A10117" s="311">
        <v>10116</v>
      </c>
      <c r="B10117" s="396" t="s">
        <v>19020</v>
      </c>
      <c r="C10117" s="396" t="s">
        <v>14106</v>
      </c>
      <c r="D10117" s="396" t="s">
        <v>19018</v>
      </c>
      <c r="E10117" s="396" t="s">
        <v>16827</v>
      </c>
      <c r="F10117" s="396" t="s">
        <v>18939</v>
      </c>
    </row>
    <row r="10118">
      <c r="A10118" s="311">
        <v>10117</v>
      </c>
      <c r="B10118" s="396" t="s">
        <v>19021</v>
      </c>
      <c r="C10118" s="396" t="s">
        <v>609</v>
      </c>
      <c r="D10118" s="396" t="s">
        <v>19018</v>
      </c>
      <c r="E10118" s="396" t="s">
        <v>16827</v>
      </c>
      <c r="F10118" s="396" t="s">
        <v>18939</v>
      </c>
    </row>
    <row r="10119">
      <c r="A10119" s="311">
        <v>10118</v>
      </c>
      <c r="B10119" s="396" t="s">
        <v>19022</v>
      </c>
      <c r="C10119" s="396" t="s">
        <v>19023</v>
      </c>
      <c r="D10119" s="396" t="s">
        <v>19018</v>
      </c>
      <c r="E10119" s="396" t="s">
        <v>16827</v>
      </c>
      <c r="F10119" s="396" t="s">
        <v>18939</v>
      </c>
    </row>
    <row r="10120">
      <c r="A10120" s="311">
        <v>10119</v>
      </c>
      <c r="B10120" s="396" t="s">
        <v>19024</v>
      </c>
      <c r="C10120" s="396" t="s">
        <v>18249</v>
      </c>
      <c r="D10120" s="396" t="s">
        <v>19018</v>
      </c>
      <c r="E10120" s="396" t="s">
        <v>16827</v>
      </c>
      <c r="F10120" s="396" t="s">
        <v>18939</v>
      </c>
    </row>
    <row r="10121">
      <c r="A10121" s="311">
        <v>10120</v>
      </c>
      <c r="B10121" s="396" t="s">
        <v>19025</v>
      </c>
      <c r="C10121" s="396" t="s">
        <v>11868</v>
      </c>
      <c r="D10121" s="396" t="s">
        <v>19018</v>
      </c>
      <c r="E10121" s="396" t="s">
        <v>16827</v>
      </c>
      <c r="F10121" s="396" t="s">
        <v>18939</v>
      </c>
    </row>
    <row r="10122">
      <c r="A10122" s="311">
        <v>10121</v>
      </c>
      <c r="B10122" s="396" t="s">
        <v>19026</v>
      </c>
      <c r="C10122" s="396" t="s">
        <v>19027</v>
      </c>
      <c r="D10122" s="396" t="s">
        <v>19018</v>
      </c>
      <c r="E10122" s="396" t="s">
        <v>16827</v>
      </c>
      <c r="F10122" s="396" t="s">
        <v>18939</v>
      </c>
    </row>
    <row r="10123">
      <c r="A10123" s="311">
        <v>10122</v>
      </c>
      <c r="B10123" s="396" t="s">
        <v>19028</v>
      </c>
      <c r="C10123" s="396" t="s">
        <v>15796</v>
      </c>
      <c r="D10123" s="396" t="s">
        <v>19018</v>
      </c>
      <c r="E10123" s="396" t="s">
        <v>16827</v>
      </c>
      <c r="F10123" s="396" t="s">
        <v>18939</v>
      </c>
    </row>
    <row r="10124">
      <c r="A10124" s="311">
        <v>10123</v>
      </c>
      <c r="B10124" s="396" t="s">
        <v>19029</v>
      </c>
      <c r="C10124" s="396" t="s">
        <v>18898</v>
      </c>
      <c r="D10124" s="396" t="s">
        <v>19018</v>
      </c>
      <c r="E10124" s="396" t="s">
        <v>16827</v>
      </c>
      <c r="F10124" s="396" t="s">
        <v>18939</v>
      </c>
    </row>
    <row r="10125">
      <c r="A10125" s="311">
        <v>10124</v>
      </c>
      <c r="B10125" s="396" t="s">
        <v>19030</v>
      </c>
      <c r="C10125" s="396" t="s">
        <v>19031</v>
      </c>
      <c r="D10125" s="396" t="s">
        <v>19018</v>
      </c>
      <c r="E10125" s="396" t="s">
        <v>16827</v>
      </c>
      <c r="F10125" s="396" t="s">
        <v>18939</v>
      </c>
    </row>
    <row r="10126">
      <c r="A10126" s="311">
        <v>10125</v>
      </c>
      <c r="B10126" s="396" t="s">
        <v>19032</v>
      </c>
      <c r="C10126" s="396" t="s">
        <v>11589</v>
      </c>
      <c r="D10126" s="396" t="s">
        <v>19018</v>
      </c>
      <c r="E10126" s="396" t="s">
        <v>16827</v>
      </c>
      <c r="F10126" s="396" t="s">
        <v>18939</v>
      </c>
    </row>
    <row r="10127">
      <c r="A10127" s="311">
        <v>10126</v>
      </c>
      <c r="B10127" s="396" t="s">
        <v>19033</v>
      </c>
      <c r="C10127" s="396" t="s">
        <v>14947</v>
      </c>
      <c r="D10127" s="396" t="s">
        <v>19018</v>
      </c>
      <c r="E10127" s="396" t="s">
        <v>16827</v>
      </c>
      <c r="F10127" s="396" t="s">
        <v>18939</v>
      </c>
    </row>
    <row r="10128">
      <c r="A10128" s="311">
        <v>10127</v>
      </c>
      <c r="B10128" s="396" t="s">
        <v>19034</v>
      </c>
      <c r="C10128" s="396" t="s">
        <v>16979</v>
      </c>
      <c r="D10128" s="396" t="s">
        <v>19018</v>
      </c>
      <c r="E10128" s="396" t="s">
        <v>16827</v>
      </c>
      <c r="F10128" s="396" t="s">
        <v>18939</v>
      </c>
    </row>
    <row r="10129">
      <c r="A10129" s="311">
        <v>10128</v>
      </c>
      <c r="B10129" s="396" t="s">
        <v>19035</v>
      </c>
      <c r="C10129" s="396" t="s">
        <v>19036</v>
      </c>
      <c r="D10129" s="396" t="s">
        <v>19037</v>
      </c>
      <c r="E10129" s="396" t="s">
        <v>19038</v>
      </c>
      <c r="F10129" s="396" t="s">
        <v>18939</v>
      </c>
    </row>
    <row r="10130">
      <c r="A10130" s="311">
        <v>10129</v>
      </c>
      <c r="B10130" s="396" t="s">
        <v>19039</v>
      </c>
      <c r="C10130" s="396" t="s">
        <v>19040</v>
      </c>
      <c r="D10130" s="396" t="s">
        <v>19037</v>
      </c>
      <c r="E10130" s="396" t="s">
        <v>19038</v>
      </c>
      <c r="F10130" s="396" t="s">
        <v>18939</v>
      </c>
    </row>
    <row r="10131">
      <c r="A10131" s="311">
        <v>10130</v>
      </c>
      <c r="B10131" s="396" t="s">
        <v>19041</v>
      </c>
      <c r="C10131" s="396" t="s">
        <v>19042</v>
      </c>
      <c r="D10131" s="396" t="s">
        <v>19037</v>
      </c>
      <c r="E10131" s="396" t="s">
        <v>19038</v>
      </c>
      <c r="F10131" s="396" t="s">
        <v>18939</v>
      </c>
    </row>
    <row r="10132">
      <c r="A10132" s="311">
        <v>10131</v>
      </c>
      <c r="B10132" s="396" t="s">
        <v>19043</v>
      </c>
      <c r="C10132" s="396" t="s">
        <v>19044</v>
      </c>
      <c r="D10132" s="396" t="s">
        <v>19037</v>
      </c>
      <c r="E10132" s="396" t="s">
        <v>19038</v>
      </c>
      <c r="F10132" s="396" t="s">
        <v>18939</v>
      </c>
    </row>
    <row r="10133">
      <c r="A10133" s="311">
        <v>10132</v>
      </c>
      <c r="B10133" s="396" t="s">
        <v>19045</v>
      </c>
      <c r="C10133" s="396" t="s">
        <v>4376</v>
      </c>
      <c r="D10133" s="396" t="s">
        <v>19037</v>
      </c>
      <c r="E10133" s="396" t="s">
        <v>19038</v>
      </c>
      <c r="F10133" s="396" t="s">
        <v>18939</v>
      </c>
    </row>
    <row r="10134">
      <c r="A10134" s="311">
        <v>10133</v>
      </c>
      <c r="B10134" s="396" t="s">
        <v>19046</v>
      </c>
      <c r="C10134" s="396" t="s">
        <v>12479</v>
      </c>
      <c r="D10134" s="396" t="s">
        <v>19037</v>
      </c>
      <c r="E10134" s="396" t="s">
        <v>19038</v>
      </c>
      <c r="F10134" s="396" t="s">
        <v>18939</v>
      </c>
    </row>
    <row r="10135">
      <c r="A10135" s="311">
        <v>10134</v>
      </c>
      <c r="B10135" s="396" t="s">
        <v>19047</v>
      </c>
      <c r="C10135" s="396" t="s">
        <v>19048</v>
      </c>
      <c r="D10135" s="396" t="s">
        <v>19037</v>
      </c>
      <c r="E10135" s="396" t="s">
        <v>19038</v>
      </c>
      <c r="F10135" s="396" t="s">
        <v>18939</v>
      </c>
    </row>
    <row r="10136">
      <c r="A10136" s="311">
        <v>10135</v>
      </c>
      <c r="B10136" s="396" t="s">
        <v>19049</v>
      </c>
      <c r="C10136" s="396" t="s">
        <v>5648</v>
      </c>
      <c r="D10136" s="396" t="s">
        <v>19037</v>
      </c>
      <c r="E10136" s="396" t="s">
        <v>19038</v>
      </c>
      <c r="F10136" s="396" t="s">
        <v>18939</v>
      </c>
    </row>
    <row r="10137">
      <c r="A10137" s="311">
        <v>10136</v>
      </c>
      <c r="B10137" s="396" t="s">
        <v>19050</v>
      </c>
      <c r="C10137" s="396" t="s">
        <v>1391</v>
      </c>
      <c r="D10137" s="396" t="s">
        <v>19037</v>
      </c>
      <c r="E10137" s="396" t="s">
        <v>19038</v>
      </c>
      <c r="F10137" s="396" t="s">
        <v>18939</v>
      </c>
    </row>
    <row r="10138">
      <c r="A10138" s="311">
        <v>10137</v>
      </c>
      <c r="B10138" s="396" t="s">
        <v>19051</v>
      </c>
      <c r="C10138" s="396" t="s">
        <v>4284</v>
      </c>
      <c r="D10138" s="396" t="s">
        <v>19037</v>
      </c>
      <c r="E10138" s="396" t="s">
        <v>19038</v>
      </c>
      <c r="F10138" s="396" t="s">
        <v>18939</v>
      </c>
    </row>
    <row r="10139">
      <c r="A10139" s="311">
        <v>10138</v>
      </c>
      <c r="B10139" s="396" t="s">
        <v>19052</v>
      </c>
      <c r="C10139" s="396" t="s">
        <v>19053</v>
      </c>
      <c r="D10139" s="396" t="s">
        <v>19037</v>
      </c>
      <c r="E10139" s="396" t="s">
        <v>19038</v>
      </c>
      <c r="F10139" s="396" t="s">
        <v>18939</v>
      </c>
    </row>
    <row r="10140">
      <c r="A10140" s="311">
        <v>10139</v>
      </c>
      <c r="B10140" s="396" t="s">
        <v>19054</v>
      </c>
      <c r="C10140" s="396" t="s">
        <v>7838</v>
      </c>
      <c r="D10140" s="396" t="s">
        <v>19037</v>
      </c>
      <c r="E10140" s="396" t="s">
        <v>19038</v>
      </c>
      <c r="F10140" s="396" t="s">
        <v>18939</v>
      </c>
    </row>
    <row r="10141">
      <c r="A10141" s="311">
        <v>10140</v>
      </c>
      <c r="B10141" s="396" t="s">
        <v>19055</v>
      </c>
      <c r="C10141" s="396" t="s">
        <v>19056</v>
      </c>
      <c r="D10141" s="396" t="s">
        <v>19037</v>
      </c>
      <c r="E10141" s="396" t="s">
        <v>19038</v>
      </c>
      <c r="F10141" s="396" t="s">
        <v>18939</v>
      </c>
    </row>
    <row r="10142">
      <c r="A10142" s="311">
        <v>10141</v>
      </c>
      <c r="B10142" s="396" t="s">
        <v>19057</v>
      </c>
      <c r="C10142" s="396" t="s">
        <v>19058</v>
      </c>
      <c r="D10142" s="396" t="s">
        <v>19037</v>
      </c>
      <c r="E10142" s="396" t="s">
        <v>19038</v>
      </c>
      <c r="F10142" s="396" t="s">
        <v>18939</v>
      </c>
    </row>
    <row r="10143">
      <c r="A10143" s="311">
        <v>10142</v>
      </c>
      <c r="B10143" s="396" t="s">
        <v>19059</v>
      </c>
      <c r="C10143" s="396" t="s">
        <v>19060</v>
      </c>
      <c r="D10143" s="396" t="s">
        <v>19037</v>
      </c>
      <c r="E10143" s="396" t="s">
        <v>19038</v>
      </c>
      <c r="F10143" s="396" t="s">
        <v>18939</v>
      </c>
    </row>
    <row r="10144">
      <c r="A10144" s="311">
        <v>10143</v>
      </c>
      <c r="B10144" s="396" t="s">
        <v>19061</v>
      </c>
      <c r="C10144" s="396" t="s">
        <v>19062</v>
      </c>
      <c r="D10144" s="396" t="s">
        <v>19063</v>
      </c>
      <c r="E10144" s="396" t="s">
        <v>19064</v>
      </c>
      <c r="F10144" s="396" t="s">
        <v>18939</v>
      </c>
    </row>
    <row r="10145">
      <c r="A10145" s="311">
        <v>10144</v>
      </c>
      <c r="B10145" s="396" t="s">
        <v>19065</v>
      </c>
      <c r="C10145" s="396" t="s">
        <v>19066</v>
      </c>
      <c r="D10145" s="396" t="s">
        <v>19063</v>
      </c>
      <c r="E10145" s="396" t="s">
        <v>19064</v>
      </c>
      <c r="F10145" s="396" t="s">
        <v>18939</v>
      </c>
    </row>
    <row r="10146">
      <c r="A10146" s="311">
        <v>10145</v>
      </c>
      <c r="B10146" s="396" t="s">
        <v>19067</v>
      </c>
      <c r="C10146" s="396" t="s">
        <v>14234</v>
      </c>
      <c r="D10146" s="396" t="s">
        <v>19063</v>
      </c>
      <c r="E10146" s="396" t="s">
        <v>19064</v>
      </c>
      <c r="F10146" s="396" t="s">
        <v>18939</v>
      </c>
    </row>
    <row r="10147">
      <c r="A10147" s="311">
        <v>10146</v>
      </c>
      <c r="B10147" s="396" t="s">
        <v>19068</v>
      </c>
      <c r="C10147" s="396" t="s">
        <v>19069</v>
      </c>
      <c r="D10147" s="396" t="s">
        <v>19063</v>
      </c>
      <c r="E10147" s="396" t="s">
        <v>19064</v>
      </c>
      <c r="F10147" s="396" t="s">
        <v>18939</v>
      </c>
    </row>
    <row r="10148">
      <c r="A10148" s="311">
        <v>10147</v>
      </c>
      <c r="B10148" s="396" t="s">
        <v>19070</v>
      </c>
      <c r="C10148" s="396" t="s">
        <v>2206</v>
      </c>
      <c r="D10148" s="396" t="s">
        <v>19063</v>
      </c>
      <c r="E10148" s="396" t="s">
        <v>19064</v>
      </c>
      <c r="F10148" s="396" t="s">
        <v>18939</v>
      </c>
    </row>
    <row r="10149">
      <c r="A10149" s="311">
        <v>10148</v>
      </c>
      <c r="B10149" s="396" t="s">
        <v>19071</v>
      </c>
      <c r="C10149" s="396" t="s">
        <v>19072</v>
      </c>
      <c r="D10149" s="396" t="s">
        <v>19063</v>
      </c>
      <c r="E10149" s="396" t="s">
        <v>19064</v>
      </c>
      <c r="F10149" s="396" t="s">
        <v>18939</v>
      </c>
    </row>
    <row r="10150">
      <c r="A10150" s="311">
        <v>10149</v>
      </c>
      <c r="B10150" s="396" t="s">
        <v>19073</v>
      </c>
      <c r="C10150" s="396" t="s">
        <v>19074</v>
      </c>
      <c r="D10150" s="396" t="s">
        <v>19063</v>
      </c>
      <c r="E10150" s="396" t="s">
        <v>19064</v>
      </c>
      <c r="F10150" s="396" t="s">
        <v>18939</v>
      </c>
    </row>
    <row r="10151">
      <c r="A10151" s="311">
        <v>10150</v>
      </c>
      <c r="B10151" s="396" t="s">
        <v>19075</v>
      </c>
      <c r="C10151" s="396" t="s">
        <v>19076</v>
      </c>
      <c r="D10151" s="396" t="s">
        <v>19063</v>
      </c>
      <c r="E10151" s="396" t="s">
        <v>19064</v>
      </c>
      <c r="F10151" s="396" t="s">
        <v>18939</v>
      </c>
    </row>
    <row r="10152">
      <c r="A10152" s="311">
        <v>10151</v>
      </c>
      <c r="B10152" s="396" t="s">
        <v>19077</v>
      </c>
      <c r="C10152" s="396" t="s">
        <v>412</v>
      </c>
      <c r="D10152" s="396" t="s">
        <v>19063</v>
      </c>
      <c r="E10152" s="396" t="s">
        <v>19064</v>
      </c>
      <c r="F10152" s="396" t="s">
        <v>18939</v>
      </c>
    </row>
    <row r="10153">
      <c r="A10153" s="311">
        <v>10152</v>
      </c>
      <c r="B10153" s="396" t="s">
        <v>19078</v>
      </c>
      <c r="C10153" s="396" t="s">
        <v>5178</v>
      </c>
      <c r="D10153" s="396" t="s">
        <v>19063</v>
      </c>
      <c r="E10153" s="396" t="s">
        <v>19064</v>
      </c>
      <c r="F10153" s="396" t="s">
        <v>18939</v>
      </c>
    </row>
    <row r="10154">
      <c r="A10154" s="311">
        <v>10153</v>
      </c>
      <c r="B10154" s="396" t="s">
        <v>19079</v>
      </c>
      <c r="C10154" s="396" t="s">
        <v>19080</v>
      </c>
      <c r="D10154" s="396" t="s">
        <v>19063</v>
      </c>
      <c r="E10154" s="396" t="s">
        <v>19064</v>
      </c>
      <c r="F10154" s="396" t="s">
        <v>18939</v>
      </c>
    </row>
    <row r="10155">
      <c r="A10155" s="311">
        <v>10154</v>
      </c>
      <c r="B10155" s="396" t="s">
        <v>19081</v>
      </c>
      <c r="C10155" s="396" t="s">
        <v>19082</v>
      </c>
      <c r="D10155" s="396" t="s">
        <v>19063</v>
      </c>
      <c r="E10155" s="396" t="s">
        <v>19064</v>
      </c>
      <c r="F10155" s="396" t="s">
        <v>18939</v>
      </c>
    </row>
    <row r="10156">
      <c r="A10156" s="311">
        <v>10155</v>
      </c>
      <c r="B10156" s="396" t="s">
        <v>19083</v>
      </c>
      <c r="C10156" s="396" t="s">
        <v>5093</v>
      </c>
      <c r="D10156" s="396" t="s">
        <v>19063</v>
      </c>
      <c r="E10156" s="396" t="s">
        <v>19064</v>
      </c>
      <c r="F10156" s="396" t="s">
        <v>18939</v>
      </c>
    </row>
    <row r="10157">
      <c r="A10157" s="311">
        <v>10156</v>
      </c>
      <c r="B10157" s="396" t="s">
        <v>19084</v>
      </c>
      <c r="C10157" s="396" t="s">
        <v>16977</v>
      </c>
      <c r="D10157" s="396" t="s">
        <v>19063</v>
      </c>
      <c r="E10157" s="396" t="s">
        <v>19064</v>
      </c>
      <c r="F10157" s="396" t="s">
        <v>18939</v>
      </c>
    </row>
    <row r="10158">
      <c r="A10158" s="311">
        <v>10157</v>
      </c>
      <c r="B10158" s="396" t="s">
        <v>19085</v>
      </c>
      <c r="C10158" s="396" t="s">
        <v>19086</v>
      </c>
      <c r="D10158" s="396" t="s">
        <v>19063</v>
      </c>
      <c r="E10158" s="396" t="s">
        <v>19064</v>
      </c>
      <c r="F10158" s="396" t="s">
        <v>18939</v>
      </c>
    </row>
    <row r="10159">
      <c r="A10159" s="311">
        <v>10158</v>
      </c>
      <c r="B10159" s="396" t="s">
        <v>19087</v>
      </c>
      <c r="C10159" s="396" t="s">
        <v>13830</v>
      </c>
      <c r="D10159" s="396" t="s">
        <v>19063</v>
      </c>
      <c r="E10159" s="396" t="s">
        <v>19064</v>
      </c>
      <c r="F10159" s="396" t="s">
        <v>18939</v>
      </c>
    </row>
    <row r="10160">
      <c r="A10160" s="311">
        <v>10159</v>
      </c>
      <c r="B10160" s="396" t="s">
        <v>19088</v>
      </c>
      <c r="C10160" s="396" t="s">
        <v>5732</v>
      </c>
      <c r="D10160" s="396" t="s">
        <v>19063</v>
      </c>
      <c r="E10160" s="396" t="s">
        <v>19064</v>
      </c>
      <c r="F10160" s="396" t="s">
        <v>18939</v>
      </c>
    </row>
    <row r="10161">
      <c r="A10161" s="311">
        <v>10160</v>
      </c>
      <c r="B10161" s="396" t="s">
        <v>19089</v>
      </c>
      <c r="C10161" s="396" t="s">
        <v>19090</v>
      </c>
      <c r="D10161" s="396" t="s">
        <v>19091</v>
      </c>
      <c r="E10161" s="396" t="s">
        <v>19092</v>
      </c>
      <c r="F10161" s="396" t="s">
        <v>18939</v>
      </c>
    </row>
    <row r="10162">
      <c r="A10162" s="311">
        <v>10161</v>
      </c>
      <c r="B10162" s="396" t="s">
        <v>19093</v>
      </c>
      <c r="C10162" s="396" t="s">
        <v>19094</v>
      </c>
      <c r="D10162" s="396" t="s">
        <v>19091</v>
      </c>
      <c r="E10162" s="396" t="s">
        <v>19092</v>
      </c>
      <c r="F10162" s="396" t="s">
        <v>18939</v>
      </c>
    </row>
    <row r="10163">
      <c r="A10163" s="311">
        <v>10162</v>
      </c>
      <c r="B10163" s="396" t="s">
        <v>19095</v>
      </c>
      <c r="C10163" s="396" t="s">
        <v>17318</v>
      </c>
      <c r="D10163" s="396" t="s">
        <v>19091</v>
      </c>
      <c r="E10163" s="396" t="s">
        <v>19092</v>
      </c>
      <c r="F10163" s="396" t="s">
        <v>18939</v>
      </c>
    </row>
    <row r="10164">
      <c r="A10164" s="311">
        <v>10163</v>
      </c>
      <c r="B10164" s="396" t="s">
        <v>19096</v>
      </c>
      <c r="C10164" s="396" t="s">
        <v>2807</v>
      </c>
      <c r="D10164" s="396" t="s">
        <v>19091</v>
      </c>
      <c r="E10164" s="396" t="s">
        <v>19092</v>
      </c>
      <c r="F10164" s="396" t="s">
        <v>18939</v>
      </c>
    </row>
    <row r="10165">
      <c r="A10165" s="311">
        <v>10164</v>
      </c>
      <c r="B10165" s="396" t="s">
        <v>19097</v>
      </c>
      <c r="C10165" s="396" t="s">
        <v>19098</v>
      </c>
      <c r="D10165" s="396" t="s">
        <v>19091</v>
      </c>
      <c r="E10165" s="396" t="s">
        <v>19092</v>
      </c>
      <c r="F10165" s="396" t="s">
        <v>18939</v>
      </c>
    </row>
    <row r="10166">
      <c r="A10166" s="311">
        <v>10165</v>
      </c>
      <c r="B10166" s="396" t="s">
        <v>19099</v>
      </c>
      <c r="C10166" s="396" t="s">
        <v>16850</v>
      </c>
      <c r="D10166" s="396" t="s">
        <v>19091</v>
      </c>
      <c r="E10166" s="396" t="s">
        <v>19092</v>
      </c>
      <c r="F10166" s="396" t="s">
        <v>18939</v>
      </c>
    </row>
    <row r="10167">
      <c r="A10167" s="311">
        <v>10166</v>
      </c>
      <c r="B10167" s="396" t="s">
        <v>19100</v>
      </c>
      <c r="C10167" s="396" t="s">
        <v>5477</v>
      </c>
      <c r="D10167" s="396" t="s">
        <v>19091</v>
      </c>
      <c r="E10167" s="396" t="s">
        <v>19092</v>
      </c>
      <c r="F10167" s="396" t="s">
        <v>18939</v>
      </c>
    </row>
    <row r="10168">
      <c r="A10168" s="311">
        <v>10167</v>
      </c>
      <c r="B10168" s="396" t="s">
        <v>19101</v>
      </c>
      <c r="C10168" s="396" t="s">
        <v>12441</v>
      </c>
      <c r="D10168" s="396" t="s">
        <v>19102</v>
      </c>
      <c r="E10168" s="396" t="s">
        <v>19103</v>
      </c>
      <c r="F10168" s="396" t="s">
        <v>18939</v>
      </c>
    </row>
    <row r="10169">
      <c r="A10169" s="311">
        <v>10168</v>
      </c>
      <c r="B10169" s="396" t="s">
        <v>19104</v>
      </c>
      <c r="C10169" s="396" t="s">
        <v>19105</v>
      </c>
      <c r="D10169" s="396" t="s">
        <v>19102</v>
      </c>
      <c r="E10169" s="396" t="s">
        <v>19103</v>
      </c>
      <c r="F10169" s="396" t="s">
        <v>18939</v>
      </c>
    </row>
    <row r="10170">
      <c r="A10170" s="311">
        <v>10169</v>
      </c>
      <c r="B10170" s="396" t="s">
        <v>19106</v>
      </c>
      <c r="C10170" s="396" t="s">
        <v>12447</v>
      </c>
      <c r="D10170" s="396" t="s">
        <v>19102</v>
      </c>
      <c r="E10170" s="396" t="s">
        <v>19103</v>
      </c>
      <c r="F10170" s="396" t="s">
        <v>18939</v>
      </c>
    </row>
    <row r="10171">
      <c r="A10171" s="311">
        <v>10170</v>
      </c>
      <c r="B10171" s="396" t="s">
        <v>19107</v>
      </c>
      <c r="C10171" s="396" t="s">
        <v>19108</v>
      </c>
      <c r="D10171" s="396" t="s">
        <v>19102</v>
      </c>
      <c r="E10171" s="396" t="s">
        <v>19103</v>
      </c>
      <c r="F10171" s="396" t="s">
        <v>18939</v>
      </c>
    </row>
    <row r="10172">
      <c r="A10172" s="311">
        <v>10171</v>
      </c>
      <c r="B10172" s="396" t="s">
        <v>19109</v>
      </c>
      <c r="C10172" s="396" t="s">
        <v>19110</v>
      </c>
      <c r="D10172" s="396" t="s">
        <v>19102</v>
      </c>
      <c r="E10172" s="396" t="s">
        <v>19103</v>
      </c>
      <c r="F10172" s="396" t="s">
        <v>18939</v>
      </c>
    </row>
    <row r="10173">
      <c r="A10173" s="311">
        <v>10172</v>
      </c>
      <c r="B10173" s="396" t="s">
        <v>19111</v>
      </c>
      <c r="C10173" s="396" t="s">
        <v>19112</v>
      </c>
      <c r="D10173" s="396" t="s">
        <v>19102</v>
      </c>
      <c r="E10173" s="396" t="s">
        <v>19103</v>
      </c>
      <c r="F10173" s="396" t="s">
        <v>18939</v>
      </c>
    </row>
    <row r="10174">
      <c r="A10174" s="311">
        <v>10173</v>
      </c>
      <c r="B10174" s="396" t="s">
        <v>19113</v>
      </c>
      <c r="C10174" s="396" t="s">
        <v>16414</v>
      </c>
      <c r="D10174" s="396" t="s">
        <v>19102</v>
      </c>
      <c r="E10174" s="396" t="s">
        <v>19103</v>
      </c>
      <c r="F10174" s="396" t="s">
        <v>18939</v>
      </c>
    </row>
    <row r="10175">
      <c r="A10175" s="311">
        <v>10174</v>
      </c>
      <c r="B10175" s="396" t="s">
        <v>19114</v>
      </c>
      <c r="C10175" s="396" t="s">
        <v>14273</v>
      </c>
      <c r="D10175" s="396" t="s">
        <v>19115</v>
      </c>
      <c r="E10175" s="396" t="s">
        <v>19116</v>
      </c>
      <c r="F10175" s="396" t="s">
        <v>19117</v>
      </c>
    </row>
    <row r="10176">
      <c r="A10176" s="311">
        <v>10175</v>
      </c>
      <c r="B10176" s="396" t="s">
        <v>19118</v>
      </c>
      <c r="C10176" s="396" t="s">
        <v>12451</v>
      </c>
      <c r="D10176" s="396" t="s">
        <v>19115</v>
      </c>
      <c r="E10176" s="396" t="s">
        <v>19116</v>
      </c>
      <c r="F10176" s="396" t="s">
        <v>19117</v>
      </c>
    </row>
    <row r="10177">
      <c r="A10177" s="311">
        <v>10176</v>
      </c>
      <c r="B10177" s="396" t="s">
        <v>19119</v>
      </c>
      <c r="C10177" s="396" t="s">
        <v>12441</v>
      </c>
      <c r="D10177" s="396" t="s">
        <v>19115</v>
      </c>
      <c r="E10177" s="396" t="s">
        <v>19116</v>
      </c>
      <c r="F10177" s="396" t="s">
        <v>19117</v>
      </c>
    </row>
    <row r="10178">
      <c r="A10178" s="311">
        <v>10177</v>
      </c>
      <c r="B10178" s="396" t="s">
        <v>19120</v>
      </c>
      <c r="C10178" s="396" t="s">
        <v>12447</v>
      </c>
      <c r="D10178" s="396" t="s">
        <v>19115</v>
      </c>
      <c r="E10178" s="396" t="s">
        <v>19116</v>
      </c>
      <c r="F10178" s="396" t="s">
        <v>19117</v>
      </c>
    </row>
    <row r="10179">
      <c r="A10179" s="311">
        <v>10178</v>
      </c>
      <c r="B10179" s="396" t="s">
        <v>19121</v>
      </c>
      <c r="C10179" s="396" t="s">
        <v>12449</v>
      </c>
      <c r="D10179" s="396" t="s">
        <v>19115</v>
      </c>
      <c r="E10179" s="396" t="s">
        <v>19116</v>
      </c>
      <c r="F10179" s="396" t="s">
        <v>19117</v>
      </c>
    </row>
    <row r="10180">
      <c r="A10180" s="311">
        <v>10179</v>
      </c>
      <c r="B10180" s="396" t="s">
        <v>19122</v>
      </c>
      <c r="C10180" s="396" t="s">
        <v>12455</v>
      </c>
      <c r="D10180" s="396" t="s">
        <v>19115</v>
      </c>
      <c r="E10180" s="396" t="s">
        <v>19116</v>
      </c>
      <c r="F10180" s="396" t="s">
        <v>19117</v>
      </c>
    </row>
    <row r="10181">
      <c r="A10181" s="311">
        <v>10180</v>
      </c>
      <c r="B10181" s="396" t="s">
        <v>19123</v>
      </c>
      <c r="C10181" s="396" t="s">
        <v>14270</v>
      </c>
      <c r="D10181" s="396" t="s">
        <v>19115</v>
      </c>
      <c r="E10181" s="396" t="s">
        <v>19116</v>
      </c>
      <c r="F10181" s="396" t="s">
        <v>19117</v>
      </c>
    </row>
    <row r="10182">
      <c r="A10182" s="311">
        <v>10181</v>
      </c>
      <c r="B10182" s="396" t="s">
        <v>19124</v>
      </c>
      <c r="C10182" s="396" t="s">
        <v>19125</v>
      </c>
      <c r="D10182" s="396" t="s">
        <v>19115</v>
      </c>
      <c r="E10182" s="396" t="s">
        <v>19116</v>
      </c>
      <c r="F10182" s="396" t="s">
        <v>19117</v>
      </c>
    </row>
    <row r="10183">
      <c r="A10183" s="311">
        <v>10182</v>
      </c>
      <c r="B10183" s="396" t="s">
        <v>19126</v>
      </c>
      <c r="C10183" s="396" t="s">
        <v>838</v>
      </c>
      <c r="D10183" s="396" t="s">
        <v>19115</v>
      </c>
      <c r="E10183" s="396" t="s">
        <v>19116</v>
      </c>
      <c r="F10183" s="396" t="s">
        <v>19117</v>
      </c>
    </row>
    <row r="10184">
      <c r="A10184" s="311">
        <v>10183</v>
      </c>
      <c r="B10184" s="396" t="s">
        <v>19127</v>
      </c>
      <c r="C10184" s="396" t="s">
        <v>750</v>
      </c>
      <c r="D10184" s="396" t="s">
        <v>19115</v>
      </c>
      <c r="E10184" s="396" t="s">
        <v>19116</v>
      </c>
      <c r="F10184" s="396" t="s">
        <v>19117</v>
      </c>
    </row>
    <row r="10185">
      <c r="A10185" s="311">
        <v>10184</v>
      </c>
      <c r="B10185" s="396" t="s">
        <v>19128</v>
      </c>
      <c r="C10185" s="396" t="s">
        <v>19129</v>
      </c>
      <c r="D10185" s="396" t="s">
        <v>19115</v>
      </c>
      <c r="E10185" s="396" t="s">
        <v>19116</v>
      </c>
      <c r="F10185" s="396" t="s">
        <v>19117</v>
      </c>
    </row>
    <row r="10186">
      <c r="A10186" s="311">
        <v>10185</v>
      </c>
      <c r="B10186" s="396" t="s">
        <v>19130</v>
      </c>
      <c r="C10186" s="396" t="s">
        <v>19131</v>
      </c>
      <c r="D10186" s="396" t="s">
        <v>19132</v>
      </c>
      <c r="E10186" s="396" t="s">
        <v>19133</v>
      </c>
      <c r="F10186" s="396" t="s">
        <v>19117</v>
      </c>
    </row>
    <row r="10187">
      <c r="A10187" s="311">
        <v>10186</v>
      </c>
      <c r="B10187" s="396" t="s">
        <v>19134</v>
      </c>
      <c r="C10187" s="396" t="s">
        <v>946</v>
      </c>
      <c r="D10187" s="396" t="s">
        <v>19132</v>
      </c>
      <c r="E10187" s="396" t="s">
        <v>19133</v>
      </c>
      <c r="F10187" s="396" t="s">
        <v>19117</v>
      </c>
    </row>
    <row r="10188">
      <c r="A10188" s="311">
        <v>10187</v>
      </c>
      <c r="B10188" s="396" t="s">
        <v>19135</v>
      </c>
      <c r="C10188" s="396" t="s">
        <v>19136</v>
      </c>
      <c r="D10188" s="396" t="s">
        <v>19132</v>
      </c>
      <c r="E10188" s="396" t="s">
        <v>19133</v>
      </c>
      <c r="F10188" s="396" t="s">
        <v>19117</v>
      </c>
    </row>
    <row r="10189">
      <c r="A10189" s="311">
        <v>10188</v>
      </c>
      <c r="B10189" s="396" t="s">
        <v>19137</v>
      </c>
      <c r="C10189" s="396" t="s">
        <v>13107</v>
      </c>
      <c r="D10189" s="396" t="s">
        <v>19132</v>
      </c>
      <c r="E10189" s="396" t="s">
        <v>19133</v>
      </c>
      <c r="F10189" s="396" t="s">
        <v>19117</v>
      </c>
    </row>
    <row r="10190">
      <c r="A10190" s="311">
        <v>10189</v>
      </c>
      <c r="B10190" s="396" t="s">
        <v>19138</v>
      </c>
      <c r="C10190" s="396" t="s">
        <v>3923</v>
      </c>
      <c r="D10190" s="396" t="s">
        <v>19132</v>
      </c>
      <c r="E10190" s="396" t="s">
        <v>19133</v>
      </c>
      <c r="F10190" s="396" t="s">
        <v>19117</v>
      </c>
    </row>
    <row r="10191">
      <c r="A10191" s="311">
        <v>10190</v>
      </c>
      <c r="B10191" s="396" t="s">
        <v>19139</v>
      </c>
      <c r="C10191" s="396" t="s">
        <v>1397</v>
      </c>
      <c r="D10191" s="396" t="s">
        <v>19132</v>
      </c>
      <c r="E10191" s="396" t="s">
        <v>19133</v>
      </c>
      <c r="F10191" s="396" t="s">
        <v>19117</v>
      </c>
    </row>
    <row r="10192">
      <c r="A10192" s="311">
        <v>10191</v>
      </c>
      <c r="B10192" s="396" t="s">
        <v>19140</v>
      </c>
      <c r="C10192" s="396" t="s">
        <v>17137</v>
      </c>
      <c r="D10192" s="396" t="s">
        <v>19132</v>
      </c>
      <c r="E10192" s="396" t="s">
        <v>19133</v>
      </c>
      <c r="F10192" s="396" t="s">
        <v>19117</v>
      </c>
    </row>
    <row r="10193">
      <c r="A10193" s="311">
        <v>10192</v>
      </c>
      <c r="B10193" s="396" t="s">
        <v>19141</v>
      </c>
      <c r="C10193" s="396" t="s">
        <v>14841</v>
      </c>
      <c r="D10193" s="396" t="s">
        <v>19132</v>
      </c>
      <c r="E10193" s="396" t="s">
        <v>19133</v>
      </c>
      <c r="F10193" s="396" t="s">
        <v>19117</v>
      </c>
    </row>
    <row r="10194">
      <c r="A10194" s="311">
        <v>10193</v>
      </c>
      <c r="B10194" s="396" t="s">
        <v>19142</v>
      </c>
      <c r="C10194" s="396" t="s">
        <v>16894</v>
      </c>
      <c r="D10194" s="396" t="s">
        <v>19132</v>
      </c>
      <c r="E10194" s="396" t="s">
        <v>19133</v>
      </c>
      <c r="F10194" s="396" t="s">
        <v>19117</v>
      </c>
    </row>
    <row r="10195">
      <c r="A10195" s="311">
        <v>10194</v>
      </c>
      <c r="B10195" s="396" t="s">
        <v>19143</v>
      </c>
      <c r="C10195" s="396" t="s">
        <v>18711</v>
      </c>
      <c r="D10195" s="396" t="s">
        <v>19132</v>
      </c>
      <c r="E10195" s="396" t="s">
        <v>19133</v>
      </c>
      <c r="F10195" s="396" t="s">
        <v>19117</v>
      </c>
    </row>
    <row r="10196">
      <c r="A10196" s="311">
        <v>10195</v>
      </c>
      <c r="B10196" s="396" t="s">
        <v>19144</v>
      </c>
      <c r="C10196" s="396" t="s">
        <v>9007</v>
      </c>
      <c r="D10196" s="396" t="s">
        <v>19132</v>
      </c>
      <c r="E10196" s="396" t="s">
        <v>19133</v>
      </c>
      <c r="F10196" s="396" t="s">
        <v>19117</v>
      </c>
    </row>
    <row r="10197">
      <c r="A10197" s="311">
        <v>10196</v>
      </c>
      <c r="B10197" s="396" t="s">
        <v>19145</v>
      </c>
      <c r="C10197" s="396" t="s">
        <v>17332</v>
      </c>
      <c r="D10197" s="396" t="s">
        <v>19132</v>
      </c>
      <c r="E10197" s="396" t="s">
        <v>19133</v>
      </c>
      <c r="F10197" s="396" t="s">
        <v>19117</v>
      </c>
    </row>
    <row r="10198">
      <c r="A10198" s="311">
        <v>10197</v>
      </c>
      <c r="B10198" s="396" t="s">
        <v>19146</v>
      </c>
      <c r="C10198" s="396" t="s">
        <v>19147</v>
      </c>
      <c r="D10198" s="396" t="s">
        <v>19132</v>
      </c>
      <c r="E10198" s="396" t="s">
        <v>19133</v>
      </c>
      <c r="F10198" s="396" t="s">
        <v>19117</v>
      </c>
    </row>
    <row r="10199">
      <c r="A10199" s="311">
        <v>10198</v>
      </c>
      <c r="B10199" s="396" t="s">
        <v>19148</v>
      </c>
      <c r="C10199" s="396" t="s">
        <v>19149</v>
      </c>
      <c r="D10199" s="396" t="s">
        <v>19132</v>
      </c>
      <c r="E10199" s="396" t="s">
        <v>19133</v>
      </c>
      <c r="F10199" s="396" t="s">
        <v>19117</v>
      </c>
    </row>
    <row r="10200">
      <c r="A10200" s="311">
        <v>10199</v>
      </c>
      <c r="B10200" s="396" t="s">
        <v>19150</v>
      </c>
      <c r="C10200" s="396" t="s">
        <v>1161</v>
      </c>
      <c r="D10200" s="396" t="s">
        <v>19132</v>
      </c>
      <c r="E10200" s="396" t="s">
        <v>19133</v>
      </c>
      <c r="F10200" s="396" t="s">
        <v>19117</v>
      </c>
    </row>
    <row r="10201">
      <c r="A10201" s="311">
        <v>10200</v>
      </c>
      <c r="B10201" s="396" t="s">
        <v>19151</v>
      </c>
      <c r="C10201" s="396" t="s">
        <v>19152</v>
      </c>
      <c r="D10201" s="396" t="s">
        <v>19153</v>
      </c>
      <c r="E10201" s="396" t="s">
        <v>19154</v>
      </c>
      <c r="F10201" s="396" t="s">
        <v>19117</v>
      </c>
    </row>
    <row r="10202">
      <c r="A10202" s="311">
        <v>10201</v>
      </c>
      <c r="B10202" s="396" t="s">
        <v>19155</v>
      </c>
      <c r="C10202" s="396" t="s">
        <v>5928</v>
      </c>
      <c r="D10202" s="396" t="s">
        <v>19153</v>
      </c>
      <c r="E10202" s="396" t="s">
        <v>19154</v>
      </c>
      <c r="F10202" s="396" t="s">
        <v>19117</v>
      </c>
    </row>
    <row r="10203">
      <c r="A10203" s="311">
        <v>10202</v>
      </c>
      <c r="B10203" s="396" t="s">
        <v>19156</v>
      </c>
      <c r="C10203" s="396" t="s">
        <v>18474</v>
      </c>
      <c r="D10203" s="396" t="s">
        <v>19153</v>
      </c>
      <c r="E10203" s="396" t="s">
        <v>19154</v>
      </c>
      <c r="F10203" s="396" t="s">
        <v>19117</v>
      </c>
    </row>
    <row r="10204">
      <c r="A10204" s="311">
        <v>10203</v>
      </c>
      <c r="B10204" s="396" t="s">
        <v>19157</v>
      </c>
      <c r="C10204" s="396" t="s">
        <v>17322</v>
      </c>
      <c r="D10204" s="396" t="s">
        <v>19153</v>
      </c>
      <c r="E10204" s="396" t="s">
        <v>19154</v>
      </c>
      <c r="F10204" s="396" t="s">
        <v>19117</v>
      </c>
    </row>
    <row r="10205">
      <c r="A10205" s="311">
        <v>10204</v>
      </c>
      <c r="B10205" s="396" t="s">
        <v>19158</v>
      </c>
      <c r="C10205" s="396" t="s">
        <v>19159</v>
      </c>
      <c r="D10205" s="396" t="s">
        <v>19153</v>
      </c>
      <c r="E10205" s="396" t="s">
        <v>19154</v>
      </c>
      <c r="F10205" s="396" t="s">
        <v>19117</v>
      </c>
    </row>
    <row r="10206">
      <c r="A10206" s="311">
        <v>10205</v>
      </c>
      <c r="B10206" s="396" t="s">
        <v>19160</v>
      </c>
      <c r="C10206" s="396" t="s">
        <v>17504</v>
      </c>
      <c r="D10206" s="396" t="s">
        <v>19153</v>
      </c>
      <c r="E10206" s="396" t="s">
        <v>19154</v>
      </c>
      <c r="F10206" s="396" t="s">
        <v>19117</v>
      </c>
    </row>
    <row r="10207">
      <c r="A10207" s="311">
        <v>10206</v>
      </c>
      <c r="B10207" s="396" t="s">
        <v>19161</v>
      </c>
      <c r="C10207" s="396" t="s">
        <v>18590</v>
      </c>
      <c r="D10207" s="396" t="s">
        <v>19153</v>
      </c>
      <c r="E10207" s="396" t="s">
        <v>19154</v>
      </c>
      <c r="F10207" s="396" t="s">
        <v>19117</v>
      </c>
    </row>
    <row r="10208">
      <c r="A10208" s="311">
        <v>10207</v>
      </c>
      <c r="B10208" s="396" t="s">
        <v>19162</v>
      </c>
      <c r="C10208" s="396" t="s">
        <v>19163</v>
      </c>
      <c r="D10208" s="396" t="s">
        <v>19153</v>
      </c>
      <c r="E10208" s="396" t="s">
        <v>19154</v>
      </c>
      <c r="F10208" s="396" t="s">
        <v>19117</v>
      </c>
    </row>
    <row r="10209">
      <c r="A10209" s="311">
        <v>10208</v>
      </c>
      <c r="B10209" s="396" t="s">
        <v>19164</v>
      </c>
      <c r="C10209" s="396" t="s">
        <v>13672</v>
      </c>
      <c r="D10209" s="396" t="s">
        <v>19153</v>
      </c>
      <c r="E10209" s="396" t="s">
        <v>19154</v>
      </c>
      <c r="F10209" s="396" t="s">
        <v>19117</v>
      </c>
    </row>
    <row r="10210">
      <c r="A10210" s="311">
        <v>10209</v>
      </c>
      <c r="B10210" s="396" t="s">
        <v>19165</v>
      </c>
      <c r="C10210" s="396" t="s">
        <v>19166</v>
      </c>
      <c r="D10210" s="396" t="s">
        <v>19153</v>
      </c>
      <c r="E10210" s="396" t="s">
        <v>19154</v>
      </c>
      <c r="F10210" s="396" t="s">
        <v>19117</v>
      </c>
    </row>
    <row r="10211">
      <c r="A10211" s="311">
        <v>10210</v>
      </c>
      <c r="B10211" s="396" t="s">
        <v>19167</v>
      </c>
      <c r="C10211" s="396" t="s">
        <v>17944</v>
      </c>
      <c r="D10211" s="396" t="s">
        <v>19153</v>
      </c>
      <c r="E10211" s="396" t="s">
        <v>19154</v>
      </c>
      <c r="F10211" s="396" t="s">
        <v>19117</v>
      </c>
    </row>
    <row r="10212">
      <c r="A10212" s="311">
        <v>10211</v>
      </c>
      <c r="B10212" s="396" t="s">
        <v>19168</v>
      </c>
      <c r="C10212" s="396" t="s">
        <v>2462</v>
      </c>
      <c r="D10212" s="396" t="s">
        <v>19153</v>
      </c>
      <c r="E10212" s="396" t="s">
        <v>19154</v>
      </c>
      <c r="F10212" s="396" t="s">
        <v>19117</v>
      </c>
    </row>
    <row r="10213">
      <c r="A10213" s="311">
        <v>10212</v>
      </c>
      <c r="B10213" s="396" t="s">
        <v>19169</v>
      </c>
      <c r="C10213" s="396" t="s">
        <v>19170</v>
      </c>
      <c r="D10213" s="396" t="s">
        <v>19153</v>
      </c>
      <c r="E10213" s="396" t="s">
        <v>19154</v>
      </c>
      <c r="F10213" s="396" t="s">
        <v>19117</v>
      </c>
    </row>
    <row r="10214">
      <c r="A10214" s="311">
        <v>10213</v>
      </c>
      <c r="B10214" s="396" t="s">
        <v>19171</v>
      </c>
      <c r="C10214" s="396" t="s">
        <v>19172</v>
      </c>
      <c r="D10214" s="396" t="s">
        <v>19173</v>
      </c>
      <c r="E10214" s="396" t="s">
        <v>19174</v>
      </c>
      <c r="F10214" s="396" t="s">
        <v>19117</v>
      </c>
    </row>
    <row r="10215">
      <c r="A10215" s="311">
        <v>10214</v>
      </c>
      <c r="B10215" s="396" t="s">
        <v>19175</v>
      </c>
      <c r="C10215" s="396" t="s">
        <v>19176</v>
      </c>
      <c r="D10215" s="396" t="s">
        <v>19173</v>
      </c>
      <c r="E10215" s="396" t="s">
        <v>19174</v>
      </c>
      <c r="F10215" s="396" t="s">
        <v>19117</v>
      </c>
    </row>
    <row r="10216">
      <c r="A10216" s="311">
        <v>10215</v>
      </c>
      <c r="B10216" s="396" t="s">
        <v>19177</v>
      </c>
      <c r="C10216" s="396" t="s">
        <v>19178</v>
      </c>
      <c r="D10216" s="396" t="s">
        <v>19173</v>
      </c>
      <c r="E10216" s="396" t="s">
        <v>19174</v>
      </c>
      <c r="F10216" s="396" t="s">
        <v>19117</v>
      </c>
    </row>
    <row r="10217">
      <c r="A10217" s="311">
        <v>10216</v>
      </c>
      <c r="B10217" s="396" t="s">
        <v>19179</v>
      </c>
      <c r="C10217" s="396" t="s">
        <v>19180</v>
      </c>
      <c r="D10217" s="396" t="s">
        <v>19173</v>
      </c>
      <c r="E10217" s="396" t="s">
        <v>19174</v>
      </c>
      <c r="F10217" s="396" t="s">
        <v>19117</v>
      </c>
    </row>
    <row r="10218">
      <c r="A10218" s="311">
        <v>10217</v>
      </c>
      <c r="B10218" s="396" t="s">
        <v>19181</v>
      </c>
      <c r="C10218" s="396" t="s">
        <v>17978</v>
      </c>
      <c r="D10218" s="396" t="s">
        <v>19173</v>
      </c>
      <c r="E10218" s="396" t="s">
        <v>19174</v>
      </c>
      <c r="F10218" s="396" t="s">
        <v>19117</v>
      </c>
    </row>
    <row r="10219">
      <c r="A10219" s="311">
        <v>10218</v>
      </c>
      <c r="B10219" s="396" t="s">
        <v>19182</v>
      </c>
      <c r="C10219" s="396" t="s">
        <v>19183</v>
      </c>
      <c r="D10219" s="396" t="s">
        <v>19173</v>
      </c>
      <c r="E10219" s="396" t="s">
        <v>19174</v>
      </c>
      <c r="F10219" s="396" t="s">
        <v>19117</v>
      </c>
    </row>
    <row r="10220">
      <c r="A10220" s="311">
        <v>10219</v>
      </c>
      <c r="B10220" s="396" t="s">
        <v>19184</v>
      </c>
      <c r="C10220" s="396" t="s">
        <v>914</v>
      </c>
      <c r="D10220" s="396" t="s">
        <v>19173</v>
      </c>
      <c r="E10220" s="396" t="s">
        <v>19174</v>
      </c>
      <c r="F10220" s="396" t="s">
        <v>19117</v>
      </c>
    </row>
    <row r="10221">
      <c r="A10221" s="311">
        <v>10220</v>
      </c>
      <c r="B10221" s="396" t="s">
        <v>19185</v>
      </c>
      <c r="C10221" s="396" t="s">
        <v>19186</v>
      </c>
      <c r="D10221" s="396" t="s">
        <v>19173</v>
      </c>
      <c r="E10221" s="396" t="s">
        <v>19174</v>
      </c>
      <c r="F10221" s="396" t="s">
        <v>19117</v>
      </c>
    </row>
    <row r="10222">
      <c r="A10222" s="311">
        <v>10221</v>
      </c>
      <c r="B10222" s="396" t="s">
        <v>19187</v>
      </c>
      <c r="C10222" s="396" t="s">
        <v>19188</v>
      </c>
      <c r="D10222" s="396" t="s">
        <v>19173</v>
      </c>
      <c r="E10222" s="396" t="s">
        <v>19174</v>
      </c>
      <c r="F10222" s="396" t="s">
        <v>19117</v>
      </c>
    </row>
    <row r="10223">
      <c r="A10223" s="311">
        <v>10222</v>
      </c>
      <c r="B10223" s="396" t="s">
        <v>19189</v>
      </c>
      <c r="C10223" s="396" t="s">
        <v>19190</v>
      </c>
      <c r="D10223" s="396" t="s">
        <v>19173</v>
      </c>
      <c r="E10223" s="396" t="s">
        <v>19174</v>
      </c>
      <c r="F10223" s="396" t="s">
        <v>19117</v>
      </c>
    </row>
    <row r="10224">
      <c r="A10224" s="311">
        <v>10223</v>
      </c>
      <c r="B10224" s="396" t="s">
        <v>19191</v>
      </c>
      <c r="C10224" s="396" t="s">
        <v>19192</v>
      </c>
      <c r="D10224" s="396" t="s">
        <v>19173</v>
      </c>
      <c r="E10224" s="396" t="s">
        <v>19174</v>
      </c>
      <c r="F10224" s="396" t="s">
        <v>19117</v>
      </c>
    </row>
    <row r="10225">
      <c r="A10225" s="311">
        <v>10224</v>
      </c>
      <c r="B10225" s="396" t="s">
        <v>19193</v>
      </c>
      <c r="C10225" s="396" t="s">
        <v>1425</v>
      </c>
      <c r="D10225" s="396" t="s">
        <v>19173</v>
      </c>
      <c r="E10225" s="396" t="s">
        <v>19174</v>
      </c>
      <c r="F10225" s="396" t="s">
        <v>19117</v>
      </c>
    </row>
    <row r="10226">
      <c r="A10226" s="311">
        <v>10225</v>
      </c>
      <c r="B10226" s="396" t="s">
        <v>19194</v>
      </c>
      <c r="C10226" s="396" t="s">
        <v>19195</v>
      </c>
      <c r="D10226" s="396" t="s">
        <v>19173</v>
      </c>
      <c r="E10226" s="396" t="s">
        <v>19174</v>
      </c>
      <c r="F10226" s="396" t="s">
        <v>19117</v>
      </c>
    </row>
    <row r="10227">
      <c r="A10227" s="311">
        <v>10226</v>
      </c>
      <c r="B10227" s="396" t="s">
        <v>19196</v>
      </c>
      <c r="C10227" s="396" t="s">
        <v>19197</v>
      </c>
      <c r="D10227" s="396" t="s">
        <v>19173</v>
      </c>
      <c r="E10227" s="396" t="s">
        <v>19174</v>
      </c>
      <c r="F10227" s="396" t="s">
        <v>19117</v>
      </c>
    </row>
    <row r="10228">
      <c r="A10228" s="311">
        <v>10227</v>
      </c>
      <c r="B10228" s="396" t="s">
        <v>19198</v>
      </c>
      <c r="C10228" s="396" t="s">
        <v>19199</v>
      </c>
      <c r="D10228" s="396" t="s">
        <v>19173</v>
      </c>
      <c r="E10228" s="396" t="s">
        <v>19174</v>
      </c>
      <c r="F10228" s="396" t="s">
        <v>19117</v>
      </c>
    </row>
    <row r="10229">
      <c r="A10229" s="311">
        <v>10228</v>
      </c>
      <c r="B10229" s="396" t="s">
        <v>19200</v>
      </c>
      <c r="C10229" s="396" t="s">
        <v>6592</v>
      </c>
      <c r="D10229" s="396" t="s">
        <v>19173</v>
      </c>
      <c r="E10229" s="396" t="s">
        <v>19174</v>
      </c>
      <c r="F10229" s="396" t="s">
        <v>19117</v>
      </c>
    </row>
    <row r="10230">
      <c r="A10230" s="311">
        <v>10229</v>
      </c>
      <c r="B10230" s="396" t="s">
        <v>19201</v>
      </c>
      <c r="C10230" s="396" t="s">
        <v>8737</v>
      </c>
      <c r="D10230" s="396" t="s">
        <v>19173</v>
      </c>
      <c r="E10230" s="396" t="s">
        <v>19174</v>
      </c>
      <c r="F10230" s="396" t="s">
        <v>19117</v>
      </c>
    </row>
    <row r="10231">
      <c r="A10231" s="311">
        <v>10230</v>
      </c>
      <c r="B10231" s="396" t="s">
        <v>19202</v>
      </c>
      <c r="C10231" s="396" t="s">
        <v>19203</v>
      </c>
      <c r="D10231" s="396" t="s">
        <v>19173</v>
      </c>
      <c r="E10231" s="396" t="s">
        <v>19174</v>
      </c>
      <c r="F10231" s="396" t="s">
        <v>19117</v>
      </c>
    </row>
    <row r="10232">
      <c r="A10232" s="311">
        <v>10231</v>
      </c>
      <c r="B10232" s="396" t="s">
        <v>19204</v>
      </c>
      <c r="C10232" s="396" t="s">
        <v>19205</v>
      </c>
      <c r="D10232" s="396" t="s">
        <v>19173</v>
      </c>
      <c r="E10232" s="396" t="s">
        <v>19174</v>
      </c>
      <c r="F10232" s="396" t="s">
        <v>19117</v>
      </c>
    </row>
    <row r="10233">
      <c r="A10233" s="311">
        <v>10232</v>
      </c>
      <c r="B10233" s="396" t="s">
        <v>19206</v>
      </c>
      <c r="C10233" s="396" t="s">
        <v>19207</v>
      </c>
      <c r="D10233" s="396" t="s">
        <v>19173</v>
      </c>
      <c r="E10233" s="396" t="s">
        <v>19174</v>
      </c>
      <c r="F10233" s="396" t="s">
        <v>19117</v>
      </c>
    </row>
    <row r="10234">
      <c r="A10234" s="311">
        <v>10233</v>
      </c>
      <c r="B10234" s="396" t="s">
        <v>19208</v>
      </c>
      <c r="C10234" s="396" t="s">
        <v>19209</v>
      </c>
      <c r="D10234" s="396" t="s">
        <v>19210</v>
      </c>
      <c r="E10234" s="396" t="s">
        <v>19211</v>
      </c>
      <c r="F10234" s="396" t="s">
        <v>19117</v>
      </c>
    </row>
    <row r="10235">
      <c r="A10235" s="311">
        <v>10234</v>
      </c>
      <c r="B10235" s="396" t="s">
        <v>19212</v>
      </c>
      <c r="C10235" s="396" t="s">
        <v>12084</v>
      </c>
      <c r="D10235" s="396" t="s">
        <v>19210</v>
      </c>
      <c r="E10235" s="396" t="s">
        <v>19211</v>
      </c>
      <c r="F10235" s="396" t="s">
        <v>19117</v>
      </c>
    </row>
    <row r="10236">
      <c r="A10236" s="311">
        <v>10235</v>
      </c>
      <c r="B10236" s="396" t="s">
        <v>19213</v>
      </c>
      <c r="C10236" s="396" t="s">
        <v>2469</v>
      </c>
      <c r="D10236" s="396" t="s">
        <v>19210</v>
      </c>
      <c r="E10236" s="396" t="s">
        <v>19211</v>
      </c>
      <c r="F10236" s="396" t="s">
        <v>19117</v>
      </c>
    </row>
    <row r="10237">
      <c r="A10237" s="311">
        <v>10236</v>
      </c>
      <c r="B10237" s="396" t="s">
        <v>19214</v>
      </c>
      <c r="C10237" s="396" t="s">
        <v>19215</v>
      </c>
      <c r="D10237" s="396" t="s">
        <v>19210</v>
      </c>
      <c r="E10237" s="396" t="s">
        <v>19211</v>
      </c>
      <c r="F10237" s="396" t="s">
        <v>19117</v>
      </c>
    </row>
    <row r="10238">
      <c r="A10238" s="311">
        <v>10237</v>
      </c>
      <c r="B10238" s="396" t="s">
        <v>19216</v>
      </c>
      <c r="C10238" s="396" t="s">
        <v>16839</v>
      </c>
      <c r="D10238" s="396" t="s">
        <v>19210</v>
      </c>
      <c r="E10238" s="396" t="s">
        <v>19211</v>
      </c>
      <c r="F10238" s="396" t="s">
        <v>19117</v>
      </c>
    </row>
    <row r="10239">
      <c r="A10239" s="311">
        <v>10238</v>
      </c>
      <c r="B10239" s="396" t="s">
        <v>19217</v>
      </c>
      <c r="C10239" s="396" t="s">
        <v>10479</v>
      </c>
      <c r="D10239" s="396" t="s">
        <v>19210</v>
      </c>
      <c r="E10239" s="396" t="s">
        <v>19211</v>
      </c>
      <c r="F10239" s="396" t="s">
        <v>19117</v>
      </c>
    </row>
    <row r="10240">
      <c r="A10240" s="311">
        <v>10239</v>
      </c>
      <c r="B10240" s="396" t="s">
        <v>19218</v>
      </c>
      <c r="C10240" s="396" t="s">
        <v>6355</v>
      </c>
      <c r="D10240" s="396" t="s">
        <v>19210</v>
      </c>
      <c r="E10240" s="396" t="s">
        <v>19211</v>
      </c>
      <c r="F10240" s="396" t="s">
        <v>19117</v>
      </c>
    </row>
    <row r="10241">
      <c r="A10241" s="311">
        <v>10240</v>
      </c>
      <c r="B10241" s="396" t="s">
        <v>19219</v>
      </c>
      <c r="C10241" s="396" t="s">
        <v>19220</v>
      </c>
      <c r="D10241" s="396" t="s">
        <v>19210</v>
      </c>
      <c r="E10241" s="396" t="s">
        <v>19211</v>
      </c>
      <c r="F10241" s="396" t="s">
        <v>19117</v>
      </c>
    </row>
    <row r="10242">
      <c r="A10242" s="311">
        <v>10241</v>
      </c>
      <c r="B10242" s="396" t="s">
        <v>19221</v>
      </c>
      <c r="C10242" s="396" t="s">
        <v>16142</v>
      </c>
      <c r="D10242" s="396" t="s">
        <v>19210</v>
      </c>
      <c r="E10242" s="396" t="s">
        <v>19211</v>
      </c>
      <c r="F10242" s="396" t="s">
        <v>19117</v>
      </c>
    </row>
    <row r="10243">
      <c r="A10243" s="311">
        <v>10242</v>
      </c>
      <c r="B10243" s="396" t="s">
        <v>19222</v>
      </c>
      <c r="C10243" s="396" t="s">
        <v>8578</v>
      </c>
      <c r="D10243" s="396" t="s">
        <v>19210</v>
      </c>
      <c r="E10243" s="396" t="s">
        <v>19211</v>
      </c>
      <c r="F10243" s="396" t="s">
        <v>19117</v>
      </c>
    </row>
    <row r="10244">
      <c r="A10244" s="311">
        <v>10243</v>
      </c>
      <c r="B10244" s="396" t="s">
        <v>19223</v>
      </c>
      <c r="C10244" s="396" t="s">
        <v>830</v>
      </c>
      <c r="D10244" s="396" t="s">
        <v>19210</v>
      </c>
      <c r="E10244" s="396" t="s">
        <v>19211</v>
      </c>
      <c r="F10244" s="396" t="s">
        <v>19117</v>
      </c>
    </row>
    <row r="10245">
      <c r="A10245" s="311">
        <v>10244</v>
      </c>
      <c r="B10245" s="396" t="s">
        <v>19224</v>
      </c>
      <c r="C10245" s="396" t="s">
        <v>19225</v>
      </c>
      <c r="D10245" s="396" t="s">
        <v>19210</v>
      </c>
      <c r="E10245" s="396" t="s">
        <v>19211</v>
      </c>
      <c r="F10245" s="396" t="s">
        <v>19117</v>
      </c>
    </row>
    <row r="10246">
      <c r="A10246" s="311">
        <v>10245</v>
      </c>
      <c r="B10246" s="396" t="s">
        <v>19226</v>
      </c>
      <c r="C10246" s="396" t="s">
        <v>19227</v>
      </c>
      <c r="D10246" s="396" t="s">
        <v>19210</v>
      </c>
      <c r="E10246" s="396" t="s">
        <v>19211</v>
      </c>
      <c r="F10246" s="396" t="s">
        <v>19117</v>
      </c>
    </row>
    <row r="10247">
      <c r="A10247" s="311">
        <v>10246</v>
      </c>
      <c r="B10247" s="396" t="s">
        <v>19228</v>
      </c>
      <c r="C10247" s="396" t="s">
        <v>19229</v>
      </c>
      <c r="D10247" s="396" t="s">
        <v>19210</v>
      </c>
      <c r="E10247" s="396" t="s">
        <v>19211</v>
      </c>
      <c r="F10247" s="396" t="s">
        <v>19117</v>
      </c>
    </row>
    <row r="10248">
      <c r="A10248" s="311">
        <v>10247</v>
      </c>
      <c r="B10248" s="396" t="s">
        <v>19230</v>
      </c>
      <c r="C10248" s="396" t="s">
        <v>19231</v>
      </c>
      <c r="D10248" s="396" t="s">
        <v>19210</v>
      </c>
      <c r="E10248" s="396" t="s">
        <v>19211</v>
      </c>
      <c r="F10248" s="396" t="s">
        <v>19117</v>
      </c>
    </row>
    <row r="10249">
      <c r="A10249" s="311">
        <v>10248</v>
      </c>
      <c r="B10249" s="396" t="s">
        <v>19232</v>
      </c>
      <c r="C10249" s="396" t="s">
        <v>19233</v>
      </c>
      <c r="D10249" s="396" t="s">
        <v>19210</v>
      </c>
      <c r="E10249" s="396" t="s">
        <v>19211</v>
      </c>
      <c r="F10249" s="396" t="s">
        <v>19117</v>
      </c>
    </row>
    <row r="10250">
      <c r="A10250" s="311">
        <v>10249</v>
      </c>
      <c r="B10250" s="396" t="s">
        <v>19234</v>
      </c>
      <c r="C10250" s="396" t="s">
        <v>18620</v>
      </c>
      <c r="D10250" s="396" t="s">
        <v>19210</v>
      </c>
      <c r="E10250" s="396" t="s">
        <v>19211</v>
      </c>
      <c r="F10250" s="396" t="s">
        <v>19117</v>
      </c>
    </row>
    <row r="10251">
      <c r="A10251" s="311">
        <v>10250</v>
      </c>
      <c r="B10251" s="396" t="s">
        <v>19235</v>
      </c>
      <c r="C10251" s="396" t="s">
        <v>19236</v>
      </c>
      <c r="D10251" s="396" t="s">
        <v>19237</v>
      </c>
      <c r="E10251" s="396" t="s">
        <v>19238</v>
      </c>
      <c r="F10251" s="396" t="s">
        <v>19117</v>
      </c>
    </row>
    <row r="10252">
      <c r="A10252" s="311">
        <v>10251</v>
      </c>
      <c r="B10252" s="396" t="s">
        <v>19239</v>
      </c>
      <c r="C10252" s="396" t="s">
        <v>19240</v>
      </c>
      <c r="D10252" s="396" t="s">
        <v>19237</v>
      </c>
      <c r="E10252" s="396" t="s">
        <v>19238</v>
      </c>
      <c r="F10252" s="396" t="s">
        <v>19117</v>
      </c>
    </row>
    <row r="10253">
      <c r="A10253" s="311">
        <v>10252</v>
      </c>
      <c r="B10253" s="396" t="s">
        <v>19241</v>
      </c>
      <c r="C10253" s="396" t="s">
        <v>16209</v>
      </c>
      <c r="D10253" s="396" t="s">
        <v>19237</v>
      </c>
      <c r="E10253" s="396" t="s">
        <v>19238</v>
      </c>
      <c r="F10253" s="396" t="s">
        <v>19117</v>
      </c>
    </row>
    <row r="10254">
      <c r="A10254" s="311">
        <v>10253</v>
      </c>
      <c r="B10254" s="396" t="s">
        <v>19242</v>
      </c>
      <c r="C10254" s="396" t="s">
        <v>17967</v>
      </c>
      <c r="D10254" s="396" t="s">
        <v>19237</v>
      </c>
      <c r="E10254" s="396" t="s">
        <v>19238</v>
      </c>
      <c r="F10254" s="396" t="s">
        <v>19117</v>
      </c>
    </row>
    <row r="10255">
      <c r="A10255" s="311">
        <v>10254</v>
      </c>
      <c r="B10255" s="396" t="s">
        <v>19243</v>
      </c>
      <c r="C10255" s="396" t="s">
        <v>19244</v>
      </c>
      <c r="D10255" s="396" t="s">
        <v>19237</v>
      </c>
      <c r="E10255" s="396" t="s">
        <v>19238</v>
      </c>
      <c r="F10255" s="396" t="s">
        <v>19117</v>
      </c>
    </row>
    <row r="10256">
      <c r="A10256" s="311">
        <v>10255</v>
      </c>
      <c r="B10256" s="396" t="s">
        <v>19245</v>
      </c>
      <c r="C10256" s="396" t="s">
        <v>19246</v>
      </c>
      <c r="D10256" s="396" t="s">
        <v>19237</v>
      </c>
      <c r="E10256" s="396" t="s">
        <v>19238</v>
      </c>
      <c r="F10256" s="396" t="s">
        <v>19117</v>
      </c>
    </row>
    <row r="10257">
      <c r="A10257" s="311">
        <v>10256</v>
      </c>
      <c r="B10257" s="396" t="s">
        <v>19247</v>
      </c>
      <c r="C10257" s="396" t="s">
        <v>4376</v>
      </c>
      <c r="D10257" s="396" t="s">
        <v>19237</v>
      </c>
      <c r="E10257" s="396" t="s">
        <v>19238</v>
      </c>
      <c r="F10257" s="396" t="s">
        <v>19117</v>
      </c>
    </row>
    <row r="10258">
      <c r="A10258" s="311">
        <v>10257</v>
      </c>
      <c r="B10258" s="396" t="s">
        <v>19248</v>
      </c>
      <c r="C10258" s="396" t="s">
        <v>1587</v>
      </c>
      <c r="D10258" s="396" t="s">
        <v>19237</v>
      </c>
      <c r="E10258" s="396" t="s">
        <v>19238</v>
      </c>
      <c r="F10258" s="396" t="s">
        <v>19117</v>
      </c>
    </row>
    <row r="10259">
      <c r="A10259" s="311">
        <v>10258</v>
      </c>
      <c r="B10259" s="396" t="s">
        <v>19249</v>
      </c>
      <c r="C10259" s="396" t="s">
        <v>19250</v>
      </c>
      <c r="D10259" s="396" t="s">
        <v>19251</v>
      </c>
      <c r="E10259" s="396" t="s">
        <v>19252</v>
      </c>
      <c r="F10259" s="396" t="s">
        <v>19117</v>
      </c>
    </row>
    <row r="10260">
      <c r="A10260" s="311">
        <v>10259</v>
      </c>
      <c r="B10260" s="396" t="s">
        <v>19253</v>
      </c>
      <c r="C10260" s="396" t="s">
        <v>17356</v>
      </c>
      <c r="D10260" s="396" t="s">
        <v>19251</v>
      </c>
      <c r="E10260" s="396" t="s">
        <v>19252</v>
      </c>
      <c r="F10260" s="396" t="s">
        <v>19117</v>
      </c>
    </row>
    <row r="10261">
      <c r="A10261" s="311">
        <v>10260</v>
      </c>
      <c r="B10261" s="396" t="s">
        <v>19254</v>
      </c>
      <c r="C10261" s="396" t="s">
        <v>19255</v>
      </c>
      <c r="D10261" s="396" t="s">
        <v>19251</v>
      </c>
      <c r="E10261" s="396" t="s">
        <v>19252</v>
      </c>
      <c r="F10261" s="396" t="s">
        <v>19117</v>
      </c>
    </row>
    <row r="10262">
      <c r="A10262" s="311">
        <v>10261</v>
      </c>
      <c r="B10262" s="396" t="s">
        <v>19256</v>
      </c>
      <c r="C10262" s="396" t="s">
        <v>1014</v>
      </c>
      <c r="D10262" s="396" t="s">
        <v>19251</v>
      </c>
      <c r="E10262" s="396" t="s">
        <v>19252</v>
      </c>
      <c r="F10262" s="396" t="s">
        <v>19117</v>
      </c>
    </row>
    <row r="10263">
      <c r="A10263" s="311">
        <v>10262</v>
      </c>
      <c r="B10263" s="396" t="s">
        <v>19257</v>
      </c>
      <c r="C10263" s="396" t="s">
        <v>19258</v>
      </c>
      <c r="D10263" s="396" t="s">
        <v>19251</v>
      </c>
      <c r="E10263" s="396" t="s">
        <v>19252</v>
      </c>
      <c r="F10263" s="396" t="s">
        <v>19117</v>
      </c>
    </row>
    <row r="10264">
      <c r="A10264" s="311">
        <v>10263</v>
      </c>
      <c r="B10264" s="396" t="s">
        <v>19259</v>
      </c>
      <c r="C10264" s="396" t="s">
        <v>19260</v>
      </c>
      <c r="D10264" s="396" t="s">
        <v>19251</v>
      </c>
      <c r="E10264" s="396" t="s">
        <v>19252</v>
      </c>
      <c r="F10264" s="396" t="s">
        <v>19117</v>
      </c>
    </row>
    <row r="10265">
      <c r="A10265" s="311">
        <v>10264</v>
      </c>
      <c r="B10265" s="396" t="s">
        <v>19261</v>
      </c>
      <c r="C10265" s="396" t="s">
        <v>2358</v>
      </c>
      <c r="D10265" s="396" t="s">
        <v>19251</v>
      </c>
      <c r="E10265" s="396" t="s">
        <v>19252</v>
      </c>
      <c r="F10265" s="396" t="s">
        <v>19117</v>
      </c>
    </row>
    <row r="10266">
      <c r="A10266" s="311">
        <v>10265</v>
      </c>
      <c r="B10266" s="396" t="s">
        <v>19262</v>
      </c>
      <c r="C10266" s="396" t="s">
        <v>19263</v>
      </c>
      <c r="D10266" s="396" t="s">
        <v>19251</v>
      </c>
      <c r="E10266" s="396" t="s">
        <v>19252</v>
      </c>
      <c r="F10266" s="396" t="s">
        <v>19117</v>
      </c>
    </row>
    <row r="10267">
      <c r="A10267" s="311">
        <v>10266</v>
      </c>
      <c r="B10267" s="396" t="s">
        <v>19264</v>
      </c>
      <c r="C10267" s="396" t="s">
        <v>19265</v>
      </c>
      <c r="D10267" s="396" t="s">
        <v>19251</v>
      </c>
      <c r="E10267" s="396" t="s">
        <v>19252</v>
      </c>
      <c r="F10267" s="396" t="s">
        <v>19117</v>
      </c>
    </row>
    <row r="10268">
      <c r="A10268" s="311">
        <v>10267</v>
      </c>
      <c r="B10268" s="396" t="s">
        <v>19266</v>
      </c>
      <c r="C10268" s="396" t="s">
        <v>19267</v>
      </c>
      <c r="D10268" s="396" t="s">
        <v>19251</v>
      </c>
      <c r="E10268" s="396" t="s">
        <v>19252</v>
      </c>
      <c r="F10268" s="396" t="s">
        <v>19117</v>
      </c>
    </row>
    <row r="10269">
      <c r="A10269" s="311">
        <v>10268</v>
      </c>
      <c r="B10269" s="396" t="s">
        <v>19268</v>
      </c>
      <c r="C10269" s="396" t="s">
        <v>4544</v>
      </c>
      <c r="D10269" s="396" t="s">
        <v>19251</v>
      </c>
      <c r="E10269" s="396" t="s">
        <v>19252</v>
      </c>
      <c r="F10269" s="396" t="s">
        <v>19117</v>
      </c>
    </row>
    <row r="10270">
      <c r="A10270" s="311">
        <v>10269</v>
      </c>
      <c r="B10270" s="396" t="s">
        <v>19269</v>
      </c>
      <c r="C10270" s="396" t="s">
        <v>19270</v>
      </c>
      <c r="D10270" s="396" t="s">
        <v>19251</v>
      </c>
      <c r="E10270" s="396" t="s">
        <v>19252</v>
      </c>
      <c r="F10270" s="396" t="s">
        <v>19117</v>
      </c>
    </row>
    <row r="10271">
      <c r="A10271" s="311">
        <v>10270</v>
      </c>
      <c r="B10271" s="396" t="s">
        <v>19271</v>
      </c>
      <c r="C10271" s="396" t="s">
        <v>19272</v>
      </c>
      <c r="D10271" s="396" t="s">
        <v>19251</v>
      </c>
      <c r="E10271" s="396" t="s">
        <v>19252</v>
      </c>
      <c r="F10271" s="396" t="s">
        <v>19117</v>
      </c>
    </row>
    <row r="10272">
      <c r="A10272" s="311">
        <v>10271</v>
      </c>
      <c r="B10272" s="396" t="s">
        <v>19273</v>
      </c>
      <c r="C10272" s="396" t="s">
        <v>19274</v>
      </c>
      <c r="D10272" s="396" t="s">
        <v>19251</v>
      </c>
      <c r="E10272" s="396" t="s">
        <v>19252</v>
      </c>
      <c r="F10272" s="396" t="s">
        <v>19117</v>
      </c>
    </row>
    <row r="10273">
      <c r="A10273" s="311">
        <v>10272</v>
      </c>
      <c r="B10273" s="396" t="s">
        <v>19275</v>
      </c>
      <c r="C10273" s="396" t="s">
        <v>296</v>
      </c>
      <c r="D10273" s="396" t="s">
        <v>19276</v>
      </c>
      <c r="E10273" s="396" t="s">
        <v>19277</v>
      </c>
      <c r="F10273" s="396" t="s">
        <v>19117</v>
      </c>
    </row>
    <row r="10274">
      <c r="A10274" s="311">
        <v>10273</v>
      </c>
      <c r="B10274" s="396" t="s">
        <v>19278</v>
      </c>
      <c r="C10274" s="396" t="s">
        <v>1552</v>
      </c>
      <c r="D10274" s="396" t="s">
        <v>19276</v>
      </c>
      <c r="E10274" s="396" t="s">
        <v>19277</v>
      </c>
      <c r="F10274" s="396" t="s">
        <v>19117</v>
      </c>
    </row>
    <row r="10275">
      <c r="A10275" s="311">
        <v>10274</v>
      </c>
      <c r="B10275" s="396" t="s">
        <v>19279</v>
      </c>
      <c r="C10275" s="396" t="s">
        <v>19280</v>
      </c>
      <c r="D10275" s="396" t="s">
        <v>19276</v>
      </c>
      <c r="E10275" s="396" t="s">
        <v>19277</v>
      </c>
      <c r="F10275" s="396" t="s">
        <v>19117</v>
      </c>
    </row>
    <row r="10276">
      <c r="A10276" s="311">
        <v>10275</v>
      </c>
      <c r="B10276" s="396" t="s">
        <v>19281</v>
      </c>
      <c r="C10276" s="396" t="s">
        <v>19282</v>
      </c>
      <c r="D10276" s="396" t="s">
        <v>19276</v>
      </c>
      <c r="E10276" s="396" t="s">
        <v>19277</v>
      </c>
      <c r="F10276" s="396" t="s">
        <v>19117</v>
      </c>
    </row>
    <row r="10277">
      <c r="A10277" s="311">
        <v>10276</v>
      </c>
      <c r="B10277" s="396" t="s">
        <v>19283</v>
      </c>
      <c r="C10277" s="396" t="s">
        <v>19284</v>
      </c>
      <c r="D10277" s="396" t="s">
        <v>19276</v>
      </c>
      <c r="E10277" s="396" t="s">
        <v>19277</v>
      </c>
      <c r="F10277" s="396" t="s">
        <v>19117</v>
      </c>
    </row>
    <row r="10278">
      <c r="A10278" s="311">
        <v>10277</v>
      </c>
      <c r="B10278" s="396" t="s">
        <v>19285</v>
      </c>
      <c r="C10278" s="396" t="s">
        <v>19286</v>
      </c>
      <c r="D10278" s="396" t="s">
        <v>19276</v>
      </c>
      <c r="E10278" s="396" t="s">
        <v>19277</v>
      </c>
      <c r="F10278" s="396" t="s">
        <v>19117</v>
      </c>
    </row>
    <row r="10279">
      <c r="A10279" s="311">
        <v>10278</v>
      </c>
      <c r="B10279" s="396" t="s">
        <v>19287</v>
      </c>
      <c r="C10279" s="396" t="s">
        <v>19288</v>
      </c>
      <c r="D10279" s="396" t="s">
        <v>19276</v>
      </c>
      <c r="E10279" s="396" t="s">
        <v>19277</v>
      </c>
      <c r="F10279" s="396" t="s">
        <v>19117</v>
      </c>
    </row>
    <row r="10280">
      <c r="A10280" s="311">
        <v>10279</v>
      </c>
      <c r="B10280" s="396" t="s">
        <v>19289</v>
      </c>
      <c r="C10280" s="396" t="s">
        <v>6614</v>
      </c>
      <c r="D10280" s="396" t="s">
        <v>19276</v>
      </c>
      <c r="E10280" s="396" t="s">
        <v>19277</v>
      </c>
      <c r="F10280" s="396" t="s">
        <v>19117</v>
      </c>
    </row>
    <row r="10281">
      <c r="A10281" s="311">
        <v>10280</v>
      </c>
      <c r="B10281" s="396" t="s">
        <v>19290</v>
      </c>
      <c r="C10281" s="396" t="s">
        <v>5492</v>
      </c>
      <c r="D10281" s="396" t="s">
        <v>19276</v>
      </c>
      <c r="E10281" s="396" t="s">
        <v>19277</v>
      </c>
      <c r="F10281" s="396" t="s">
        <v>19117</v>
      </c>
    </row>
    <row r="10282">
      <c r="A10282" s="311">
        <v>10281</v>
      </c>
      <c r="B10282" s="396" t="s">
        <v>19291</v>
      </c>
      <c r="C10282" s="396" t="s">
        <v>9055</v>
      </c>
      <c r="D10282" s="396" t="s">
        <v>19276</v>
      </c>
      <c r="E10282" s="396" t="s">
        <v>19277</v>
      </c>
      <c r="F10282" s="396" t="s">
        <v>19117</v>
      </c>
    </row>
    <row r="10283">
      <c r="A10283" s="311">
        <v>10282</v>
      </c>
      <c r="B10283" s="396" t="s">
        <v>19292</v>
      </c>
      <c r="C10283" s="396" t="s">
        <v>19293</v>
      </c>
      <c r="D10283" s="396" t="s">
        <v>19276</v>
      </c>
      <c r="E10283" s="396" t="s">
        <v>19277</v>
      </c>
      <c r="F10283" s="396" t="s">
        <v>19117</v>
      </c>
    </row>
    <row r="10284">
      <c r="A10284" s="311">
        <v>10283</v>
      </c>
      <c r="B10284" s="396" t="s">
        <v>19294</v>
      </c>
      <c r="C10284" s="396" t="s">
        <v>16302</v>
      </c>
      <c r="D10284" s="396" t="s">
        <v>19295</v>
      </c>
      <c r="E10284" s="396" t="s">
        <v>19296</v>
      </c>
      <c r="F10284" s="396" t="s">
        <v>19297</v>
      </c>
    </row>
    <row r="10285">
      <c r="A10285" s="311">
        <v>10284</v>
      </c>
      <c r="B10285" s="396" t="s">
        <v>19298</v>
      </c>
      <c r="C10285" s="396" t="s">
        <v>12441</v>
      </c>
      <c r="D10285" s="396" t="s">
        <v>19295</v>
      </c>
      <c r="E10285" s="396" t="s">
        <v>19296</v>
      </c>
      <c r="F10285" s="396" t="s">
        <v>19297</v>
      </c>
    </row>
    <row r="10286">
      <c r="A10286" s="311">
        <v>10285</v>
      </c>
      <c r="B10286" s="396" t="s">
        <v>19299</v>
      </c>
      <c r="C10286" s="396" t="s">
        <v>12447</v>
      </c>
      <c r="D10286" s="396" t="s">
        <v>19295</v>
      </c>
      <c r="E10286" s="396" t="s">
        <v>19296</v>
      </c>
      <c r="F10286" s="396" t="s">
        <v>19297</v>
      </c>
    </row>
    <row r="10287">
      <c r="A10287" s="311">
        <v>10286</v>
      </c>
      <c r="B10287" s="396" t="s">
        <v>19300</v>
      </c>
      <c r="C10287" s="396" t="s">
        <v>12449</v>
      </c>
      <c r="D10287" s="396" t="s">
        <v>19295</v>
      </c>
      <c r="E10287" s="396" t="s">
        <v>19296</v>
      </c>
      <c r="F10287" s="396" t="s">
        <v>19297</v>
      </c>
    </row>
    <row r="10288">
      <c r="A10288" s="311">
        <v>10287</v>
      </c>
      <c r="B10288" s="396" t="s">
        <v>19301</v>
      </c>
      <c r="C10288" s="396" t="s">
        <v>12455</v>
      </c>
      <c r="D10288" s="396" t="s">
        <v>19295</v>
      </c>
      <c r="E10288" s="396" t="s">
        <v>19296</v>
      </c>
      <c r="F10288" s="396" t="s">
        <v>19297</v>
      </c>
    </row>
    <row r="10289">
      <c r="A10289" s="311">
        <v>10288</v>
      </c>
      <c r="B10289" s="396" t="s">
        <v>19302</v>
      </c>
      <c r="C10289" s="396" t="s">
        <v>14280</v>
      </c>
      <c r="D10289" s="396" t="s">
        <v>19295</v>
      </c>
      <c r="E10289" s="396" t="s">
        <v>19296</v>
      </c>
      <c r="F10289" s="396" t="s">
        <v>19297</v>
      </c>
    </row>
    <row r="10290">
      <c r="A10290" s="311">
        <v>10289</v>
      </c>
      <c r="B10290" s="396" t="s">
        <v>19303</v>
      </c>
      <c r="C10290" s="396" t="s">
        <v>19304</v>
      </c>
      <c r="D10290" s="396" t="s">
        <v>19295</v>
      </c>
      <c r="E10290" s="396" t="s">
        <v>19296</v>
      </c>
      <c r="F10290" s="396" t="s">
        <v>19297</v>
      </c>
    </row>
    <row r="10291">
      <c r="A10291" s="311">
        <v>10290</v>
      </c>
      <c r="B10291" s="396" t="s">
        <v>19305</v>
      </c>
      <c r="C10291" s="396" t="s">
        <v>9027</v>
      </c>
      <c r="D10291" s="396" t="s">
        <v>19295</v>
      </c>
      <c r="E10291" s="396" t="s">
        <v>19296</v>
      </c>
      <c r="F10291" s="396" t="s">
        <v>19297</v>
      </c>
    </row>
    <row r="10292">
      <c r="A10292" s="311">
        <v>10291</v>
      </c>
      <c r="B10292" s="396" t="s">
        <v>19306</v>
      </c>
      <c r="C10292" s="396" t="s">
        <v>19307</v>
      </c>
      <c r="D10292" s="396" t="s">
        <v>19295</v>
      </c>
      <c r="E10292" s="396" t="s">
        <v>19296</v>
      </c>
      <c r="F10292" s="396" t="s">
        <v>19297</v>
      </c>
    </row>
    <row r="10293">
      <c r="A10293" s="311">
        <v>10292</v>
      </c>
      <c r="B10293" s="396" t="s">
        <v>19308</v>
      </c>
      <c r="C10293" s="396" t="s">
        <v>19309</v>
      </c>
      <c r="D10293" s="396" t="s">
        <v>19295</v>
      </c>
      <c r="E10293" s="396" t="s">
        <v>19296</v>
      </c>
      <c r="F10293" s="396" t="s">
        <v>19297</v>
      </c>
    </row>
    <row r="10294">
      <c r="A10294" s="311">
        <v>10293</v>
      </c>
      <c r="B10294" s="396" t="s">
        <v>19310</v>
      </c>
      <c r="C10294" s="396" t="s">
        <v>19311</v>
      </c>
      <c r="D10294" s="396" t="s">
        <v>19295</v>
      </c>
      <c r="E10294" s="396" t="s">
        <v>19296</v>
      </c>
      <c r="F10294" s="396" t="s">
        <v>19297</v>
      </c>
    </row>
    <row r="10295">
      <c r="A10295" s="311">
        <v>10294</v>
      </c>
      <c r="B10295" s="396" t="s">
        <v>19312</v>
      </c>
      <c r="C10295" s="396" t="s">
        <v>13145</v>
      </c>
      <c r="D10295" s="396" t="s">
        <v>19295</v>
      </c>
      <c r="E10295" s="396" t="s">
        <v>19296</v>
      </c>
      <c r="F10295" s="396" t="s">
        <v>19297</v>
      </c>
    </row>
    <row r="10296">
      <c r="A10296" s="311">
        <v>10295</v>
      </c>
      <c r="B10296" s="396" t="s">
        <v>19313</v>
      </c>
      <c r="C10296" s="396" t="s">
        <v>2385</v>
      </c>
      <c r="D10296" s="396" t="s">
        <v>19295</v>
      </c>
      <c r="E10296" s="396" t="s">
        <v>19296</v>
      </c>
      <c r="F10296" s="396" t="s">
        <v>19297</v>
      </c>
    </row>
    <row r="10297">
      <c r="A10297" s="311">
        <v>10296</v>
      </c>
      <c r="B10297" s="396" t="s">
        <v>19314</v>
      </c>
      <c r="C10297" s="396" t="s">
        <v>19315</v>
      </c>
      <c r="D10297" s="396" t="s">
        <v>19295</v>
      </c>
      <c r="E10297" s="396" t="s">
        <v>19296</v>
      </c>
      <c r="F10297" s="396" t="s">
        <v>19297</v>
      </c>
    </row>
    <row r="10298">
      <c r="A10298" s="311">
        <v>10297</v>
      </c>
      <c r="B10298" s="396" t="s">
        <v>19316</v>
      </c>
      <c r="C10298" s="396" t="s">
        <v>19317</v>
      </c>
      <c r="D10298" s="396" t="s">
        <v>19295</v>
      </c>
      <c r="E10298" s="396" t="s">
        <v>19296</v>
      </c>
      <c r="F10298" s="396" t="s">
        <v>19297</v>
      </c>
    </row>
    <row r="10299">
      <c r="A10299" s="311">
        <v>10298</v>
      </c>
      <c r="B10299" s="396" t="s">
        <v>19318</v>
      </c>
      <c r="C10299" s="396" t="s">
        <v>12455</v>
      </c>
      <c r="D10299" s="396" t="s">
        <v>19319</v>
      </c>
      <c r="E10299" s="396" t="s">
        <v>19320</v>
      </c>
      <c r="F10299" s="396" t="s">
        <v>19297</v>
      </c>
    </row>
    <row r="10300">
      <c r="A10300" s="311">
        <v>10299</v>
      </c>
      <c r="B10300" s="396" t="s">
        <v>19321</v>
      </c>
      <c r="C10300" s="396" t="s">
        <v>12441</v>
      </c>
      <c r="D10300" s="396" t="s">
        <v>19319</v>
      </c>
      <c r="E10300" s="396" t="s">
        <v>19320</v>
      </c>
      <c r="F10300" s="396" t="s">
        <v>19297</v>
      </c>
    </row>
    <row r="10301">
      <c r="A10301" s="311">
        <v>10300</v>
      </c>
      <c r="B10301" s="396" t="s">
        <v>19322</v>
      </c>
      <c r="C10301" s="396" t="s">
        <v>12449</v>
      </c>
      <c r="D10301" s="396" t="s">
        <v>19319</v>
      </c>
      <c r="E10301" s="396" t="s">
        <v>19320</v>
      </c>
      <c r="F10301" s="396" t="s">
        <v>19297</v>
      </c>
    </row>
    <row r="10302">
      <c r="A10302" s="311">
        <v>10301</v>
      </c>
      <c r="B10302" s="396" t="s">
        <v>19323</v>
      </c>
      <c r="C10302" s="396" t="s">
        <v>12447</v>
      </c>
      <c r="D10302" s="396" t="s">
        <v>19319</v>
      </c>
      <c r="E10302" s="396" t="s">
        <v>19320</v>
      </c>
      <c r="F10302" s="396" t="s">
        <v>19297</v>
      </c>
    </row>
    <row r="10303">
      <c r="A10303" s="311">
        <v>10302</v>
      </c>
      <c r="B10303" s="396" t="s">
        <v>19324</v>
      </c>
      <c r="C10303" s="396" t="s">
        <v>19325</v>
      </c>
      <c r="D10303" s="396" t="s">
        <v>19319</v>
      </c>
      <c r="E10303" s="396" t="s">
        <v>19320</v>
      </c>
      <c r="F10303" s="396" t="s">
        <v>19297</v>
      </c>
    </row>
    <row r="10304">
      <c r="A10304" s="311">
        <v>10303</v>
      </c>
      <c r="B10304" s="396" t="s">
        <v>19326</v>
      </c>
      <c r="C10304" s="396" t="s">
        <v>19327</v>
      </c>
      <c r="D10304" s="396" t="s">
        <v>19319</v>
      </c>
      <c r="E10304" s="396" t="s">
        <v>19320</v>
      </c>
      <c r="F10304" s="396" t="s">
        <v>19297</v>
      </c>
    </row>
    <row r="10305">
      <c r="A10305" s="311">
        <v>10304</v>
      </c>
      <c r="B10305" s="396" t="s">
        <v>19328</v>
      </c>
      <c r="C10305" s="396" t="s">
        <v>12754</v>
      </c>
      <c r="D10305" s="396" t="s">
        <v>19319</v>
      </c>
      <c r="E10305" s="396" t="s">
        <v>19320</v>
      </c>
      <c r="F10305" s="396" t="s">
        <v>19297</v>
      </c>
    </row>
    <row r="10306">
      <c r="A10306" s="311">
        <v>10305</v>
      </c>
      <c r="B10306" s="396" t="s">
        <v>19329</v>
      </c>
      <c r="C10306" s="396" t="s">
        <v>19330</v>
      </c>
      <c r="D10306" s="396" t="s">
        <v>19319</v>
      </c>
      <c r="E10306" s="396" t="s">
        <v>19320</v>
      </c>
      <c r="F10306" s="396" t="s">
        <v>19297</v>
      </c>
    </row>
    <row r="10307">
      <c r="A10307" s="311">
        <v>10306</v>
      </c>
      <c r="B10307" s="396" t="s">
        <v>19331</v>
      </c>
      <c r="C10307" s="396" t="s">
        <v>19332</v>
      </c>
      <c r="D10307" s="396" t="s">
        <v>19319</v>
      </c>
      <c r="E10307" s="396" t="s">
        <v>19320</v>
      </c>
      <c r="F10307" s="396" t="s">
        <v>19297</v>
      </c>
    </row>
    <row r="10308">
      <c r="A10308" s="311">
        <v>10307</v>
      </c>
      <c r="B10308" s="396" t="s">
        <v>19333</v>
      </c>
      <c r="C10308" s="396" t="s">
        <v>16596</v>
      </c>
      <c r="D10308" s="396" t="s">
        <v>19334</v>
      </c>
      <c r="E10308" s="396" t="s">
        <v>19335</v>
      </c>
      <c r="F10308" s="396" t="s">
        <v>19297</v>
      </c>
    </row>
    <row r="10309">
      <c r="A10309" s="311">
        <v>10308</v>
      </c>
      <c r="B10309" s="396" t="s">
        <v>19336</v>
      </c>
      <c r="C10309" s="396" t="s">
        <v>17062</v>
      </c>
      <c r="D10309" s="396" t="s">
        <v>19334</v>
      </c>
      <c r="E10309" s="396" t="s">
        <v>19335</v>
      </c>
      <c r="F10309" s="396" t="s">
        <v>19297</v>
      </c>
    </row>
    <row r="10310">
      <c r="A10310" s="311">
        <v>10309</v>
      </c>
      <c r="B10310" s="396" t="s">
        <v>19337</v>
      </c>
      <c r="C10310" s="396" t="s">
        <v>13660</v>
      </c>
      <c r="D10310" s="396" t="s">
        <v>19334</v>
      </c>
      <c r="E10310" s="396" t="s">
        <v>19335</v>
      </c>
      <c r="F10310" s="396" t="s">
        <v>19297</v>
      </c>
    </row>
    <row r="10311">
      <c r="A10311" s="311">
        <v>10310</v>
      </c>
      <c r="B10311" s="396" t="s">
        <v>19338</v>
      </c>
      <c r="C10311" s="396" t="s">
        <v>750</v>
      </c>
      <c r="D10311" s="396" t="s">
        <v>19334</v>
      </c>
      <c r="E10311" s="396" t="s">
        <v>19335</v>
      </c>
      <c r="F10311" s="396" t="s">
        <v>19297</v>
      </c>
    </row>
    <row r="10312">
      <c r="A10312" s="311">
        <v>10311</v>
      </c>
      <c r="B10312" s="396" t="s">
        <v>19339</v>
      </c>
      <c r="C10312" s="396" t="s">
        <v>15810</v>
      </c>
      <c r="D10312" s="396" t="s">
        <v>19334</v>
      </c>
      <c r="E10312" s="396" t="s">
        <v>19335</v>
      </c>
      <c r="F10312" s="396" t="s">
        <v>19297</v>
      </c>
    </row>
    <row r="10313">
      <c r="A10313" s="311">
        <v>10312</v>
      </c>
      <c r="B10313" s="396" t="s">
        <v>19340</v>
      </c>
      <c r="C10313" s="396" t="s">
        <v>19341</v>
      </c>
      <c r="D10313" s="396" t="s">
        <v>19334</v>
      </c>
      <c r="E10313" s="396" t="s">
        <v>19335</v>
      </c>
      <c r="F10313" s="396" t="s">
        <v>19297</v>
      </c>
    </row>
    <row r="10314">
      <c r="A10314" s="311">
        <v>10313</v>
      </c>
      <c r="B10314" s="396" t="s">
        <v>19342</v>
      </c>
      <c r="C10314" s="396" t="s">
        <v>19343</v>
      </c>
      <c r="D10314" s="396" t="s">
        <v>19334</v>
      </c>
      <c r="E10314" s="396" t="s">
        <v>19335</v>
      </c>
      <c r="F10314" s="396" t="s">
        <v>19297</v>
      </c>
    </row>
    <row r="10315">
      <c r="A10315" s="311">
        <v>10314</v>
      </c>
      <c r="B10315" s="396" t="s">
        <v>19344</v>
      </c>
      <c r="C10315" s="396" t="s">
        <v>19345</v>
      </c>
      <c r="D10315" s="396" t="s">
        <v>19346</v>
      </c>
      <c r="E10315" s="396" t="s">
        <v>19347</v>
      </c>
      <c r="F10315" s="396" t="s">
        <v>19297</v>
      </c>
    </row>
    <row r="10316">
      <c r="A10316" s="311">
        <v>10315</v>
      </c>
      <c r="B10316" s="396" t="s">
        <v>19348</v>
      </c>
      <c r="C10316" s="396" t="s">
        <v>19349</v>
      </c>
      <c r="D10316" s="396" t="s">
        <v>19346</v>
      </c>
      <c r="E10316" s="396" t="s">
        <v>19347</v>
      </c>
      <c r="F10316" s="396" t="s">
        <v>19297</v>
      </c>
    </row>
    <row r="10317">
      <c r="A10317" s="311">
        <v>10316</v>
      </c>
      <c r="B10317" s="396" t="s">
        <v>19350</v>
      </c>
      <c r="C10317" s="396" t="s">
        <v>19351</v>
      </c>
      <c r="D10317" s="396" t="s">
        <v>19346</v>
      </c>
      <c r="E10317" s="396" t="s">
        <v>19347</v>
      </c>
      <c r="F10317" s="396" t="s">
        <v>19297</v>
      </c>
    </row>
    <row r="10318">
      <c r="A10318" s="311">
        <v>10317</v>
      </c>
      <c r="B10318" s="396" t="s">
        <v>19352</v>
      </c>
      <c r="C10318" s="396" t="s">
        <v>886</v>
      </c>
      <c r="D10318" s="396" t="s">
        <v>19346</v>
      </c>
      <c r="E10318" s="396" t="s">
        <v>19347</v>
      </c>
      <c r="F10318" s="396" t="s">
        <v>19297</v>
      </c>
    </row>
    <row r="10319">
      <c r="A10319" s="311">
        <v>10318</v>
      </c>
      <c r="B10319" s="396" t="s">
        <v>19353</v>
      </c>
      <c r="C10319" s="396" t="s">
        <v>19354</v>
      </c>
      <c r="D10319" s="396" t="s">
        <v>19346</v>
      </c>
      <c r="E10319" s="396" t="s">
        <v>19347</v>
      </c>
      <c r="F10319" s="396" t="s">
        <v>19297</v>
      </c>
    </row>
    <row r="10320">
      <c r="A10320" s="311">
        <v>10319</v>
      </c>
      <c r="B10320" s="396" t="s">
        <v>19355</v>
      </c>
      <c r="C10320" s="396" t="s">
        <v>19356</v>
      </c>
      <c r="D10320" s="396" t="s">
        <v>19346</v>
      </c>
      <c r="E10320" s="396" t="s">
        <v>19347</v>
      </c>
      <c r="F10320" s="396" t="s">
        <v>19297</v>
      </c>
    </row>
    <row r="10321">
      <c r="A10321" s="311">
        <v>10320</v>
      </c>
      <c r="B10321" s="396" t="s">
        <v>19357</v>
      </c>
      <c r="C10321" s="396" t="s">
        <v>14931</v>
      </c>
      <c r="D10321" s="396" t="s">
        <v>19346</v>
      </c>
      <c r="E10321" s="396" t="s">
        <v>19347</v>
      </c>
      <c r="F10321" s="396" t="s">
        <v>19297</v>
      </c>
    </row>
    <row r="10322">
      <c r="A10322" s="311">
        <v>10321</v>
      </c>
      <c r="B10322" s="396" t="s">
        <v>19358</v>
      </c>
      <c r="C10322" s="396" t="s">
        <v>19359</v>
      </c>
      <c r="D10322" s="396" t="s">
        <v>19346</v>
      </c>
      <c r="E10322" s="396" t="s">
        <v>19347</v>
      </c>
      <c r="F10322" s="396" t="s">
        <v>19297</v>
      </c>
    </row>
    <row r="10323">
      <c r="A10323" s="311">
        <v>10322</v>
      </c>
      <c r="B10323" s="396" t="s">
        <v>19360</v>
      </c>
      <c r="C10323" s="396" t="s">
        <v>17322</v>
      </c>
      <c r="D10323" s="396" t="s">
        <v>19346</v>
      </c>
      <c r="E10323" s="396" t="s">
        <v>19347</v>
      </c>
      <c r="F10323" s="396" t="s">
        <v>19297</v>
      </c>
    </row>
    <row r="10324">
      <c r="A10324" s="311">
        <v>10323</v>
      </c>
      <c r="B10324" s="396" t="s">
        <v>19361</v>
      </c>
      <c r="C10324" s="396" t="s">
        <v>19362</v>
      </c>
      <c r="D10324" s="396" t="s">
        <v>19363</v>
      </c>
      <c r="E10324" s="396" t="s">
        <v>19364</v>
      </c>
      <c r="F10324" s="396" t="s">
        <v>19297</v>
      </c>
    </row>
    <row r="10325">
      <c r="A10325" s="311">
        <v>10324</v>
      </c>
      <c r="B10325" s="396" t="s">
        <v>19365</v>
      </c>
      <c r="C10325" s="396" t="s">
        <v>19366</v>
      </c>
      <c r="D10325" s="396" t="s">
        <v>19363</v>
      </c>
      <c r="E10325" s="396" t="s">
        <v>19364</v>
      </c>
      <c r="F10325" s="396" t="s">
        <v>19297</v>
      </c>
    </row>
    <row r="10326">
      <c r="A10326" s="311">
        <v>10325</v>
      </c>
      <c r="B10326" s="396" t="s">
        <v>19367</v>
      </c>
      <c r="C10326" s="396" t="s">
        <v>19368</v>
      </c>
      <c r="D10326" s="396" t="s">
        <v>19363</v>
      </c>
      <c r="E10326" s="396" t="s">
        <v>19364</v>
      </c>
      <c r="F10326" s="396" t="s">
        <v>19297</v>
      </c>
    </row>
    <row r="10327">
      <c r="A10327" s="311">
        <v>10326</v>
      </c>
      <c r="B10327" s="396" t="s">
        <v>19369</v>
      </c>
      <c r="C10327" s="396" t="s">
        <v>19370</v>
      </c>
      <c r="D10327" s="396" t="s">
        <v>19363</v>
      </c>
      <c r="E10327" s="396" t="s">
        <v>19364</v>
      </c>
      <c r="F10327" s="396" t="s">
        <v>19297</v>
      </c>
    </row>
    <row r="10328">
      <c r="A10328" s="311">
        <v>10327</v>
      </c>
      <c r="B10328" s="396" t="s">
        <v>19371</v>
      </c>
      <c r="C10328" s="396" t="s">
        <v>19372</v>
      </c>
      <c r="D10328" s="396" t="s">
        <v>19363</v>
      </c>
      <c r="E10328" s="396" t="s">
        <v>19364</v>
      </c>
      <c r="F10328" s="396" t="s">
        <v>19297</v>
      </c>
    </row>
    <row r="10329">
      <c r="A10329" s="311">
        <v>10328</v>
      </c>
      <c r="B10329" s="396" t="s">
        <v>19373</v>
      </c>
      <c r="C10329" s="396" t="s">
        <v>19374</v>
      </c>
      <c r="D10329" s="396" t="s">
        <v>19363</v>
      </c>
      <c r="E10329" s="396" t="s">
        <v>19364</v>
      </c>
      <c r="F10329" s="396" t="s">
        <v>19297</v>
      </c>
    </row>
    <row r="10330">
      <c r="A10330" s="311">
        <v>10329</v>
      </c>
      <c r="B10330" s="396" t="s">
        <v>19375</v>
      </c>
      <c r="C10330" s="396" t="s">
        <v>19376</v>
      </c>
      <c r="D10330" s="396" t="s">
        <v>19363</v>
      </c>
      <c r="E10330" s="396" t="s">
        <v>19364</v>
      </c>
      <c r="F10330" s="396" t="s">
        <v>19297</v>
      </c>
    </row>
    <row r="10331">
      <c r="A10331" s="311">
        <v>10330</v>
      </c>
      <c r="B10331" s="396" t="s">
        <v>19377</v>
      </c>
      <c r="C10331" s="396" t="s">
        <v>19378</v>
      </c>
      <c r="D10331" s="396" t="s">
        <v>19363</v>
      </c>
      <c r="E10331" s="396" t="s">
        <v>19364</v>
      </c>
      <c r="F10331" s="396" t="s">
        <v>19297</v>
      </c>
    </row>
    <row r="10332">
      <c r="A10332" s="311">
        <v>10331</v>
      </c>
      <c r="B10332" s="396" t="s">
        <v>19379</v>
      </c>
      <c r="C10332" s="396" t="s">
        <v>16902</v>
      </c>
      <c r="D10332" s="396" t="s">
        <v>19363</v>
      </c>
      <c r="E10332" s="396" t="s">
        <v>19364</v>
      </c>
      <c r="F10332" s="396" t="s">
        <v>19297</v>
      </c>
    </row>
    <row r="10333">
      <c r="A10333" s="311">
        <v>10332</v>
      </c>
      <c r="B10333" s="396" t="s">
        <v>19380</v>
      </c>
      <c r="C10333" s="396" t="s">
        <v>19381</v>
      </c>
      <c r="D10333" s="396" t="s">
        <v>19363</v>
      </c>
      <c r="E10333" s="396" t="s">
        <v>19364</v>
      </c>
      <c r="F10333" s="396" t="s">
        <v>19297</v>
      </c>
    </row>
    <row r="10334">
      <c r="A10334" s="311">
        <v>10333</v>
      </c>
      <c r="B10334" s="396" t="s">
        <v>19382</v>
      </c>
      <c r="C10334" s="396" t="s">
        <v>19383</v>
      </c>
      <c r="D10334" s="396" t="s">
        <v>19363</v>
      </c>
      <c r="E10334" s="396" t="s">
        <v>19364</v>
      </c>
      <c r="F10334" s="396" t="s">
        <v>19297</v>
      </c>
    </row>
    <row r="10335">
      <c r="A10335" s="311">
        <v>10334</v>
      </c>
      <c r="B10335" s="396" t="s">
        <v>19384</v>
      </c>
      <c r="C10335" s="396" t="s">
        <v>19385</v>
      </c>
      <c r="D10335" s="396" t="s">
        <v>19386</v>
      </c>
      <c r="E10335" s="396" t="s">
        <v>6466</v>
      </c>
      <c r="F10335" s="396" t="s">
        <v>19297</v>
      </c>
    </row>
    <row r="10336">
      <c r="A10336" s="311">
        <v>10335</v>
      </c>
      <c r="B10336" s="396" t="s">
        <v>19387</v>
      </c>
      <c r="C10336" s="396" t="s">
        <v>1014</v>
      </c>
      <c r="D10336" s="396" t="s">
        <v>19386</v>
      </c>
      <c r="E10336" s="396" t="s">
        <v>6466</v>
      </c>
      <c r="F10336" s="396" t="s">
        <v>19297</v>
      </c>
    </row>
    <row r="10337">
      <c r="A10337" s="311">
        <v>10336</v>
      </c>
      <c r="B10337" s="396" t="s">
        <v>19388</v>
      </c>
      <c r="C10337" s="396" t="s">
        <v>19389</v>
      </c>
      <c r="D10337" s="396" t="s">
        <v>19386</v>
      </c>
      <c r="E10337" s="396" t="s">
        <v>6466</v>
      </c>
      <c r="F10337" s="396" t="s">
        <v>19297</v>
      </c>
    </row>
    <row r="10338">
      <c r="A10338" s="311">
        <v>10337</v>
      </c>
      <c r="B10338" s="396" t="s">
        <v>19390</v>
      </c>
      <c r="C10338" s="396" t="s">
        <v>19391</v>
      </c>
      <c r="D10338" s="396" t="s">
        <v>19386</v>
      </c>
      <c r="E10338" s="396" t="s">
        <v>6466</v>
      </c>
      <c r="F10338" s="396" t="s">
        <v>19297</v>
      </c>
    </row>
    <row r="10339">
      <c r="A10339" s="311">
        <v>10338</v>
      </c>
      <c r="B10339" s="396" t="s">
        <v>19392</v>
      </c>
      <c r="C10339" s="396" t="s">
        <v>18711</v>
      </c>
      <c r="D10339" s="396" t="s">
        <v>19386</v>
      </c>
      <c r="E10339" s="396" t="s">
        <v>6466</v>
      </c>
      <c r="F10339" s="396" t="s">
        <v>19297</v>
      </c>
    </row>
    <row r="10340">
      <c r="A10340" s="311">
        <v>10339</v>
      </c>
      <c r="B10340" s="396" t="s">
        <v>19393</v>
      </c>
      <c r="C10340" s="396" t="s">
        <v>19394</v>
      </c>
      <c r="D10340" s="396" t="s">
        <v>19386</v>
      </c>
      <c r="E10340" s="396" t="s">
        <v>6466</v>
      </c>
      <c r="F10340" s="396" t="s">
        <v>19297</v>
      </c>
    </row>
    <row r="10341">
      <c r="A10341" s="311">
        <v>10340</v>
      </c>
      <c r="B10341" s="396" t="s">
        <v>19395</v>
      </c>
      <c r="C10341" s="396" t="s">
        <v>6720</v>
      </c>
      <c r="D10341" s="396" t="s">
        <v>19386</v>
      </c>
      <c r="E10341" s="396" t="s">
        <v>6466</v>
      </c>
      <c r="F10341" s="396" t="s">
        <v>19297</v>
      </c>
    </row>
    <row r="10342">
      <c r="A10342" s="311">
        <v>10341</v>
      </c>
      <c r="B10342" s="396" t="s">
        <v>19396</v>
      </c>
      <c r="C10342" s="396" t="s">
        <v>17015</v>
      </c>
      <c r="D10342" s="396" t="s">
        <v>19386</v>
      </c>
      <c r="E10342" s="396" t="s">
        <v>6466</v>
      </c>
      <c r="F10342" s="396" t="s">
        <v>19297</v>
      </c>
    </row>
    <row r="10343">
      <c r="A10343" s="311">
        <v>10342</v>
      </c>
      <c r="B10343" s="396" t="s">
        <v>19397</v>
      </c>
      <c r="C10343" s="396" t="s">
        <v>328</v>
      </c>
      <c r="D10343" s="396" t="s">
        <v>19386</v>
      </c>
      <c r="E10343" s="396" t="s">
        <v>6466</v>
      </c>
      <c r="F10343" s="396" t="s">
        <v>19297</v>
      </c>
    </row>
    <row r="10344">
      <c r="A10344" s="311">
        <v>10343</v>
      </c>
      <c r="B10344" s="396" t="s">
        <v>19398</v>
      </c>
      <c r="C10344" s="396" t="s">
        <v>19399</v>
      </c>
      <c r="D10344" s="396" t="s">
        <v>19386</v>
      </c>
      <c r="E10344" s="396" t="s">
        <v>6466</v>
      </c>
      <c r="F10344" s="396" t="s">
        <v>19297</v>
      </c>
    </row>
    <row r="10345">
      <c r="A10345" s="311">
        <v>10344</v>
      </c>
      <c r="B10345" s="396" t="s">
        <v>19400</v>
      </c>
      <c r="C10345" s="396" t="s">
        <v>13338</v>
      </c>
      <c r="D10345" s="396" t="s">
        <v>19386</v>
      </c>
      <c r="E10345" s="396" t="s">
        <v>6466</v>
      </c>
      <c r="F10345" s="396" t="s">
        <v>19297</v>
      </c>
    </row>
    <row r="10346">
      <c r="A10346" s="311">
        <v>10345</v>
      </c>
      <c r="B10346" s="396" t="s">
        <v>19401</v>
      </c>
      <c r="C10346" s="396" t="s">
        <v>19402</v>
      </c>
      <c r="D10346" s="396" t="s">
        <v>19386</v>
      </c>
      <c r="E10346" s="396" t="s">
        <v>6466</v>
      </c>
      <c r="F10346" s="396" t="s">
        <v>19297</v>
      </c>
    </row>
    <row r="10347">
      <c r="A10347" s="311">
        <v>10346</v>
      </c>
      <c r="B10347" s="396" t="s">
        <v>19403</v>
      </c>
      <c r="C10347" s="396" t="s">
        <v>19404</v>
      </c>
      <c r="D10347" s="396" t="s">
        <v>19405</v>
      </c>
      <c r="E10347" s="396" t="s">
        <v>19406</v>
      </c>
      <c r="F10347" s="396" t="s">
        <v>19297</v>
      </c>
    </row>
    <row r="10348">
      <c r="A10348" s="311">
        <v>10347</v>
      </c>
      <c r="B10348" s="396" t="s">
        <v>19407</v>
      </c>
      <c r="C10348" s="396" t="s">
        <v>18243</v>
      </c>
      <c r="D10348" s="396" t="s">
        <v>19405</v>
      </c>
      <c r="E10348" s="396" t="s">
        <v>19406</v>
      </c>
      <c r="F10348" s="396" t="s">
        <v>19297</v>
      </c>
    </row>
    <row r="10349">
      <c r="A10349" s="311">
        <v>10348</v>
      </c>
      <c r="B10349" s="396" t="s">
        <v>19408</v>
      </c>
      <c r="C10349" s="396" t="s">
        <v>18090</v>
      </c>
      <c r="D10349" s="396" t="s">
        <v>19405</v>
      </c>
      <c r="E10349" s="396" t="s">
        <v>19406</v>
      </c>
      <c r="F10349" s="396" t="s">
        <v>19297</v>
      </c>
    </row>
    <row r="10350">
      <c r="A10350" s="311">
        <v>10349</v>
      </c>
      <c r="B10350" s="396" t="s">
        <v>19409</v>
      </c>
      <c r="C10350" s="396" t="s">
        <v>12350</v>
      </c>
      <c r="D10350" s="396" t="s">
        <v>19405</v>
      </c>
      <c r="E10350" s="396" t="s">
        <v>19406</v>
      </c>
      <c r="F10350" s="396" t="s">
        <v>19297</v>
      </c>
    </row>
    <row r="10351">
      <c r="A10351" s="311">
        <v>10350</v>
      </c>
      <c r="B10351" s="396" t="s">
        <v>19410</v>
      </c>
      <c r="C10351" s="396" t="s">
        <v>19411</v>
      </c>
      <c r="D10351" s="396" t="s">
        <v>19405</v>
      </c>
      <c r="E10351" s="396" t="s">
        <v>19406</v>
      </c>
      <c r="F10351" s="396" t="s">
        <v>19297</v>
      </c>
    </row>
    <row r="10352">
      <c r="A10352" s="311">
        <v>10351</v>
      </c>
      <c r="B10352" s="396" t="s">
        <v>19412</v>
      </c>
      <c r="C10352" s="396" t="s">
        <v>4376</v>
      </c>
      <c r="D10352" s="396" t="s">
        <v>19405</v>
      </c>
      <c r="E10352" s="396" t="s">
        <v>19406</v>
      </c>
      <c r="F10352" s="396" t="s">
        <v>19297</v>
      </c>
    </row>
    <row r="10353">
      <c r="A10353" s="311">
        <v>10352</v>
      </c>
      <c r="B10353" s="396" t="s">
        <v>19413</v>
      </c>
      <c r="C10353" s="396" t="s">
        <v>19414</v>
      </c>
      <c r="D10353" s="396" t="s">
        <v>19405</v>
      </c>
      <c r="E10353" s="396" t="s">
        <v>19406</v>
      </c>
      <c r="F10353" s="396" t="s">
        <v>19297</v>
      </c>
    </row>
    <row r="10354">
      <c r="A10354" s="311">
        <v>10353</v>
      </c>
      <c r="B10354" s="396" t="s">
        <v>19415</v>
      </c>
      <c r="C10354" s="396" t="s">
        <v>19416</v>
      </c>
      <c r="D10354" s="396" t="s">
        <v>19405</v>
      </c>
      <c r="E10354" s="396" t="s">
        <v>19406</v>
      </c>
      <c r="F10354" s="396" t="s">
        <v>19297</v>
      </c>
    </row>
    <row r="10355">
      <c r="A10355" s="311">
        <v>10354</v>
      </c>
      <c r="B10355" s="396" t="s">
        <v>19417</v>
      </c>
      <c r="C10355" s="396" t="s">
        <v>19418</v>
      </c>
      <c r="D10355" s="396" t="s">
        <v>19405</v>
      </c>
      <c r="E10355" s="396" t="s">
        <v>19406</v>
      </c>
      <c r="F10355" s="396" t="s">
        <v>19297</v>
      </c>
    </row>
    <row r="10356">
      <c r="A10356" s="311">
        <v>10355</v>
      </c>
      <c r="B10356" s="396" t="s">
        <v>19419</v>
      </c>
      <c r="C10356" s="396" t="s">
        <v>5928</v>
      </c>
      <c r="D10356" s="396" t="s">
        <v>19405</v>
      </c>
      <c r="E10356" s="396" t="s">
        <v>19406</v>
      </c>
      <c r="F10356" s="396" t="s">
        <v>19297</v>
      </c>
    </row>
    <row r="10357">
      <c r="A10357" s="311">
        <v>10356</v>
      </c>
      <c r="B10357" s="396" t="s">
        <v>19420</v>
      </c>
      <c r="C10357" s="396" t="s">
        <v>7231</v>
      </c>
      <c r="D10357" s="396" t="s">
        <v>19405</v>
      </c>
      <c r="E10357" s="396" t="s">
        <v>19406</v>
      </c>
      <c r="F10357" s="396" t="s">
        <v>19297</v>
      </c>
    </row>
    <row r="10358">
      <c r="A10358" s="311">
        <v>10357</v>
      </c>
      <c r="B10358" s="396" t="s">
        <v>19421</v>
      </c>
      <c r="C10358" s="396" t="s">
        <v>19422</v>
      </c>
      <c r="D10358" s="396" t="s">
        <v>19405</v>
      </c>
      <c r="E10358" s="396" t="s">
        <v>19406</v>
      </c>
      <c r="F10358" s="396" t="s">
        <v>19297</v>
      </c>
    </row>
    <row r="10359">
      <c r="A10359" s="311">
        <v>10358</v>
      </c>
      <c r="B10359" s="396" t="s">
        <v>19423</v>
      </c>
      <c r="C10359" s="396" t="s">
        <v>609</v>
      </c>
      <c r="D10359" s="396" t="s">
        <v>19405</v>
      </c>
      <c r="E10359" s="396" t="s">
        <v>19406</v>
      </c>
      <c r="F10359" s="396" t="s">
        <v>19297</v>
      </c>
    </row>
    <row r="10360">
      <c r="A10360" s="311">
        <v>10359</v>
      </c>
      <c r="B10360" s="396" t="s">
        <v>19424</v>
      </c>
      <c r="C10360" s="396" t="s">
        <v>19425</v>
      </c>
      <c r="D10360" s="396" t="s">
        <v>19426</v>
      </c>
      <c r="E10360" s="396" t="s">
        <v>19427</v>
      </c>
      <c r="F10360" s="396" t="s">
        <v>19297</v>
      </c>
    </row>
    <row r="10361">
      <c r="A10361" s="311">
        <v>10360</v>
      </c>
      <c r="B10361" s="396" t="s">
        <v>19428</v>
      </c>
      <c r="C10361" s="396" t="s">
        <v>19429</v>
      </c>
      <c r="D10361" s="396" t="s">
        <v>19426</v>
      </c>
      <c r="E10361" s="396" t="s">
        <v>19427</v>
      </c>
      <c r="F10361" s="396" t="s">
        <v>19297</v>
      </c>
    </row>
    <row r="10362">
      <c r="A10362" s="311">
        <v>10361</v>
      </c>
      <c r="B10362" s="396" t="s">
        <v>19430</v>
      </c>
      <c r="C10362" s="396" t="s">
        <v>6483</v>
      </c>
      <c r="D10362" s="396" t="s">
        <v>19426</v>
      </c>
      <c r="E10362" s="396" t="s">
        <v>19427</v>
      </c>
      <c r="F10362" s="396" t="s">
        <v>19297</v>
      </c>
    </row>
    <row r="10363">
      <c r="A10363" s="311">
        <v>10362</v>
      </c>
      <c r="B10363" s="396" t="s">
        <v>19431</v>
      </c>
      <c r="C10363" s="396" t="s">
        <v>19432</v>
      </c>
      <c r="D10363" s="396" t="s">
        <v>19426</v>
      </c>
      <c r="E10363" s="396" t="s">
        <v>19427</v>
      </c>
      <c r="F10363" s="396" t="s">
        <v>19297</v>
      </c>
    </row>
    <row r="10364">
      <c r="A10364" s="311">
        <v>10363</v>
      </c>
      <c r="B10364" s="396" t="s">
        <v>19433</v>
      </c>
      <c r="C10364" s="396" t="s">
        <v>12794</v>
      </c>
      <c r="D10364" s="396" t="s">
        <v>19426</v>
      </c>
      <c r="E10364" s="396" t="s">
        <v>19427</v>
      </c>
      <c r="F10364" s="396" t="s">
        <v>19297</v>
      </c>
    </row>
    <row r="10365">
      <c r="A10365" s="311">
        <v>10364</v>
      </c>
      <c r="B10365" s="396" t="s">
        <v>19434</v>
      </c>
      <c r="C10365" s="396" t="s">
        <v>16445</v>
      </c>
      <c r="D10365" s="396" t="s">
        <v>19426</v>
      </c>
      <c r="E10365" s="396" t="s">
        <v>19427</v>
      </c>
      <c r="F10365" s="396" t="s">
        <v>19297</v>
      </c>
    </row>
    <row r="10366">
      <c r="A10366" s="311">
        <v>10365</v>
      </c>
      <c r="B10366" s="396" t="s">
        <v>19435</v>
      </c>
      <c r="C10366" s="396" t="s">
        <v>19436</v>
      </c>
      <c r="D10366" s="396" t="s">
        <v>19426</v>
      </c>
      <c r="E10366" s="396" t="s">
        <v>19427</v>
      </c>
      <c r="F10366" s="396" t="s">
        <v>19297</v>
      </c>
    </row>
    <row r="10367">
      <c r="A10367" s="311">
        <v>10366</v>
      </c>
      <c r="B10367" s="396" t="s">
        <v>19437</v>
      </c>
      <c r="C10367" s="396" t="s">
        <v>19438</v>
      </c>
      <c r="D10367" s="396" t="s">
        <v>19426</v>
      </c>
      <c r="E10367" s="396" t="s">
        <v>19427</v>
      </c>
      <c r="F10367" s="396" t="s">
        <v>19297</v>
      </c>
    </row>
    <row r="10368">
      <c r="A10368" s="311">
        <v>10367</v>
      </c>
      <c r="B10368" s="396" t="s">
        <v>19439</v>
      </c>
      <c r="C10368" s="396" t="s">
        <v>8919</v>
      </c>
      <c r="D10368" s="396" t="s">
        <v>19426</v>
      </c>
      <c r="E10368" s="396" t="s">
        <v>19427</v>
      </c>
      <c r="F10368" s="396" t="s">
        <v>19297</v>
      </c>
    </row>
    <row r="10369">
      <c r="A10369" s="311">
        <v>10368</v>
      </c>
      <c r="B10369" s="396" t="s">
        <v>19440</v>
      </c>
      <c r="C10369" s="396" t="s">
        <v>19441</v>
      </c>
      <c r="D10369" s="396" t="s">
        <v>19426</v>
      </c>
      <c r="E10369" s="396" t="s">
        <v>19427</v>
      </c>
      <c r="F10369" s="396" t="s">
        <v>19297</v>
      </c>
    </row>
    <row r="10370">
      <c r="A10370" s="311">
        <v>10369</v>
      </c>
      <c r="B10370" s="396" t="s">
        <v>19442</v>
      </c>
      <c r="C10370" s="396" t="s">
        <v>3923</v>
      </c>
      <c r="D10370" s="396" t="s">
        <v>19426</v>
      </c>
      <c r="E10370" s="396" t="s">
        <v>19427</v>
      </c>
      <c r="F10370" s="396" t="s">
        <v>19297</v>
      </c>
    </row>
    <row r="10371">
      <c r="A10371" s="311">
        <v>10370</v>
      </c>
      <c r="B10371" s="396" t="s">
        <v>19443</v>
      </c>
      <c r="C10371" s="396" t="s">
        <v>18498</v>
      </c>
      <c r="D10371" s="396" t="s">
        <v>19426</v>
      </c>
      <c r="E10371" s="396" t="s">
        <v>19427</v>
      </c>
      <c r="F10371" s="396" t="s">
        <v>19297</v>
      </c>
    </row>
    <row r="10372">
      <c r="A10372" s="311">
        <v>10371</v>
      </c>
      <c r="B10372" s="396" t="s">
        <v>19444</v>
      </c>
      <c r="C10372" s="396" t="s">
        <v>14110</v>
      </c>
      <c r="D10372" s="396" t="s">
        <v>19426</v>
      </c>
      <c r="E10372" s="396" t="s">
        <v>19427</v>
      </c>
      <c r="F10372" s="396" t="s">
        <v>19297</v>
      </c>
    </row>
    <row r="10373">
      <c r="A10373" s="311">
        <v>10372</v>
      </c>
      <c r="B10373" s="396" t="s">
        <v>19445</v>
      </c>
      <c r="C10373" s="396" t="s">
        <v>18536</v>
      </c>
      <c r="D10373" s="396" t="s">
        <v>19426</v>
      </c>
      <c r="E10373" s="396" t="s">
        <v>19427</v>
      </c>
      <c r="F10373" s="396" t="s">
        <v>19297</v>
      </c>
    </row>
    <row r="10374">
      <c r="A10374" s="311">
        <v>10373</v>
      </c>
      <c r="B10374" s="396" t="s">
        <v>19446</v>
      </c>
      <c r="C10374" s="396" t="s">
        <v>19447</v>
      </c>
      <c r="D10374" s="396" t="s">
        <v>19426</v>
      </c>
      <c r="E10374" s="396" t="s">
        <v>19427</v>
      </c>
      <c r="F10374" s="396" t="s">
        <v>19297</v>
      </c>
    </row>
    <row r="10375">
      <c r="A10375" s="311">
        <v>10374</v>
      </c>
      <c r="B10375" s="396" t="s">
        <v>19448</v>
      </c>
      <c r="C10375" s="396" t="s">
        <v>19449</v>
      </c>
      <c r="D10375" s="396" t="s">
        <v>19426</v>
      </c>
      <c r="E10375" s="396" t="s">
        <v>19427</v>
      </c>
      <c r="F10375" s="396" t="s">
        <v>19297</v>
      </c>
    </row>
    <row r="10376">
      <c r="A10376" s="311">
        <v>10375</v>
      </c>
      <c r="B10376" s="396" t="s">
        <v>19450</v>
      </c>
      <c r="C10376" s="396" t="s">
        <v>19451</v>
      </c>
      <c r="D10376" s="396" t="s">
        <v>19426</v>
      </c>
      <c r="E10376" s="396" t="s">
        <v>19427</v>
      </c>
      <c r="F10376" s="396" t="s">
        <v>19297</v>
      </c>
    </row>
    <row r="10377">
      <c r="A10377" s="311">
        <v>10376</v>
      </c>
      <c r="B10377" s="396" t="s">
        <v>19452</v>
      </c>
      <c r="C10377" s="396" t="s">
        <v>13660</v>
      </c>
      <c r="D10377" s="396" t="s">
        <v>19426</v>
      </c>
      <c r="E10377" s="396" t="s">
        <v>19427</v>
      </c>
      <c r="F10377" s="396" t="s">
        <v>19297</v>
      </c>
    </row>
    <row r="10378">
      <c r="A10378" s="311">
        <v>10377</v>
      </c>
      <c r="B10378" s="396" t="s">
        <v>19453</v>
      </c>
      <c r="C10378" s="396" t="s">
        <v>16646</v>
      </c>
      <c r="D10378" s="396" t="s">
        <v>19454</v>
      </c>
      <c r="E10378" s="396" t="s">
        <v>19455</v>
      </c>
      <c r="F10378" s="396" t="s">
        <v>19297</v>
      </c>
    </row>
    <row r="10379">
      <c r="A10379" s="311">
        <v>10378</v>
      </c>
      <c r="B10379" s="396" t="s">
        <v>19456</v>
      </c>
      <c r="C10379" s="396" t="s">
        <v>19293</v>
      </c>
      <c r="D10379" s="396" t="s">
        <v>19454</v>
      </c>
      <c r="E10379" s="396" t="s">
        <v>19455</v>
      </c>
      <c r="F10379" s="396" t="s">
        <v>19297</v>
      </c>
    </row>
    <row r="10380">
      <c r="A10380" s="311">
        <v>10379</v>
      </c>
      <c r="B10380" s="396" t="s">
        <v>19457</v>
      </c>
      <c r="C10380" s="396" t="s">
        <v>838</v>
      </c>
      <c r="D10380" s="396" t="s">
        <v>19454</v>
      </c>
      <c r="E10380" s="396" t="s">
        <v>19455</v>
      </c>
      <c r="F10380" s="396" t="s">
        <v>19297</v>
      </c>
    </row>
    <row r="10381">
      <c r="A10381" s="311">
        <v>10380</v>
      </c>
      <c r="B10381" s="396" t="s">
        <v>19458</v>
      </c>
      <c r="C10381" s="396" t="s">
        <v>19459</v>
      </c>
      <c r="D10381" s="396" t="s">
        <v>19454</v>
      </c>
      <c r="E10381" s="396" t="s">
        <v>19455</v>
      </c>
      <c r="F10381" s="396" t="s">
        <v>19297</v>
      </c>
    </row>
    <row r="10382">
      <c r="A10382" s="311">
        <v>10381</v>
      </c>
      <c r="B10382" s="396" t="s">
        <v>19460</v>
      </c>
      <c r="C10382" s="396" t="s">
        <v>17227</v>
      </c>
      <c r="D10382" s="396" t="s">
        <v>19454</v>
      </c>
      <c r="E10382" s="396" t="s">
        <v>19455</v>
      </c>
      <c r="F10382" s="396" t="s">
        <v>19297</v>
      </c>
    </row>
    <row r="10383">
      <c r="A10383" s="311">
        <v>10382</v>
      </c>
      <c r="B10383" s="396" t="s">
        <v>19461</v>
      </c>
      <c r="C10383" s="396" t="s">
        <v>2358</v>
      </c>
      <c r="D10383" s="396" t="s">
        <v>19454</v>
      </c>
      <c r="E10383" s="396" t="s">
        <v>19455</v>
      </c>
      <c r="F10383" s="396" t="s">
        <v>19297</v>
      </c>
    </row>
    <row r="10384">
      <c r="A10384" s="311">
        <v>10383</v>
      </c>
      <c r="B10384" s="396" t="s">
        <v>19462</v>
      </c>
      <c r="C10384" s="396" t="s">
        <v>19463</v>
      </c>
      <c r="D10384" s="396" t="s">
        <v>19454</v>
      </c>
      <c r="E10384" s="396" t="s">
        <v>19455</v>
      </c>
      <c r="F10384" s="396" t="s">
        <v>19297</v>
      </c>
    </row>
    <row r="10385">
      <c r="A10385" s="311">
        <v>10384</v>
      </c>
      <c r="B10385" s="396" t="s">
        <v>19464</v>
      </c>
      <c r="C10385" s="396" t="s">
        <v>19465</v>
      </c>
      <c r="D10385" s="396" t="s">
        <v>19454</v>
      </c>
      <c r="E10385" s="396" t="s">
        <v>19455</v>
      </c>
      <c r="F10385" s="396" t="s">
        <v>19297</v>
      </c>
    </row>
    <row r="10386">
      <c r="A10386" s="311">
        <v>10385</v>
      </c>
      <c r="B10386" s="396" t="s">
        <v>19466</v>
      </c>
      <c r="C10386" s="396" t="s">
        <v>5492</v>
      </c>
      <c r="D10386" s="396" t="s">
        <v>19454</v>
      </c>
      <c r="E10386" s="396" t="s">
        <v>19455</v>
      </c>
      <c r="F10386" s="396" t="s">
        <v>19297</v>
      </c>
    </row>
    <row r="10387">
      <c r="A10387" s="311">
        <v>10386</v>
      </c>
      <c r="B10387" s="396" t="s">
        <v>19467</v>
      </c>
      <c r="C10387" s="396" t="s">
        <v>18672</v>
      </c>
      <c r="D10387" s="396" t="s">
        <v>19454</v>
      </c>
      <c r="E10387" s="396" t="s">
        <v>19455</v>
      </c>
      <c r="F10387" s="396" t="s">
        <v>19297</v>
      </c>
    </row>
    <row r="10388">
      <c r="A10388" s="311">
        <v>10387</v>
      </c>
      <c r="B10388" s="396" t="s">
        <v>19468</v>
      </c>
      <c r="C10388" s="396" t="s">
        <v>830</v>
      </c>
      <c r="D10388" s="396" t="s">
        <v>19454</v>
      </c>
      <c r="E10388" s="396" t="s">
        <v>19455</v>
      </c>
      <c r="F10388" s="396" t="s">
        <v>19297</v>
      </c>
    </row>
    <row r="10389">
      <c r="A10389" s="311">
        <v>10388</v>
      </c>
      <c r="B10389" s="396" t="s">
        <v>19469</v>
      </c>
      <c r="C10389" s="396" t="s">
        <v>4690</v>
      </c>
      <c r="D10389" s="396" t="s">
        <v>19454</v>
      </c>
      <c r="E10389" s="396" t="s">
        <v>19455</v>
      </c>
      <c r="F10389" s="396" t="s">
        <v>19297</v>
      </c>
    </row>
    <row r="10390">
      <c r="A10390" s="311">
        <v>10389</v>
      </c>
      <c r="B10390" s="396" t="s">
        <v>19470</v>
      </c>
      <c r="C10390" s="396" t="s">
        <v>2462</v>
      </c>
      <c r="D10390" s="396" t="s">
        <v>19454</v>
      </c>
      <c r="E10390" s="396" t="s">
        <v>19455</v>
      </c>
      <c r="F10390" s="396" t="s">
        <v>19297</v>
      </c>
    </row>
    <row r="10391">
      <c r="A10391" s="311">
        <v>10390</v>
      </c>
      <c r="B10391" s="396" t="s">
        <v>19471</v>
      </c>
      <c r="C10391" s="396" t="s">
        <v>19472</v>
      </c>
      <c r="D10391" s="396" t="s">
        <v>19473</v>
      </c>
      <c r="E10391" s="396" t="s">
        <v>19474</v>
      </c>
      <c r="F10391" s="396" t="s">
        <v>19297</v>
      </c>
    </row>
    <row r="10392">
      <c r="A10392" s="311">
        <v>10391</v>
      </c>
      <c r="B10392" s="396" t="s">
        <v>19475</v>
      </c>
      <c r="C10392" s="396" t="s">
        <v>19476</v>
      </c>
      <c r="D10392" s="396" t="s">
        <v>19473</v>
      </c>
      <c r="E10392" s="396" t="s">
        <v>19474</v>
      </c>
      <c r="F10392" s="396" t="s">
        <v>19297</v>
      </c>
    </row>
    <row r="10393">
      <c r="A10393" s="311">
        <v>10392</v>
      </c>
      <c r="B10393" s="396" t="s">
        <v>19477</v>
      </c>
      <c r="C10393" s="396" t="s">
        <v>2358</v>
      </c>
      <c r="D10393" s="396" t="s">
        <v>19473</v>
      </c>
      <c r="E10393" s="396" t="s">
        <v>19474</v>
      </c>
      <c r="F10393" s="396" t="s">
        <v>19297</v>
      </c>
    </row>
    <row r="10394">
      <c r="A10394" s="311">
        <v>10393</v>
      </c>
      <c r="B10394" s="396" t="s">
        <v>19478</v>
      </c>
      <c r="C10394" s="396" t="s">
        <v>19479</v>
      </c>
      <c r="D10394" s="396" t="s">
        <v>19473</v>
      </c>
      <c r="E10394" s="396" t="s">
        <v>19474</v>
      </c>
      <c r="F10394" s="396" t="s">
        <v>19297</v>
      </c>
    </row>
    <row r="10395">
      <c r="A10395" s="311">
        <v>10394</v>
      </c>
      <c r="B10395" s="396" t="s">
        <v>19480</v>
      </c>
      <c r="C10395" s="396" t="s">
        <v>19481</v>
      </c>
      <c r="D10395" s="396" t="s">
        <v>19473</v>
      </c>
      <c r="E10395" s="396" t="s">
        <v>19474</v>
      </c>
      <c r="F10395" s="396" t="s">
        <v>19297</v>
      </c>
    </row>
    <row r="10396">
      <c r="A10396" s="311">
        <v>10395</v>
      </c>
      <c r="B10396" s="396" t="s">
        <v>19482</v>
      </c>
      <c r="C10396" s="396" t="s">
        <v>19483</v>
      </c>
      <c r="D10396" s="396" t="s">
        <v>19473</v>
      </c>
      <c r="E10396" s="396" t="s">
        <v>19474</v>
      </c>
      <c r="F10396" s="396" t="s">
        <v>19297</v>
      </c>
    </row>
    <row r="10397">
      <c r="A10397" s="311">
        <v>10396</v>
      </c>
      <c r="B10397" s="396" t="s">
        <v>19484</v>
      </c>
      <c r="C10397" s="396" t="s">
        <v>14524</v>
      </c>
      <c r="D10397" s="396" t="s">
        <v>19473</v>
      </c>
      <c r="E10397" s="396" t="s">
        <v>19474</v>
      </c>
      <c r="F10397" s="396" t="s">
        <v>19297</v>
      </c>
    </row>
    <row r="10398">
      <c r="A10398" s="311">
        <v>10397</v>
      </c>
      <c r="B10398" s="396" t="s">
        <v>19485</v>
      </c>
      <c r="C10398" s="396" t="s">
        <v>19486</v>
      </c>
      <c r="D10398" s="396" t="s">
        <v>19473</v>
      </c>
      <c r="E10398" s="396" t="s">
        <v>19474</v>
      </c>
      <c r="F10398" s="396" t="s">
        <v>19297</v>
      </c>
    </row>
    <row r="10399">
      <c r="A10399" s="311">
        <v>10398</v>
      </c>
      <c r="B10399" s="396" t="s">
        <v>19487</v>
      </c>
      <c r="C10399" s="396" t="s">
        <v>4690</v>
      </c>
      <c r="D10399" s="396" t="s">
        <v>19473</v>
      </c>
      <c r="E10399" s="396" t="s">
        <v>19474</v>
      </c>
      <c r="F10399" s="396" t="s">
        <v>19297</v>
      </c>
    </row>
    <row r="10400">
      <c r="A10400" s="311">
        <v>10399</v>
      </c>
      <c r="B10400" s="396" t="s">
        <v>19488</v>
      </c>
      <c r="C10400" s="396" t="s">
        <v>16977</v>
      </c>
      <c r="D10400" s="396" t="s">
        <v>19473</v>
      </c>
      <c r="E10400" s="396" t="s">
        <v>19474</v>
      </c>
      <c r="F10400" s="396" t="s">
        <v>19297</v>
      </c>
    </row>
    <row r="10401">
      <c r="A10401" s="311">
        <v>10400</v>
      </c>
      <c r="B10401" s="396" t="s">
        <v>19489</v>
      </c>
      <c r="C10401" s="396" t="s">
        <v>19490</v>
      </c>
      <c r="D10401" s="396" t="s">
        <v>19473</v>
      </c>
      <c r="E10401" s="396" t="s">
        <v>19474</v>
      </c>
      <c r="F10401" s="396" t="s">
        <v>19297</v>
      </c>
    </row>
    <row r="10402">
      <c r="A10402" s="311">
        <v>10401</v>
      </c>
      <c r="B10402" s="396" t="s">
        <v>19491</v>
      </c>
      <c r="C10402" s="396" t="s">
        <v>19492</v>
      </c>
      <c r="D10402" s="396" t="s">
        <v>19473</v>
      </c>
      <c r="E10402" s="396" t="s">
        <v>19474</v>
      </c>
      <c r="F10402" s="396" t="s">
        <v>19297</v>
      </c>
    </row>
    <row r="10403">
      <c r="A10403" s="311">
        <v>10402</v>
      </c>
      <c r="B10403" s="396" t="s">
        <v>19493</v>
      </c>
      <c r="C10403" s="396" t="s">
        <v>19494</v>
      </c>
      <c r="D10403" s="396" t="s">
        <v>19473</v>
      </c>
      <c r="E10403" s="396" t="s">
        <v>19474</v>
      </c>
      <c r="F10403" s="396" t="s">
        <v>19297</v>
      </c>
    </row>
    <row r="10404">
      <c r="A10404" s="311">
        <v>10403</v>
      </c>
      <c r="B10404" s="396" t="s">
        <v>19495</v>
      </c>
      <c r="C10404" s="396" t="s">
        <v>19496</v>
      </c>
      <c r="D10404" s="396" t="s">
        <v>19497</v>
      </c>
      <c r="E10404" s="396" t="s">
        <v>19498</v>
      </c>
      <c r="F10404" s="396" t="s">
        <v>19297</v>
      </c>
    </row>
    <row r="10405">
      <c r="A10405" s="311">
        <v>10404</v>
      </c>
      <c r="B10405" s="396" t="s">
        <v>19499</v>
      </c>
      <c r="C10405" s="396" t="s">
        <v>2789</v>
      </c>
      <c r="D10405" s="396" t="s">
        <v>19497</v>
      </c>
      <c r="E10405" s="396" t="s">
        <v>19498</v>
      </c>
      <c r="F10405" s="396" t="s">
        <v>19297</v>
      </c>
    </row>
    <row r="10406">
      <c r="A10406" s="311">
        <v>10405</v>
      </c>
      <c r="B10406" s="396" t="s">
        <v>19500</v>
      </c>
      <c r="C10406" s="396" t="s">
        <v>14458</v>
      </c>
      <c r="D10406" s="396" t="s">
        <v>19497</v>
      </c>
      <c r="E10406" s="396" t="s">
        <v>19498</v>
      </c>
      <c r="F10406" s="396" t="s">
        <v>19297</v>
      </c>
    </row>
    <row r="10407">
      <c r="A10407" s="311">
        <v>10406</v>
      </c>
      <c r="B10407" s="396" t="s">
        <v>19501</v>
      </c>
      <c r="C10407" s="396" t="s">
        <v>18346</v>
      </c>
      <c r="D10407" s="396" t="s">
        <v>19497</v>
      </c>
      <c r="E10407" s="396" t="s">
        <v>19498</v>
      </c>
      <c r="F10407" s="396" t="s">
        <v>19297</v>
      </c>
    </row>
    <row r="10408">
      <c r="A10408" s="311">
        <v>10407</v>
      </c>
      <c r="B10408" s="396" t="s">
        <v>19502</v>
      </c>
      <c r="C10408" s="396" t="s">
        <v>14931</v>
      </c>
      <c r="D10408" s="396" t="s">
        <v>19497</v>
      </c>
      <c r="E10408" s="396" t="s">
        <v>19498</v>
      </c>
      <c r="F10408" s="396" t="s">
        <v>19297</v>
      </c>
    </row>
    <row r="10409">
      <c r="A10409" s="311">
        <v>10408</v>
      </c>
      <c r="B10409" s="396" t="s">
        <v>19503</v>
      </c>
      <c r="C10409" s="396" t="s">
        <v>6911</v>
      </c>
      <c r="D10409" s="396" t="s">
        <v>19497</v>
      </c>
      <c r="E10409" s="396" t="s">
        <v>19498</v>
      </c>
      <c r="F10409" s="396" t="s">
        <v>19297</v>
      </c>
    </row>
    <row r="10410">
      <c r="A10410" s="311">
        <v>10409</v>
      </c>
      <c r="B10410" s="396" t="s">
        <v>19504</v>
      </c>
      <c r="C10410" s="396" t="s">
        <v>1552</v>
      </c>
      <c r="D10410" s="396" t="s">
        <v>19497</v>
      </c>
      <c r="E10410" s="396" t="s">
        <v>19498</v>
      </c>
      <c r="F10410" s="396" t="s">
        <v>19297</v>
      </c>
    </row>
    <row r="10411">
      <c r="A10411" s="311">
        <v>10410</v>
      </c>
      <c r="B10411" s="396" t="s">
        <v>19505</v>
      </c>
      <c r="C10411" s="396" t="s">
        <v>19506</v>
      </c>
      <c r="D10411" s="396" t="s">
        <v>19497</v>
      </c>
      <c r="E10411" s="396" t="s">
        <v>19498</v>
      </c>
      <c r="F10411" s="396" t="s">
        <v>19297</v>
      </c>
    </row>
    <row r="10412">
      <c r="A10412" s="311">
        <v>10411</v>
      </c>
      <c r="B10412" s="396" t="s">
        <v>19507</v>
      </c>
      <c r="C10412" s="396" t="s">
        <v>19508</v>
      </c>
      <c r="D10412" s="396" t="s">
        <v>19497</v>
      </c>
      <c r="E10412" s="396" t="s">
        <v>19498</v>
      </c>
      <c r="F10412" s="396" t="s">
        <v>19297</v>
      </c>
    </row>
    <row r="10413">
      <c r="A10413" s="311">
        <v>10412</v>
      </c>
      <c r="B10413" s="396" t="s">
        <v>19509</v>
      </c>
      <c r="C10413" s="396" t="s">
        <v>838</v>
      </c>
      <c r="D10413" s="396" t="s">
        <v>19497</v>
      </c>
      <c r="E10413" s="396" t="s">
        <v>19498</v>
      </c>
      <c r="F10413" s="396" t="s">
        <v>19297</v>
      </c>
    </row>
    <row r="10414">
      <c r="A10414" s="311">
        <v>10413</v>
      </c>
      <c r="B10414" s="396" t="s">
        <v>19510</v>
      </c>
      <c r="C10414" s="396" t="s">
        <v>10114</v>
      </c>
      <c r="D10414" s="396" t="s">
        <v>19497</v>
      </c>
      <c r="E10414" s="396" t="s">
        <v>19498</v>
      </c>
      <c r="F10414" s="396" t="s">
        <v>19297</v>
      </c>
    </row>
    <row r="10415">
      <c r="A10415" s="311">
        <v>10414</v>
      </c>
      <c r="B10415" s="396" t="s">
        <v>19511</v>
      </c>
      <c r="C10415" s="396" t="s">
        <v>12788</v>
      </c>
      <c r="D10415" s="396" t="s">
        <v>19497</v>
      </c>
      <c r="E10415" s="396" t="s">
        <v>19498</v>
      </c>
      <c r="F10415" s="396" t="s">
        <v>19297</v>
      </c>
    </row>
    <row r="10416">
      <c r="A10416" s="311">
        <v>10415</v>
      </c>
      <c r="B10416" s="396" t="s">
        <v>19512</v>
      </c>
      <c r="C10416" s="396" t="s">
        <v>19513</v>
      </c>
      <c r="D10416" s="396" t="s">
        <v>19514</v>
      </c>
      <c r="E10416" s="396" t="s">
        <v>16827</v>
      </c>
      <c r="F10416" s="396" t="s">
        <v>19297</v>
      </c>
    </row>
    <row r="10417">
      <c r="A10417" s="311">
        <v>10416</v>
      </c>
      <c r="B10417" s="396" t="s">
        <v>19515</v>
      </c>
      <c r="C10417" s="396" t="s">
        <v>8325</v>
      </c>
      <c r="D10417" s="396" t="s">
        <v>19514</v>
      </c>
      <c r="E10417" s="396" t="s">
        <v>16827</v>
      </c>
      <c r="F10417" s="396" t="s">
        <v>19297</v>
      </c>
    </row>
    <row r="10418">
      <c r="A10418" s="311">
        <v>10417</v>
      </c>
      <c r="B10418" s="396" t="s">
        <v>19516</v>
      </c>
      <c r="C10418" s="396" t="s">
        <v>16520</v>
      </c>
      <c r="D10418" s="396" t="s">
        <v>19514</v>
      </c>
      <c r="E10418" s="396" t="s">
        <v>16827</v>
      </c>
      <c r="F10418" s="396" t="s">
        <v>19297</v>
      </c>
    </row>
    <row r="10419">
      <c r="A10419" s="311">
        <v>10418</v>
      </c>
      <c r="B10419" s="396" t="s">
        <v>19517</v>
      </c>
      <c r="C10419" s="396" t="s">
        <v>19518</v>
      </c>
      <c r="D10419" s="396" t="s">
        <v>19514</v>
      </c>
      <c r="E10419" s="396" t="s">
        <v>16827</v>
      </c>
      <c r="F10419" s="396" t="s">
        <v>19297</v>
      </c>
    </row>
    <row r="10420">
      <c r="A10420" s="311">
        <v>10419</v>
      </c>
      <c r="B10420" s="396" t="s">
        <v>19519</v>
      </c>
      <c r="C10420" s="396" t="s">
        <v>5492</v>
      </c>
      <c r="D10420" s="396" t="s">
        <v>19514</v>
      </c>
      <c r="E10420" s="396" t="s">
        <v>16827</v>
      </c>
      <c r="F10420" s="396" t="s">
        <v>19297</v>
      </c>
    </row>
    <row r="10421">
      <c r="A10421" s="311">
        <v>10420</v>
      </c>
      <c r="B10421" s="396" t="s">
        <v>19520</v>
      </c>
      <c r="C10421" s="396" t="s">
        <v>17956</v>
      </c>
      <c r="D10421" s="396" t="s">
        <v>19514</v>
      </c>
      <c r="E10421" s="396" t="s">
        <v>16827</v>
      </c>
      <c r="F10421" s="396" t="s">
        <v>19297</v>
      </c>
    </row>
    <row r="10422">
      <c r="A10422" s="311">
        <v>10421</v>
      </c>
      <c r="B10422" s="396" t="s">
        <v>19521</v>
      </c>
      <c r="C10422" s="396" t="s">
        <v>9468</v>
      </c>
      <c r="D10422" s="396" t="s">
        <v>19514</v>
      </c>
      <c r="E10422" s="396" t="s">
        <v>16827</v>
      </c>
      <c r="F10422" s="396" t="s">
        <v>19297</v>
      </c>
    </row>
    <row r="10423">
      <c r="A10423" s="311">
        <v>10422</v>
      </c>
      <c r="B10423" s="396" t="s">
        <v>19522</v>
      </c>
      <c r="C10423" s="396" t="s">
        <v>19523</v>
      </c>
      <c r="D10423" s="396" t="s">
        <v>19514</v>
      </c>
      <c r="E10423" s="396" t="s">
        <v>16827</v>
      </c>
      <c r="F10423" s="396" t="s">
        <v>19297</v>
      </c>
    </row>
    <row r="10424">
      <c r="A10424" s="311">
        <v>10423</v>
      </c>
      <c r="B10424" s="396" t="s">
        <v>19524</v>
      </c>
      <c r="C10424" s="396" t="s">
        <v>19525</v>
      </c>
      <c r="D10424" s="396" t="s">
        <v>19514</v>
      </c>
      <c r="E10424" s="396" t="s">
        <v>16827</v>
      </c>
      <c r="F10424" s="396" t="s">
        <v>19297</v>
      </c>
    </row>
    <row r="10425">
      <c r="A10425" s="311">
        <v>10424</v>
      </c>
      <c r="B10425" s="396" t="s">
        <v>19526</v>
      </c>
      <c r="C10425" s="396" t="s">
        <v>791</v>
      </c>
      <c r="D10425" s="396" t="s">
        <v>19514</v>
      </c>
      <c r="E10425" s="396" t="s">
        <v>16827</v>
      </c>
      <c r="F10425" s="396" t="s">
        <v>19297</v>
      </c>
    </row>
    <row r="10426">
      <c r="A10426" s="311">
        <v>10425</v>
      </c>
      <c r="B10426" s="396" t="s">
        <v>19527</v>
      </c>
      <c r="C10426" s="396" t="s">
        <v>830</v>
      </c>
      <c r="D10426" s="396" t="s">
        <v>19514</v>
      </c>
      <c r="E10426" s="396" t="s">
        <v>16827</v>
      </c>
      <c r="F10426" s="396" t="s">
        <v>19297</v>
      </c>
    </row>
    <row r="10427">
      <c r="A10427" s="311">
        <v>10426</v>
      </c>
      <c r="B10427" s="396" t="s">
        <v>19528</v>
      </c>
      <c r="C10427" s="396" t="s">
        <v>16037</v>
      </c>
      <c r="D10427" s="396" t="s">
        <v>19514</v>
      </c>
      <c r="E10427" s="396" t="s">
        <v>16827</v>
      </c>
      <c r="F10427" s="396" t="s">
        <v>19297</v>
      </c>
    </row>
    <row r="10428">
      <c r="A10428" s="311">
        <v>10427</v>
      </c>
      <c r="B10428" s="396" t="s">
        <v>19529</v>
      </c>
      <c r="C10428" s="396" t="s">
        <v>14784</v>
      </c>
      <c r="D10428" s="396" t="s">
        <v>19530</v>
      </c>
      <c r="E10428" s="396" t="s">
        <v>19531</v>
      </c>
      <c r="F10428" s="396" t="s">
        <v>19532</v>
      </c>
    </row>
    <row r="10429">
      <c r="A10429" s="311">
        <v>10428</v>
      </c>
      <c r="B10429" s="396" t="s">
        <v>19533</v>
      </c>
      <c r="C10429" s="396" t="s">
        <v>19534</v>
      </c>
      <c r="D10429" s="396" t="s">
        <v>19530</v>
      </c>
      <c r="E10429" s="396" t="s">
        <v>19531</v>
      </c>
      <c r="F10429" s="396" t="s">
        <v>19532</v>
      </c>
    </row>
    <row r="10430">
      <c r="A10430" s="311">
        <v>10429</v>
      </c>
      <c r="B10430" s="396" t="s">
        <v>19535</v>
      </c>
      <c r="C10430" s="396" t="s">
        <v>19536</v>
      </c>
      <c r="D10430" s="396" t="s">
        <v>19530</v>
      </c>
      <c r="E10430" s="396" t="s">
        <v>19531</v>
      </c>
      <c r="F10430" s="396" t="s">
        <v>19532</v>
      </c>
    </row>
    <row r="10431">
      <c r="A10431" s="311">
        <v>10430</v>
      </c>
      <c r="B10431" s="396" t="s">
        <v>19537</v>
      </c>
      <c r="C10431" s="396" t="s">
        <v>19538</v>
      </c>
      <c r="D10431" s="396" t="s">
        <v>19530</v>
      </c>
      <c r="E10431" s="396" t="s">
        <v>19531</v>
      </c>
      <c r="F10431" s="396" t="s">
        <v>19532</v>
      </c>
    </row>
    <row r="10432">
      <c r="A10432" s="311">
        <v>10431</v>
      </c>
      <c r="B10432" s="396" t="s">
        <v>19539</v>
      </c>
      <c r="C10432" s="396" t="s">
        <v>19540</v>
      </c>
      <c r="D10432" s="396" t="s">
        <v>19530</v>
      </c>
      <c r="E10432" s="396" t="s">
        <v>19531</v>
      </c>
      <c r="F10432" s="396" t="s">
        <v>19532</v>
      </c>
    </row>
    <row r="10433">
      <c r="A10433" s="311">
        <v>10432</v>
      </c>
      <c r="B10433" s="396" t="s">
        <v>19541</v>
      </c>
      <c r="C10433" s="396" t="s">
        <v>17752</v>
      </c>
      <c r="D10433" s="396" t="s">
        <v>19530</v>
      </c>
      <c r="E10433" s="396" t="s">
        <v>19531</v>
      </c>
      <c r="F10433" s="396" t="s">
        <v>19532</v>
      </c>
    </row>
    <row r="10434">
      <c r="A10434" s="311">
        <v>10433</v>
      </c>
      <c r="B10434" s="396" t="s">
        <v>19542</v>
      </c>
      <c r="C10434" s="396" t="s">
        <v>16989</v>
      </c>
      <c r="D10434" s="396" t="s">
        <v>19530</v>
      </c>
      <c r="E10434" s="396" t="s">
        <v>19531</v>
      </c>
      <c r="F10434" s="396" t="s">
        <v>19532</v>
      </c>
    </row>
    <row r="10435">
      <c r="A10435" s="311">
        <v>10434</v>
      </c>
      <c r="B10435" s="396" t="s">
        <v>19543</v>
      </c>
      <c r="C10435" s="396" t="s">
        <v>19544</v>
      </c>
      <c r="D10435" s="396" t="s">
        <v>19530</v>
      </c>
      <c r="E10435" s="396" t="s">
        <v>19531</v>
      </c>
      <c r="F10435" s="396" t="s">
        <v>19532</v>
      </c>
    </row>
    <row r="10436">
      <c r="A10436" s="311">
        <v>10435</v>
      </c>
      <c r="B10436" s="396" t="s">
        <v>19545</v>
      </c>
      <c r="C10436" s="396" t="s">
        <v>19546</v>
      </c>
      <c r="D10436" s="396" t="s">
        <v>19530</v>
      </c>
      <c r="E10436" s="396" t="s">
        <v>19531</v>
      </c>
      <c r="F10436" s="396" t="s">
        <v>19532</v>
      </c>
    </row>
    <row r="10437">
      <c r="A10437" s="311">
        <v>10436</v>
      </c>
      <c r="B10437" s="396" t="s">
        <v>19547</v>
      </c>
      <c r="C10437" s="396" t="s">
        <v>19548</v>
      </c>
      <c r="D10437" s="396" t="s">
        <v>19530</v>
      </c>
      <c r="E10437" s="396" t="s">
        <v>19531</v>
      </c>
      <c r="F10437" s="396" t="s">
        <v>19532</v>
      </c>
    </row>
    <row r="10438">
      <c r="A10438" s="311">
        <v>10437</v>
      </c>
      <c r="B10438" s="396" t="s">
        <v>19549</v>
      </c>
      <c r="C10438" s="396" t="s">
        <v>19550</v>
      </c>
      <c r="D10438" s="396" t="s">
        <v>19530</v>
      </c>
      <c r="E10438" s="396" t="s">
        <v>19531</v>
      </c>
      <c r="F10438" s="396" t="s">
        <v>19532</v>
      </c>
    </row>
    <row r="10439">
      <c r="A10439" s="311">
        <v>10438</v>
      </c>
      <c r="B10439" s="396" t="s">
        <v>19551</v>
      </c>
      <c r="C10439" s="396" t="s">
        <v>19552</v>
      </c>
      <c r="D10439" s="396" t="s">
        <v>19530</v>
      </c>
      <c r="E10439" s="396" t="s">
        <v>19531</v>
      </c>
      <c r="F10439" s="396" t="s">
        <v>19532</v>
      </c>
    </row>
    <row r="10440">
      <c r="A10440" s="311">
        <v>10439</v>
      </c>
      <c r="B10440" s="396" t="s">
        <v>19553</v>
      </c>
      <c r="C10440" s="396" t="s">
        <v>19554</v>
      </c>
      <c r="D10440" s="396" t="s">
        <v>19530</v>
      </c>
      <c r="E10440" s="396" t="s">
        <v>19531</v>
      </c>
      <c r="F10440" s="396" t="s">
        <v>19532</v>
      </c>
    </row>
    <row r="10441">
      <c r="A10441" s="311">
        <v>10440</v>
      </c>
      <c r="B10441" s="396" t="s">
        <v>19555</v>
      </c>
      <c r="C10441" s="396" t="s">
        <v>19556</v>
      </c>
      <c r="D10441" s="396" t="s">
        <v>19557</v>
      </c>
      <c r="E10441" s="396" t="s">
        <v>19558</v>
      </c>
      <c r="F10441" s="396" t="s">
        <v>19532</v>
      </c>
    </row>
    <row r="10442">
      <c r="A10442" s="311">
        <v>10441</v>
      </c>
      <c r="B10442" s="396" t="s">
        <v>19559</v>
      </c>
      <c r="C10442" s="396" t="s">
        <v>19560</v>
      </c>
      <c r="D10442" s="396" t="s">
        <v>19557</v>
      </c>
      <c r="E10442" s="396" t="s">
        <v>19558</v>
      </c>
      <c r="F10442" s="396" t="s">
        <v>19532</v>
      </c>
    </row>
    <row r="10443">
      <c r="A10443" s="311">
        <v>10442</v>
      </c>
      <c r="B10443" s="396" t="s">
        <v>19561</v>
      </c>
      <c r="C10443" s="396" t="s">
        <v>19562</v>
      </c>
      <c r="D10443" s="396" t="s">
        <v>19557</v>
      </c>
      <c r="E10443" s="396" t="s">
        <v>19558</v>
      </c>
      <c r="F10443" s="396" t="s">
        <v>19532</v>
      </c>
    </row>
    <row r="10444">
      <c r="A10444" s="311">
        <v>10443</v>
      </c>
      <c r="B10444" s="396" t="s">
        <v>19563</v>
      </c>
      <c r="C10444" s="396" t="s">
        <v>19564</v>
      </c>
      <c r="D10444" s="396" t="s">
        <v>19557</v>
      </c>
      <c r="E10444" s="396" t="s">
        <v>19558</v>
      </c>
      <c r="F10444" s="396" t="s">
        <v>19532</v>
      </c>
    </row>
    <row r="10445">
      <c r="A10445" s="311">
        <v>10444</v>
      </c>
      <c r="B10445" s="396" t="s">
        <v>19565</v>
      </c>
      <c r="C10445" s="396" t="s">
        <v>19566</v>
      </c>
      <c r="D10445" s="396" t="s">
        <v>19557</v>
      </c>
      <c r="E10445" s="396" t="s">
        <v>19558</v>
      </c>
      <c r="F10445" s="396" t="s">
        <v>19532</v>
      </c>
    </row>
    <row r="10446">
      <c r="A10446" s="311">
        <v>10445</v>
      </c>
      <c r="B10446" s="396" t="s">
        <v>19567</v>
      </c>
      <c r="C10446" s="396" t="s">
        <v>19568</v>
      </c>
      <c r="D10446" s="396" t="s">
        <v>19557</v>
      </c>
      <c r="E10446" s="396" t="s">
        <v>19558</v>
      </c>
      <c r="F10446" s="396" t="s">
        <v>19532</v>
      </c>
    </row>
    <row r="10447">
      <c r="A10447" s="311">
        <v>10446</v>
      </c>
      <c r="B10447" s="396" t="s">
        <v>19569</v>
      </c>
      <c r="C10447" s="396" t="s">
        <v>19570</v>
      </c>
      <c r="D10447" s="396" t="s">
        <v>19557</v>
      </c>
      <c r="E10447" s="396" t="s">
        <v>19558</v>
      </c>
      <c r="F10447" s="396" t="s">
        <v>19532</v>
      </c>
    </row>
    <row r="10448">
      <c r="A10448" s="311">
        <v>10447</v>
      </c>
      <c r="B10448" s="396" t="s">
        <v>19571</v>
      </c>
      <c r="C10448" s="396" t="s">
        <v>19572</v>
      </c>
      <c r="D10448" s="396" t="s">
        <v>19573</v>
      </c>
      <c r="E10448" s="396" t="s">
        <v>19574</v>
      </c>
      <c r="F10448" s="396" t="s">
        <v>19532</v>
      </c>
    </row>
    <row r="10449">
      <c r="A10449" s="311">
        <v>10448</v>
      </c>
      <c r="B10449" s="396" t="s">
        <v>19575</v>
      </c>
      <c r="C10449" s="396" t="s">
        <v>9541</v>
      </c>
      <c r="D10449" s="396" t="s">
        <v>19573</v>
      </c>
      <c r="E10449" s="396" t="s">
        <v>19574</v>
      </c>
      <c r="F10449" s="396" t="s">
        <v>19532</v>
      </c>
    </row>
    <row r="10450">
      <c r="A10450" s="311">
        <v>10449</v>
      </c>
      <c r="B10450" s="396" t="s">
        <v>19576</v>
      </c>
      <c r="C10450" s="396" t="s">
        <v>19577</v>
      </c>
      <c r="D10450" s="396" t="s">
        <v>19573</v>
      </c>
      <c r="E10450" s="396" t="s">
        <v>19574</v>
      </c>
      <c r="F10450" s="396" t="s">
        <v>19532</v>
      </c>
    </row>
    <row r="10451">
      <c r="A10451" s="311">
        <v>10450</v>
      </c>
      <c r="B10451" s="396" t="s">
        <v>19578</v>
      </c>
      <c r="C10451" s="396" t="s">
        <v>14674</v>
      </c>
      <c r="D10451" s="396" t="s">
        <v>19573</v>
      </c>
      <c r="E10451" s="396" t="s">
        <v>19574</v>
      </c>
      <c r="F10451" s="396" t="s">
        <v>19532</v>
      </c>
    </row>
    <row r="10452">
      <c r="A10452" s="311">
        <v>10451</v>
      </c>
      <c r="B10452" s="396" t="s">
        <v>19579</v>
      </c>
      <c r="C10452" s="396" t="s">
        <v>19580</v>
      </c>
      <c r="D10452" s="396" t="s">
        <v>19573</v>
      </c>
      <c r="E10452" s="396" t="s">
        <v>19574</v>
      </c>
      <c r="F10452" s="396" t="s">
        <v>19532</v>
      </c>
    </row>
    <row r="10453">
      <c r="A10453" s="311">
        <v>10452</v>
      </c>
      <c r="B10453" s="396" t="s">
        <v>19581</v>
      </c>
      <c r="C10453" s="396" t="s">
        <v>13994</v>
      </c>
      <c r="D10453" s="396" t="s">
        <v>19573</v>
      </c>
      <c r="E10453" s="396" t="s">
        <v>19574</v>
      </c>
      <c r="F10453" s="396" t="s">
        <v>19532</v>
      </c>
    </row>
    <row r="10454">
      <c r="A10454" s="311">
        <v>10453</v>
      </c>
      <c r="B10454" s="396" t="s">
        <v>19582</v>
      </c>
      <c r="C10454" s="396" t="s">
        <v>17374</v>
      </c>
      <c r="D10454" s="396" t="s">
        <v>19573</v>
      </c>
      <c r="E10454" s="396" t="s">
        <v>19574</v>
      </c>
      <c r="F10454" s="396" t="s">
        <v>19532</v>
      </c>
    </row>
    <row r="10455">
      <c r="A10455" s="311">
        <v>10454</v>
      </c>
      <c r="B10455" s="396" t="s">
        <v>19583</v>
      </c>
      <c r="C10455" s="396" t="s">
        <v>16421</v>
      </c>
      <c r="D10455" s="396" t="s">
        <v>19573</v>
      </c>
      <c r="E10455" s="396" t="s">
        <v>19574</v>
      </c>
      <c r="F10455" s="396" t="s">
        <v>19532</v>
      </c>
    </row>
    <row r="10456">
      <c r="A10456" s="311">
        <v>10455</v>
      </c>
      <c r="B10456" s="396" t="s">
        <v>19584</v>
      </c>
      <c r="C10456" s="396" t="s">
        <v>14234</v>
      </c>
      <c r="D10456" s="396" t="s">
        <v>19573</v>
      </c>
      <c r="E10456" s="396" t="s">
        <v>19574</v>
      </c>
      <c r="F10456" s="396" t="s">
        <v>19532</v>
      </c>
    </row>
    <row r="10457">
      <c r="A10457" s="311">
        <v>10456</v>
      </c>
      <c r="B10457" s="396" t="s">
        <v>19585</v>
      </c>
      <c r="C10457" s="396" t="s">
        <v>11882</v>
      </c>
      <c r="D10457" s="396" t="s">
        <v>19573</v>
      </c>
      <c r="E10457" s="396" t="s">
        <v>19574</v>
      </c>
      <c r="F10457" s="396" t="s">
        <v>19532</v>
      </c>
    </row>
    <row r="10458">
      <c r="A10458" s="311">
        <v>10457</v>
      </c>
      <c r="B10458" s="396" t="s">
        <v>19586</v>
      </c>
      <c r="C10458" s="396" t="s">
        <v>19587</v>
      </c>
      <c r="D10458" s="396" t="s">
        <v>19573</v>
      </c>
      <c r="E10458" s="396" t="s">
        <v>19574</v>
      </c>
      <c r="F10458" s="396" t="s">
        <v>19532</v>
      </c>
    </row>
    <row r="10459">
      <c r="A10459" s="311">
        <v>10458</v>
      </c>
      <c r="B10459" s="396" t="s">
        <v>19588</v>
      </c>
      <c r="C10459" s="396" t="s">
        <v>12562</v>
      </c>
      <c r="D10459" s="396" t="s">
        <v>19573</v>
      </c>
      <c r="E10459" s="396" t="s">
        <v>19574</v>
      </c>
      <c r="F10459" s="396" t="s">
        <v>19532</v>
      </c>
    </row>
    <row r="10460">
      <c r="A10460" s="311">
        <v>10459</v>
      </c>
      <c r="B10460" s="396" t="s">
        <v>19589</v>
      </c>
      <c r="C10460" s="396" t="s">
        <v>19590</v>
      </c>
      <c r="D10460" s="396" t="s">
        <v>19573</v>
      </c>
      <c r="E10460" s="396" t="s">
        <v>19574</v>
      </c>
      <c r="F10460" s="396" t="s">
        <v>19532</v>
      </c>
    </row>
    <row r="10461">
      <c r="A10461" s="311">
        <v>10460</v>
      </c>
      <c r="B10461" s="396" t="s">
        <v>19591</v>
      </c>
      <c r="C10461" s="396" t="s">
        <v>18007</v>
      </c>
      <c r="D10461" s="396" t="s">
        <v>19573</v>
      </c>
      <c r="E10461" s="396" t="s">
        <v>19574</v>
      </c>
      <c r="F10461" s="396" t="s">
        <v>19532</v>
      </c>
    </row>
    <row r="10462">
      <c r="A10462" s="311">
        <v>10461</v>
      </c>
      <c r="B10462" s="396" t="s">
        <v>19592</v>
      </c>
      <c r="C10462" s="396" t="s">
        <v>19593</v>
      </c>
      <c r="D10462" s="396" t="s">
        <v>19594</v>
      </c>
      <c r="E10462" s="396" t="s">
        <v>19595</v>
      </c>
      <c r="F10462" s="396" t="s">
        <v>19532</v>
      </c>
    </row>
    <row r="10463">
      <c r="A10463" s="311">
        <v>10462</v>
      </c>
      <c r="B10463" s="396" t="s">
        <v>19596</v>
      </c>
      <c r="C10463" s="396" t="s">
        <v>19597</v>
      </c>
      <c r="D10463" s="396" t="s">
        <v>19594</v>
      </c>
      <c r="E10463" s="396" t="s">
        <v>19595</v>
      </c>
      <c r="F10463" s="396" t="s">
        <v>19532</v>
      </c>
    </row>
    <row r="10464">
      <c r="A10464" s="311">
        <v>10463</v>
      </c>
      <c r="B10464" s="396" t="s">
        <v>19598</v>
      </c>
      <c r="C10464" s="396" t="s">
        <v>19599</v>
      </c>
      <c r="D10464" s="396" t="s">
        <v>19594</v>
      </c>
      <c r="E10464" s="396" t="s">
        <v>19595</v>
      </c>
      <c r="F10464" s="396" t="s">
        <v>19532</v>
      </c>
    </row>
    <row r="10465">
      <c r="A10465" s="311">
        <v>10464</v>
      </c>
      <c r="B10465" s="396" t="s">
        <v>19600</v>
      </c>
      <c r="C10465" s="396" t="s">
        <v>6355</v>
      </c>
      <c r="D10465" s="396" t="s">
        <v>19594</v>
      </c>
      <c r="E10465" s="396" t="s">
        <v>19595</v>
      </c>
      <c r="F10465" s="396" t="s">
        <v>19532</v>
      </c>
    </row>
    <row r="10466">
      <c r="A10466" s="311">
        <v>10465</v>
      </c>
      <c r="B10466" s="396" t="s">
        <v>19601</v>
      </c>
      <c r="C10466" s="396" t="s">
        <v>19602</v>
      </c>
      <c r="D10466" s="396" t="s">
        <v>19594</v>
      </c>
      <c r="E10466" s="396" t="s">
        <v>19595</v>
      </c>
      <c r="F10466" s="396" t="s">
        <v>19532</v>
      </c>
    </row>
    <row r="10467">
      <c r="A10467" s="311">
        <v>10466</v>
      </c>
      <c r="B10467" s="396" t="s">
        <v>19603</v>
      </c>
      <c r="C10467" s="396" t="s">
        <v>7534</v>
      </c>
      <c r="D10467" s="396" t="s">
        <v>19594</v>
      </c>
      <c r="E10467" s="396" t="s">
        <v>19595</v>
      </c>
      <c r="F10467" s="396" t="s">
        <v>19532</v>
      </c>
    </row>
    <row r="10468">
      <c r="A10468" s="311">
        <v>10467</v>
      </c>
      <c r="B10468" s="396" t="s">
        <v>19604</v>
      </c>
      <c r="C10468" s="396" t="s">
        <v>18672</v>
      </c>
      <c r="D10468" s="396" t="s">
        <v>19594</v>
      </c>
      <c r="E10468" s="396" t="s">
        <v>19595</v>
      </c>
      <c r="F10468" s="396" t="s">
        <v>19532</v>
      </c>
    </row>
    <row r="10469">
      <c r="A10469" s="311">
        <v>10468</v>
      </c>
      <c r="B10469" s="396" t="s">
        <v>19605</v>
      </c>
      <c r="C10469" s="396" t="s">
        <v>2366</v>
      </c>
      <c r="D10469" s="396" t="s">
        <v>19594</v>
      </c>
      <c r="E10469" s="396" t="s">
        <v>19595</v>
      </c>
      <c r="F10469" s="396" t="s">
        <v>19532</v>
      </c>
    </row>
    <row r="10470">
      <c r="A10470" s="311">
        <v>10469</v>
      </c>
      <c r="B10470" s="396" t="s">
        <v>19606</v>
      </c>
      <c r="C10470" s="396" t="s">
        <v>17332</v>
      </c>
      <c r="D10470" s="396" t="s">
        <v>19594</v>
      </c>
      <c r="E10470" s="396" t="s">
        <v>19595</v>
      </c>
      <c r="F10470" s="396" t="s">
        <v>19532</v>
      </c>
    </row>
    <row r="10471">
      <c r="A10471" s="311">
        <v>10470</v>
      </c>
      <c r="B10471" s="396" t="s">
        <v>19607</v>
      </c>
      <c r="C10471" s="396" t="s">
        <v>19608</v>
      </c>
      <c r="D10471" s="396" t="s">
        <v>19594</v>
      </c>
      <c r="E10471" s="396" t="s">
        <v>19595</v>
      </c>
      <c r="F10471" s="396" t="s">
        <v>19532</v>
      </c>
    </row>
    <row r="10472">
      <c r="A10472" s="311">
        <v>10471</v>
      </c>
      <c r="B10472" s="396" t="s">
        <v>19609</v>
      </c>
      <c r="C10472" s="396" t="s">
        <v>6977</v>
      </c>
      <c r="D10472" s="396" t="s">
        <v>19594</v>
      </c>
      <c r="E10472" s="396" t="s">
        <v>19595</v>
      </c>
      <c r="F10472" s="396" t="s">
        <v>19532</v>
      </c>
    </row>
    <row r="10473">
      <c r="A10473" s="311">
        <v>10472</v>
      </c>
      <c r="B10473" s="396" t="s">
        <v>19610</v>
      </c>
      <c r="C10473" s="396" t="s">
        <v>19611</v>
      </c>
      <c r="D10473" s="396" t="s">
        <v>19594</v>
      </c>
      <c r="E10473" s="396" t="s">
        <v>19595</v>
      </c>
      <c r="F10473" s="396" t="s">
        <v>19532</v>
      </c>
    </row>
    <row r="10474">
      <c r="A10474" s="311">
        <v>10473</v>
      </c>
      <c r="B10474" s="396" t="s">
        <v>19612</v>
      </c>
      <c r="C10474" s="396" t="s">
        <v>19613</v>
      </c>
      <c r="D10474" s="396" t="s">
        <v>19594</v>
      </c>
      <c r="E10474" s="396" t="s">
        <v>19595</v>
      </c>
      <c r="F10474" s="396" t="s">
        <v>19532</v>
      </c>
    </row>
    <row r="10475">
      <c r="A10475" s="311">
        <v>10474</v>
      </c>
      <c r="B10475" s="396" t="s">
        <v>19614</v>
      </c>
      <c r="C10475" s="396" t="s">
        <v>10863</v>
      </c>
      <c r="D10475" s="396" t="s">
        <v>19594</v>
      </c>
      <c r="E10475" s="396" t="s">
        <v>19595</v>
      </c>
      <c r="F10475" s="396" t="s">
        <v>19532</v>
      </c>
    </row>
    <row r="10476">
      <c r="A10476" s="311">
        <v>10475</v>
      </c>
      <c r="B10476" s="396" t="s">
        <v>19615</v>
      </c>
      <c r="C10476" s="396" t="s">
        <v>17512</v>
      </c>
      <c r="D10476" s="396" t="s">
        <v>19616</v>
      </c>
      <c r="E10476" s="396" t="s">
        <v>19617</v>
      </c>
      <c r="F10476" s="396" t="s">
        <v>19532</v>
      </c>
    </row>
    <row r="10477">
      <c r="A10477" s="311">
        <v>10476</v>
      </c>
      <c r="B10477" s="396" t="s">
        <v>19618</v>
      </c>
      <c r="C10477" s="396" t="s">
        <v>19619</v>
      </c>
      <c r="D10477" s="396" t="s">
        <v>19616</v>
      </c>
      <c r="E10477" s="396" t="s">
        <v>19617</v>
      </c>
      <c r="F10477" s="396" t="s">
        <v>19532</v>
      </c>
    </row>
    <row r="10478">
      <c r="A10478" s="311">
        <v>10477</v>
      </c>
      <c r="B10478" s="396" t="s">
        <v>19620</v>
      </c>
      <c r="C10478" s="396" t="s">
        <v>16979</v>
      </c>
      <c r="D10478" s="396" t="s">
        <v>19616</v>
      </c>
      <c r="E10478" s="396" t="s">
        <v>19617</v>
      </c>
      <c r="F10478" s="396" t="s">
        <v>19532</v>
      </c>
    </row>
    <row r="10479">
      <c r="A10479" s="311">
        <v>10478</v>
      </c>
      <c r="B10479" s="396" t="s">
        <v>19621</v>
      </c>
      <c r="C10479" s="396" t="s">
        <v>9468</v>
      </c>
      <c r="D10479" s="396" t="s">
        <v>19616</v>
      </c>
      <c r="E10479" s="396" t="s">
        <v>19617</v>
      </c>
      <c r="F10479" s="396" t="s">
        <v>19532</v>
      </c>
    </row>
    <row r="10480">
      <c r="A10480" s="311">
        <v>10479</v>
      </c>
      <c r="B10480" s="396" t="s">
        <v>19622</v>
      </c>
      <c r="C10480" s="396" t="s">
        <v>2485</v>
      </c>
      <c r="D10480" s="396" t="s">
        <v>19616</v>
      </c>
      <c r="E10480" s="396" t="s">
        <v>19617</v>
      </c>
      <c r="F10480" s="396" t="s">
        <v>19532</v>
      </c>
    </row>
    <row r="10481">
      <c r="A10481" s="311">
        <v>10480</v>
      </c>
      <c r="B10481" s="396" t="s">
        <v>19623</v>
      </c>
      <c r="C10481" s="396" t="s">
        <v>19391</v>
      </c>
      <c r="D10481" s="396" t="s">
        <v>19616</v>
      </c>
      <c r="E10481" s="396" t="s">
        <v>19617</v>
      </c>
      <c r="F10481" s="396" t="s">
        <v>19532</v>
      </c>
    </row>
    <row r="10482">
      <c r="A10482" s="311">
        <v>10481</v>
      </c>
      <c r="B10482" s="396" t="s">
        <v>19624</v>
      </c>
      <c r="C10482" s="396" t="s">
        <v>17377</v>
      </c>
      <c r="D10482" s="396" t="s">
        <v>19616</v>
      </c>
      <c r="E10482" s="396" t="s">
        <v>19617</v>
      </c>
      <c r="F10482" s="396" t="s">
        <v>19532</v>
      </c>
    </row>
    <row r="10483">
      <c r="A10483" s="311">
        <v>10482</v>
      </c>
      <c r="B10483" s="396" t="s">
        <v>19625</v>
      </c>
      <c r="C10483" s="396" t="s">
        <v>5183</v>
      </c>
      <c r="D10483" s="396" t="s">
        <v>19616</v>
      </c>
      <c r="E10483" s="396" t="s">
        <v>19617</v>
      </c>
      <c r="F10483" s="396" t="s">
        <v>19532</v>
      </c>
    </row>
    <row r="10484">
      <c r="A10484" s="311">
        <v>10483</v>
      </c>
      <c r="B10484" s="396" t="s">
        <v>19626</v>
      </c>
      <c r="C10484" s="396" t="s">
        <v>4544</v>
      </c>
      <c r="D10484" s="396" t="s">
        <v>19616</v>
      </c>
      <c r="E10484" s="396" t="s">
        <v>19617</v>
      </c>
      <c r="F10484" s="396" t="s">
        <v>19532</v>
      </c>
    </row>
    <row r="10485">
      <c r="A10485" s="311">
        <v>10484</v>
      </c>
      <c r="B10485" s="396" t="s">
        <v>19627</v>
      </c>
      <c r="C10485" s="396" t="s">
        <v>12831</v>
      </c>
      <c r="D10485" s="396" t="s">
        <v>19616</v>
      </c>
      <c r="E10485" s="396" t="s">
        <v>19617</v>
      </c>
      <c r="F10485" s="396" t="s">
        <v>19532</v>
      </c>
    </row>
    <row r="10486">
      <c r="A10486" s="311">
        <v>10485</v>
      </c>
      <c r="B10486" s="396" t="s">
        <v>19628</v>
      </c>
      <c r="C10486" s="396" t="s">
        <v>6770</v>
      </c>
      <c r="D10486" s="396" t="s">
        <v>19616</v>
      </c>
      <c r="E10486" s="396" t="s">
        <v>19617</v>
      </c>
      <c r="F10486" s="396" t="s">
        <v>19532</v>
      </c>
    </row>
    <row r="10487">
      <c r="A10487" s="311">
        <v>10486</v>
      </c>
      <c r="B10487" s="396" t="s">
        <v>19629</v>
      </c>
      <c r="C10487" s="396" t="s">
        <v>19630</v>
      </c>
      <c r="D10487" s="396" t="s">
        <v>19616</v>
      </c>
      <c r="E10487" s="396" t="s">
        <v>19617</v>
      </c>
      <c r="F10487" s="396" t="s">
        <v>19532</v>
      </c>
    </row>
    <row r="10488">
      <c r="A10488" s="311">
        <v>10487</v>
      </c>
      <c r="B10488" s="396" t="s">
        <v>19631</v>
      </c>
      <c r="C10488" s="396" t="s">
        <v>2373</v>
      </c>
      <c r="D10488" s="396" t="s">
        <v>19616</v>
      </c>
      <c r="E10488" s="396" t="s">
        <v>19617</v>
      </c>
      <c r="F10488" s="396" t="s">
        <v>19532</v>
      </c>
    </row>
    <row r="10489">
      <c r="A10489" s="311">
        <v>10488</v>
      </c>
      <c r="B10489" s="396" t="s">
        <v>19632</v>
      </c>
      <c r="C10489" s="396" t="s">
        <v>13338</v>
      </c>
      <c r="D10489" s="396" t="s">
        <v>19616</v>
      </c>
      <c r="E10489" s="396" t="s">
        <v>19617</v>
      </c>
      <c r="F10489" s="396" t="s">
        <v>19532</v>
      </c>
    </row>
    <row r="10490">
      <c r="A10490" s="311">
        <v>10489</v>
      </c>
      <c r="B10490" s="396" t="s">
        <v>19633</v>
      </c>
      <c r="C10490" s="396" t="s">
        <v>18691</v>
      </c>
      <c r="D10490" s="396" t="s">
        <v>19616</v>
      </c>
      <c r="E10490" s="396" t="s">
        <v>19617</v>
      </c>
      <c r="F10490" s="396" t="s">
        <v>19532</v>
      </c>
    </row>
    <row r="10491">
      <c r="A10491" s="311">
        <v>10490</v>
      </c>
      <c r="B10491" s="396" t="s">
        <v>19634</v>
      </c>
      <c r="C10491" s="396" t="s">
        <v>19635</v>
      </c>
      <c r="D10491" s="396" t="s">
        <v>19616</v>
      </c>
      <c r="E10491" s="396" t="s">
        <v>19617</v>
      </c>
      <c r="F10491" s="396" t="s">
        <v>19532</v>
      </c>
    </row>
    <row r="10492">
      <c r="A10492" s="311">
        <v>10491</v>
      </c>
      <c r="B10492" s="396" t="s">
        <v>19636</v>
      </c>
      <c r="C10492" s="396" t="s">
        <v>838</v>
      </c>
      <c r="D10492" s="396" t="s">
        <v>19616</v>
      </c>
      <c r="E10492" s="396" t="s">
        <v>19617</v>
      </c>
      <c r="F10492" s="396" t="s">
        <v>19532</v>
      </c>
    </row>
    <row r="10493">
      <c r="A10493" s="311">
        <v>10492</v>
      </c>
      <c r="B10493" s="396" t="s">
        <v>19637</v>
      </c>
      <c r="C10493" s="396" t="s">
        <v>5755</v>
      </c>
      <c r="D10493" s="396" t="s">
        <v>19616</v>
      </c>
      <c r="E10493" s="396" t="s">
        <v>19617</v>
      </c>
      <c r="F10493" s="396" t="s">
        <v>19532</v>
      </c>
    </row>
    <row r="10494">
      <c r="A10494" s="311">
        <v>10493</v>
      </c>
      <c r="B10494" s="396" t="s">
        <v>19638</v>
      </c>
      <c r="C10494" s="396" t="s">
        <v>19639</v>
      </c>
      <c r="D10494" s="396" t="s">
        <v>19640</v>
      </c>
      <c r="E10494" s="396" t="s">
        <v>19641</v>
      </c>
      <c r="F10494" s="396" t="s">
        <v>19532</v>
      </c>
    </row>
    <row r="10495">
      <c r="A10495" s="311">
        <v>10494</v>
      </c>
      <c r="B10495" s="396" t="s">
        <v>19642</v>
      </c>
      <c r="C10495" s="396" t="s">
        <v>3892</v>
      </c>
      <c r="D10495" s="396" t="s">
        <v>19640</v>
      </c>
      <c r="E10495" s="396" t="s">
        <v>19641</v>
      </c>
      <c r="F10495" s="396" t="s">
        <v>19532</v>
      </c>
    </row>
    <row r="10496">
      <c r="A10496" s="311">
        <v>10495</v>
      </c>
      <c r="B10496" s="396" t="s">
        <v>19643</v>
      </c>
      <c r="C10496" s="396" t="s">
        <v>7852</v>
      </c>
      <c r="D10496" s="396" t="s">
        <v>19640</v>
      </c>
      <c r="E10496" s="396" t="s">
        <v>19641</v>
      </c>
      <c r="F10496" s="396" t="s">
        <v>19532</v>
      </c>
    </row>
    <row r="10497">
      <c r="A10497" s="311">
        <v>10496</v>
      </c>
      <c r="B10497" s="396" t="s">
        <v>19644</v>
      </c>
      <c r="C10497" s="396" t="s">
        <v>18281</v>
      </c>
      <c r="D10497" s="396" t="s">
        <v>19640</v>
      </c>
      <c r="E10497" s="396" t="s">
        <v>19641</v>
      </c>
      <c r="F10497" s="396" t="s">
        <v>19532</v>
      </c>
    </row>
    <row r="10498">
      <c r="A10498" s="311">
        <v>10497</v>
      </c>
      <c r="B10498" s="396" t="s">
        <v>19645</v>
      </c>
      <c r="C10498" s="396" t="s">
        <v>19646</v>
      </c>
      <c r="D10498" s="396" t="s">
        <v>19640</v>
      </c>
      <c r="E10498" s="396" t="s">
        <v>19641</v>
      </c>
      <c r="F10498" s="396" t="s">
        <v>19532</v>
      </c>
    </row>
    <row r="10499">
      <c r="A10499" s="311">
        <v>10498</v>
      </c>
      <c r="B10499" s="396" t="s">
        <v>19647</v>
      </c>
      <c r="C10499" s="396" t="s">
        <v>19648</v>
      </c>
      <c r="D10499" s="396" t="s">
        <v>19640</v>
      </c>
      <c r="E10499" s="396" t="s">
        <v>19641</v>
      </c>
      <c r="F10499" s="396" t="s">
        <v>19532</v>
      </c>
    </row>
    <row r="10500">
      <c r="A10500" s="311">
        <v>10499</v>
      </c>
      <c r="B10500" s="396" t="s">
        <v>19649</v>
      </c>
      <c r="C10500" s="396" t="s">
        <v>19650</v>
      </c>
      <c r="D10500" s="396" t="s">
        <v>19640</v>
      </c>
      <c r="E10500" s="396" t="s">
        <v>19641</v>
      </c>
      <c r="F10500" s="396" t="s">
        <v>19532</v>
      </c>
    </row>
    <row r="10501">
      <c r="A10501" s="311">
        <v>10500</v>
      </c>
      <c r="B10501" s="396" t="s">
        <v>19651</v>
      </c>
      <c r="C10501" s="396" t="s">
        <v>1933</v>
      </c>
      <c r="D10501" s="396" t="s">
        <v>19640</v>
      </c>
      <c r="E10501" s="396" t="s">
        <v>19641</v>
      </c>
      <c r="F10501" s="396" t="s">
        <v>19532</v>
      </c>
    </row>
    <row r="10502">
      <c r="A10502" s="311">
        <v>10501</v>
      </c>
      <c r="B10502" s="396" t="s">
        <v>19652</v>
      </c>
      <c r="C10502" s="396" t="s">
        <v>13689</v>
      </c>
      <c r="D10502" s="396" t="s">
        <v>19640</v>
      </c>
      <c r="E10502" s="396" t="s">
        <v>19641</v>
      </c>
      <c r="F10502" s="396" t="s">
        <v>19532</v>
      </c>
    </row>
    <row r="10503">
      <c r="A10503" s="311">
        <v>10502</v>
      </c>
      <c r="B10503" s="396" t="s">
        <v>19653</v>
      </c>
      <c r="C10503" s="396" t="s">
        <v>19654</v>
      </c>
      <c r="D10503" s="396" t="s">
        <v>19640</v>
      </c>
      <c r="E10503" s="396" t="s">
        <v>19641</v>
      </c>
      <c r="F10503" s="396" t="s">
        <v>19532</v>
      </c>
    </row>
    <row r="10504">
      <c r="A10504" s="311">
        <v>10503</v>
      </c>
      <c r="B10504" s="396" t="s">
        <v>19655</v>
      </c>
      <c r="C10504" s="396" t="s">
        <v>19656</v>
      </c>
      <c r="D10504" s="396" t="s">
        <v>19640</v>
      </c>
      <c r="E10504" s="396" t="s">
        <v>19641</v>
      </c>
      <c r="F10504" s="396" t="s">
        <v>19532</v>
      </c>
    </row>
    <row r="10505">
      <c r="A10505" s="311">
        <v>10504</v>
      </c>
      <c r="B10505" s="396" t="s">
        <v>19657</v>
      </c>
      <c r="C10505" s="396" t="s">
        <v>886</v>
      </c>
      <c r="D10505" s="396" t="s">
        <v>19640</v>
      </c>
      <c r="E10505" s="396" t="s">
        <v>19641</v>
      </c>
      <c r="F10505" s="396" t="s">
        <v>19532</v>
      </c>
    </row>
    <row r="10506">
      <c r="A10506" s="311">
        <v>10505</v>
      </c>
      <c r="B10506" s="396" t="s">
        <v>19658</v>
      </c>
      <c r="C10506" s="396" t="s">
        <v>13451</v>
      </c>
      <c r="D10506" s="396" t="s">
        <v>19640</v>
      </c>
      <c r="E10506" s="396" t="s">
        <v>19641</v>
      </c>
      <c r="F10506" s="396" t="s">
        <v>19532</v>
      </c>
    </row>
    <row r="10507">
      <c r="A10507" s="311">
        <v>10506</v>
      </c>
      <c r="B10507" s="396" t="s">
        <v>19659</v>
      </c>
      <c r="C10507" s="396" t="s">
        <v>19660</v>
      </c>
      <c r="D10507" s="396" t="s">
        <v>19661</v>
      </c>
      <c r="E10507" s="396" t="s">
        <v>19662</v>
      </c>
      <c r="F10507" s="396" t="s">
        <v>19532</v>
      </c>
    </row>
    <row r="10508">
      <c r="A10508" s="311">
        <v>10507</v>
      </c>
      <c r="B10508" s="396" t="s">
        <v>19663</v>
      </c>
      <c r="C10508" s="396" t="s">
        <v>5204</v>
      </c>
      <c r="D10508" s="396" t="s">
        <v>19661</v>
      </c>
      <c r="E10508" s="396" t="s">
        <v>19662</v>
      </c>
      <c r="F10508" s="396" t="s">
        <v>19532</v>
      </c>
    </row>
    <row r="10509">
      <c r="A10509" s="311">
        <v>10508</v>
      </c>
      <c r="B10509" s="396" t="s">
        <v>19664</v>
      </c>
      <c r="C10509" s="396" t="s">
        <v>19665</v>
      </c>
      <c r="D10509" s="396" t="s">
        <v>19661</v>
      </c>
      <c r="E10509" s="396" t="s">
        <v>19662</v>
      </c>
      <c r="F10509" s="396" t="s">
        <v>19532</v>
      </c>
    </row>
    <row r="10510">
      <c r="A10510" s="311">
        <v>10509</v>
      </c>
      <c r="B10510" s="396" t="s">
        <v>19666</v>
      </c>
      <c r="C10510" s="396" t="s">
        <v>19667</v>
      </c>
      <c r="D10510" s="396" t="s">
        <v>19661</v>
      </c>
      <c r="E10510" s="396" t="s">
        <v>19662</v>
      </c>
      <c r="F10510" s="396" t="s">
        <v>19532</v>
      </c>
    </row>
    <row r="10511">
      <c r="A10511" s="311">
        <v>10510</v>
      </c>
      <c r="B10511" s="396" t="s">
        <v>19668</v>
      </c>
      <c r="C10511" s="396" t="s">
        <v>1220</v>
      </c>
      <c r="D10511" s="396" t="s">
        <v>19661</v>
      </c>
      <c r="E10511" s="396" t="s">
        <v>19662</v>
      </c>
      <c r="F10511" s="396" t="s">
        <v>19532</v>
      </c>
    </row>
    <row r="10512">
      <c r="A10512" s="311">
        <v>10511</v>
      </c>
      <c r="B10512" s="396" t="s">
        <v>19669</v>
      </c>
      <c r="C10512" s="396" t="s">
        <v>18414</v>
      </c>
      <c r="D10512" s="396" t="s">
        <v>19661</v>
      </c>
      <c r="E10512" s="396" t="s">
        <v>19662</v>
      </c>
      <c r="F10512" s="396" t="s">
        <v>19532</v>
      </c>
    </row>
    <row r="10513">
      <c r="A10513" s="311">
        <v>10512</v>
      </c>
      <c r="B10513" s="396" t="s">
        <v>19670</v>
      </c>
      <c r="C10513" s="396" t="s">
        <v>19671</v>
      </c>
      <c r="D10513" s="396" t="s">
        <v>19661</v>
      </c>
      <c r="E10513" s="396" t="s">
        <v>19662</v>
      </c>
      <c r="F10513" s="396" t="s">
        <v>19532</v>
      </c>
    </row>
    <row r="10514">
      <c r="A10514" s="311">
        <v>10513</v>
      </c>
      <c r="B10514" s="396" t="s">
        <v>19672</v>
      </c>
      <c r="C10514" s="396" t="s">
        <v>19673</v>
      </c>
      <c r="D10514" s="396" t="s">
        <v>19661</v>
      </c>
      <c r="E10514" s="396" t="s">
        <v>19662</v>
      </c>
      <c r="F10514" s="396" t="s">
        <v>19532</v>
      </c>
    </row>
    <row r="10515">
      <c r="A10515" s="311">
        <v>10514</v>
      </c>
      <c r="B10515" s="396" t="s">
        <v>19674</v>
      </c>
      <c r="C10515" s="396" t="s">
        <v>14356</v>
      </c>
      <c r="D10515" s="396" t="s">
        <v>19661</v>
      </c>
      <c r="E10515" s="396" t="s">
        <v>19662</v>
      </c>
      <c r="F10515" s="396" t="s">
        <v>19532</v>
      </c>
    </row>
    <row r="10516">
      <c r="A10516" s="311">
        <v>10515</v>
      </c>
      <c r="B10516" s="396" t="s">
        <v>19675</v>
      </c>
      <c r="C10516" s="396" t="s">
        <v>10257</v>
      </c>
      <c r="D10516" s="396" t="s">
        <v>19661</v>
      </c>
      <c r="E10516" s="396" t="s">
        <v>19662</v>
      </c>
      <c r="F10516" s="396" t="s">
        <v>19532</v>
      </c>
    </row>
    <row r="10517">
      <c r="A10517" s="311">
        <v>10516</v>
      </c>
      <c r="B10517" s="396" t="s">
        <v>19676</v>
      </c>
      <c r="C10517" s="396" t="s">
        <v>5385</v>
      </c>
      <c r="D10517" s="396" t="s">
        <v>19661</v>
      </c>
      <c r="E10517" s="396" t="s">
        <v>19662</v>
      </c>
      <c r="F10517" s="396" t="s">
        <v>19532</v>
      </c>
    </row>
    <row r="10518">
      <c r="A10518" s="311">
        <v>10517</v>
      </c>
      <c r="B10518" s="396" t="s">
        <v>19677</v>
      </c>
      <c r="C10518" s="396" t="s">
        <v>4747</v>
      </c>
      <c r="D10518" s="396" t="s">
        <v>19661</v>
      </c>
      <c r="E10518" s="396" t="s">
        <v>19662</v>
      </c>
      <c r="F10518" s="396" t="s">
        <v>19532</v>
      </c>
    </row>
    <row r="10519">
      <c r="A10519" s="311">
        <v>10518</v>
      </c>
      <c r="B10519" s="396" t="s">
        <v>19678</v>
      </c>
      <c r="C10519" s="396" t="s">
        <v>19679</v>
      </c>
      <c r="D10519" s="396" t="s">
        <v>19661</v>
      </c>
      <c r="E10519" s="396" t="s">
        <v>19662</v>
      </c>
      <c r="F10519" s="396" t="s">
        <v>19532</v>
      </c>
    </row>
    <row r="10520">
      <c r="A10520" s="311">
        <v>10519</v>
      </c>
      <c r="B10520" s="396" t="s">
        <v>19680</v>
      </c>
      <c r="C10520" s="396" t="s">
        <v>752</v>
      </c>
      <c r="D10520" s="396" t="s">
        <v>19661</v>
      </c>
      <c r="E10520" s="396" t="s">
        <v>19662</v>
      </c>
      <c r="F10520" s="396" t="s">
        <v>19532</v>
      </c>
    </row>
    <row r="10521">
      <c r="A10521" s="311">
        <v>10520</v>
      </c>
      <c r="B10521" s="396" t="s">
        <v>19681</v>
      </c>
      <c r="C10521" s="396" t="s">
        <v>19682</v>
      </c>
      <c r="D10521" s="396" t="s">
        <v>19683</v>
      </c>
      <c r="E10521" s="396" t="s">
        <v>19684</v>
      </c>
      <c r="F10521" s="396" t="s">
        <v>19532</v>
      </c>
    </row>
    <row r="10522">
      <c r="A10522" s="311">
        <v>10521</v>
      </c>
      <c r="B10522" s="396" t="s">
        <v>19685</v>
      </c>
      <c r="C10522" s="396" t="s">
        <v>19686</v>
      </c>
      <c r="D10522" s="396" t="s">
        <v>19683</v>
      </c>
      <c r="E10522" s="396" t="s">
        <v>19684</v>
      </c>
      <c r="F10522" s="396" t="s">
        <v>19532</v>
      </c>
    </row>
    <row r="10523">
      <c r="A10523" s="311">
        <v>10522</v>
      </c>
      <c r="B10523" s="396" t="s">
        <v>19687</v>
      </c>
      <c r="C10523" s="396" t="s">
        <v>19688</v>
      </c>
      <c r="D10523" s="396" t="s">
        <v>19683</v>
      </c>
      <c r="E10523" s="396" t="s">
        <v>19684</v>
      </c>
      <c r="F10523" s="396" t="s">
        <v>19532</v>
      </c>
    </row>
    <row r="10524">
      <c r="A10524" s="311">
        <v>10523</v>
      </c>
      <c r="B10524" s="396" t="s">
        <v>19689</v>
      </c>
      <c r="C10524" s="396" t="s">
        <v>19690</v>
      </c>
      <c r="D10524" s="396" t="s">
        <v>19683</v>
      </c>
      <c r="E10524" s="396" t="s">
        <v>19684</v>
      </c>
      <c r="F10524" s="396" t="s">
        <v>19532</v>
      </c>
    </row>
    <row r="10525">
      <c r="A10525" s="311">
        <v>10524</v>
      </c>
      <c r="B10525" s="396" t="s">
        <v>19691</v>
      </c>
      <c r="C10525" s="396" t="s">
        <v>19692</v>
      </c>
      <c r="D10525" s="396" t="s">
        <v>19683</v>
      </c>
      <c r="E10525" s="396" t="s">
        <v>19684</v>
      </c>
      <c r="F10525" s="396" t="s">
        <v>19532</v>
      </c>
    </row>
    <row r="10526">
      <c r="A10526" s="311">
        <v>10525</v>
      </c>
      <c r="B10526" s="396" t="s">
        <v>19693</v>
      </c>
      <c r="C10526" s="396" t="s">
        <v>19694</v>
      </c>
      <c r="D10526" s="396" t="s">
        <v>19683</v>
      </c>
      <c r="E10526" s="396" t="s">
        <v>19684</v>
      </c>
      <c r="F10526" s="396" t="s">
        <v>19532</v>
      </c>
    </row>
    <row r="10527">
      <c r="A10527" s="311">
        <v>10526</v>
      </c>
      <c r="B10527" s="396" t="s">
        <v>19695</v>
      </c>
      <c r="C10527" s="396" t="s">
        <v>19696</v>
      </c>
      <c r="D10527" s="396" t="s">
        <v>19683</v>
      </c>
      <c r="E10527" s="396" t="s">
        <v>19684</v>
      </c>
      <c r="F10527" s="396" t="s">
        <v>19532</v>
      </c>
    </row>
    <row r="10528">
      <c r="A10528" s="311">
        <v>10527</v>
      </c>
      <c r="B10528" s="396" t="s">
        <v>19697</v>
      </c>
      <c r="C10528" s="396" t="s">
        <v>19698</v>
      </c>
      <c r="D10528" s="396" t="s">
        <v>19683</v>
      </c>
      <c r="E10528" s="396" t="s">
        <v>19684</v>
      </c>
      <c r="F10528" s="396" t="s">
        <v>19532</v>
      </c>
    </row>
    <row r="10529">
      <c r="A10529" s="311">
        <v>10528</v>
      </c>
      <c r="B10529" s="396" t="s">
        <v>19699</v>
      </c>
      <c r="C10529" s="396" t="s">
        <v>19700</v>
      </c>
      <c r="D10529" s="396" t="s">
        <v>19683</v>
      </c>
      <c r="E10529" s="396" t="s">
        <v>19684</v>
      </c>
      <c r="F10529" s="396" t="s">
        <v>19532</v>
      </c>
    </row>
    <row r="10530">
      <c r="A10530" s="311">
        <v>10529</v>
      </c>
      <c r="B10530" s="396" t="s">
        <v>19701</v>
      </c>
      <c r="C10530" s="396" t="s">
        <v>19702</v>
      </c>
      <c r="D10530" s="396" t="s">
        <v>19683</v>
      </c>
      <c r="E10530" s="396" t="s">
        <v>19684</v>
      </c>
      <c r="F10530" s="396" t="s">
        <v>19532</v>
      </c>
    </row>
    <row r="10531">
      <c r="A10531" s="311">
        <v>10530</v>
      </c>
      <c r="B10531" s="396" t="s">
        <v>19703</v>
      </c>
      <c r="C10531" s="396" t="s">
        <v>19704</v>
      </c>
      <c r="D10531" s="396" t="s">
        <v>19683</v>
      </c>
      <c r="E10531" s="396" t="s">
        <v>19684</v>
      </c>
      <c r="F10531" s="396" t="s">
        <v>19532</v>
      </c>
    </row>
    <row r="10532">
      <c r="A10532" s="311">
        <v>10531</v>
      </c>
      <c r="B10532" s="396" t="s">
        <v>19705</v>
      </c>
      <c r="C10532" s="396" t="s">
        <v>19706</v>
      </c>
      <c r="D10532" s="396" t="s">
        <v>19683</v>
      </c>
      <c r="E10532" s="396" t="s">
        <v>19684</v>
      </c>
      <c r="F10532" s="396" t="s">
        <v>19532</v>
      </c>
    </row>
    <row r="10533">
      <c r="A10533" s="311">
        <v>10532</v>
      </c>
      <c r="B10533" s="396" t="s">
        <v>19707</v>
      </c>
      <c r="C10533" s="396" t="s">
        <v>19708</v>
      </c>
      <c r="D10533" s="396" t="s">
        <v>19683</v>
      </c>
      <c r="E10533" s="396" t="s">
        <v>19684</v>
      </c>
      <c r="F10533" s="396" t="s">
        <v>19532</v>
      </c>
    </row>
    <row r="10534">
      <c r="A10534" s="311">
        <v>10533</v>
      </c>
      <c r="B10534" s="396" t="s">
        <v>19709</v>
      </c>
      <c r="C10534" s="396" t="s">
        <v>19710</v>
      </c>
      <c r="D10534" s="396" t="s">
        <v>19683</v>
      </c>
      <c r="E10534" s="396" t="s">
        <v>19684</v>
      </c>
      <c r="F10534" s="396" t="s">
        <v>19532</v>
      </c>
    </row>
    <row r="10535">
      <c r="A10535" s="311">
        <v>10534</v>
      </c>
      <c r="B10535" s="396" t="s">
        <v>19711</v>
      </c>
      <c r="C10535" s="396" t="s">
        <v>19712</v>
      </c>
      <c r="D10535" s="396" t="s">
        <v>19683</v>
      </c>
      <c r="E10535" s="396" t="s">
        <v>19684</v>
      </c>
      <c r="F10535" s="396" t="s">
        <v>19532</v>
      </c>
    </row>
    <row r="10536">
      <c r="A10536" s="311">
        <v>10535</v>
      </c>
      <c r="B10536" s="396" t="s">
        <v>19713</v>
      </c>
      <c r="C10536" s="396" t="s">
        <v>5938</v>
      </c>
      <c r="D10536" s="396" t="s">
        <v>19714</v>
      </c>
      <c r="E10536" s="396" t="s">
        <v>16827</v>
      </c>
      <c r="F10536" s="396" t="s">
        <v>19532</v>
      </c>
    </row>
    <row r="10537">
      <c r="A10537" s="311">
        <v>10536</v>
      </c>
      <c r="B10537" s="396" t="s">
        <v>19715</v>
      </c>
      <c r="C10537" s="396" t="s">
        <v>6720</v>
      </c>
      <c r="D10537" s="396" t="s">
        <v>19714</v>
      </c>
      <c r="E10537" s="396" t="s">
        <v>16827</v>
      </c>
      <c r="F10537" s="396" t="s">
        <v>19532</v>
      </c>
    </row>
    <row r="10538">
      <c r="A10538" s="311">
        <v>10537</v>
      </c>
      <c r="B10538" s="396" t="s">
        <v>19716</v>
      </c>
      <c r="C10538" s="396" t="s">
        <v>19717</v>
      </c>
      <c r="D10538" s="396" t="s">
        <v>19714</v>
      </c>
      <c r="E10538" s="396" t="s">
        <v>16827</v>
      </c>
      <c r="F10538" s="396" t="s">
        <v>19532</v>
      </c>
    </row>
    <row r="10539">
      <c r="A10539" s="311">
        <v>10538</v>
      </c>
      <c r="B10539" s="396" t="s">
        <v>19718</v>
      </c>
      <c r="C10539" s="396" t="s">
        <v>19719</v>
      </c>
      <c r="D10539" s="396" t="s">
        <v>19714</v>
      </c>
      <c r="E10539" s="396" t="s">
        <v>16827</v>
      </c>
      <c r="F10539" s="396" t="s">
        <v>19532</v>
      </c>
    </row>
    <row r="10540">
      <c r="A10540" s="311">
        <v>10539</v>
      </c>
      <c r="B10540" s="396" t="s">
        <v>19720</v>
      </c>
      <c r="C10540" s="396" t="s">
        <v>13660</v>
      </c>
      <c r="D10540" s="396" t="s">
        <v>19714</v>
      </c>
      <c r="E10540" s="396" t="s">
        <v>16827</v>
      </c>
      <c r="F10540" s="396" t="s">
        <v>19532</v>
      </c>
    </row>
    <row r="10541">
      <c r="A10541" s="311">
        <v>10540</v>
      </c>
      <c r="B10541" s="396" t="s">
        <v>19721</v>
      </c>
      <c r="C10541" s="396" t="s">
        <v>18116</v>
      </c>
      <c r="D10541" s="396" t="s">
        <v>19714</v>
      </c>
      <c r="E10541" s="396" t="s">
        <v>16827</v>
      </c>
      <c r="F10541" s="396" t="s">
        <v>19532</v>
      </c>
    </row>
    <row r="10542">
      <c r="A10542" s="311">
        <v>10541</v>
      </c>
      <c r="B10542" s="396" t="s">
        <v>19722</v>
      </c>
      <c r="C10542" s="396" t="s">
        <v>9282</v>
      </c>
      <c r="D10542" s="396" t="s">
        <v>19714</v>
      </c>
      <c r="E10542" s="396" t="s">
        <v>16827</v>
      </c>
      <c r="F10542" s="396" t="s">
        <v>19532</v>
      </c>
    </row>
    <row r="10543">
      <c r="A10543" s="311">
        <v>10542</v>
      </c>
      <c r="B10543" s="396" t="s">
        <v>19723</v>
      </c>
      <c r="C10543" s="396" t="s">
        <v>7935</v>
      </c>
      <c r="D10543" s="396" t="s">
        <v>19714</v>
      </c>
      <c r="E10543" s="396" t="s">
        <v>16827</v>
      </c>
      <c r="F10543" s="396" t="s">
        <v>19532</v>
      </c>
    </row>
    <row r="10544">
      <c r="A10544" s="311">
        <v>10543</v>
      </c>
      <c r="B10544" s="396" t="s">
        <v>19724</v>
      </c>
      <c r="C10544" s="396" t="s">
        <v>19725</v>
      </c>
      <c r="D10544" s="396" t="s">
        <v>19714</v>
      </c>
      <c r="E10544" s="396" t="s">
        <v>16827</v>
      </c>
      <c r="F10544" s="396" t="s">
        <v>19532</v>
      </c>
    </row>
    <row r="10545">
      <c r="A10545" s="311">
        <v>10544</v>
      </c>
      <c r="B10545" s="396" t="s">
        <v>19726</v>
      </c>
      <c r="C10545" s="396" t="s">
        <v>2503</v>
      </c>
      <c r="D10545" s="396" t="s">
        <v>19714</v>
      </c>
      <c r="E10545" s="396" t="s">
        <v>16827</v>
      </c>
      <c r="F10545" s="396" t="s">
        <v>19532</v>
      </c>
    </row>
    <row r="10546">
      <c r="A10546" s="311">
        <v>10545</v>
      </c>
      <c r="B10546" s="396" t="s">
        <v>19727</v>
      </c>
      <c r="C10546" s="396" t="s">
        <v>19728</v>
      </c>
      <c r="D10546" s="396" t="s">
        <v>19714</v>
      </c>
      <c r="E10546" s="396" t="s">
        <v>16827</v>
      </c>
      <c r="F10546" s="396" t="s">
        <v>19532</v>
      </c>
    </row>
    <row r="10547">
      <c r="A10547" s="311">
        <v>10546</v>
      </c>
      <c r="B10547" s="396" t="s">
        <v>19729</v>
      </c>
      <c r="C10547" s="396" t="s">
        <v>830</v>
      </c>
      <c r="D10547" s="396" t="s">
        <v>19714</v>
      </c>
      <c r="E10547" s="396" t="s">
        <v>16827</v>
      </c>
      <c r="F10547" s="396" t="s">
        <v>19532</v>
      </c>
    </row>
    <row r="10548">
      <c r="A10548" s="311">
        <v>10547</v>
      </c>
      <c r="B10548" s="396" t="s">
        <v>19730</v>
      </c>
      <c r="C10548" s="396" t="s">
        <v>10064</v>
      </c>
      <c r="D10548" s="396" t="s">
        <v>19714</v>
      </c>
      <c r="E10548" s="396" t="s">
        <v>16827</v>
      </c>
      <c r="F10548" s="396" t="s">
        <v>19532</v>
      </c>
    </row>
    <row r="10549">
      <c r="A10549" s="311">
        <v>10548</v>
      </c>
      <c r="B10549" s="396" t="s">
        <v>19731</v>
      </c>
      <c r="C10549" s="396" t="s">
        <v>2202</v>
      </c>
      <c r="D10549" s="396" t="s">
        <v>19732</v>
      </c>
      <c r="E10549" s="396" t="s">
        <v>2204</v>
      </c>
      <c r="F10549" s="396" t="s">
        <v>19532</v>
      </c>
    </row>
    <row r="10550">
      <c r="A10550" s="311">
        <v>10549</v>
      </c>
      <c r="B10550" s="396" t="s">
        <v>19733</v>
      </c>
      <c r="C10550" s="396" t="s">
        <v>19734</v>
      </c>
      <c r="D10550" s="396" t="s">
        <v>19732</v>
      </c>
      <c r="E10550" s="396" t="s">
        <v>2204</v>
      </c>
      <c r="F10550" s="396" t="s">
        <v>19532</v>
      </c>
    </row>
    <row r="10551">
      <c r="A10551" s="311">
        <v>10550</v>
      </c>
      <c r="B10551" s="396" t="s">
        <v>19735</v>
      </c>
      <c r="C10551" s="396" t="s">
        <v>19736</v>
      </c>
      <c r="D10551" s="396" t="s">
        <v>19732</v>
      </c>
      <c r="E10551" s="396" t="s">
        <v>2204</v>
      </c>
      <c r="F10551" s="396" t="s">
        <v>19532</v>
      </c>
    </row>
    <row r="10552">
      <c r="A10552" s="311">
        <v>10551</v>
      </c>
      <c r="B10552" s="396" t="s">
        <v>19737</v>
      </c>
      <c r="C10552" s="396" t="s">
        <v>19738</v>
      </c>
      <c r="D10552" s="396" t="s">
        <v>19732</v>
      </c>
      <c r="E10552" s="396" t="s">
        <v>2204</v>
      </c>
      <c r="F10552" s="396" t="s">
        <v>19532</v>
      </c>
    </row>
    <row r="10553">
      <c r="A10553" s="311">
        <v>10552</v>
      </c>
      <c r="B10553" s="396" t="s">
        <v>19739</v>
      </c>
      <c r="C10553" s="396" t="s">
        <v>19740</v>
      </c>
      <c r="D10553" s="396" t="s">
        <v>19732</v>
      </c>
      <c r="E10553" s="396" t="s">
        <v>2204</v>
      </c>
      <c r="F10553" s="396" t="s">
        <v>19532</v>
      </c>
    </row>
    <row r="10554">
      <c r="A10554" s="311">
        <v>10553</v>
      </c>
      <c r="B10554" s="396" t="s">
        <v>19741</v>
      </c>
      <c r="C10554" s="396" t="s">
        <v>19742</v>
      </c>
      <c r="D10554" s="396" t="s">
        <v>19732</v>
      </c>
      <c r="E10554" s="396" t="s">
        <v>2204</v>
      </c>
      <c r="F10554" s="396" t="s">
        <v>19532</v>
      </c>
    </row>
    <row r="10555">
      <c r="A10555" s="311">
        <v>10554</v>
      </c>
      <c r="B10555" s="396" t="s">
        <v>19743</v>
      </c>
      <c r="C10555" s="396" t="s">
        <v>19744</v>
      </c>
      <c r="D10555" s="396" t="s">
        <v>19732</v>
      </c>
      <c r="E10555" s="396" t="s">
        <v>2204</v>
      </c>
      <c r="F10555" s="396" t="s">
        <v>19532</v>
      </c>
    </row>
    <row r="10556">
      <c r="A10556" s="311">
        <v>10555</v>
      </c>
      <c r="B10556" s="396" t="s">
        <v>19745</v>
      </c>
      <c r="C10556" s="396" t="s">
        <v>16263</v>
      </c>
      <c r="D10556" s="396" t="s">
        <v>19732</v>
      </c>
      <c r="E10556" s="396" t="s">
        <v>2204</v>
      </c>
      <c r="F10556" s="396" t="s">
        <v>19532</v>
      </c>
    </row>
    <row r="10557">
      <c r="A10557" s="311">
        <v>10556</v>
      </c>
      <c r="B10557" s="396" t="s">
        <v>19746</v>
      </c>
      <c r="C10557" s="396" t="s">
        <v>14110</v>
      </c>
      <c r="D10557" s="396" t="s">
        <v>19732</v>
      </c>
      <c r="E10557" s="396" t="s">
        <v>2204</v>
      </c>
      <c r="F10557" s="396" t="s">
        <v>19532</v>
      </c>
    </row>
    <row r="10558">
      <c r="A10558" s="311">
        <v>10557</v>
      </c>
      <c r="B10558" s="396" t="s">
        <v>19747</v>
      </c>
      <c r="C10558" s="396" t="s">
        <v>5928</v>
      </c>
      <c r="D10558" s="396" t="s">
        <v>19732</v>
      </c>
      <c r="E10558" s="396" t="s">
        <v>2204</v>
      </c>
      <c r="F10558" s="396" t="s">
        <v>19532</v>
      </c>
    </row>
    <row r="10559">
      <c r="A10559" s="311">
        <v>10558</v>
      </c>
      <c r="B10559" s="396" t="s">
        <v>19748</v>
      </c>
      <c r="C10559" s="396" t="s">
        <v>14200</v>
      </c>
      <c r="D10559" s="396" t="s">
        <v>19732</v>
      </c>
      <c r="E10559" s="396" t="s">
        <v>2204</v>
      </c>
      <c r="F10559" s="396" t="s">
        <v>19532</v>
      </c>
    </row>
    <row r="10560">
      <c r="A10560" s="311">
        <v>10559</v>
      </c>
      <c r="B10560" s="396" t="s">
        <v>19749</v>
      </c>
      <c r="C10560" s="396" t="s">
        <v>16574</v>
      </c>
      <c r="D10560" s="396" t="s">
        <v>19732</v>
      </c>
      <c r="E10560" s="396" t="s">
        <v>2204</v>
      </c>
      <c r="F10560" s="396" t="s">
        <v>19532</v>
      </c>
    </row>
    <row r="10561">
      <c r="A10561" s="311">
        <v>10560</v>
      </c>
      <c r="B10561" s="396" t="s">
        <v>19750</v>
      </c>
      <c r="C10561" s="396" t="s">
        <v>19751</v>
      </c>
      <c r="D10561" s="396" t="s">
        <v>19732</v>
      </c>
      <c r="E10561" s="396" t="s">
        <v>2204</v>
      </c>
      <c r="F10561" s="396" t="s">
        <v>19532</v>
      </c>
    </row>
    <row r="10562">
      <c r="A10562" s="311">
        <v>10561</v>
      </c>
      <c r="B10562" s="396" t="s">
        <v>19752</v>
      </c>
      <c r="C10562" s="396" t="s">
        <v>19753</v>
      </c>
      <c r="D10562" s="396" t="s">
        <v>19732</v>
      </c>
      <c r="E10562" s="396" t="s">
        <v>2204</v>
      </c>
      <c r="F10562" s="396" t="s">
        <v>19532</v>
      </c>
    </row>
    <row r="10563">
      <c r="A10563" s="311">
        <v>10562</v>
      </c>
      <c r="B10563" s="396" t="s">
        <v>19754</v>
      </c>
      <c r="C10563" s="396" t="s">
        <v>19755</v>
      </c>
      <c r="D10563" s="396" t="s">
        <v>19732</v>
      </c>
      <c r="E10563" s="396" t="s">
        <v>2204</v>
      </c>
      <c r="F10563" s="396" t="s">
        <v>19532</v>
      </c>
    </row>
    <row r="10564">
      <c r="A10564" s="311">
        <v>10563</v>
      </c>
      <c r="B10564" s="396" t="s">
        <v>19756</v>
      </c>
      <c r="C10564" s="396" t="s">
        <v>19757</v>
      </c>
      <c r="D10564" s="396" t="s">
        <v>19732</v>
      </c>
      <c r="E10564" s="396" t="s">
        <v>2204</v>
      </c>
      <c r="F10564" s="396" t="s">
        <v>19532</v>
      </c>
    </row>
    <row r="10565">
      <c r="A10565" s="311">
        <v>10564</v>
      </c>
      <c r="B10565" s="396" t="s">
        <v>19758</v>
      </c>
      <c r="C10565" s="396" t="s">
        <v>1014</v>
      </c>
      <c r="D10565" s="396" t="s">
        <v>19732</v>
      </c>
      <c r="E10565" s="396" t="s">
        <v>2204</v>
      </c>
      <c r="F10565" s="396" t="s">
        <v>19532</v>
      </c>
    </row>
    <row r="10566">
      <c r="A10566" s="311">
        <v>10565</v>
      </c>
      <c r="B10566" s="396" t="s">
        <v>19759</v>
      </c>
      <c r="C10566" s="396" t="s">
        <v>2385</v>
      </c>
      <c r="D10566" s="396" t="s">
        <v>19732</v>
      </c>
      <c r="E10566" s="396" t="s">
        <v>2204</v>
      </c>
      <c r="F10566" s="396" t="s">
        <v>19532</v>
      </c>
    </row>
    <row r="10567">
      <c r="A10567" s="311">
        <v>10566</v>
      </c>
      <c r="B10567" s="396" t="s">
        <v>19760</v>
      </c>
      <c r="C10567" s="396" t="s">
        <v>19761</v>
      </c>
      <c r="D10567" s="396" t="s">
        <v>19762</v>
      </c>
      <c r="E10567" s="396" t="s">
        <v>19763</v>
      </c>
      <c r="F10567" s="396" t="s">
        <v>19532</v>
      </c>
    </row>
    <row r="10568">
      <c r="A10568" s="311">
        <v>10567</v>
      </c>
      <c r="B10568" s="396" t="s">
        <v>19764</v>
      </c>
      <c r="C10568" s="396" t="s">
        <v>15463</v>
      </c>
      <c r="D10568" s="396" t="s">
        <v>19762</v>
      </c>
      <c r="E10568" s="396" t="s">
        <v>19763</v>
      </c>
      <c r="F10568" s="396" t="s">
        <v>19532</v>
      </c>
    </row>
    <row r="10569">
      <c r="A10569" s="311">
        <v>10568</v>
      </c>
      <c r="B10569" s="396" t="s">
        <v>19765</v>
      </c>
      <c r="C10569" s="396" t="s">
        <v>19766</v>
      </c>
      <c r="D10569" s="396" t="s">
        <v>19762</v>
      </c>
      <c r="E10569" s="396" t="s">
        <v>19763</v>
      </c>
      <c r="F10569" s="396" t="s">
        <v>19532</v>
      </c>
    </row>
    <row r="10570">
      <c r="A10570" s="311">
        <v>10569</v>
      </c>
      <c r="B10570" s="396" t="s">
        <v>19767</v>
      </c>
      <c r="C10570" s="396" t="s">
        <v>14155</v>
      </c>
      <c r="D10570" s="396" t="s">
        <v>19762</v>
      </c>
      <c r="E10570" s="396" t="s">
        <v>19763</v>
      </c>
      <c r="F10570" s="396" t="s">
        <v>19532</v>
      </c>
    </row>
    <row r="10571">
      <c r="A10571" s="311">
        <v>10570</v>
      </c>
      <c r="B10571" s="396" t="s">
        <v>19768</v>
      </c>
      <c r="C10571" s="396" t="s">
        <v>3923</v>
      </c>
      <c r="D10571" s="396" t="s">
        <v>19762</v>
      </c>
      <c r="E10571" s="396" t="s">
        <v>19763</v>
      </c>
      <c r="F10571" s="396" t="s">
        <v>19532</v>
      </c>
    </row>
    <row r="10572">
      <c r="A10572" s="311">
        <v>10571</v>
      </c>
      <c r="B10572" s="396" t="s">
        <v>19769</v>
      </c>
      <c r="C10572" s="396" t="s">
        <v>6371</v>
      </c>
      <c r="D10572" s="396" t="s">
        <v>19762</v>
      </c>
      <c r="E10572" s="396" t="s">
        <v>19763</v>
      </c>
      <c r="F10572" s="396" t="s">
        <v>19532</v>
      </c>
    </row>
    <row r="10573">
      <c r="A10573" s="311">
        <v>10572</v>
      </c>
      <c r="B10573" s="396" t="s">
        <v>19770</v>
      </c>
      <c r="C10573" s="396" t="s">
        <v>19771</v>
      </c>
      <c r="D10573" s="396" t="s">
        <v>19762</v>
      </c>
      <c r="E10573" s="396" t="s">
        <v>19763</v>
      </c>
      <c r="F10573" s="396" t="s">
        <v>19532</v>
      </c>
    </row>
    <row r="10574">
      <c r="A10574" s="311">
        <v>10573</v>
      </c>
      <c r="B10574" s="396" t="s">
        <v>19772</v>
      </c>
      <c r="C10574" s="396" t="s">
        <v>12825</v>
      </c>
      <c r="D10574" s="396" t="s">
        <v>19762</v>
      </c>
      <c r="E10574" s="396" t="s">
        <v>19763</v>
      </c>
      <c r="F10574" s="396" t="s">
        <v>19532</v>
      </c>
    </row>
    <row r="10575">
      <c r="A10575" s="311">
        <v>10574</v>
      </c>
      <c r="B10575" s="396" t="s">
        <v>19773</v>
      </c>
      <c r="C10575" s="396" t="s">
        <v>19774</v>
      </c>
      <c r="D10575" s="396" t="s">
        <v>19762</v>
      </c>
      <c r="E10575" s="396" t="s">
        <v>19763</v>
      </c>
      <c r="F10575" s="396" t="s">
        <v>19532</v>
      </c>
    </row>
    <row r="10576">
      <c r="A10576" s="311">
        <v>10575</v>
      </c>
      <c r="B10576" s="396" t="s">
        <v>19775</v>
      </c>
      <c r="C10576" s="396" t="s">
        <v>19776</v>
      </c>
      <c r="D10576" s="396" t="s">
        <v>19762</v>
      </c>
      <c r="E10576" s="396" t="s">
        <v>19763</v>
      </c>
      <c r="F10576" s="396" t="s">
        <v>19532</v>
      </c>
    </row>
    <row r="10577">
      <c r="A10577" s="311">
        <v>10576</v>
      </c>
      <c r="B10577" s="396" t="s">
        <v>19777</v>
      </c>
      <c r="C10577" s="396" t="s">
        <v>10116</v>
      </c>
      <c r="D10577" s="396" t="s">
        <v>19762</v>
      </c>
      <c r="E10577" s="396" t="s">
        <v>19763</v>
      </c>
      <c r="F10577" s="396" t="s">
        <v>19532</v>
      </c>
    </row>
    <row r="10578">
      <c r="A10578" s="311">
        <v>10577</v>
      </c>
      <c r="B10578" s="396" t="s">
        <v>19778</v>
      </c>
      <c r="C10578" s="396" t="s">
        <v>19779</v>
      </c>
      <c r="D10578" s="396" t="s">
        <v>19762</v>
      </c>
      <c r="E10578" s="396" t="s">
        <v>19763</v>
      </c>
      <c r="F10578" s="396" t="s">
        <v>19532</v>
      </c>
    </row>
    <row r="10579">
      <c r="A10579" s="311">
        <v>10578</v>
      </c>
      <c r="B10579" s="396" t="s">
        <v>19780</v>
      </c>
      <c r="C10579" s="396" t="s">
        <v>19781</v>
      </c>
      <c r="D10579" s="396" t="s">
        <v>19762</v>
      </c>
      <c r="E10579" s="396" t="s">
        <v>19763</v>
      </c>
      <c r="F10579" s="396" t="s">
        <v>19532</v>
      </c>
    </row>
    <row r="10580">
      <c r="A10580" s="311">
        <v>10579</v>
      </c>
      <c r="B10580" s="396" t="s">
        <v>19782</v>
      </c>
      <c r="C10580" s="396" t="s">
        <v>19783</v>
      </c>
      <c r="D10580" s="396" t="s">
        <v>19762</v>
      </c>
      <c r="E10580" s="396" t="s">
        <v>19763</v>
      </c>
      <c r="F10580" s="396" t="s">
        <v>19532</v>
      </c>
    </row>
    <row r="10581">
      <c r="A10581" s="311">
        <v>10580</v>
      </c>
      <c r="B10581" s="396" t="s">
        <v>19784</v>
      </c>
      <c r="C10581" s="396" t="s">
        <v>19785</v>
      </c>
      <c r="D10581" s="396" t="s">
        <v>19762</v>
      </c>
      <c r="E10581" s="396" t="s">
        <v>19763</v>
      </c>
      <c r="F10581" s="396" t="s">
        <v>19532</v>
      </c>
    </row>
    <row r="10582">
      <c r="A10582" s="311">
        <v>10581</v>
      </c>
      <c r="B10582" s="396" t="s">
        <v>19786</v>
      </c>
      <c r="C10582" s="396" t="s">
        <v>4690</v>
      </c>
      <c r="D10582" s="396" t="s">
        <v>19762</v>
      </c>
      <c r="E10582" s="396" t="s">
        <v>19763</v>
      </c>
      <c r="F10582" s="396" t="s">
        <v>19532</v>
      </c>
    </row>
    <row r="10583">
      <c r="A10583" s="311">
        <v>10582</v>
      </c>
      <c r="B10583" s="396" t="s">
        <v>19787</v>
      </c>
      <c r="C10583" s="396" t="s">
        <v>19788</v>
      </c>
      <c r="D10583" s="396" t="s">
        <v>19762</v>
      </c>
      <c r="E10583" s="396" t="s">
        <v>19763</v>
      </c>
      <c r="F10583" s="396" t="s">
        <v>19532</v>
      </c>
    </row>
    <row r="10584">
      <c r="A10584" s="311">
        <v>10583</v>
      </c>
      <c r="B10584" s="396" t="s">
        <v>19789</v>
      </c>
      <c r="C10584" s="396" t="s">
        <v>19790</v>
      </c>
      <c r="D10584" s="396" t="s">
        <v>19791</v>
      </c>
      <c r="E10584" s="396" t="s">
        <v>19792</v>
      </c>
      <c r="F10584" s="396" t="s">
        <v>19793</v>
      </c>
    </row>
    <row r="10585">
      <c r="A10585" s="311">
        <v>10584</v>
      </c>
      <c r="B10585" s="396" t="s">
        <v>19794</v>
      </c>
      <c r="C10585" s="396" t="s">
        <v>19795</v>
      </c>
      <c r="D10585" s="396" t="s">
        <v>19791</v>
      </c>
      <c r="E10585" s="396" t="s">
        <v>19792</v>
      </c>
      <c r="F10585" s="396" t="s">
        <v>19793</v>
      </c>
    </row>
    <row r="10586">
      <c r="A10586" s="311">
        <v>10585</v>
      </c>
      <c r="B10586" s="396" t="s">
        <v>19796</v>
      </c>
      <c r="C10586" s="396" t="s">
        <v>19797</v>
      </c>
      <c r="D10586" s="396" t="s">
        <v>19791</v>
      </c>
      <c r="E10586" s="396" t="s">
        <v>19792</v>
      </c>
      <c r="F10586" s="396" t="s">
        <v>19793</v>
      </c>
    </row>
    <row r="10587">
      <c r="A10587" s="311">
        <v>10586</v>
      </c>
      <c r="B10587" s="396" t="s">
        <v>19798</v>
      </c>
      <c r="C10587" s="396" t="s">
        <v>19799</v>
      </c>
      <c r="D10587" s="396" t="s">
        <v>19791</v>
      </c>
      <c r="E10587" s="396" t="s">
        <v>19792</v>
      </c>
      <c r="F10587" s="396" t="s">
        <v>19793</v>
      </c>
    </row>
    <row r="10588">
      <c r="A10588" s="311">
        <v>10587</v>
      </c>
      <c r="B10588" s="396" t="s">
        <v>19800</v>
      </c>
      <c r="C10588" s="396" t="s">
        <v>19801</v>
      </c>
      <c r="D10588" s="396" t="s">
        <v>19791</v>
      </c>
      <c r="E10588" s="396" t="s">
        <v>19792</v>
      </c>
      <c r="F10588" s="396" t="s">
        <v>19793</v>
      </c>
    </row>
    <row r="10589">
      <c r="A10589" s="311">
        <v>10588</v>
      </c>
      <c r="B10589" s="396" t="s">
        <v>19802</v>
      </c>
      <c r="C10589" s="396" t="s">
        <v>19803</v>
      </c>
      <c r="D10589" s="396" t="s">
        <v>19791</v>
      </c>
      <c r="E10589" s="396" t="s">
        <v>19792</v>
      </c>
      <c r="F10589" s="396" t="s">
        <v>19793</v>
      </c>
    </row>
    <row r="10590">
      <c r="A10590" s="311">
        <v>10589</v>
      </c>
      <c r="B10590" s="396" t="s">
        <v>19804</v>
      </c>
      <c r="C10590" s="396" t="s">
        <v>12754</v>
      </c>
      <c r="D10590" s="396" t="s">
        <v>19791</v>
      </c>
      <c r="E10590" s="396" t="s">
        <v>19792</v>
      </c>
      <c r="F10590" s="396" t="s">
        <v>19793</v>
      </c>
    </row>
    <row r="10591">
      <c r="A10591" s="311">
        <v>10590</v>
      </c>
      <c r="B10591" s="396" t="s">
        <v>19805</v>
      </c>
      <c r="C10591" s="396" t="s">
        <v>15365</v>
      </c>
      <c r="D10591" s="396" t="s">
        <v>19791</v>
      </c>
      <c r="E10591" s="396" t="s">
        <v>19792</v>
      </c>
      <c r="F10591" s="396" t="s">
        <v>19793</v>
      </c>
    </row>
    <row r="10592">
      <c r="A10592" s="311">
        <v>10591</v>
      </c>
      <c r="B10592" s="396" t="s">
        <v>19806</v>
      </c>
      <c r="C10592" s="396" t="s">
        <v>19807</v>
      </c>
      <c r="D10592" s="396" t="s">
        <v>19791</v>
      </c>
      <c r="E10592" s="396" t="s">
        <v>19792</v>
      </c>
      <c r="F10592" s="396" t="s">
        <v>19793</v>
      </c>
    </row>
    <row r="10593">
      <c r="A10593" s="311">
        <v>10592</v>
      </c>
      <c r="B10593" s="396" t="s">
        <v>19808</v>
      </c>
      <c r="C10593" s="396" t="s">
        <v>19809</v>
      </c>
      <c r="D10593" s="396" t="s">
        <v>19791</v>
      </c>
      <c r="E10593" s="396" t="s">
        <v>19792</v>
      </c>
      <c r="F10593" s="396" t="s">
        <v>19793</v>
      </c>
    </row>
    <row r="10594">
      <c r="A10594" s="311">
        <v>10593</v>
      </c>
      <c r="B10594" s="396" t="s">
        <v>19810</v>
      </c>
      <c r="C10594" s="396" t="s">
        <v>19811</v>
      </c>
      <c r="D10594" s="396" t="s">
        <v>19791</v>
      </c>
      <c r="E10594" s="396" t="s">
        <v>19792</v>
      </c>
      <c r="F10594" s="396" t="s">
        <v>19793</v>
      </c>
    </row>
    <row r="10595">
      <c r="A10595" s="311">
        <v>10594</v>
      </c>
      <c r="B10595" s="396" t="s">
        <v>19812</v>
      </c>
      <c r="C10595" s="396" t="s">
        <v>19813</v>
      </c>
      <c r="D10595" s="396" t="s">
        <v>19791</v>
      </c>
      <c r="E10595" s="396" t="s">
        <v>19792</v>
      </c>
      <c r="F10595" s="396" t="s">
        <v>19793</v>
      </c>
    </row>
    <row r="10596">
      <c r="A10596" s="311">
        <v>10595</v>
      </c>
      <c r="B10596" s="396" t="s">
        <v>19814</v>
      </c>
      <c r="C10596" s="396" t="s">
        <v>19815</v>
      </c>
      <c r="D10596" s="396" t="s">
        <v>19816</v>
      </c>
      <c r="E10596" s="396" t="s">
        <v>19817</v>
      </c>
      <c r="F10596" s="396" t="s">
        <v>19793</v>
      </c>
    </row>
    <row r="10597">
      <c r="A10597" s="311">
        <v>10596</v>
      </c>
      <c r="B10597" s="396" t="s">
        <v>19818</v>
      </c>
      <c r="C10597" s="396" t="s">
        <v>19819</v>
      </c>
      <c r="D10597" s="396" t="s">
        <v>19816</v>
      </c>
      <c r="E10597" s="396" t="s">
        <v>19817</v>
      </c>
      <c r="F10597" s="396" t="s">
        <v>19793</v>
      </c>
    </row>
    <row r="10598">
      <c r="A10598" s="311">
        <v>10597</v>
      </c>
      <c r="B10598" s="396" t="s">
        <v>19820</v>
      </c>
      <c r="C10598" s="396" t="s">
        <v>19821</v>
      </c>
      <c r="D10598" s="396" t="s">
        <v>19816</v>
      </c>
      <c r="E10598" s="396" t="s">
        <v>19817</v>
      </c>
      <c r="F10598" s="396" t="s">
        <v>19793</v>
      </c>
    </row>
    <row r="10599">
      <c r="A10599" s="311">
        <v>10598</v>
      </c>
      <c r="B10599" s="396" t="s">
        <v>19822</v>
      </c>
      <c r="C10599" s="396" t="s">
        <v>19823</v>
      </c>
      <c r="D10599" s="396" t="s">
        <v>19816</v>
      </c>
      <c r="E10599" s="396" t="s">
        <v>19817</v>
      </c>
      <c r="F10599" s="396" t="s">
        <v>19793</v>
      </c>
    </row>
    <row r="10600">
      <c r="A10600" s="311">
        <v>10599</v>
      </c>
      <c r="B10600" s="396" t="s">
        <v>19824</v>
      </c>
      <c r="C10600" s="396" t="s">
        <v>7852</v>
      </c>
      <c r="D10600" s="396" t="s">
        <v>19816</v>
      </c>
      <c r="E10600" s="396" t="s">
        <v>19817</v>
      </c>
      <c r="F10600" s="396" t="s">
        <v>19793</v>
      </c>
    </row>
    <row r="10601">
      <c r="A10601" s="311">
        <v>10600</v>
      </c>
      <c r="B10601" s="396" t="s">
        <v>19825</v>
      </c>
      <c r="C10601" s="396" t="s">
        <v>8782</v>
      </c>
      <c r="D10601" s="396" t="s">
        <v>19816</v>
      </c>
      <c r="E10601" s="396" t="s">
        <v>19817</v>
      </c>
      <c r="F10601" s="396" t="s">
        <v>19793</v>
      </c>
    </row>
    <row r="10602">
      <c r="A10602" s="311">
        <v>10601</v>
      </c>
      <c r="B10602" s="396" t="s">
        <v>19826</v>
      </c>
      <c r="C10602" s="396" t="s">
        <v>19827</v>
      </c>
      <c r="D10602" s="396" t="s">
        <v>19816</v>
      </c>
      <c r="E10602" s="396" t="s">
        <v>19817</v>
      </c>
      <c r="F10602" s="396" t="s">
        <v>19793</v>
      </c>
    </row>
    <row r="10603">
      <c r="A10603" s="311">
        <v>10602</v>
      </c>
      <c r="B10603" s="396" t="s">
        <v>19828</v>
      </c>
      <c r="C10603" s="396" t="s">
        <v>19829</v>
      </c>
      <c r="D10603" s="396" t="s">
        <v>19830</v>
      </c>
      <c r="E10603" s="396" t="s">
        <v>19831</v>
      </c>
      <c r="F10603" s="396" t="s">
        <v>19793</v>
      </c>
    </row>
    <row r="10604">
      <c r="A10604" s="311">
        <v>10603</v>
      </c>
      <c r="B10604" s="396" t="s">
        <v>19832</v>
      </c>
      <c r="C10604" s="396" t="s">
        <v>19833</v>
      </c>
      <c r="D10604" s="396" t="s">
        <v>19830</v>
      </c>
      <c r="E10604" s="396" t="s">
        <v>19831</v>
      </c>
      <c r="F10604" s="396" t="s">
        <v>19793</v>
      </c>
    </row>
    <row r="10605">
      <c r="A10605" s="311">
        <v>10604</v>
      </c>
      <c r="B10605" s="396" t="s">
        <v>19834</v>
      </c>
      <c r="C10605" s="396" t="s">
        <v>19835</v>
      </c>
      <c r="D10605" s="396" t="s">
        <v>19830</v>
      </c>
      <c r="E10605" s="396" t="s">
        <v>19831</v>
      </c>
      <c r="F10605" s="396" t="s">
        <v>19793</v>
      </c>
    </row>
    <row r="10606">
      <c r="A10606" s="311">
        <v>10605</v>
      </c>
      <c r="B10606" s="396" t="s">
        <v>19836</v>
      </c>
      <c r="C10606" s="396" t="s">
        <v>12880</v>
      </c>
      <c r="D10606" s="396" t="s">
        <v>19830</v>
      </c>
      <c r="E10606" s="396" t="s">
        <v>19831</v>
      </c>
      <c r="F10606" s="396" t="s">
        <v>19793</v>
      </c>
    </row>
    <row r="10607">
      <c r="A10607" s="311">
        <v>10606</v>
      </c>
      <c r="B10607" s="396" t="s">
        <v>19837</v>
      </c>
      <c r="C10607" s="396" t="s">
        <v>2319</v>
      </c>
      <c r="D10607" s="396" t="s">
        <v>19830</v>
      </c>
      <c r="E10607" s="396" t="s">
        <v>19831</v>
      </c>
      <c r="F10607" s="396" t="s">
        <v>19793</v>
      </c>
    </row>
    <row r="10608">
      <c r="A10608" s="311">
        <v>10607</v>
      </c>
      <c r="B10608" s="396" t="s">
        <v>19838</v>
      </c>
      <c r="C10608" s="396" t="s">
        <v>13442</v>
      </c>
      <c r="D10608" s="396" t="s">
        <v>19830</v>
      </c>
      <c r="E10608" s="396" t="s">
        <v>19831</v>
      </c>
      <c r="F10608" s="396" t="s">
        <v>19793</v>
      </c>
    </row>
    <row r="10609">
      <c r="A10609" s="311">
        <v>10608</v>
      </c>
      <c r="B10609" s="396" t="s">
        <v>19839</v>
      </c>
      <c r="C10609" s="396" t="s">
        <v>2765</v>
      </c>
      <c r="D10609" s="396" t="s">
        <v>19830</v>
      </c>
      <c r="E10609" s="396" t="s">
        <v>19831</v>
      </c>
      <c r="F10609" s="396" t="s">
        <v>19793</v>
      </c>
    </row>
    <row r="10610">
      <c r="A10610" s="311">
        <v>10609</v>
      </c>
      <c r="B10610" s="396" t="s">
        <v>19840</v>
      </c>
      <c r="C10610" s="396" t="s">
        <v>19841</v>
      </c>
      <c r="D10610" s="396" t="s">
        <v>19830</v>
      </c>
      <c r="E10610" s="396" t="s">
        <v>19831</v>
      </c>
      <c r="F10610" s="396" t="s">
        <v>19793</v>
      </c>
    </row>
    <row r="10611">
      <c r="A10611" s="311">
        <v>10610</v>
      </c>
      <c r="B10611" s="396" t="s">
        <v>19842</v>
      </c>
      <c r="C10611" s="396" t="s">
        <v>19843</v>
      </c>
      <c r="D10611" s="396" t="s">
        <v>19844</v>
      </c>
      <c r="E10611" s="396" t="s">
        <v>19845</v>
      </c>
      <c r="F10611" s="396" t="s">
        <v>19793</v>
      </c>
    </row>
    <row r="10612">
      <c r="A10612" s="311">
        <v>10611</v>
      </c>
      <c r="B10612" s="396" t="s">
        <v>19846</v>
      </c>
      <c r="C10612" s="396" t="s">
        <v>282</v>
      </c>
      <c r="D10612" s="396" t="s">
        <v>19844</v>
      </c>
      <c r="E10612" s="396" t="s">
        <v>19845</v>
      </c>
      <c r="F10612" s="396" t="s">
        <v>19793</v>
      </c>
    </row>
    <row r="10613">
      <c r="A10613" s="311">
        <v>10612</v>
      </c>
      <c r="B10613" s="396" t="s">
        <v>19847</v>
      </c>
      <c r="C10613" s="396" t="s">
        <v>4297</v>
      </c>
      <c r="D10613" s="396" t="s">
        <v>19844</v>
      </c>
      <c r="E10613" s="396" t="s">
        <v>19845</v>
      </c>
      <c r="F10613" s="396" t="s">
        <v>19793</v>
      </c>
    </row>
    <row r="10614">
      <c r="A10614" s="311">
        <v>10613</v>
      </c>
      <c r="B10614" s="396" t="s">
        <v>19848</v>
      </c>
      <c r="C10614" s="396" t="s">
        <v>13430</v>
      </c>
      <c r="D10614" s="396" t="s">
        <v>19844</v>
      </c>
      <c r="E10614" s="396" t="s">
        <v>19845</v>
      </c>
      <c r="F10614" s="396" t="s">
        <v>19793</v>
      </c>
    </row>
    <row r="10615">
      <c r="A10615" s="311">
        <v>10614</v>
      </c>
      <c r="B10615" s="396" t="s">
        <v>19849</v>
      </c>
      <c r="C10615" s="396" t="s">
        <v>5819</v>
      </c>
      <c r="D10615" s="396" t="s">
        <v>19844</v>
      </c>
      <c r="E10615" s="396" t="s">
        <v>19845</v>
      </c>
      <c r="F10615" s="396" t="s">
        <v>19793</v>
      </c>
    </row>
    <row r="10616">
      <c r="A10616" s="311">
        <v>10615</v>
      </c>
      <c r="B10616" s="396" t="s">
        <v>19850</v>
      </c>
      <c r="C10616" s="396" t="s">
        <v>19851</v>
      </c>
      <c r="D10616" s="396" t="s">
        <v>19844</v>
      </c>
      <c r="E10616" s="396" t="s">
        <v>19845</v>
      </c>
      <c r="F10616" s="396" t="s">
        <v>19793</v>
      </c>
    </row>
    <row r="10617">
      <c r="A10617" s="311">
        <v>10616</v>
      </c>
      <c r="B10617" s="396" t="s">
        <v>19852</v>
      </c>
      <c r="C10617" s="396" t="s">
        <v>19853</v>
      </c>
      <c r="D10617" s="396" t="s">
        <v>19844</v>
      </c>
      <c r="E10617" s="396" t="s">
        <v>19845</v>
      </c>
      <c r="F10617" s="396" t="s">
        <v>19793</v>
      </c>
    </row>
    <row r="10618">
      <c r="A10618" s="311">
        <v>10617</v>
      </c>
      <c r="B10618" s="396" t="s">
        <v>19854</v>
      </c>
      <c r="C10618" s="396" t="s">
        <v>19855</v>
      </c>
      <c r="D10618" s="396" t="s">
        <v>19844</v>
      </c>
      <c r="E10618" s="396" t="s">
        <v>19845</v>
      </c>
      <c r="F10618" s="396" t="s">
        <v>19793</v>
      </c>
    </row>
    <row r="10619">
      <c r="A10619" s="311">
        <v>10618</v>
      </c>
      <c r="B10619" s="396" t="s">
        <v>19856</v>
      </c>
      <c r="C10619" s="396" t="s">
        <v>3201</v>
      </c>
      <c r="D10619" s="396" t="s">
        <v>19844</v>
      </c>
      <c r="E10619" s="396" t="s">
        <v>19845</v>
      </c>
      <c r="F10619" s="396" t="s">
        <v>19793</v>
      </c>
    </row>
    <row r="10620">
      <c r="A10620" s="311">
        <v>10619</v>
      </c>
      <c r="B10620" s="396" t="s">
        <v>19857</v>
      </c>
      <c r="C10620" s="396" t="s">
        <v>6614</v>
      </c>
      <c r="D10620" s="396" t="s">
        <v>19844</v>
      </c>
      <c r="E10620" s="396" t="s">
        <v>19845</v>
      </c>
      <c r="F10620" s="396" t="s">
        <v>19793</v>
      </c>
    </row>
    <row r="10621">
      <c r="A10621" s="311">
        <v>10620</v>
      </c>
      <c r="B10621" s="396" t="s">
        <v>19858</v>
      </c>
      <c r="C10621" s="396" t="s">
        <v>19859</v>
      </c>
      <c r="D10621" s="396" t="s">
        <v>19844</v>
      </c>
      <c r="E10621" s="396" t="s">
        <v>19845</v>
      </c>
      <c r="F10621" s="396" t="s">
        <v>19793</v>
      </c>
    </row>
    <row r="10622">
      <c r="A10622" s="311">
        <v>10621</v>
      </c>
      <c r="B10622" s="396" t="s">
        <v>19860</v>
      </c>
      <c r="C10622" s="396" t="s">
        <v>19861</v>
      </c>
      <c r="D10622" s="396" t="s">
        <v>19844</v>
      </c>
      <c r="E10622" s="396" t="s">
        <v>19845</v>
      </c>
      <c r="F10622" s="396" t="s">
        <v>19793</v>
      </c>
    </row>
    <row r="10623">
      <c r="A10623" s="311">
        <v>10622</v>
      </c>
      <c r="B10623" s="396" t="s">
        <v>19862</v>
      </c>
      <c r="C10623" s="396" t="s">
        <v>16549</v>
      </c>
      <c r="D10623" s="396" t="s">
        <v>19844</v>
      </c>
      <c r="E10623" s="396" t="s">
        <v>19845</v>
      </c>
      <c r="F10623" s="396" t="s">
        <v>19793</v>
      </c>
    </row>
    <row r="10624">
      <c r="A10624" s="311">
        <v>10623</v>
      </c>
      <c r="B10624" s="396" t="s">
        <v>19863</v>
      </c>
      <c r="C10624" s="396" t="s">
        <v>18474</v>
      </c>
      <c r="D10624" s="396" t="s">
        <v>19844</v>
      </c>
      <c r="E10624" s="396" t="s">
        <v>19845</v>
      </c>
      <c r="F10624" s="396" t="s">
        <v>19793</v>
      </c>
    </row>
    <row r="10625">
      <c r="A10625" s="311">
        <v>10624</v>
      </c>
      <c r="B10625" s="396" t="s">
        <v>19864</v>
      </c>
      <c r="C10625" s="396" t="s">
        <v>18550</v>
      </c>
      <c r="D10625" s="396" t="s">
        <v>19865</v>
      </c>
      <c r="E10625" s="396" t="s">
        <v>19866</v>
      </c>
      <c r="F10625" s="396" t="s">
        <v>19793</v>
      </c>
    </row>
    <row r="10626">
      <c r="A10626" s="311">
        <v>10625</v>
      </c>
      <c r="B10626" s="396" t="s">
        <v>19867</v>
      </c>
      <c r="C10626" s="396" t="s">
        <v>750</v>
      </c>
      <c r="D10626" s="396" t="s">
        <v>19865</v>
      </c>
      <c r="E10626" s="396" t="s">
        <v>19866</v>
      </c>
      <c r="F10626" s="396" t="s">
        <v>19793</v>
      </c>
    </row>
    <row r="10627">
      <c r="A10627" s="311">
        <v>10626</v>
      </c>
      <c r="B10627" s="396" t="s">
        <v>19868</v>
      </c>
      <c r="C10627" s="396" t="s">
        <v>1552</v>
      </c>
      <c r="D10627" s="396" t="s">
        <v>19865</v>
      </c>
      <c r="E10627" s="396" t="s">
        <v>19866</v>
      </c>
      <c r="F10627" s="396" t="s">
        <v>19793</v>
      </c>
    </row>
    <row r="10628">
      <c r="A10628" s="311">
        <v>10627</v>
      </c>
      <c r="B10628" s="396" t="s">
        <v>19869</v>
      </c>
      <c r="C10628" s="396" t="s">
        <v>19870</v>
      </c>
      <c r="D10628" s="396" t="s">
        <v>19865</v>
      </c>
      <c r="E10628" s="396" t="s">
        <v>19866</v>
      </c>
      <c r="F10628" s="396" t="s">
        <v>19793</v>
      </c>
    </row>
    <row r="10629">
      <c r="A10629" s="311">
        <v>10628</v>
      </c>
      <c r="B10629" s="396" t="s">
        <v>19871</v>
      </c>
      <c r="C10629" s="396" t="s">
        <v>838</v>
      </c>
      <c r="D10629" s="396" t="s">
        <v>19865</v>
      </c>
      <c r="E10629" s="396" t="s">
        <v>19866</v>
      </c>
      <c r="F10629" s="396" t="s">
        <v>19793</v>
      </c>
    </row>
    <row r="10630">
      <c r="A10630" s="311">
        <v>10629</v>
      </c>
      <c r="B10630" s="396" t="s">
        <v>19872</v>
      </c>
      <c r="C10630" s="396" t="s">
        <v>19873</v>
      </c>
      <c r="D10630" s="396" t="s">
        <v>19865</v>
      </c>
      <c r="E10630" s="396" t="s">
        <v>19866</v>
      </c>
      <c r="F10630" s="396" t="s">
        <v>19793</v>
      </c>
    </row>
    <row r="10631">
      <c r="A10631" s="311">
        <v>10630</v>
      </c>
      <c r="B10631" s="396" t="s">
        <v>19874</v>
      </c>
      <c r="C10631" s="396" t="s">
        <v>16799</v>
      </c>
      <c r="D10631" s="396" t="s">
        <v>19865</v>
      </c>
      <c r="E10631" s="396" t="s">
        <v>19866</v>
      </c>
      <c r="F10631" s="396" t="s">
        <v>19793</v>
      </c>
    </row>
    <row r="10632">
      <c r="A10632" s="311">
        <v>10631</v>
      </c>
      <c r="B10632" s="396" t="s">
        <v>19875</v>
      </c>
      <c r="C10632" s="396" t="s">
        <v>19876</v>
      </c>
      <c r="D10632" s="396" t="s">
        <v>19865</v>
      </c>
      <c r="E10632" s="396" t="s">
        <v>19866</v>
      </c>
      <c r="F10632" s="396" t="s">
        <v>19793</v>
      </c>
    </row>
    <row r="10633">
      <c r="A10633" s="311">
        <v>10632</v>
      </c>
      <c r="B10633" s="396" t="s">
        <v>19877</v>
      </c>
      <c r="C10633" s="396" t="s">
        <v>2366</v>
      </c>
      <c r="D10633" s="396" t="s">
        <v>19865</v>
      </c>
      <c r="E10633" s="396" t="s">
        <v>19866</v>
      </c>
      <c r="F10633" s="396" t="s">
        <v>19793</v>
      </c>
    </row>
    <row r="10634">
      <c r="A10634" s="311">
        <v>10633</v>
      </c>
      <c r="B10634" s="396" t="s">
        <v>19878</v>
      </c>
      <c r="C10634" s="396" t="s">
        <v>19879</v>
      </c>
      <c r="D10634" s="396" t="s">
        <v>19865</v>
      </c>
      <c r="E10634" s="396" t="s">
        <v>19866</v>
      </c>
      <c r="F10634" s="396" t="s">
        <v>19793</v>
      </c>
    </row>
    <row r="10635">
      <c r="A10635" s="311">
        <v>10634</v>
      </c>
      <c r="B10635" s="396" t="s">
        <v>19880</v>
      </c>
      <c r="C10635" s="396" t="s">
        <v>18070</v>
      </c>
      <c r="D10635" s="396" t="s">
        <v>19865</v>
      </c>
      <c r="E10635" s="396" t="s">
        <v>19866</v>
      </c>
      <c r="F10635" s="396" t="s">
        <v>19793</v>
      </c>
    </row>
    <row r="10636">
      <c r="A10636" s="311">
        <v>10635</v>
      </c>
      <c r="B10636" s="396" t="s">
        <v>19881</v>
      </c>
      <c r="C10636" s="396" t="s">
        <v>19882</v>
      </c>
      <c r="D10636" s="396" t="s">
        <v>19883</v>
      </c>
      <c r="E10636" s="396" t="s">
        <v>16827</v>
      </c>
      <c r="F10636" s="396" t="s">
        <v>19793</v>
      </c>
    </row>
    <row r="10637">
      <c r="A10637" s="311">
        <v>10636</v>
      </c>
      <c r="B10637" s="396" t="s">
        <v>19884</v>
      </c>
      <c r="C10637" s="396" t="s">
        <v>19885</v>
      </c>
      <c r="D10637" s="396" t="s">
        <v>19883</v>
      </c>
      <c r="E10637" s="396" t="s">
        <v>16827</v>
      </c>
      <c r="F10637" s="396" t="s">
        <v>19793</v>
      </c>
    </row>
    <row r="10638">
      <c r="A10638" s="311">
        <v>10637</v>
      </c>
      <c r="B10638" s="396" t="s">
        <v>19886</v>
      </c>
      <c r="C10638" s="396" t="s">
        <v>19887</v>
      </c>
      <c r="D10638" s="396" t="s">
        <v>19883</v>
      </c>
      <c r="E10638" s="396" t="s">
        <v>16827</v>
      </c>
      <c r="F10638" s="396" t="s">
        <v>19793</v>
      </c>
    </row>
    <row r="10639">
      <c r="A10639" s="311">
        <v>10638</v>
      </c>
      <c r="B10639" s="396" t="s">
        <v>19888</v>
      </c>
      <c r="C10639" s="396" t="s">
        <v>19889</v>
      </c>
      <c r="D10639" s="396" t="s">
        <v>19883</v>
      </c>
      <c r="E10639" s="396" t="s">
        <v>16827</v>
      </c>
      <c r="F10639" s="396" t="s">
        <v>19793</v>
      </c>
    </row>
    <row r="10640">
      <c r="A10640" s="311">
        <v>10639</v>
      </c>
      <c r="B10640" s="396" t="s">
        <v>19890</v>
      </c>
      <c r="C10640" s="396" t="s">
        <v>19891</v>
      </c>
      <c r="D10640" s="396" t="s">
        <v>19883</v>
      </c>
      <c r="E10640" s="396" t="s">
        <v>16827</v>
      </c>
      <c r="F10640" s="396" t="s">
        <v>19793</v>
      </c>
    </row>
    <row r="10641">
      <c r="A10641" s="311">
        <v>10640</v>
      </c>
      <c r="B10641" s="396" t="s">
        <v>19892</v>
      </c>
      <c r="C10641" s="396" t="s">
        <v>19893</v>
      </c>
      <c r="D10641" s="396" t="s">
        <v>19883</v>
      </c>
      <c r="E10641" s="396" t="s">
        <v>16827</v>
      </c>
      <c r="F10641" s="396" t="s">
        <v>19793</v>
      </c>
    </row>
    <row r="10642">
      <c r="A10642" s="311">
        <v>10641</v>
      </c>
      <c r="B10642" s="396" t="s">
        <v>19894</v>
      </c>
      <c r="C10642" s="396" t="s">
        <v>19895</v>
      </c>
      <c r="D10642" s="396" t="s">
        <v>19883</v>
      </c>
      <c r="E10642" s="396" t="s">
        <v>16827</v>
      </c>
      <c r="F10642" s="396" t="s">
        <v>19793</v>
      </c>
    </row>
    <row r="10643">
      <c r="A10643" s="311">
        <v>10642</v>
      </c>
      <c r="B10643" s="396" t="s">
        <v>19896</v>
      </c>
      <c r="C10643" s="396" t="s">
        <v>5196</v>
      </c>
      <c r="D10643" s="396" t="s">
        <v>19883</v>
      </c>
      <c r="E10643" s="396" t="s">
        <v>16827</v>
      </c>
      <c r="F10643" s="396" t="s">
        <v>19793</v>
      </c>
    </row>
    <row r="10644">
      <c r="A10644" s="311">
        <v>10643</v>
      </c>
      <c r="B10644" s="396" t="s">
        <v>19897</v>
      </c>
      <c r="C10644" s="396" t="s">
        <v>2319</v>
      </c>
      <c r="D10644" s="396" t="s">
        <v>19883</v>
      </c>
      <c r="E10644" s="396" t="s">
        <v>16827</v>
      </c>
      <c r="F10644" s="396" t="s">
        <v>19793</v>
      </c>
    </row>
    <row r="10645">
      <c r="A10645" s="311">
        <v>10644</v>
      </c>
      <c r="B10645" s="396" t="s">
        <v>19898</v>
      </c>
      <c r="C10645" s="396" t="s">
        <v>18523</v>
      </c>
      <c r="D10645" s="396" t="s">
        <v>19883</v>
      </c>
      <c r="E10645" s="396" t="s">
        <v>16827</v>
      </c>
      <c r="F10645" s="396" t="s">
        <v>19793</v>
      </c>
    </row>
    <row r="10646">
      <c r="A10646" s="311">
        <v>10645</v>
      </c>
      <c r="B10646" s="396" t="s">
        <v>19899</v>
      </c>
      <c r="C10646" s="396" t="s">
        <v>19900</v>
      </c>
      <c r="D10646" s="396" t="s">
        <v>19901</v>
      </c>
      <c r="E10646" s="396" t="s">
        <v>19902</v>
      </c>
      <c r="F10646" s="396" t="s">
        <v>19793</v>
      </c>
    </row>
    <row r="10647">
      <c r="A10647" s="311">
        <v>10646</v>
      </c>
      <c r="B10647" s="396" t="s">
        <v>19903</v>
      </c>
      <c r="C10647" s="396" t="s">
        <v>18077</v>
      </c>
      <c r="D10647" s="396" t="s">
        <v>19901</v>
      </c>
      <c r="E10647" s="396" t="s">
        <v>19902</v>
      </c>
      <c r="F10647" s="396" t="s">
        <v>19793</v>
      </c>
    </row>
    <row r="10648">
      <c r="A10648" s="311">
        <v>10647</v>
      </c>
      <c r="B10648" s="396" t="s">
        <v>19904</v>
      </c>
      <c r="C10648" s="396" t="s">
        <v>18166</v>
      </c>
      <c r="D10648" s="396" t="s">
        <v>19901</v>
      </c>
      <c r="E10648" s="396" t="s">
        <v>19902</v>
      </c>
      <c r="F10648" s="396" t="s">
        <v>19793</v>
      </c>
    </row>
    <row r="10649">
      <c r="A10649" s="311">
        <v>10648</v>
      </c>
      <c r="B10649" s="396" t="s">
        <v>19905</v>
      </c>
      <c r="C10649" s="396" t="s">
        <v>18523</v>
      </c>
      <c r="D10649" s="396" t="s">
        <v>19901</v>
      </c>
      <c r="E10649" s="396" t="s">
        <v>19902</v>
      </c>
      <c r="F10649" s="396" t="s">
        <v>19793</v>
      </c>
    </row>
    <row r="10650">
      <c r="A10650" s="311">
        <v>10649</v>
      </c>
      <c r="B10650" s="396" t="s">
        <v>19906</v>
      </c>
      <c r="C10650" s="396" t="s">
        <v>18247</v>
      </c>
      <c r="D10650" s="396" t="s">
        <v>19901</v>
      </c>
      <c r="E10650" s="396" t="s">
        <v>19902</v>
      </c>
      <c r="F10650" s="396" t="s">
        <v>19793</v>
      </c>
    </row>
    <row r="10651">
      <c r="A10651" s="311">
        <v>10650</v>
      </c>
      <c r="B10651" s="396" t="s">
        <v>19907</v>
      </c>
      <c r="C10651" s="396" t="s">
        <v>16775</v>
      </c>
      <c r="D10651" s="396" t="s">
        <v>19901</v>
      </c>
      <c r="E10651" s="396" t="s">
        <v>19902</v>
      </c>
      <c r="F10651" s="396" t="s">
        <v>19793</v>
      </c>
    </row>
    <row r="10652">
      <c r="A10652" s="311">
        <v>10651</v>
      </c>
      <c r="B10652" s="396" t="s">
        <v>19908</v>
      </c>
      <c r="C10652" s="396" t="s">
        <v>19909</v>
      </c>
      <c r="D10652" s="396" t="s">
        <v>19901</v>
      </c>
      <c r="E10652" s="396" t="s">
        <v>19902</v>
      </c>
      <c r="F10652" s="396" t="s">
        <v>19793</v>
      </c>
    </row>
    <row r="10653">
      <c r="A10653" s="311">
        <v>10652</v>
      </c>
      <c r="B10653" s="396" t="s">
        <v>19910</v>
      </c>
      <c r="C10653" s="396" t="s">
        <v>19911</v>
      </c>
      <c r="D10653" s="396" t="s">
        <v>19901</v>
      </c>
      <c r="E10653" s="396" t="s">
        <v>19902</v>
      </c>
      <c r="F10653" s="396" t="s">
        <v>19793</v>
      </c>
    </row>
    <row r="10654">
      <c r="A10654" s="311">
        <v>10653</v>
      </c>
      <c r="B10654" s="396" t="s">
        <v>19912</v>
      </c>
      <c r="C10654" s="396" t="s">
        <v>19913</v>
      </c>
      <c r="D10654" s="396" t="s">
        <v>19901</v>
      </c>
      <c r="E10654" s="396" t="s">
        <v>19902</v>
      </c>
      <c r="F10654" s="396" t="s">
        <v>19793</v>
      </c>
    </row>
    <row r="10655">
      <c r="A10655" s="311">
        <v>10654</v>
      </c>
      <c r="B10655" s="396" t="s">
        <v>19914</v>
      </c>
      <c r="C10655" s="396" t="s">
        <v>19915</v>
      </c>
      <c r="D10655" s="396" t="s">
        <v>19901</v>
      </c>
      <c r="E10655" s="396" t="s">
        <v>19902</v>
      </c>
      <c r="F10655" s="396" t="s">
        <v>19793</v>
      </c>
    </row>
    <row r="10656">
      <c r="A10656" s="311">
        <v>10655</v>
      </c>
      <c r="B10656" s="396" t="s">
        <v>19916</v>
      </c>
      <c r="C10656" s="396" t="s">
        <v>19917</v>
      </c>
      <c r="D10656" s="396" t="s">
        <v>19901</v>
      </c>
      <c r="E10656" s="396" t="s">
        <v>19902</v>
      </c>
      <c r="F10656" s="396" t="s">
        <v>19793</v>
      </c>
    </row>
    <row r="10657">
      <c r="A10657" s="311">
        <v>10656</v>
      </c>
      <c r="B10657" s="396" t="s">
        <v>19918</v>
      </c>
      <c r="C10657" s="396" t="s">
        <v>17475</v>
      </c>
      <c r="D10657" s="396" t="s">
        <v>19901</v>
      </c>
      <c r="E10657" s="396" t="s">
        <v>19902</v>
      </c>
      <c r="F10657" s="396" t="s">
        <v>19793</v>
      </c>
    </row>
    <row r="10658">
      <c r="A10658" s="311">
        <v>10657</v>
      </c>
      <c r="B10658" s="396" t="s">
        <v>19919</v>
      </c>
      <c r="C10658" s="396" t="s">
        <v>18898</v>
      </c>
      <c r="D10658" s="396" t="s">
        <v>19901</v>
      </c>
      <c r="E10658" s="396" t="s">
        <v>19902</v>
      </c>
      <c r="F10658" s="396" t="s">
        <v>19793</v>
      </c>
    </row>
    <row r="10659">
      <c r="A10659" s="311">
        <v>10658</v>
      </c>
      <c r="B10659" s="396" t="s">
        <v>19920</v>
      </c>
      <c r="C10659" s="396" t="s">
        <v>2385</v>
      </c>
      <c r="D10659" s="396" t="s">
        <v>19901</v>
      </c>
      <c r="E10659" s="396" t="s">
        <v>19902</v>
      </c>
      <c r="F10659" s="396" t="s">
        <v>19793</v>
      </c>
    </row>
    <row r="10660">
      <c r="A10660" s="311">
        <v>10659</v>
      </c>
      <c r="B10660" s="396" t="s">
        <v>19921</v>
      </c>
      <c r="C10660" s="396" t="s">
        <v>18269</v>
      </c>
      <c r="D10660" s="396" t="s">
        <v>19901</v>
      </c>
      <c r="E10660" s="396" t="s">
        <v>19902</v>
      </c>
      <c r="F10660" s="396" t="s">
        <v>19793</v>
      </c>
    </row>
    <row r="10661">
      <c r="A10661" s="311">
        <v>10660</v>
      </c>
      <c r="B10661" s="396" t="s">
        <v>19922</v>
      </c>
      <c r="C10661" s="396" t="s">
        <v>14524</v>
      </c>
      <c r="D10661" s="396" t="s">
        <v>19901</v>
      </c>
      <c r="E10661" s="396" t="s">
        <v>19902</v>
      </c>
      <c r="F10661" s="396" t="s">
        <v>19793</v>
      </c>
    </row>
    <row r="10662">
      <c r="A10662" s="311">
        <v>10661</v>
      </c>
      <c r="B10662" s="396" t="s">
        <v>19923</v>
      </c>
      <c r="C10662" s="396" t="s">
        <v>6371</v>
      </c>
      <c r="D10662" s="396" t="s">
        <v>19901</v>
      </c>
      <c r="E10662" s="396" t="s">
        <v>19902</v>
      </c>
      <c r="F10662" s="396" t="s">
        <v>19793</v>
      </c>
    </row>
    <row r="10663">
      <c r="A10663" s="311">
        <v>10662</v>
      </c>
      <c r="B10663" s="396" t="s">
        <v>19924</v>
      </c>
      <c r="C10663" s="396" t="s">
        <v>15796</v>
      </c>
      <c r="D10663" s="396" t="s">
        <v>19901</v>
      </c>
      <c r="E10663" s="396" t="s">
        <v>19902</v>
      </c>
      <c r="F10663" s="396" t="s">
        <v>19793</v>
      </c>
    </row>
    <row r="10664">
      <c r="A10664" s="311">
        <v>10663</v>
      </c>
      <c r="B10664" s="396" t="s">
        <v>19925</v>
      </c>
      <c r="C10664" s="396" t="s">
        <v>910</v>
      </c>
      <c r="D10664" s="396" t="s">
        <v>19901</v>
      </c>
      <c r="E10664" s="396" t="s">
        <v>19902</v>
      </c>
      <c r="F10664" s="396" t="s">
        <v>19793</v>
      </c>
    </row>
    <row r="10665">
      <c r="A10665" s="311">
        <v>10664</v>
      </c>
      <c r="B10665" s="396" t="s">
        <v>19926</v>
      </c>
      <c r="C10665" s="396" t="s">
        <v>19927</v>
      </c>
      <c r="D10665" s="396" t="s">
        <v>19928</v>
      </c>
      <c r="E10665" s="396" t="s">
        <v>19929</v>
      </c>
      <c r="F10665" s="396" t="s">
        <v>19793</v>
      </c>
    </row>
    <row r="10666">
      <c r="A10666" s="311">
        <v>10665</v>
      </c>
      <c r="B10666" s="396" t="s">
        <v>19930</v>
      </c>
      <c r="C10666" s="396" t="s">
        <v>19931</v>
      </c>
      <c r="D10666" s="396" t="s">
        <v>19928</v>
      </c>
      <c r="E10666" s="396" t="s">
        <v>19929</v>
      </c>
      <c r="F10666" s="396" t="s">
        <v>19793</v>
      </c>
    </row>
    <row r="10667">
      <c r="A10667" s="311">
        <v>10666</v>
      </c>
      <c r="B10667" s="396" t="s">
        <v>19932</v>
      </c>
      <c r="C10667" s="396" t="s">
        <v>10114</v>
      </c>
      <c r="D10667" s="396" t="s">
        <v>19928</v>
      </c>
      <c r="E10667" s="396" t="s">
        <v>19929</v>
      </c>
      <c r="F10667" s="396" t="s">
        <v>19793</v>
      </c>
    </row>
    <row r="10668">
      <c r="A10668" s="311">
        <v>10667</v>
      </c>
      <c r="B10668" s="396" t="s">
        <v>19933</v>
      </c>
      <c r="C10668" s="396" t="s">
        <v>19934</v>
      </c>
      <c r="D10668" s="396" t="s">
        <v>19928</v>
      </c>
      <c r="E10668" s="396" t="s">
        <v>19929</v>
      </c>
      <c r="F10668" s="396" t="s">
        <v>19793</v>
      </c>
    </row>
    <row r="10669">
      <c r="A10669" s="311">
        <v>10668</v>
      </c>
      <c r="B10669" s="396" t="s">
        <v>19935</v>
      </c>
      <c r="C10669" s="396" t="s">
        <v>16977</v>
      </c>
      <c r="D10669" s="396" t="s">
        <v>19928</v>
      </c>
      <c r="E10669" s="396" t="s">
        <v>19929</v>
      </c>
      <c r="F10669" s="396" t="s">
        <v>19793</v>
      </c>
    </row>
    <row r="10670">
      <c r="A10670" s="311">
        <v>10669</v>
      </c>
      <c r="B10670" s="396" t="s">
        <v>19936</v>
      </c>
      <c r="C10670" s="396" t="s">
        <v>19937</v>
      </c>
      <c r="D10670" s="396" t="s">
        <v>19928</v>
      </c>
      <c r="E10670" s="396" t="s">
        <v>19929</v>
      </c>
      <c r="F10670" s="396" t="s">
        <v>19793</v>
      </c>
    </row>
    <row r="10671">
      <c r="A10671" s="311">
        <v>10670</v>
      </c>
      <c r="B10671" s="396" t="s">
        <v>19938</v>
      </c>
      <c r="C10671" s="396" t="s">
        <v>19939</v>
      </c>
      <c r="D10671" s="396" t="s">
        <v>19928</v>
      </c>
      <c r="E10671" s="396" t="s">
        <v>19929</v>
      </c>
      <c r="F10671" s="396" t="s">
        <v>19793</v>
      </c>
    </row>
    <row r="10672">
      <c r="A10672" s="311">
        <v>10671</v>
      </c>
      <c r="B10672" s="396" t="s">
        <v>19940</v>
      </c>
      <c r="C10672" s="396" t="s">
        <v>19941</v>
      </c>
      <c r="D10672" s="396" t="s">
        <v>19928</v>
      </c>
      <c r="E10672" s="396" t="s">
        <v>19929</v>
      </c>
      <c r="F10672" s="396" t="s">
        <v>19793</v>
      </c>
    </row>
    <row r="10673">
      <c r="A10673" s="311">
        <v>10672</v>
      </c>
      <c r="B10673" s="396" t="s">
        <v>19942</v>
      </c>
      <c r="C10673" s="396" t="s">
        <v>19943</v>
      </c>
      <c r="D10673" s="396" t="s">
        <v>19928</v>
      </c>
      <c r="E10673" s="396" t="s">
        <v>19929</v>
      </c>
      <c r="F10673" s="396" t="s">
        <v>19793</v>
      </c>
    </row>
    <row r="10674">
      <c r="A10674" s="311">
        <v>10673</v>
      </c>
      <c r="B10674" s="396" t="s">
        <v>19944</v>
      </c>
      <c r="C10674" s="396" t="s">
        <v>7401</v>
      </c>
      <c r="D10674" s="396" t="s">
        <v>19928</v>
      </c>
      <c r="E10674" s="396" t="s">
        <v>19929</v>
      </c>
      <c r="F10674" s="396" t="s">
        <v>19793</v>
      </c>
    </row>
    <row r="10675">
      <c r="A10675" s="311">
        <v>10674</v>
      </c>
      <c r="B10675" s="396" t="s">
        <v>19945</v>
      </c>
      <c r="C10675" s="396" t="s">
        <v>19946</v>
      </c>
      <c r="D10675" s="396" t="s">
        <v>19928</v>
      </c>
      <c r="E10675" s="396" t="s">
        <v>19929</v>
      </c>
      <c r="F10675" s="396" t="s">
        <v>19793</v>
      </c>
    </row>
    <row r="10676">
      <c r="A10676" s="311">
        <v>10675</v>
      </c>
      <c r="B10676" s="396" t="s">
        <v>19947</v>
      </c>
      <c r="C10676" s="396" t="s">
        <v>19948</v>
      </c>
      <c r="D10676" s="396" t="s">
        <v>19949</v>
      </c>
      <c r="E10676" s="396" t="s">
        <v>19950</v>
      </c>
      <c r="F10676" s="396" t="s">
        <v>19793</v>
      </c>
    </row>
    <row r="10677">
      <c r="A10677" s="311">
        <v>10676</v>
      </c>
      <c r="B10677" s="396" t="s">
        <v>19951</v>
      </c>
      <c r="C10677" s="396" t="s">
        <v>19952</v>
      </c>
      <c r="D10677" s="396" t="s">
        <v>19949</v>
      </c>
      <c r="E10677" s="396" t="s">
        <v>19950</v>
      </c>
      <c r="F10677" s="396" t="s">
        <v>19793</v>
      </c>
    </row>
    <row r="10678">
      <c r="A10678" s="311">
        <v>10677</v>
      </c>
      <c r="B10678" s="396" t="s">
        <v>19953</v>
      </c>
      <c r="C10678" s="396" t="s">
        <v>19954</v>
      </c>
      <c r="D10678" s="396" t="s">
        <v>19949</v>
      </c>
      <c r="E10678" s="396" t="s">
        <v>19950</v>
      </c>
      <c r="F10678" s="396" t="s">
        <v>19793</v>
      </c>
    </row>
    <row r="10679">
      <c r="A10679" s="311">
        <v>10678</v>
      </c>
      <c r="B10679" s="396" t="s">
        <v>19955</v>
      </c>
      <c r="C10679" s="396" t="s">
        <v>19956</v>
      </c>
      <c r="D10679" s="396" t="s">
        <v>19949</v>
      </c>
      <c r="E10679" s="396" t="s">
        <v>19950</v>
      </c>
      <c r="F10679" s="396" t="s">
        <v>19793</v>
      </c>
    </row>
    <row r="10680">
      <c r="A10680" s="311">
        <v>10679</v>
      </c>
      <c r="B10680" s="396" t="s">
        <v>19957</v>
      </c>
      <c r="C10680" s="396" t="s">
        <v>11582</v>
      </c>
      <c r="D10680" s="396" t="s">
        <v>19949</v>
      </c>
      <c r="E10680" s="396" t="s">
        <v>19950</v>
      </c>
      <c r="F10680" s="396" t="s">
        <v>19793</v>
      </c>
    </row>
    <row r="10681">
      <c r="A10681" s="311">
        <v>10680</v>
      </c>
      <c r="B10681" s="396" t="s">
        <v>19958</v>
      </c>
      <c r="C10681" s="396" t="s">
        <v>9187</v>
      </c>
      <c r="D10681" s="396" t="s">
        <v>19949</v>
      </c>
      <c r="E10681" s="396" t="s">
        <v>19950</v>
      </c>
      <c r="F10681" s="396" t="s">
        <v>19793</v>
      </c>
    </row>
    <row r="10682">
      <c r="A10682" s="311">
        <v>10681</v>
      </c>
      <c r="B10682" s="396" t="s">
        <v>19959</v>
      </c>
      <c r="C10682" s="396" t="s">
        <v>19960</v>
      </c>
      <c r="D10682" s="396" t="s">
        <v>19949</v>
      </c>
      <c r="E10682" s="396" t="s">
        <v>19950</v>
      </c>
      <c r="F10682" s="396" t="s">
        <v>19793</v>
      </c>
    </row>
    <row r="10683">
      <c r="A10683" s="311">
        <v>10682</v>
      </c>
      <c r="B10683" s="396" t="s">
        <v>19961</v>
      </c>
      <c r="C10683" s="396" t="s">
        <v>19962</v>
      </c>
      <c r="D10683" s="396" t="s">
        <v>19949</v>
      </c>
      <c r="E10683" s="396" t="s">
        <v>19950</v>
      </c>
      <c r="F10683" s="396" t="s">
        <v>19793</v>
      </c>
    </row>
    <row r="10684">
      <c r="A10684" s="311">
        <v>10683</v>
      </c>
      <c r="B10684" s="396" t="s">
        <v>19963</v>
      </c>
      <c r="C10684" s="396" t="s">
        <v>842</v>
      </c>
      <c r="D10684" s="396" t="s">
        <v>19949</v>
      </c>
      <c r="E10684" s="396" t="s">
        <v>19950</v>
      </c>
      <c r="F10684" s="396" t="s">
        <v>19793</v>
      </c>
    </row>
    <row r="10685">
      <c r="A10685" s="311">
        <v>10684</v>
      </c>
      <c r="B10685" s="396" t="s">
        <v>19964</v>
      </c>
      <c r="C10685" s="396" t="s">
        <v>19965</v>
      </c>
      <c r="D10685" s="396" t="s">
        <v>19966</v>
      </c>
      <c r="E10685" s="396" t="s">
        <v>19967</v>
      </c>
      <c r="F10685" s="396" t="s">
        <v>19793</v>
      </c>
    </row>
    <row r="10686">
      <c r="A10686" s="311">
        <v>10685</v>
      </c>
      <c r="B10686" s="396" t="s">
        <v>19968</v>
      </c>
      <c r="C10686" s="396" t="s">
        <v>1391</v>
      </c>
      <c r="D10686" s="396" t="s">
        <v>19966</v>
      </c>
      <c r="E10686" s="396" t="s">
        <v>19967</v>
      </c>
      <c r="F10686" s="396" t="s">
        <v>19793</v>
      </c>
    </row>
    <row r="10687">
      <c r="A10687" s="311">
        <v>10686</v>
      </c>
      <c r="B10687" s="396" t="s">
        <v>19969</v>
      </c>
      <c r="C10687" s="396" t="s">
        <v>8296</v>
      </c>
      <c r="D10687" s="396" t="s">
        <v>19966</v>
      </c>
      <c r="E10687" s="396" t="s">
        <v>19967</v>
      </c>
      <c r="F10687" s="396" t="s">
        <v>19793</v>
      </c>
    </row>
    <row r="10688">
      <c r="A10688" s="311">
        <v>10687</v>
      </c>
      <c r="B10688" s="396" t="s">
        <v>19970</v>
      </c>
      <c r="C10688" s="396" t="s">
        <v>17967</v>
      </c>
      <c r="D10688" s="396" t="s">
        <v>19966</v>
      </c>
      <c r="E10688" s="396" t="s">
        <v>19967</v>
      </c>
      <c r="F10688" s="396" t="s">
        <v>19793</v>
      </c>
    </row>
    <row r="10689">
      <c r="A10689" s="311">
        <v>10688</v>
      </c>
      <c r="B10689" s="396" t="s">
        <v>19971</v>
      </c>
      <c r="C10689" s="396" t="s">
        <v>18672</v>
      </c>
      <c r="D10689" s="396" t="s">
        <v>19966</v>
      </c>
      <c r="E10689" s="396" t="s">
        <v>19967</v>
      </c>
      <c r="F10689" s="396" t="s">
        <v>19793</v>
      </c>
    </row>
    <row r="10690">
      <c r="A10690" s="311">
        <v>10689</v>
      </c>
      <c r="B10690" s="396" t="s">
        <v>19972</v>
      </c>
      <c r="C10690" s="396" t="s">
        <v>5839</v>
      </c>
      <c r="D10690" s="396" t="s">
        <v>19966</v>
      </c>
      <c r="E10690" s="396" t="s">
        <v>19967</v>
      </c>
      <c r="F10690" s="396" t="s">
        <v>19793</v>
      </c>
    </row>
    <row r="10691">
      <c r="A10691" s="311">
        <v>10690</v>
      </c>
      <c r="B10691" s="396" t="s">
        <v>19973</v>
      </c>
      <c r="C10691" s="396" t="s">
        <v>19974</v>
      </c>
      <c r="D10691" s="396" t="s">
        <v>19966</v>
      </c>
      <c r="E10691" s="396" t="s">
        <v>19967</v>
      </c>
      <c r="F10691" s="396" t="s">
        <v>19793</v>
      </c>
    </row>
    <row r="10692">
      <c r="A10692" s="311">
        <v>10691</v>
      </c>
      <c r="B10692" s="396" t="s">
        <v>19975</v>
      </c>
      <c r="C10692" s="396" t="s">
        <v>19976</v>
      </c>
      <c r="D10692" s="396" t="s">
        <v>19966</v>
      </c>
      <c r="E10692" s="396" t="s">
        <v>19967</v>
      </c>
      <c r="F10692" s="396" t="s">
        <v>19793</v>
      </c>
    </row>
    <row r="10693">
      <c r="A10693" s="311">
        <v>10692</v>
      </c>
      <c r="B10693" s="396" t="s">
        <v>19977</v>
      </c>
      <c r="C10693" s="396" t="s">
        <v>19978</v>
      </c>
      <c r="D10693" s="396" t="s">
        <v>19966</v>
      </c>
      <c r="E10693" s="396" t="s">
        <v>19967</v>
      </c>
      <c r="F10693" s="396" t="s">
        <v>19793</v>
      </c>
    </row>
    <row r="10694">
      <c r="A10694" s="311">
        <v>10693</v>
      </c>
      <c r="B10694" s="396" t="s">
        <v>19979</v>
      </c>
      <c r="C10694" s="396" t="s">
        <v>19980</v>
      </c>
      <c r="D10694" s="396" t="s">
        <v>19966</v>
      </c>
      <c r="E10694" s="396" t="s">
        <v>19967</v>
      </c>
      <c r="F10694" s="396" t="s">
        <v>19793</v>
      </c>
    </row>
    <row r="10695">
      <c r="A10695" s="311">
        <v>10694</v>
      </c>
      <c r="B10695" s="396" t="s">
        <v>19981</v>
      </c>
      <c r="C10695" s="396" t="s">
        <v>19982</v>
      </c>
      <c r="D10695" s="396" t="s">
        <v>19966</v>
      </c>
      <c r="E10695" s="396" t="s">
        <v>19967</v>
      </c>
      <c r="F10695" s="396" t="s">
        <v>19793</v>
      </c>
    </row>
    <row r="10696">
      <c r="A10696" s="311">
        <v>10695</v>
      </c>
      <c r="B10696" s="396" t="s">
        <v>19983</v>
      </c>
      <c r="C10696" s="396" t="s">
        <v>19984</v>
      </c>
      <c r="D10696" s="396" t="s">
        <v>19985</v>
      </c>
      <c r="E10696" s="396" t="s">
        <v>19986</v>
      </c>
      <c r="F10696" s="396" t="s">
        <v>19793</v>
      </c>
    </row>
    <row r="10697">
      <c r="A10697" s="311">
        <v>10696</v>
      </c>
      <c r="B10697" s="396" t="s">
        <v>19987</v>
      </c>
      <c r="C10697" s="396" t="s">
        <v>19988</v>
      </c>
      <c r="D10697" s="396" t="s">
        <v>19985</v>
      </c>
      <c r="E10697" s="396" t="s">
        <v>19986</v>
      </c>
      <c r="F10697" s="396" t="s">
        <v>19793</v>
      </c>
    </row>
    <row r="10698">
      <c r="A10698" s="311">
        <v>10697</v>
      </c>
      <c r="B10698" s="396" t="s">
        <v>19989</v>
      </c>
      <c r="C10698" s="396" t="s">
        <v>19990</v>
      </c>
      <c r="D10698" s="396" t="s">
        <v>19985</v>
      </c>
      <c r="E10698" s="396" t="s">
        <v>19986</v>
      </c>
      <c r="F10698" s="396" t="s">
        <v>19793</v>
      </c>
    </row>
    <row r="10699">
      <c r="A10699" s="311">
        <v>10698</v>
      </c>
      <c r="B10699" s="396" t="s">
        <v>19991</v>
      </c>
      <c r="C10699" s="396" t="s">
        <v>970</v>
      </c>
      <c r="D10699" s="396" t="s">
        <v>19985</v>
      </c>
      <c r="E10699" s="396" t="s">
        <v>19986</v>
      </c>
      <c r="F10699" s="396" t="s">
        <v>19793</v>
      </c>
    </row>
    <row r="10700">
      <c r="A10700" s="311">
        <v>10699</v>
      </c>
      <c r="B10700" s="396" t="s">
        <v>19992</v>
      </c>
      <c r="C10700" s="396" t="s">
        <v>14129</v>
      </c>
      <c r="D10700" s="396" t="s">
        <v>19985</v>
      </c>
      <c r="E10700" s="396" t="s">
        <v>19986</v>
      </c>
      <c r="F10700" s="396" t="s">
        <v>19793</v>
      </c>
    </row>
    <row r="10701">
      <c r="A10701" s="311">
        <v>10700</v>
      </c>
      <c r="B10701" s="396" t="s">
        <v>19993</v>
      </c>
      <c r="C10701" s="396" t="s">
        <v>15038</v>
      </c>
      <c r="D10701" s="396" t="s">
        <v>19985</v>
      </c>
      <c r="E10701" s="396" t="s">
        <v>19986</v>
      </c>
      <c r="F10701" s="396" t="s">
        <v>19793</v>
      </c>
    </row>
    <row r="10702">
      <c r="A10702" s="311">
        <v>10701</v>
      </c>
      <c r="B10702" s="396" t="s">
        <v>19994</v>
      </c>
      <c r="C10702" s="396" t="s">
        <v>19995</v>
      </c>
      <c r="D10702" s="396" t="s">
        <v>19985</v>
      </c>
      <c r="E10702" s="396" t="s">
        <v>19986</v>
      </c>
      <c r="F10702" s="396" t="s">
        <v>19793</v>
      </c>
    </row>
    <row r="10703">
      <c r="A10703" s="311">
        <v>10702</v>
      </c>
      <c r="B10703" s="396" t="s">
        <v>19996</v>
      </c>
      <c r="C10703" s="396" t="s">
        <v>1663</v>
      </c>
      <c r="D10703" s="396" t="s">
        <v>19985</v>
      </c>
      <c r="E10703" s="396" t="s">
        <v>19986</v>
      </c>
      <c r="F10703" s="396" t="s">
        <v>19793</v>
      </c>
    </row>
    <row r="10704">
      <c r="A10704" s="311">
        <v>10703</v>
      </c>
      <c r="B10704" s="396" t="s">
        <v>19997</v>
      </c>
      <c r="C10704" s="396" t="s">
        <v>19998</v>
      </c>
      <c r="D10704" s="396" t="s">
        <v>19999</v>
      </c>
      <c r="E10704" s="396" t="s">
        <v>20000</v>
      </c>
      <c r="F10704" s="396" t="s">
        <v>19793</v>
      </c>
    </row>
    <row r="10705">
      <c r="A10705" s="311">
        <v>10704</v>
      </c>
      <c r="B10705" s="396" t="s">
        <v>20001</v>
      </c>
      <c r="C10705" s="396" t="s">
        <v>20002</v>
      </c>
      <c r="D10705" s="396" t="s">
        <v>19999</v>
      </c>
      <c r="E10705" s="396" t="s">
        <v>20000</v>
      </c>
      <c r="F10705" s="396" t="s">
        <v>19793</v>
      </c>
    </row>
    <row r="10706">
      <c r="A10706" s="311">
        <v>10705</v>
      </c>
      <c r="B10706" s="396" t="s">
        <v>20003</v>
      </c>
      <c r="C10706" s="396" t="s">
        <v>20004</v>
      </c>
      <c r="D10706" s="396" t="s">
        <v>19999</v>
      </c>
      <c r="E10706" s="396" t="s">
        <v>20000</v>
      </c>
      <c r="F10706" s="396" t="s">
        <v>19793</v>
      </c>
    </row>
    <row r="10707">
      <c r="A10707" s="311">
        <v>10706</v>
      </c>
      <c r="B10707" s="396" t="s">
        <v>20005</v>
      </c>
      <c r="C10707" s="396" t="s">
        <v>20006</v>
      </c>
      <c r="D10707" s="396" t="s">
        <v>19999</v>
      </c>
      <c r="E10707" s="396" t="s">
        <v>20000</v>
      </c>
      <c r="F10707" s="396" t="s">
        <v>19793</v>
      </c>
    </row>
    <row r="10708">
      <c r="A10708" s="311">
        <v>10707</v>
      </c>
      <c r="B10708" s="396" t="s">
        <v>20007</v>
      </c>
      <c r="C10708" s="396" t="s">
        <v>20008</v>
      </c>
      <c r="D10708" s="396" t="s">
        <v>19999</v>
      </c>
      <c r="E10708" s="396" t="s">
        <v>20000</v>
      </c>
      <c r="F10708" s="396" t="s">
        <v>19793</v>
      </c>
    </row>
    <row r="10709">
      <c r="A10709" s="311">
        <v>10708</v>
      </c>
      <c r="B10709" s="396" t="s">
        <v>20009</v>
      </c>
      <c r="C10709" s="396" t="s">
        <v>12344</v>
      </c>
      <c r="D10709" s="396" t="s">
        <v>19999</v>
      </c>
      <c r="E10709" s="396" t="s">
        <v>20000</v>
      </c>
      <c r="F10709" s="396" t="s">
        <v>19793</v>
      </c>
    </row>
    <row r="10710">
      <c r="A10710" s="311">
        <v>10709</v>
      </c>
      <c r="B10710" s="396" t="s">
        <v>20010</v>
      </c>
      <c r="C10710" s="396" t="s">
        <v>20011</v>
      </c>
      <c r="D10710" s="396" t="s">
        <v>19999</v>
      </c>
      <c r="E10710" s="396" t="s">
        <v>20000</v>
      </c>
      <c r="F10710" s="396" t="s">
        <v>19793</v>
      </c>
    </row>
    <row r="10711">
      <c r="A10711" s="311">
        <v>10710</v>
      </c>
      <c r="B10711" s="396" t="s">
        <v>20012</v>
      </c>
      <c r="C10711" s="396" t="s">
        <v>20013</v>
      </c>
      <c r="D10711" s="396" t="s">
        <v>19999</v>
      </c>
      <c r="E10711" s="396" t="s">
        <v>20000</v>
      </c>
      <c r="F10711" s="396" t="s">
        <v>19793</v>
      </c>
    </row>
    <row r="10712">
      <c r="A10712" s="311">
        <v>10711</v>
      </c>
      <c r="B10712" s="396" t="s">
        <v>20014</v>
      </c>
      <c r="C10712" s="396" t="s">
        <v>20015</v>
      </c>
      <c r="D10712" s="396" t="s">
        <v>19999</v>
      </c>
      <c r="E10712" s="396" t="s">
        <v>20000</v>
      </c>
      <c r="F10712" s="396" t="s">
        <v>19793</v>
      </c>
    </row>
    <row r="10713">
      <c r="A10713" s="311">
        <v>10712</v>
      </c>
      <c r="B10713" s="396" t="s">
        <v>20016</v>
      </c>
      <c r="C10713" s="396" t="s">
        <v>20017</v>
      </c>
      <c r="D10713" s="396" t="s">
        <v>19999</v>
      </c>
      <c r="E10713" s="396" t="s">
        <v>20000</v>
      </c>
      <c r="F10713" s="396" t="s">
        <v>19793</v>
      </c>
    </row>
    <row r="10714">
      <c r="A10714" s="311">
        <v>10713</v>
      </c>
      <c r="B10714" s="396" t="s">
        <v>20018</v>
      </c>
      <c r="C10714" s="396" t="s">
        <v>20019</v>
      </c>
      <c r="D10714" s="396" t="s">
        <v>20020</v>
      </c>
      <c r="E10714" s="396" t="s">
        <v>20021</v>
      </c>
      <c r="F10714" s="396" t="s">
        <v>19793</v>
      </c>
    </row>
    <row r="10715">
      <c r="A10715" s="311">
        <v>10714</v>
      </c>
      <c r="B10715" s="396" t="s">
        <v>20022</v>
      </c>
      <c r="C10715" s="396" t="s">
        <v>20023</v>
      </c>
      <c r="D10715" s="396" t="s">
        <v>20020</v>
      </c>
      <c r="E10715" s="396" t="s">
        <v>20021</v>
      </c>
      <c r="F10715" s="396" t="s">
        <v>19793</v>
      </c>
    </row>
    <row r="10716">
      <c r="A10716" s="311">
        <v>10715</v>
      </c>
      <c r="B10716" s="396" t="s">
        <v>20024</v>
      </c>
      <c r="C10716" s="396" t="s">
        <v>7224</v>
      </c>
      <c r="D10716" s="396" t="s">
        <v>20020</v>
      </c>
      <c r="E10716" s="396" t="s">
        <v>20021</v>
      </c>
      <c r="F10716" s="396" t="s">
        <v>19793</v>
      </c>
    </row>
    <row r="10717">
      <c r="A10717" s="311">
        <v>10716</v>
      </c>
      <c r="B10717" s="396" t="s">
        <v>20025</v>
      </c>
      <c r="C10717" s="396" t="s">
        <v>20026</v>
      </c>
      <c r="D10717" s="396" t="s">
        <v>20020</v>
      </c>
      <c r="E10717" s="396" t="s">
        <v>20021</v>
      </c>
      <c r="F10717" s="396" t="s">
        <v>19793</v>
      </c>
    </row>
    <row r="10718">
      <c r="A10718" s="311">
        <v>10717</v>
      </c>
      <c r="B10718" s="396" t="s">
        <v>20027</v>
      </c>
      <c r="C10718" s="396" t="s">
        <v>20028</v>
      </c>
      <c r="D10718" s="396" t="s">
        <v>20029</v>
      </c>
      <c r="E10718" s="396" t="s">
        <v>20030</v>
      </c>
      <c r="F10718" s="396" t="s">
        <v>19793</v>
      </c>
    </row>
    <row r="10719">
      <c r="A10719" s="311">
        <v>10718</v>
      </c>
      <c r="B10719" s="396" t="s">
        <v>20031</v>
      </c>
      <c r="C10719" s="396" t="s">
        <v>20032</v>
      </c>
      <c r="D10719" s="396" t="s">
        <v>20029</v>
      </c>
      <c r="E10719" s="396" t="s">
        <v>20030</v>
      </c>
      <c r="F10719" s="396" t="s">
        <v>19793</v>
      </c>
    </row>
    <row r="10720">
      <c r="A10720" s="311">
        <v>10719</v>
      </c>
      <c r="B10720" s="396" t="s">
        <v>20033</v>
      </c>
      <c r="C10720" s="396" t="s">
        <v>20034</v>
      </c>
      <c r="D10720" s="396" t="s">
        <v>20029</v>
      </c>
      <c r="E10720" s="396" t="s">
        <v>20030</v>
      </c>
      <c r="F10720" s="396" t="s">
        <v>19793</v>
      </c>
    </row>
    <row r="10721">
      <c r="A10721" s="311">
        <v>10720</v>
      </c>
      <c r="B10721" s="396" t="s">
        <v>20035</v>
      </c>
      <c r="C10721" s="396" t="s">
        <v>7534</v>
      </c>
      <c r="D10721" s="396" t="s">
        <v>20029</v>
      </c>
      <c r="E10721" s="396" t="s">
        <v>20030</v>
      </c>
      <c r="F10721" s="396" t="s">
        <v>19793</v>
      </c>
    </row>
    <row r="10722">
      <c r="A10722" s="311">
        <v>10721</v>
      </c>
      <c r="B10722" s="396" t="s">
        <v>20036</v>
      </c>
      <c r="C10722" s="396" t="s">
        <v>20037</v>
      </c>
      <c r="D10722" s="396" t="s">
        <v>20029</v>
      </c>
      <c r="E10722" s="396" t="s">
        <v>20030</v>
      </c>
      <c r="F10722" s="396" t="s">
        <v>19793</v>
      </c>
    </row>
    <row r="10723">
      <c r="A10723" s="311">
        <v>10722</v>
      </c>
      <c r="B10723" s="396" t="s">
        <v>20038</v>
      </c>
      <c r="C10723" s="396" t="s">
        <v>9040</v>
      </c>
      <c r="D10723" s="396" t="s">
        <v>20029</v>
      </c>
      <c r="E10723" s="396" t="s">
        <v>20030</v>
      </c>
      <c r="F10723" s="396" t="s">
        <v>19793</v>
      </c>
    </row>
    <row r="10724">
      <c r="A10724" s="311">
        <v>10723</v>
      </c>
      <c r="B10724" s="396" t="s">
        <v>20039</v>
      </c>
      <c r="C10724" s="396" t="s">
        <v>6371</v>
      </c>
      <c r="D10724" s="396" t="s">
        <v>20040</v>
      </c>
      <c r="E10724" s="396" t="s">
        <v>20041</v>
      </c>
      <c r="F10724" s="396" t="s">
        <v>19793</v>
      </c>
    </row>
    <row r="10725">
      <c r="A10725" s="311">
        <v>10724</v>
      </c>
      <c r="B10725" s="396" t="s">
        <v>20042</v>
      </c>
      <c r="C10725" s="396" t="s">
        <v>20043</v>
      </c>
      <c r="D10725" s="396" t="s">
        <v>20040</v>
      </c>
      <c r="E10725" s="396" t="s">
        <v>20041</v>
      </c>
      <c r="F10725" s="396" t="s">
        <v>19793</v>
      </c>
    </row>
    <row r="10726">
      <c r="A10726" s="311">
        <v>10725</v>
      </c>
      <c r="B10726" s="396" t="s">
        <v>20044</v>
      </c>
      <c r="C10726" s="396" t="s">
        <v>20045</v>
      </c>
      <c r="D10726" s="396" t="s">
        <v>20040</v>
      </c>
      <c r="E10726" s="396" t="s">
        <v>20041</v>
      </c>
      <c r="F10726" s="396" t="s">
        <v>19793</v>
      </c>
    </row>
    <row r="10727">
      <c r="A10727" s="311">
        <v>10726</v>
      </c>
      <c r="B10727" s="396" t="s">
        <v>20046</v>
      </c>
      <c r="C10727" s="396" t="s">
        <v>17227</v>
      </c>
      <c r="D10727" s="396" t="s">
        <v>20040</v>
      </c>
      <c r="E10727" s="396" t="s">
        <v>20041</v>
      </c>
      <c r="F10727" s="396" t="s">
        <v>19793</v>
      </c>
    </row>
    <row r="10728">
      <c r="A10728" s="311">
        <v>10727</v>
      </c>
      <c r="B10728" s="396" t="s">
        <v>20047</v>
      </c>
      <c r="C10728" s="396" t="s">
        <v>5078</v>
      </c>
      <c r="D10728" s="396" t="s">
        <v>20040</v>
      </c>
      <c r="E10728" s="396" t="s">
        <v>20041</v>
      </c>
      <c r="F10728" s="396" t="s">
        <v>19793</v>
      </c>
    </row>
    <row r="10729">
      <c r="A10729" s="311">
        <v>10728</v>
      </c>
      <c r="B10729" s="396" t="s">
        <v>20048</v>
      </c>
      <c r="C10729" s="396" t="s">
        <v>20049</v>
      </c>
      <c r="D10729" s="396" t="s">
        <v>20050</v>
      </c>
      <c r="E10729" s="396" t="s">
        <v>20051</v>
      </c>
      <c r="F10729" s="396" t="s">
        <v>20052</v>
      </c>
    </row>
    <row r="10730">
      <c r="A10730" s="311">
        <v>10729</v>
      </c>
      <c r="B10730" s="396" t="s">
        <v>20053</v>
      </c>
      <c r="C10730" s="396" t="s">
        <v>12754</v>
      </c>
      <c r="D10730" s="396" t="s">
        <v>20050</v>
      </c>
      <c r="E10730" s="396" t="s">
        <v>20051</v>
      </c>
      <c r="F10730" s="396" t="s">
        <v>20052</v>
      </c>
    </row>
    <row r="10731">
      <c r="A10731" s="311">
        <v>10730</v>
      </c>
      <c r="B10731" s="396" t="s">
        <v>20054</v>
      </c>
      <c r="C10731" s="396" t="s">
        <v>20055</v>
      </c>
      <c r="D10731" s="396" t="s">
        <v>20050</v>
      </c>
      <c r="E10731" s="396" t="s">
        <v>20051</v>
      </c>
      <c r="F10731" s="396" t="s">
        <v>20052</v>
      </c>
    </row>
    <row r="10732">
      <c r="A10732" s="311">
        <v>10731</v>
      </c>
      <c r="B10732" s="396" t="s">
        <v>20056</v>
      </c>
      <c r="C10732" s="396" t="s">
        <v>20057</v>
      </c>
      <c r="D10732" s="396" t="s">
        <v>20050</v>
      </c>
      <c r="E10732" s="396" t="s">
        <v>20051</v>
      </c>
      <c r="F10732" s="396" t="s">
        <v>20052</v>
      </c>
    </row>
    <row r="10733">
      <c r="A10733" s="311">
        <v>10732</v>
      </c>
      <c r="B10733" s="396" t="s">
        <v>20058</v>
      </c>
      <c r="C10733" s="396" t="s">
        <v>20059</v>
      </c>
      <c r="D10733" s="396" t="s">
        <v>20050</v>
      </c>
      <c r="E10733" s="396" t="s">
        <v>20051</v>
      </c>
      <c r="F10733" s="396" t="s">
        <v>20052</v>
      </c>
    </row>
    <row r="10734">
      <c r="A10734" s="311">
        <v>10733</v>
      </c>
      <c r="B10734" s="396" t="s">
        <v>20060</v>
      </c>
      <c r="C10734" s="396" t="s">
        <v>20061</v>
      </c>
      <c r="D10734" s="396" t="s">
        <v>20050</v>
      </c>
      <c r="E10734" s="396" t="s">
        <v>20051</v>
      </c>
      <c r="F10734" s="396" t="s">
        <v>20052</v>
      </c>
    </row>
    <row r="10735">
      <c r="A10735" s="311">
        <v>10734</v>
      </c>
      <c r="B10735" s="396" t="s">
        <v>20062</v>
      </c>
      <c r="C10735" s="396" t="s">
        <v>3855</v>
      </c>
      <c r="D10735" s="396" t="s">
        <v>20050</v>
      </c>
      <c r="E10735" s="396" t="s">
        <v>20051</v>
      </c>
      <c r="F10735" s="396" t="s">
        <v>20052</v>
      </c>
    </row>
    <row r="10736">
      <c r="A10736" s="311">
        <v>10735</v>
      </c>
      <c r="B10736" s="396" t="s">
        <v>20063</v>
      </c>
      <c r="C10736" s="396" t="s">
        <v>15810</v>
      </c>
      <c r="D10736" s="396" t="s">
        <v>20050</v>
      </c>
      <c r="E10736" s="396" t="s">
        <v>20051</v>
      </c>
      <c r="F10736" s="396" t="s">
        <v>20052</v>
      </c>
    </row>
    <row r="10737">
      <c r="A10737" s="311">
        <v>10736</v>
      </c>
      <c r="B10737" s="396" t="s">
        <v>20064</v>
      </c>
      <c r="C10737" s="396" t="s">
        <v>13138</v>
      </c>
      <c r="D10737" s="396" t="s">
        <v>20050</v>
      </c>
      <c r="E10737" s="396" t="s">
        <v>20051</v>
      </c>
      <c r="F10737" s="396" t="s">
        <v>20052</v>
      </c>
    </row>
    <row r="10738">
      <c r="A10738" s="311">
        <v>10737</v>
      </c>
      <c r="B10738" s="396" t="s">
        <v>20065</v>
      </c>
      <c r="C10738" s="396" t="s">
        <v>20066</v>
      </c>
      <c r="D10738" s="396" t="s">
        <v>20050</v>
      </c>
      <c r="E10738" s="396" t="s">
        <v>20051</v>
      </c>
      <c r="F10738" s="396" t="s">
        <v>20052</v>
      </c>
    </row>
    <row r="10739">
      <c r="A10739" s="311">
        <v>10738</v>
      </c>
      <c r="B10739" s="396" t="s">
        <v>20067</v>
      </c>
      <c r="C10739" s="396" t="s">
        <v>20068</v>
      </c>
      <c r="D10739" s="396" t="s">
        <v>20050</v>
      </c>
      <c r="E10739" s="396" t="s">
        <v>20051</v>
      </c>
      <c r="F10739" s="396" t="s">
        <v>20052</v>
      </c>
    </row>
    <row r="10740">
      <c r="A10740" s="311">
        <v>10739</v>
      </c>
      <c r="B10740" s="396" t="s">
        <v>20069</v>
      </c>
      <c r="C10740" s="396" t="s">
        <v>17754</v>
      </c>
      <c r="D10740" s="396" t="s">
        <v>20050</v>
      </c>
      <c r="E10740" s="396" t="s">
        <v>20051</v>
      </c>
      <c r="F10740" s="396" t="s">
        <v>20052</v>
      </c>
    </row>
    <row r="10741">
      <c r="A10741" s="311">
        <v>10740</v>
      </c>
      <c r="B10741" s="396" t="s">
        <v>20070</v>
      </c>
      <c r="C10741" s="396" t="s">
        <v>15365</v>
      </c>
      <c r="D10741" s="396" t="s">
        <v>20050</v>
      </c>
      <c r="E10741" s="396" t="s">
        <v>20051</v>
      </c>
      <c r="F10741" s="396" t="s">
        <v>20052</v>
      </c>
    </row>
    <row r="10742">
      <c r="A10742" s="311">
        <v>10741</v>
      </c>
      <c r="B10742" s="396" t="s">
        <v>20071</v>
      </c>
      <c r="C10742" s="396" t="s">
        <v>20072</v>
      </c>
      <c r="D10742" s="396" t="s">
        <v>20073</v>
      </c>
      <c r="E10742" s="396" t="s">
        <v>20074</v>
      </c>
      <c r="F10742" s="396" t="s">
        <v>20052</v>
      </c>
    </row>
    <row r="10743">
      <c r="A10743" s="311">
        <v>10742</v>
      </c>
      <c r="B10743" s="396" t="s">
        <v>20075</v>
      </c>
      <c r="C10743" s="396" t="s">
        <v>16999</v>
      </c>
      <c r="D10743" s="396" t="s">
        <v>20073</v>
      </c>
      <c r="E10743" s="396" t="s">
        <v>20074</v>
      </c>
      <c r="F10743" s="396" t="s">
        <v>20052</v>
      </c>
    </row>
    <row r="10744">
      <c r="A10744" s="311">
        <v>10743</v>
      </c>
      <c r="B10744" s="396" t="s">
        <v>20076</v>
      </c>
      <c r="C10744" s="396" t="s">
        <v>20077</v>
      </c>
      <c r="D10744" s="396" t="s">
        <v>20073</v>
      </c>
      <c r="E10744" s="396" t="s">
        <v>20074</v>
      </c>
      <c r="F10744" s="396" t="s">
        <v>20052</v>
      </c>
    </row>
    <row r="10745">
      <c r="A10745" s="311">
        <v>10744</v>
      </c>
      <c r="B10745" s="396" t="s">
        <v>20078</v>
      </c>
      <c r="C10745" s="396" t="s">
        <v>19597</v>
      </c>
      <c r="D10745" s="396" t="s">
        <v>20073</v>
      </c>
      <c r="E10745" s="396" t="s">
        <v>20074</v>
      </c>
      <c r="F10745" s="396" t="s">
        <v>20052</v>
      </c>
    </row>
    <row r="10746">
      <c r="A10746" s="311">
        <v>10745</v>
      </c>
      <c r="B10746" s="396" t="s">
        <v>20079</v>
      </c>
      <c r="C10746" s="396" t="s">
        <v>17558</v>
      </c>
      <c r="D10746" s="396" t="s">
        <v>20073</v>
      </c>
      <c r="E10746" s="396" t="s">
        <v>20074</v>
      </c>
      <c r="F10746" s="396" t="s">
        <v>20052</v>
      </c>
    </row>
    <row r="10747">
      <c r="A10747" s="311">
        <v>10746</v>
      </c>
      <c r="B10747" s="396" t="s">
        <v>20080</v>
      </c>
      <c r="C10747" s="396" t="s">
        <v>20081</v>
      </c>
      <c r="D10747" s="396" t="s">
        <v>20073</v>
      </c>
      <c r="E10747" s="396" t="s">
        <v>20074</v>
      </c>
      <c r="F10747" s="396" t="s">
        <v>20052</v>
      </c>
    </row>
    <row r="10748">
      <c r="A10748" s="311">
        <v>10747</v>
      </c>
      <c r="B10748" s="396" t="s">
        <v>20082</v>
      </c>
      <c r="C10748" s="396" t="s">
        <v>20083</v>
      </c>
      <c r="D10748" s="396" t="s">
        <v>20073</v>
      </c>
      <c r="E10748" s="396" t="s">
        <v>20074</v>
      </c>
      <c r="F10748" s="396" t="s">
        <v>20052</v>
      </c>
    </row>
    <row r="10749">
      <c r="A10749" s="311">
        <v>10748</v>
      </c>
      <c r="B10749" s="396" t="s">
        <v>20084</v>
      </c>
      <c r="C10749" s="396" t="s">
        <v>20085</v>
      </c>
      <c r="D10749" s="396" t="s">
        <v>20086</v>
      </c>
      <c r="E10749" s="396" t="s">
        <v>20087</v>
      </c>
      <c r="F10749" s="396" t="s">
        <v>20052</v>
      </c>
    </row>
    <row r="10750">
      <c r="A10750" s="311">
        <v>10749</v>
      </c>
      <c r="B10750" s="396" t="s">
        <v>20088</v>
      </c>
      <c r="C10750" s="396" t="s">
        <v>20089</v>
      </c>
      <c r="D10750" s="396" t="s">
        <v>20086</v>
      </c>
      <c r="E10750" s="396" t="s">
        <v>20087</v>
      </c>
      <c r="F10750" s="396" t="s">
        <v>20052</v>
      </c>
    </row>
    <row r="10751">
      <c r="A10751" s="311">
        <v>10750</v>
      </c>
      <c r="B10751" s="396" t="s">
        <v>20090</v>
      </c>
      <c r="C10751" s="396" t="s">
        <v>20091</v>
      </c>
      <c r="D10751" s="396" t="s">
        <v>20086</v>
      </c>
      <c r="E10751" s="396" t="s">
        <v>20087</v>
      </c>
      <c r="F10751" s="396" t="s">
        <v>20052</v>
      </c>
    </row>
    <row r="10752">
      <c r="A10752" s="311">
        <v>10751</v>
      </c>
      <c r="B10752" s="396" t="s">
        <v>20092</v>
      </c>
      <c r="C10752" s="396" t="s">
        <v>20093</v>
      </c>
      <c r="D10752" s="396" t="s">
        <v>20086</v>
      </c>
      <c r="E10752" s="396" t="s">
        <v>20087</v>
      </c>
      <c r="F10752" s="396" t="s">
        <v>20052</v>
      </c>
    </row>
    <row r="10753">
      <c r="A10753" s="311">
        <v>10752</v>
      </c>
      <c r="B10753" s="396" t="s">
        <v>20094</v>
      </c>
      <c r="C10753" s="396" t="s">
        <v>20095</v>
      </c>
      <c r="D10753" s="396" t="s">
        <v>20086</v>
      </c>
      <c r="E10753" s="396" t="s">
        <v>20087</v>
      </c>
      <c r="F10753" s="396" t="s">
        <v>20052</v>
      </c>
    </row>
    <row r="10754">
      <c r="A10754" s="311">
        <v>10753</v>
      </c>
      <c r="B10754" s="396" t="s">
        <v>20096</v>
      </c>
      <c r="C10754" s="396" t="s">
        <v>20097</v>
      </c>
      <c r="D10754" s="396" t="s">
        <v>20086</v>
      </c>
      <c r="E10754" s="396" t="s">
        <v>20087</v>
      </c>
      <c r="F10754" s="396" t="s">
        <v>20052</v>
      </c>
    </row>
    <row r="10755">
      <c r="A10755" s="311">
        <v>10754</v>
      </c>
      <c r="B10755" s="396" t="s">
        <v>20098</v>
      </c>
      <c r="C10755" s="396" t="s">
        <v>20099</v>
      </c>
      <c r="D10755" s="396" t="s">
        <v>20086</v>
      </c>
      <c r="E10755" s="396" t="s">
        <v>20087</v>
      </c>
      <c r="F10755" s="396" t="s">
        <v>20052</v>
      </c>
    </row>
    <row r="10756">
      <c r="A10756" s="311">
        <v>10755</v>
      </c>
      <c r="B10756" s="396" t="s">
        <v>20100</v>
      </c>
      <c r="C10756" s="396" t="s">
        <v>20101</v>
      </c>
      <c r="D10756" s="396" t="s">
        <v>20086</v>
      </c>
      <c r="E10756" s="396" t="s">
        <v>20087</v>
      </c>
      <c r="F10756" s="396" t="s">
        <v>20052</v>
      </c>
    </row>
    <row r="10757">
      <c r="A10757" s="311">
        <v>10756</v>
      </c>
      <c r="B10757" s="396" t="s">
        <v>20102</v>
      </c>
      <c r="C10757" s="396" t="s">
        <v>20103</v>
      </c>
      <c r="D10757" s="396" t="s">
        <v>20104</v>
      </c>
      <c r="E10757" s="396" t="s">
        <v>20105</v>
      </c>
      <c r="F10757" s="396" t="s">
        <v>20052</v>
      </c>
    </row>
    <row r="10758">
      <c r="A10758" s="311">
        <v>10757</v>
      </c>
      <c r="B10758" s="396" t="s">
        <v>20106</v>
      </c>
      <c r="C10758" s="396" t="s">
        <v>20107</v>
      </c>
      <c r="D10758" s="396" t="s">
        <v>20104</v>
      </c>
      <c r="E10758" s="396" t="s">
        <v>20105</v>
      </c>
      <c r="F10758" s="396" t="s">
        <v>20052</v>
      </c>
    </row>
    <row r="10759">
      <c r="A10759" s="311">
        <v>10758</v>
      </c>
      <c r="B10759" s="396" t="s">
        <v>20108</v>
      </c>
      <c r="C10759" s="396" t="s">
        <v>20109</v>
      </c>
      <c r="D10759" s="396" t="s">
        <v>20104</v>
      </c>
      <c r="E10759" s="396" t="s">
        <v>20105</v>
      </c>
      <c r="F10759" s="396" t="s">
        <v>20052</v>
      </c>
    </row>
    <row r="10760">
      <c r="A10760" s="311">
        <v>10759</v>
      </c>
      <c r="B10760" s="396" t="s">
        <v>20110</v>
      </c>
      <c r="C10760" s="396" t="s">
        <v>20111</v>
      </c>
      <c r="D10760" s="396" t="s">
        <v>20104</v>
      </c>
      <c r="E10760" s="396" t="s">
        <v>20105</v>
      </c>
      <c r="F10760" s="396" t="s">
        <v>20052</v>
      </c>
    </row>
    <row r="10761">
      <c r="A10761" s="311">
        <v>10760</v>
      </c>
      <c r="B10761" s="396" t="s">
        <v>20112</v>
      </c>
      <c r="C10761" s="396" t="s">
        <v>20113</v>
      </c>
      <c r="D10761" s="396" t="s">
        <v>20104</v>
      </c>
      <c r="E10761" s="396" t="s">
        <v>20105</v>
      </c>
      <c r="F10761" s="396" t="s">
        <v>20052</v>
      </c>
    </row>
    <row r="10762">
      <c r="A10762" s="311">
        <v>10761</v>
      </c>
      <c r="B10762" s="396" t="s">
        <v>20114</v>
      </c>
      <c r="C10762" s="396" t="s">
        <v>20115</v>
      </c>
      <c r="D10762" s="396" t="s">
        <v>20104</v>
      </c>
      <c r="E10762" s="396" t="s">
        <v>20105</v>
      </c>
      <c r="F10762" s="396" t="s">
        <v>20052</v>
      </c>
    </row>
    <row r="10763">
      <c r="A10763" s="311">
        <v>10762</v>
      </c>
      <c r="B10763" s="396" t="s">
        <v>20116</v>
      </c>
      <c r="C10763" s="396" t="s">
        <v>16578</v>
      </c>
      <c r="D10763" s="396" t="s">
        <v>20104</v>
      </c>
      <c r="E10763" s="396" t="s">
        <v>20105</v>
      </c>
      <c r="F10763" s="396" t="s">
        <v>20052</v>
      </c>
    </row>
    <row r="10764">
      <c r="A10764" s="311">
        <v>10763</v>
      </c>
      <c r="B10764" s="396" t="s">
        <v>20117</v>
      </c>
      <c r="C10764" s="396" t="s">
        <v>20118</v>
      </c>
      <c r="D10764" s="396" t="s">
        <v>20119</v>
      </c>
      <c r="E10764" s="396" t="s">
        <v>20120</v>
      </c>
      <c r="F10764" s="396" t="s">
        <v>20052</v>
      </c>
    </row>
    <row r="10765">
      <c r="A10765" s="311">
        <v>10764</v>
      </c>
      <c r="B10765" s="396" t="s">
        <v>20121</v>
      </c>
      <c r="C10765" s="396" t="s">
        <v>20122</v>
      </c>
      <c r="D10765" s="396" t="s">
        <v>20119</v>
      </c>
      <c r="E10765" s="396" t="s">
        <v>20120</v>
      </c>
      <c r="F10765" s="396" t="s">
        <v>20052</v>
      </c>
    </row>
    <row r="10766">
      <c r="A10766" s="311">
        <v>10765</v>
      </c>
      <c r="B10766" s="396" t="s">
        <v>20123</v>
      </c>
      <c r="C10766" s="396" t="s">
        <v>20124</v>
      </c>
      <c r="D10766" s="396" t="s">
        <v>20119</v>
      </c>
      <c r="E10766" s="396" t="s">
        <v>20120</v>
      </c>
      <c r="F10766" s="396" t="s">
        <v>20052</v>
      </c>
    </row>
    <row r="10767">
      <c r="A10767" s="311">
        <v>10766</v>
      </c>
      <c r="B10767" s="396" t="s">
        <v>20125</v>
      </c>
      <c r="C10767" s="396" t="s">
        <v>20126</v>
      </c>
      <c r="D10767" s="396" t="s">
        <v>20119</v>
      </c>
      <c r="E10767" s="396" t="s">
        <v>20120</v>
      </c>
      <c r="F10767" s="396" t="s">
        <v>20052</v>
      </c>
    </row>
    <row r="10768">
      <c r="A10768" s="311">
        <v>10767</v>
      </c>
      <c r="B10768" s="396" t="s">
        <v>20127</v>
      </c>
      <c r="C10768" s="396" t="s">
        <v>20128</v>
      </c>
      <c r="D10768" s="396" t="s">
        <v>20119</v>
      </c>
      <c r="E10768" s="396" t="s">
        <v>20120</v>
      </c>
      <c r="F10768" s="396" t="s">
        <v>20052</v>
      </c>
    </row>
    <row r="10769">
      <c r="A10769" s="311">
        <v>10768</v>
      </c>
      <c r="B10769" s="396" t="s">
        <v>20129</v>
      </c>
      <c r="C10769" s="396" t="s">
        <v>20130</v>
      </c>
      <c r="D10769" s="396" t="s">
        <v>20119</v>
      </c>
      <c r="E10769" s="396" t="s">
        <v>20120</v>
      </c>
      <c r="F10769" s="396" t="s">
        <v>20052</v>
      </c>
    </row>
    <row r="10770">
      <c r="A10770" s="311">
        <v>10769</v>
      </c>
      <c r="B10770" s="396" t="s">
        <v>20131</v>
      </c>
      <c r="C10770" s="396" t="s">
        <v>20132</v>
      </c>
      <c r="D10770" s="396" t="s">
        <v>20119</v>
      </c>
      <c r="E10770" s="396" t="s">
        <v>20120</v>
      </c>
      <c r="F10770" s="396" t="s">
        <v>20052</v>
      </c>
    </row>
    <row r="10771">
      <c r="A10771" s="311">
        <v>10770</v>
      </c>
      <c r="B10771" s="396" t="s">
        <v>20133</v>
      </c>
      <c r="C10771" s="396" t="s">
        <v>17913</v>
      </c>
      <c r="D10771" s="396" t="s">
        <v>20119</v>
      </c>
      <c r="E10771" s="396" t="s">
        <v>20120</v>
      </c>
      <c r="F10771" s="396" t="s">
        <v>20052</v>
      </c>
    </row>
    <row r="10772">
      <c r="A10772" s="311">
        <v>10771</v>
      </c>
      <c r="B10772" s="396" t="s">
        <v>20134</v>
      </c>
      <c r="C10772" s="396" t="s">
        <v>20135</v>
      </c>
      <c r="D10772" s="396" t="s">
        <v>20119</v>
      </c>
      <c r="E10772" s="396" t="s">
        <v>20120</v>
      </c>
      <c r="F10772" s="396" t="s">
        <v>20052</v>
      </c>
    </row>
    <row r="10773">
      <c r="A10773" s="311">
        <v>10772</v>
      </c>
      <c r="B10773" s="396" t="s">
        <v>20136</v>
      </c>
      <c r="C10773" s="396" t="s">
        <v>18116</v>
      </c>
      <c r="D10773" s="396" t="s">
        <v>20137</v>
      </c>
      <c r="E10773" s="396" t="s">
        <v>14120</v>
      </c>
      <c r="F10773" s="396" t="s">
        <v>20052</v>
      </c>
    </row>
    <row r="10774">
      <c r="A10774" s="311">
        <v>10773</v>
      </c>
      <c r="B10774" s="396" t="s">
        <v>20138</v>
      </c>
      <c r="C10774" s="396" t="s">
        <v>20139</v>
      </c>
      <c r="D10774" s="396" t="s">
        <v>20137</v>
      </c>
      <c r="E10774" s="396" t="s">
        <v>14120</v>
      </c>
      <c r="F10774" s="396" t="s">
        <v>20052</v>
      </c>
    </row>
    <row r="10775">
      <c r="A10775" s="311">
        <v>10774</v>
      </c>
      <c r="B10775" s="396" t="s">
        <v>20140</v>
      </c>
      <c r="C10775" s="396" t="s">
        <v>14118</v>
      </c>
      <c r="D10775" s="396" t="s">
        <v>20137</v>
      </c>
      <c r="E10775" s="396" t="s">
        <v>14120</v>
      </c>
      <c r="F10775" s="396" t="s">
        <v>20052</v>
      </c>
    </row>
    <row r="10776">
      <c r="A10776" s="311">
        <v>10775</v>
      </c>
      <c r="B10776" s="396" t="s">
        <v>20141</v>
      </c>
      <c r="C10776" s="396" t="s">
        <v>18463</v>
      </c>
      <c r="D10776" s="396" t="s">
        <v>20137</v>
      </c>
      <c r="E10776" s="396" t="s">
        <v>14120</v>
      </c>
      <c r="F10776" s="396" t="s">
        <v>20052</v>
      </c>
    </row>
    <row r="10777">
      <c r="A10777" s="311">
        <v>10776</v>
      </c>
      <c r="B10777" s="396" t="s">
        <v>20142</v>
      </c>
      <c r="C10777" s="396" t="s">
        <v>20143</v>
      </c>
      <c r="D10777" s="396" t="s">
        <v>20137</v>
      </c>
      <c r="E10777" s="396" t="s">
        <v>14120</v>
      </c>
      <c r="F10777" s="396" t="s">
        <v>20052</v>
      </c>
    </row>
    <row r="10778">
      <c r="A10778" s="311">
        <v>10777</v>
      </c>
      <c r="B10778" s="396" t="s">
        <v>20144</v>
      </c>
      <c r="C10778" s="396" t="s">
        <v>18037</v>
      </c>
      <c r="D10778" s="396" t="s">
        <v>20137</v>
      </c>
      <c r="E10778" s="396" t="s">
        <v>14120</v>
      </c>
      <c r="F10778" s="396" t="s">
        <v>20052</v>
      </c>
    </row>
    <row r="10779">
      <c r="A10779" s="311">
        <v>10778</v>
      </c>
      <c r="B10779" s="396" t="s">
        <v>20145</v>
      </c>
      <c r="C10779" s="396" t="s">
        <v>20146</v>
      </c>
      <c r="D10779" s="396" t="s">
        <v>20137</v>
      </c>
      <c r="E10779" s="396" t="s">
        <v>14120</v>
      </c>
      <c r="F10779" s="396" t="s">
        <v>20052</v>
      </c>
    </row>
    <row r="10780">
      <c r="A10780" s="311">
        <v>10779</v>
      </c>
      <c r="B10780" s="396" t="s">
        <v>20147</v>
      </c>
      <c r="C10780" s="396" t="s">
        <v>20148</v>
      </c>
      <c r="D10780" s="396" t="s">
        <v>20137</v>
      </c>
      <c r="E10780" s="396" t="s">
        <v>14120</v>
      </c>
      <c r="F10780" s="396" t="s">
        <v>20052</v>
      </c>
    </row>
    <row r="10781">
      <c r="A10781" s="311">
        <v>10780</v>
      </c>
      <c r="B10781" s="396" t="s">
        <v>20149</v>
      </c>
      <c r="C10781" s="396" t="s">
        <v>18243</v>
      </c>
      <c r="D10781" s="396" t="s">
        <v>20137</v>
      </c>
      <c r="E10781" s="396" t="s">
        <v>14120</v>
      </c>
      <c r="F10781" s="396" t="s">
        <v>20052</v>
      </c>
    </row>
    <row r="10782">
      <c r="A10782" s="311">
        <v>10781</v>
      </c>
      <c r="B10782" s="396" t="s">
        <v>20150</v>
      </c>
      <c r="C10782" s="396" t="s">
        <v>20151</v>
      </c>
      <c r="D10782" s="396" t="s">
        <v>20137</v>
      </c>
      <c r="E10782" s="396" t="s">
        <v>14120</v>
      </c>
      <c r="F10782" s="396" t="s">
        <v>20052</v>
      </c>
    </row>
    <row r="10783">
      <c r="A10783" s="311">
        <v>10782</v>
      </c>
      <c r="B10783" s="396" t="s">
        <v>20152</v>
      </c>
      <c r="C10783" s="396" t="s">
        <v>18523</v>
      </c>
      <c r="D10783" s="396" t="s">
        <v>20137</v>
      </c>
      <c r="E10783" s="396" t="s">
        <v>14120</v>
      </c>
      <c r="F10783" s="396" t="s">
        <v>20052</v>
      </c>
    </row>
    <row r="10784">
      <c r="A10784" s="311">
        <v>10783</v>
      </c>
      <c r="B10784" s="396" t="s">
        <v>20153</v>
      </c>
      <c r="C10784" s="396" t="s">
        <v>8737</v>
      </c>
      <c r="D10784" s="396" t="s">
        <v>20154</v>
      </c>
      <c r="E10784" s="396" t="s">
        <v>20155</v>
      </c>
      <c r="F10784" s="396" t="s">
        <v>20052</v>
      </c>
    </row>
    <row r="10785">
      <c r="A10785" s="311">
        <v>10784</v>
      </c>
      <c r="B10785" s="396" t="s">
        <v>20156</v>
      </c>
      <c r="C10785" s="396" t="s">
        <v>20157</v>
      </c>
      <c r="D10785" s="396" t="s">
        <v>20154</v>
      </c>
      <c r="E10785" s="396" t="s">
        <v>20155</v>
      </c>
      <c r="F10785" s="396" t="s">
        <v>20052</v>
      </c>
    </row>
    <row r="10786">
      <c r="A10786" s="311">
        <v>10785</v>
      </c>
      <c r="B10786" s="396" t="s">
        <v>20158</v>
      </c>
      <c r="C10786" s="396" t="s">
        <v>17210</v>
      </c>
      <c r="D10786" s="396" t="s">
        <v>20154</v>
      </c>
      <c r="E10786" s="396" t="s">
        <v>20155</v>
      </c>
      <c r="F10786" s="396" t="s">
        <v>20052</v>
      </c>
    </row>
    <row r="10787">
      <c r="A10787" s="311">
        <v>10786</v>
      </c>
      <c r="B10787" s="396" t="s">
        <v>20159</v>
      </c>
      <c r="C10787" s="396" t="s">
        <v>8086</v>
      </c>
      <c r="D10787" s="396" t="s">
        <v>20154</v>
      </c>
      <c r="E10787" s="396" t="s">
        <v>20155</v>
      </c>
      <c r="F10787" s="396" t="s">
        <v>20052</v>
      </c>
    </row>
    <row r="10788">
      <c r="A10788" s="311">
        <v>10787</v>
      </c>
      <c r="B10788" s="396" t="s">
        <v>20160</v>
      </c>
      <c r="C10788" s="396" t="s">
        <v>20161</v>
      </c>
      <c r="D10788" s="396" t="s">
        <v>20154</v>
      </c>
      <c r="E10788" s="396" t="s">
        <v>20155</v>
      </c>
      <c r="F10788" s="396" t="s">
        <v>20052</v>
      </c>
    </row>
    <row r="10789">
      <c r="A10789" s="311">
        <v>10788</v>
      </c>
      <c r="B10789" s="396" t="s">
        <v>20162</v>
      </c>
      <c r="C10789" s="396" t="s">
        <v>20163</v>
      </c>
      <c r="D10789" s="396" t="s">
        <v>20154</v>
      </c>
      <c r="E10789" s="396" t="s">
        <v>20155</v>
      </c>
      <c r="F10789" s="396" t="s">
        <v>20052</v>
      </c>
    </row>
    <row r="10790">
      <c r="A10790" s="311">
        <v>10789</v>
      </c>
      <c r="B10790" s="396" t="s">
        <v>20164</v>
      </c>
      <c r="C10790" s="396" t="s">
        <v>20165</v>
      </c>
      <c r="D10790" s="396" t="s">
        <v>20154</v>
      </c>
      <c r="E10790" s="396" t="s">
        <v>20155</v>
      </c>
      <c r="F10790" s="396" t="s">
        <v>20052</v>
      </c>
    </row>
    <row r="10791">
      <c r="A10791" s="311">
        <v>10790</v>
      </c>
      <c r="B10791" s="396" t="s">
        <v>20166</v>
      </c>
      <c r="C10791" s="396" t="s">
        <v>20167</v>
      </c>
      <c r="D10791" s="396" t="s">
        <v>20154</v>
      </c>
      <c r="E10791" s="396" t="s">
        <v>20155</v>
      </c>
      <c r="F10791" s="396" t="s">
        <v>20052</v>
      </c>
    </row>
    <row r="10792">
      <c r="A10792" s="311">
        <v>10791</v>
      </c>
      <c r="B10792" s="396" t="s">
        <v>20168</v>
      </c>
      <c r="C10792" s="396" t="s">
        <v>20169</v>
      </c>
      <c r="D10792" s="396" t="s">
        <v>20154</v>
      </c>
      <c r="E10792" s="396" t="s">
        <v>20155</v>
      </c>
      <c r="F10792" s="396" t="s">
        <v>20052</v>
      </c>
    </row>
    <row r="10793">
      <c r="A10793" s="311">
        <v>10792</v>
      </c>
      <c r="B10793" s="396" t="s">
        <v>20170</v>
      </c>
      <c r="C10793" s="396" t="s">
        <v>20171</v>
      </c>
      <c r="D10793" s="396" t="s">
        <v>20154</v>
      </c>
      <c r="E10793" s="396" t="s">
        <v>20155</v>
      </c>
      <c r="F10793" s="396" t="s">
        <v>20052</v>
      </c>
    </row>
    <row r="10794">
      <c r="A10794" s="311">
        <v>10793</v>
      </c>
      <c r="B10794" s="396" t="s">
        <v>20172</v>
      </c>
      <c r="C10794" s="396" t="s">
        <v>12768</v>
      </c>
      <c r="D10794" s="396" t="s">
        <v>20173</v>
      </c>
      <c r="E10794" s="396" t="s">
        <v>12770</v>
      </c>
      <c r="F10794" s="396" t="s">
        <v>20052</v>
      </c>
    </row>
    <row r="10795">
      <c r="A10795" s="311">
        <v>10794</v>
      </c>
      <c r="B10795" s="396" t="s">
        <v>20174</v>
      </c>
      <c r="C10795" s="396" t="s">
        <v>20175</v>
      </c>
      <c r="D10795" s="396" t="s">
        <v>20173</v>
      </c>
      <c r="E10795" s="396" t="s">
        <v>12770</v>
      </c>
      <c r="F10795" s="396" t="s">
        <v>20052</v>
      </c>
    </row>
    <row r="10796">
      <c r="A10796" s="311">
        <v>10795</v>
      </c>
      <c r="B10796" s="396" t="s">
        <v>20176</v>
      </c>
      <c r="C10796" s="396" t="s">
        <v>11163</v>
      </c>
      <c r="D10796" s="396" t="s">
        <v>20173</v>
      </c>
      <c r="E10796" s="396" t="s">
        <v>12770</v>
      </c>
      <c r="F10796" s="396" t="s">
        <v>20052</v>
      </c>
    </row>
    <row r="10797">
      <c r="A10797" s="311">
        <v>10796</v>
      </c>
      <c r="B10797" s="396" t="s">
        <v>20177</v>
      </c>
      <c r="C10797" s="396" t="s">
        <v>18666</v>
      </c>
      <c r="D10797" s="396" t="s">
        <v>20173</v>
      </c>
      <c r="E10797" s="396" t="s">
        <v>12770</v>
      </c>
      <c r="F10797" s="396" t="s">
        <v>20052</v>
      </c>
    </row>
    <row r="10798">
      <c r="A10798" s="311">
        <v>10797</v>
      </c>
      <c r="B10798" s="396" t="s">
        <v>20178</v>
      </c>
      <c r="C10798" s="396" t="s">
        <v>20179</v>
      </c>
      <c r="D10798" s="396" t="s">
        <v>20173</v>
      </c>
      <c r="E10798" s="396" t="s">
        <v>12770</v>
      </c>
      <c r="F10798" s="396" t="s">
        <v>20052</v>
      </c>
    </row>
    <row r="10799">
      <c r="A10799" s="311">
        <v>10798</v>
      </c>
      <c r="B10799" s="396" t="s">
        <v>20180</v>
      </c>
      <c r="C10799" s="396" t="s">
        <v>19552</v>
      </c>
      <c r="D10799" s="396" t="s">
        <v>20173</v>
      </c>
      <c r="E10799" s="396" t="s">
        <v>12770</v>
      </c>
      <c r="F10799" s="396" t="s">
        <v>20052</v>
      </c>
    </row>
    <row r="10800">
      <c r="A10800" s="311">
        <v>10799</v>
      </c>
      <c r="B10800" s="396" t="s">
        <v>20181</v>
      </c>
      <c r="C10800" s="396" t="s">
        <v>20182</v>
      </c>
      <c r="D10800" s="396" t="s">
        <v>20173</v>
      </c>
      <c r="E10800" s="396" t="s">
        <v>12770</v>
      </c>
      <c r="F10800" s="396" t="s">
        <v>20052</v>
      </c>
    </row>
    <row r="10801">
      <c r="A10801" s="311">
        <v>10800</v>
      </c>
      <c r="B10801" s="396" t="s">
        <v>20183</v>
      </c>
      <c r="C10801" s="396" t="s">
        <v>20184</v>
      </c>
      <c r="D10801" s="396" t="s">
        <v>20185</v>
      </c>
      <c r="E10801" s="396" t="s">
        <v>20186</v>
      </c>
      <c r="F10801" s="396" t="s">
        <v>20052</v>
      </c>
    </row>
    <row r="10802">
      <c r="A10802" s="311">
        <v>10801</v>
      </c>
      <c r="B10802" s="396" t="s">
        <v>20187</v>
      </c>
      <c r="C10802" s="396" t="s">
        <v>18896</v>
      </c>
      <c r="D10802" s="396" t="s">
        <v>20185</v>
      </c>
      <c r="E10802" s="396" t="s">
        <v>20186</v>
      </c>
      <c r="F10802" s="396" t="s">
        <v>20052</v>
      </c>
    </row>
    <row r="10803">
      <c r="A10803" s="311">
        <v>10802</v>
      </c>
      <c r="B10803" s="396" t="s">
        <v>20188</v>
      </c>
      <c r="C10803" s="396" t="s">
        <v>18672</v>
      </c>
      <c r="D10803" s="396" t="s">
        <v>20185</v>
      </c>
      <c r="E10803" s="396" t="s">
        <v>20186</v>
      </c>
      <c r="F10803" s="396" t="s">
        <v>20052</v>
      </c>
    </row>
    <row r="10804">
      <c r="A10804" s="311">
        <v>10803</v>
      </c>
      <c r="B10804" s="396" t="s">
        <v>20189</v>
      </c>
      <c r="C10804" s="396" t="s">
        <v>10176</v>
      </c>
      <c r="D10804" s="396" t="s">
        <v>20185</v>
      </c>
      <c r="E10804" s="396" t="s">
        <v>20186</v>
      </c>
      <c r="F10804" s="396" t="s">
        <v>20052</v>
      </c>
    </row>
    <row r="10805">
      <c r="A10805" s="311">
        <v>10804</v>
      </c>
      <c r="B10805" s="396" t="s">
        <v>20190</v>
      </c>
      <c r="C10805" s="396" t="s">
        <v>19244</v>
      </c>
      <c r="D10805" s="396" t="s">
        <v>20185</v>
      </c>
      <c r="E10805" s="396" t="s">
        <v>20186</v>
      </c>
      <c r="F10805" s="396" t="s">
        <v>20052</v>
      </c>
    </row>
    <row r="10806">
      <c r="A10806" s="311">
        <v>10805</v>
      </c>
      <c r="B10806" s="396" t="s">
        <v>20191</v>
      </c>
      <c r="C10806" s="396" t="s">
        <v>20192</v>
      </c>
      <c r="D10806" s="396" t="s">
        <v>20185</v>
      </c>
      <c r="E10806" s="396" t="s">
        <v>20186</v>
      </c>
      <c r="F10806" s="396" t="s">
        <v>20052</v>
      </c>
    </row>
    <row r="10807">
      <c r="A10807" s="311">
        <v>10806</v>
      </c>
      <c r="B10807" s="396" t="s">
        <v>20193</v>
      </c>
      <c r="C10807" s="396" t="s">
        <v>20194</v>
      </c>
      <c r="D10807" s="396" t="s">
        <v>20185</v>
      </c>
      <c r="E10807" s="396" t="s">
        <v>20186</v>
      </c>
      <c r="F10807" s="396" t="s">
        <v>20052</v>
      </c>
    </row>
    <row r="10808">
      <c r="A10808" s="311">
        <v>10807</v>
      </c>
      <c r="B10808" s="396" t="s">
        <v>20195</v>
      </c>
      <c r="C10808" s="396" t="s">
        <v>20196</v>
      </c>
      <c r="D10808" s="396" t="s">
        <v>20185</v>
      </c>
      <c r="E10808" s="396" t="s">
        <v>20186</v>
      </c>
      <c r="F10808" s="396" t="s">
        <v>20052</v>
      </c>
    </row>
    <row r="10809">
      <c r="A10809" s="311">
        <v>10808</v>
      </c>
      <c r="B10809" s="396" t="s">
        <v>20197</v>
      </c>
      <c r="C10809" s="396" t="s">
        <v>20198</v>
      </c>
      <c r="D10809" s="396" t="s">
        <v>20185</v>
      </c>
      <c r="E10809" s="396" t="s">
        <v>20186</v>
      </c>
      <c r="F10809" s="396" t="s">
        <v>20052</v>
      </c>
    </row>
    <row r="10810">
      <c r="A10810" s="311">
        <v>10809</v>
      </c>
      <c r="B10810" s="396" t="s">
        <v>20199</v>
      </c>
      <c r="C10810" s="396" t="s">
        <v>7346</v>
      </c>
      <c r="D10810" s="396" t="s">
        <v>20185</v>
      </c>
      <c r="E10810" s="396" t="s">
        <v>20186</v>
      </c>
      <c r="F10810" s="396" t="s">
        <v>20052</v>
      </c>
    </row>
    <row r="10811">
      <c r="A10811" s="311">
        <v>10810</v>
      </c>
      <c r="B10811" s="396" t="s">
        <v>20200</v>
      </c>
      <c r="C10811" s="396" t="s">
        <v>12350</v>
      </c>
      <c r="D10811" s="396" t="s">
        <v>20185</v>
      </c>
      <c r="E10811" s="396" t="s">
        <v>20186</v>
      </c>
      <c r="F10811" s="396" t="s">
        <v>20052</v>
      </c>
    </row>
    <row r="10812">
      <c r="A10812" s="311">
        <v>10811</v>
      </c>
      <c r="B10812" s="396" t="s">
        <v>20201</v>
      </c>
      <c r="C10812" s="396" t="s">
        <v>20202</v>
      </c>
      <c r="D10812" s="396" t="s">
        <v>20185</v>
      </c>
      <c r="E10812" s="396" t="s">
        <v>20186</v>
      </c>
      <c r="F10812" s="396" t="s">
        <v>20052</v>
      </c>
    </row>
    <row r="10813">
      <c r="A10813" s="311">
        <v>10812</v>
      </c>
      <c r="B10813" s="396" t="s">
        <v>20203</v>
      </c>
      <c r="C10813" s="396" t="s">
        <v>20204</v>
      </c>
      <c r="D10813" s="396" t="s">
        <v>20185</v>
      </c>
      <c r="E10813" s="396" t="s">
        <v>20186</v>
      </c>
      <c r="F10813" s="396" t="s">
        <v>20052</v>
      </c>
    </row>
    <row r="10814">
      <c r="A10814" s="311">
        <v>10813</v>
      </c>
      <c r="B10814" s="396" t="s">
        <v>20205</v>
      </c>
      <c r="C10814" s="396" t="s">
        <v>20206</v>
      </c>
      <c r="D10814" s="396" t="s">
        <v>20207</v>
      </c>
      <c r="E10814" s="396" t="s">
        <v>20208</v>
      </c>
      <c r="F10814" s="396" t="s">
        <v>20209</v>
      </c>
    </row>
    <row r="10815">
      <c r="A10815" s="311">
        <v>10814</v>
      </c>
      <c r="B10815" s="396" t="s">
        <v>20210</v>
      </c>
      <c r="C10815" s="396" t="s">
        <v>20211</v>
      </c>
      <c r="D10815" s="396" t="s">
        <v>20207</v>
      </c>
      <c r="E10815" s="396" t="s">
        <v>20208</v>
      </c>
      <c r="F10815" s="396" t="s">
        <v>20209</v>
      </c>
    </row>
    <row r="10816">
      <c r="A10816" s="311">
        <v>10815</v>
      </c>
      <c r="B10816" s="396" t="s">
        <v>20212</v>
      </c>
      <c r="C10816" s="396" t="s">
        <v>20213</v>
      </c>
      <c r="D10816" s="396" t="s">
        <v>20207</v>
      </c>
      <c r="E10816" s="396" t="s">
        <v>20208</v>
      </c>
      <c r="F10816" s="396" t="s">
        <v>20209</v>
      </c>
    </row>
    <row r="10817">
      <c r="A10817" s="311">
        <v>10816</v>
      </c>
      <c r="B10817" s="396" t="s">
        <v>20214</v>
      </c>
      <c r="C10817" s="396" t="s">
        <v>20215</v>
      </c>
      <c r="D10817" s="396" t="s">
        <v>20207</v>
      </c>
      <c r="E10817" s="396" t="s">
        <v>20208</v>
      </c>
      <c r="F10817" s="396" t="s">
        <v>20209</v>
      </c>
    </row>
    <row r="10818">
      <c r="A10818" s="311">
        <v>10817</v>
      </c>
      <c r="B10818" s="396" t="s">
        <v>20216</v>
      </c>
      <c r="C10818" s="396" t="s">
        <v>20217</v>
      </c>
      <c r="D10818" s="396" t="s">
        <v>20207</v>
      </c>
      <c r="E10818" s="396" t="s">
        <v>20208</v>
      </c>
      <c r="F10818" s="396" t="s">
        <v>20209</v>
      </c>
    </row>
    <row r="10819">
      <c r="A10819" s="311">
        <v>10818</v>
      </c>
      <c r="B10819" s="396" t="s">
        <v>20218</v>
      </c>
      <c r="C10819" s="396" t="s">
        <v>20219</v>
      </c>
      <c r="D10819" s="396" t="s">
        <v>20207</v>
      </c>
      <c r="E10819" s="396" t="s">
        <v>20208</v>
      </c>
      <c r="F10819" s="396" t="s">
        <v>20209</v>
      </c>
    </row>
    <row r="10820">
      <c r="A10820" s="311">
        <v>10819</v>
      </c>
      <c r="B10820" s="396" t="s">
        <v>20220</v>
      </c>
      <c r="C10820" s="396" t="s">
        <v>20221</v>
      </c>
      <c r="D10820" s="396" t="s">
        <v>20207</v>
      </c>
      <c r="E10820" s="396" t="s">
        <v>20208</v>
      </c>
      <c r="F10820" s="396" t="s">
        <v>20209</v>
      </c>
    </row>
    <row r="10821">
      <c r="A10821" s="311">
        <v>10820</v>
      </c>
      <c r="B10821" s="396" t="s">
        <v>20222</v>
      </c>
      <c r="C10821" s="396" t="s">
        <v>926</v>
      </c>
      <c r="D10821" s="396" t="s">
        <v>20207</v>
      </c>
      <c r="E10821" s="396" t="s">
        <v>20208</v>
      </c>
      <c r="F10821" s="396" t="s">
        <v>20209</v>
      </c>
    </row>
    <row r="10822">
      <c r="A10822" s="311">
        <v>10821</v>
      </c>
      <c r="B10822" s="396" t="s">
        <v>20223</v>
      </c>
      <c r="C10822" s="396" t="s">
        <v>20224</v>
      </c>
      <c r="D10822" s="396" t="s">
        <v>20207</v>
      </c>
      <c r="E10822" s="396" t="s">
        <v>20208</v>
      </c>
      <c r="F10822" s="396" t="s">
        <v>20209</v>
      </c>
    </row>
    <row r="10823">
      <c r="A10823" s="311">
        <v>10822</v>
      </c>
      <c r="B10823" s="396" t="s">
        <v>20225</v>
      </c>
      <c r="C10823" s="396" t="s">
        <v>20226</v>
      </c>
      <c r="D10823" s="396" t="s">
        <v>20227</v>
      </c>
      <c r="E10823" s="396" t="s">
        <v>20228</v>
      </c>
      <c r="F10823" s="396" t="s">
        <v>20209</v>
      </c>
    </row>
    <row r="10824">
      <c r="A10824" s="311">
        <v>10823</v>
      </c>
      <c r="B10824" s="396" t="s">
        <v>20229</v>
      </c>
      <c r="C10824" s="396" t="s">
        <v>20230</v>
      </c>
      <c r="D10824" s="396" t="s">
        <v>20227</v>
      </c>
      <c r="E10824" s="396" t="s">
        <v>20228</v>
      </c>
      <c r="F10824" s="396" t="s">
        <v>20209</v>
      </c>
    </row>
    <row r="10825">
      <c r="A10825" s="311">
        <v>10824</v>
      </c>
      <c r="B10825" s="396" t="s">
        <v>20231</v>
      </c>
      <c r="C10825" s="396" t="s">
        <v>16926</v>
      </c>
      <c r="D10825" s="396" t="s">
        <v>20227</v>
      </c>
      <c r="E10825" s="396" t="s">
        <v>20228</v>
      </c>
      <c r="F10825" s="396" t="s">
        <v>20209</v>
      </c>
    </row>
    <row r="10826">
      <c r="A10826" s="311">
        <v>10825</v>
      </c>
      <c r="B10826" s="396" t="s">
        <v>20232</v>
      </c>
      <c r="C10826" s="396" t="s">
        <v>20233</v>
      </c>
      <c r="D10826" s="396" t="s">
        <v>20227</v>
      </c>
      <c r="E10826" s="396" t="s">
        <v>20228</v>
      </c>
      <c r="F10826" s="396" t="s">
        <v>20209</v>
      </c>
    </row>
    <row r="10827">
      <c r="A10827" s="311">
        <v>10826</v>
      </c>
      <c r="B10827" s="396" t="s">
        <v>20234</v>
      </c>
      <c r="C10827" s="396" t="s">
        <v>832</v>
      </c>
      <c r="D10827" s="396" t="s">
        <v>20227</v>
      </c>
      <c r="E10827" s="396" t="s">
        <v>20228</v>
      </c>
      <c r="F10827" s="396" t="s">
        <v>20209</v>
      </c>
    </row>
    <row r="10828">
      <c r="A10828" s="311">
        <v>10827</v>
      </c>
      <c r="B10828" s="396" t="s">
        <v>20235</v>
      </c>
      <c r="C10828" s="396" t="s">
        <v>1552</v>
      </c>
      <c r="D10828" s="396" t="s">
        <v>20227</v>
      </c>
      <c r="E10828" s="396" t="s">
        <v>20228</v>
      </c>
      <c r="F10828" s="396" t="s">
        <v>20209</v>
      </c>
    </row>
    <row r="10829">
      <c r="A10829" s="311">
        <v>10828</v>
      </c>
      <c r="B10829" s="396" t="s">
        <v>20236</v>
      </c>
      <c r="C10829" s="396" t="s">
        <v>20237</v>
      </c>
      <c r="D10829" s="396" t="s">
        <v>20238</v>
      </c>
      <c r="E10829" s="396" t="s">
        <v>20239</v>
      </c>
      <c r="F10829" s="396" t="s">
        <v>20209</v>
      </c>
    </row>
    <row r="10830">
      <c r="A10830" s="311">
        <v>10829</v>
      </c>
      <c r="B10830" s="396" t="s">
        <v>20240</v>
      </c>
      <c r="C10830" s="396" t="s">
        <v>838</v>
      </c>
      <c r="D10830" s="396" t="s">
        <v>20238</v>
      </c>
      <c r="E10830" s="396" t="s">
        <v>20239</v>
      </c>
      <c r="F10830" s="396" t="s">
        <v>20209</v>
      </c>
    </row>
    <row r="10831">
      <c r="A10831" s="311">
        <v>10830</v>
      </c>
      <c r="B10831" s="396" t="s">
        <v>20241</v>
      </c>
      <c r="C10831" s="396" t="s">
        <v>20242</v>
      </c>
      <c r="D10831" s="396" t="s">
        <v>20238</v>
      </c>
      <c r="E10831" s="396" t="s">
        <v>20239</v>
      </c>
      <c r="F10831" s="396" t="s">
        <v>20209</v>
      </c>
    </row>
    <row r="10832">
      <c r="A10832" s="311">
        <v>10831</v>
      </c>
      <c r="B10832" s="396" t="s">
        <v>20243</v>
      </c>
      <c r="C10832" s="396" t="s">
        <v>20244</v>
      </c>
      <c r="D10832" s="396" t="s">
        <v>20238</v>
      </c>
      <c r="E10832" s="396" t="s">
        <v>20239</v>
      </c>
      <c r="F10832" s="396" t="s">
        <v>20209</v>
      </c>
    </row>
    <row r="10833">
      <c r="A10833" s="311">
        <v>10832</v>
      </c>
      <c r="B10833" s="396" t="s">
        <v>20245</v>
      </c>
      <c r="C10833" s="396" t="s">
        <v>20246</v>
      </c>
      <c r="D10833" s="396" t="s">
        <v>20238</v>
      </c>
      <c r="E10833" s="396" t="s">
        <v>20239</v>
      </c>
      <c r="F10833" s="396" t="s">
        <v>20209</v>
      </c>
    </row>
    <row r="10834">
      <c r="A10834" s="311">
        <v>10833</v>
      </c>
      <c r="B10834" s="396" t="s">
        <v>20247</v>
      </c>
      <c r="C10834" s="396" t="s">
        <v>20248</v>
      </c>
      <c r="D10834" s="396" t="s">
        <v>20238</v>
      </c>
      <c r="E10834" s="396" t="s">
        <v>20239</v>
      </c>
      <c r="F10834" s="396" t="s">
        <v>20209</v>
      </c>
    </row>
    <row r="10835">
      <c r="A10835" s="311">
        <v>10834</v>
      </c>
      <c r="B10835" s="396" t="s">
        <v>20249</v>
      </c>
      <c r="C10835" s="396" t="s">
        <v>20250</v>
      </c>
      <c r="D10835" s="396" t="s">
        <v>20238</v>
      </c>
      <c r="E10835" s="396" t="s">
        <v>20239</v>
      </c>
      <c r="F10835" s="396" t="s">
        <v>20209</v>
      </c>
    </row>
    <row r="10836">
      <c r="A10836" s="311">
        <v>10835</v>
      </c>
      <c r="B10836" s="396" t="s">
        <v>20251</v>
      </c>
      <c r="C10836" s="396" t="s">
        <v>20252</v>
      </c>
      <c r="D10836" s="396" t="s">
        <v>20238</v>
      </c>
      <c r="E10836" s="396" t="s">
        <v>20239</v>
      </c>
      <c r="F10836" s="396" t="s">
        <v>20209</v>
      </c>
    </row>
    <row r="10837">
      <c r="A10837" s="311">
        <v>10836</v>
      </c>
      <c r="B10837" s="396" t="s">
        <v>20253</v>
      </c>
      <c r="C10837" s="396" t="s">
        <v>20254</v>
      </c>
      <c r="D10837" s="396" t="s">
        <v>20238</v>
      </c>
      <c r="E10837" s="396" t="s">
        <v>20239</v>
      </c>
      <c r="F10837" s="396" t="s">
        <v>20209</v>
      </c>
    </row>
    <row r="10838">
      <c r="A10838" s="311">
        <v>10837</v>
      </c>
      <c r="B10838" s="396" t="s">
        <v>20255</v>
      </c>
      <c r="C10838" s="396" t="s">
        <v>20256</v>
      </c>
      <c r="D10838" s="396" t="s">
        <v>20238</v>
      </c>
      <c r="E10838" s="396" t="s">
        <v>20239</v>
      </c>
      <c r="F10838" s="396" t="s">
        <v>20209</v>
      </c>
    </row>
    <row r="10839">
      <c r="A10839" s="311">
        <v>10838</v>
      </c>
      <c r="B10839" s="396" t="s">
        <v>20257</v>
      </c>
      <c r="C10839" s="396" t="s">
        <v>20258</v>
      </c>
      <c r="D10839" s="396" t="s">
        <v>20259</v>
      </c>
      <c r="E10839" s="396" t="s">
        <v>16827</v>
      </c>
      <c r="F10839" s="396" t="s">
        <v>20209</v>
      </c>
    </row>
    <row r="10840">
      <c r="A10840" s="311">
        <v>10839</v>
      </c>
      <c r="B10840" s="396" t="s">
        <v>20260</v>
      </c>
      <c r="C10840" s="396" t="s">
        <v>17967</v>
      </c>
      <c r="D10840" s="396" t="s">
        <v>20259</v>
      </c>
      <c r="E10840" s="396" t="s">
        <v>16827</v>
      </c>
      <c r="F10840" s="396" t="s">
        <v>20209</v>
      </c>
    </row>
    <row r="10841">
      <c r="A10841" s="311">
        <v>10840</v>
      </c>
      <c r="B10841" s="396" t="s">
        <v>20261</v>
      </c>
      <c r="C10841" s="396" t="s">
        <v>12831</v>
      </c>
      <c r="D10841" s="396" t="s">
        <v>20259</v>
      </c>
      <c r="E10841" s="396" t="s">
        <v>16827</v>
      </c>
      <c r="F10841" s="396" t="s">
        <v>20209</v>
      </c>
    </row>
    <row r="10842">
      <c r="A10842" s="311">
        <v>10841</v>
      </c>
      <c r="B10842" s="396" t="s">
        <v>20262</v>
      </c>
      <c r="C10842" s="396" t="s">
        <v>5841</v>
      </c>
      <c r="D10842" s="396" t="s">
        <v>20259</v>
      </c>
      <c r="E10842" s="396" t="s">
        <v>16827</v>
      </c>
      <c r="F10842" s="396" t="s">
        <v>20209</v>
      </c>
    </row>
    <row r="10843">
      <c r="A10843" s="311">
        <v>10842</v>
      </c>
      <c r="B10843" s="396" t="s">
        <v>20263</v>
      </c>
      <c r="C10843" s="396" t="s">
        <v>17374</v>
      </c>
      <c r="D10843" s="396" t="s">
        <v>20259</v>
      </c>
      <c r="E10843" s="396" t="s">
        <v>16827</v>
      </c>
      <c r="F10843" s="396" t="s">
        <v>20209</v>
      </c>
    </row>
    <row r="10844">
      <c r="A10844" s="311">
        <v>10843</v>
      </c>
      <c r="B10844" s="396" t="s">
        <v>20264</v>
      </c>
      <c r="C10844" s="396" t="s">
        <v>17224</v>
      </c>
      <c r="D10844" s="396" t="s">
        <v>20259</v>
      </c>
      <c r="E10844" s="396" t="s">
        <v>16827</v>
      </c>
      <c r="F10844" s="396" t="s">
        <v>20209</v>
      </c>
    </row>
    <row r="10845">
      <c r="A10845" s="311">
        <v>10844</v>
      </c>
      <c r="B10845" s="396" t="s">
        <v>20265</v>
      </c>
      <c r="C10845" s="396" t="s">
        <v>20266</v>
      </c>
      <c r="D10845" s="396" t="s">
        <v>20259</v>
      </c>
      <c r="E10845" s="396" t="s">
        <v>16827</v>
      </c>
      <c r="F10845" s="396" t="s">
        <v>20209</v>
      </c>
    </row>
    <row r="10846">
      <c r="A10846" s="311">
        <v>10845</v>
      </c>
      <c r="B10846" s="396" t="s">
        <v>20267</v>
      </c>
      <c r="C10846" s="396" t="s">
        <v>20268</v>
      </c>
      <c r="D10846" s="396" t="s">
        <v>20259</v>
      </c>
      <c r="E10846" s="396" t="s">
        <v>16827</v>
      </c>
      <c r="F10846" s="396" t="s">
        <v>20209</v>
      </c>
    </row>
    <row r="10847">
      <c r="A10847" s="311">
        <v>10846</v>
      </c>
      <c r="B10847" s="396" t="s">
        <v>20269</v>
      </c>
      <c r="C10847" s="396" t="s">
        <v>20270</v>
      </c>
      <c r="D10847" s="396" t="s">
        <v>20259</v>
      </c>
      <c r="E10847" s="396" t="s">
        <v>16827</v>
      </c>
      <c r="F10847" s="396" t="s">
        <v>20209</v>
      </c>
    </row>
    <row r="10848">
      <c r="A10848" s="311">
        <v>10847</v>
      </c>
      <c r="B10848" s="396" t="s">
        <v>20271</v>
      </c>
      <c r="C10848" s="396" t="s">
        <v>20272</v>
      </c>
      <c r="D10848" s="396" t="s">
        <v>20273</v>
      </c>
      <c r="E10848" s="396" t="s">
        <v>20274</v>
      </c>
      <c r="F10848" s="396" t="s">
        <v>20209</v>
      </c>
    </row>
    <row r="10849">
      <c r="A10849" s="311">
        <v>10848</v>
      </c>
      <c r="B10849" s="396" t="s">
        <v>20275</v>
      </c>
      <c r="C10849" s="396" t="s">
        <v>20276</v>
      </c>
      <c r="D10849" s="396" t="s">
        <v>20273</v>
      </c>
      <c r="E10849" s="396" t="s">
        <v>20274</v>
      </c>
      <c r="F10849" s="396" t="s">
        <v>20209</v>
      </c>
    </row>
    <row r="10850">
      <c r="A10850" s="311">
        <v>10849</v>
      </c>
      <c r="B10850" s="396" t="s">
        <v>20277</v>
      </c>
      <c r="C10850" s="396" t="s">
        <v>5492</v>
      </c>
      <c r="D10850" s="396" t="s">
        <v>20273</v>
      </c>
      <c r="E10850" s="396" t="s">
        <v>20274</v>
      </c>
      <c r="F10850" s="396" t="s">
        <v>20209</v>
      </c>
    </row>
    <row r="10851">
      <c r="A10851" s="311">
        <v>10850</v>
      </c>
      <c r="B10851" s="396" t="s">
        <v>20278</v>
      </c>
      <c r="C10851" s="396" t="s">
        <v>4690</v>
      </c>
      <c r="D10851" s="396" t="s">
        <v>20273</v>
      </c>
      <c r="E10851" s="396" t="s">
        <v>20274</v>
      </c>
      <c r="F10851" s="396" t="s">
        <v>20209</v>
      </c>
    </row>
    <row r="10852">
      <c r="A10852" s="311">
        <v>10851</v>
      </c>
      <c r="B10852" s="396" t="s">
        <v>20279</v>
      </c>
      <c r="C10852" s="396" t="s">
        <v>18247</v>
      </c>
      <c r="D10852" s="396" t="s">
        <v>20273</v>
      </c>
      <c r="E10852" s="396" t="s">
        <v>20274</v>
      </c>
      <c r="F10852" s="396" t="s">
        <v>20209</v>
      </c>
    </row>
    <row r="10853">
      <c r="A10853" s="311">
        <v>10852</v>
      </c>
      <c r="B10853" s="396" t="s">
        <v>20280</v>
      </c>
      <c r="C10853" s="396" t="s">
        <v>18269</v>
      </c>
      <c r="D10853" s="396" t="s">
        <v>20273</v>
      </c>
      <c r="E10853" s="396" t="s">
        <v>20274</v>
      </c>
      <c r="F10853" s="396" t="s">
        <v>20209</v>
      </c>
    </row>
    <row r="10854">
      <c r="A10854" s="311">
        <v>10853</v>
      </c>
      <c r="B10854" s="396" t="s">
        <v>20281</v>
      </c>
      <c r="C10854" s="396" t="s">
        <v>20282</v>
      </c>
      <c r="D10854" s="396" t="s">
        <v>20273</v>
      </c>
      <c r="E10854" s="396" t="s">
        <v>20274</v>
      </c>
      <c r="F10854" s="396" t="s">
        <v>20209</v>
      </c>
    </row>
    <row r="10855">
      <c r="A10855" s="311">
        <v>10854</v>
      </c>
      <c r="B10855" s="396" t="s">
        <v>20283</v>
      </c>
      <c r="C10855" s="396" t="s">
        <v>20284</v>
      </c>
      <c r="D10855" s="396" t="s">
        <v>20273</v>
      </c>
      <c r="E10855" s="396" t="s">
        <v>20274</v>
      </c>
      <c r="F10855" s="396" t="s">
        <v>20209</v>
      </c>
    </row>
    <row r="10856">
      <c r="A10856" s="311">
        <v>10855</v>
      </c>
      <c r="B10856" s="396" t="s">
        <v>20285</v>
      </c>
      <c r="C10856" s="396" t="s">
        <v>2385</v>
      </c>
      <c r="D10856" s="396" t="s">
        <v>20273</v>
      </c>
      <c r="E10856" s="396" t="s">
        <v>20274</v>
      </c>
      <c r="F10856" s="396" t="s">
        <v>20209</v>
      </c>
    </row>
    <row r="10857">
      <c r="A10857" s="311">
        <v>10856</v>
      </c>
      <c r="B10857" s="396" t="s">
        <v>20286</v>
      </c>
      <c r="C10857" s="396" t="s">
        <v>20287</v>
      </c>
      <c r="D10857" s="396" t="s">
        <v>20273</v>
      </c>
      <c r="E10857" s="396" t="s">
        <v>20274</v>
      </c>
      <c r="F10857" s="396" t="s">
        <v>20209</v>
      </c>
    </row>
    <row r="10858">
      <c r="A10858" s="311">
        <v>10857</v>
      </c>
      <c r="B10858" s="396" t="s">
        <v>20288</v>
      </c>
      <c r="C10858" s="396" t="s">
        <v>20289</v>
      </c>
      <c r="D10858" s="396" t="s">
        <v>20273</v>
      </c>
      <c r="E10858" s="396" t="s">
        <v>20274</v>
      </c>
      <c r="F10858" s="396" t="s">
        <v>20209</v>
      </c>
    </row>
    <row r="10859">
      <c r="A10859" s="311">
        <v>10858</v>
      </c>
      <c r="B10859" s="396" t="s">
        <v>20290</v>
      </c>
      <c r="C10859" s="396" t="s">
        <v>20291</v>
      </c>
      <c r="D10859" s="396" t="s">
        <v>20273</v>
      </c>
      <c r="E10859" s="396" t="s">
        <v>20274</v>
      </c>
      <c r="F10859" s="396" t="s">
        <v>20209</v>
      </c>
    </row>
    <row r="10860">
      <c r="A10860" s="311">
        <v>10859</v>
      </c>
      <c r="B10860" s="396" t="s">
        <v>20292</v>
      </c>
      <c r="C10860" s="396" t="s">
        <v>20293</v>
      </c>
      <c r="D10860" s="396" t="s">
        <v>20273</v>
      </c>
      <c r="E10860" s="396" t="s">
        <v>20274</v>
      </c>
      <c r="F10860" s="396" t="s">
        <v>20209</v>
      </c>
    </row>
    <row r="10861">
      <c r="A10861" s="311">
        <v>10860</v>
      </c>
      <c r="B10861" s="396" t="s">
        <v>20294</v>
      </c>
      <c r="C10861" s="396" t="s">
        <v>20295</v>
      </c>
      <c r="D10861" s="396" t="s">
        <v>20273</v>
      </c>
      <c r="E10861" s="396" t="s">
        <v>20274</v>
      </c>
      <c r="F10861" s="396" t="s">
        <v>20209</v>
      </c>
    </row>
    <row r="10862">
      <c r="A10862" s="311">
        <v>10861</v>
      </c>
      <c r="B10862" s="396" t="s">
        <v>20296</v>
      </c>
      <c r="C10862" s="396" t="s">
        <v>2462</v>
      </c>
      <c r="D10862" s="396" t="s">
        <v>20273</v>
      </c>
      <c r="E10862" s="396" t="s">
        <v>20274</v>
      </c>
      <c r="F10862" s="396" t="s">
        <v>20209</v>
      </c>
    </row>
    <row r="10863">
      <c r="A10863" s="311">
        <v>10862</v>
      </c>
      <c r="B10863" s="396" t="s">
        <v>20297</v>
      </c>
      <c r="C10863" s="396" t="s">
        <v>20298</v>
      </c>
      <c r="D10863" s="396" t="s">
        <v>20299</v>
      </c>
      <c r="E10863" s="396" t="s">
        <v>20300</v>
      </c>
      <c r="F10863" s="396" t="s">
        <v>20209</v>
      </c>
    </row>
    <row r="10864">
      <c r="A10864" s="311">
        <v>10863</v>
      </c>
      <c r="B10864" s="396" t="s">
        <v>20301</v>
      </c>
      <c r="C10864" s="396" t="s">
        <v>20302</v>
      </c>
      <c r="D10864" s="396" t="s">
        <v>20299</v>
      </c>
      <c r="E10864" s="396" t="s">
        <v>20300</v>
      </c>
      <c r="F10864" s="396" t="s">
        <v>20209</v>
      </c>
    </row>
    <row r="10865">
      <c r="A10865" s="311">
        <v>10864</v>
      </c>
      <c r="B10865" s="396" t="s">
        <v>20303</v>
      </c>
      <c r="C10865" s="396" t="s">
        <v>20304</v>
      </c>
      <c r="D10865" s="396" t="s">
        <v>20299</v>
      </c>
      <c r="E10865" s="396" t="s">
        <v>20300</v>
      </c>
      <c r="F10865" s="396" t="s">
        <v>20209</v>
      </c>
    </row>
    <row r="10866">
      <c r="A10866" s="311">
        <v>10865</v>
      </c>
      <c r="B10866" s="396" t="s">
        <v>20305</v>
      </c>
      <c r="C10866" s="396" t="s">
        <v>20306</v>
      </c>
      <c r="D10866" s="396" t="s">
        <v>20299</v>
      </c>
      <c r="E10866" s="396" t="s">
        <v>20300</v>
      </c>
      <c r="F10866" s="396" t="s">
        <v>20209</v>
      </c>
    </row>
    <row r="10867">
      <c r="A10867" s="311">
        <v>10866</v>
      </c>
      <c r="B10867" s="396" t="s">
        <v>20307</v>
      </c>
      <c r="C10867" s="396" t="s">
        <v>20308</v>
      </c>
      <c r="D10867" s="396" t="s">
        <v>20299</v>
      </c>
      <c r="E10867" s="396" t="s">
        <v>20300</v>
      </c>
      <c r="F10867" s="396" t="s">
        <v>20209</v>
      </c>
    </row>
    <row r="10868">
      <c r="A10868" s="311">
        <v>10867</v>
      </c>
      <c r="B10868" s="396" t="s">
        <v>20309</v>
      </c>
      <c r="C10868" s="396" t="s">
        <v>5385</v>
      </c>
      <c r="D10868" s="396" t="s">
        <v>20299</v>
      </c>
      <c r="E10868" s="396" t="s">
        <v>20300</v>
      </c>
      <c r="F10868" s="396" t="s">
        <v>20209</v>
      </c>
    </row>
    <row r="10869">
      <c r="A10869" s="311">
        <v>10868</v>
      </c>
      <c r="B10869" s="396" t="s">
        <v>20310</v>
      </c>
      <c r="C10869" s="396" t="s">
        <v>20311</v>
      </c>
      <c r="D10869" s="396" t="s">
        <v>20299</v>
      </c>
      <c r="E10869" s="396" t="s">
        <v>20300</v>
      </c>
      <c r="F10869" s="396" t="s">
        <v>20209</v>
      </c>
    </row>
    <row r="10870">
      <c r="A10870" s="311">
        <v>10869</v>
      </c>
      <c r="B10870" s="396" t="s">
        <v>20312</v>
      </c>
      <c r="C10870" s="396" t="s">
        <v>20313</v>
      </c>
      <c r="D10870" s="396" t="s">
        <v>20299</v>
      </c>
      <c r="E10870" s="396" t="s">
        <v>20300</v>
      </c>
      <c r="F10870" s="396" t="s">
        <v>20209</v>
      </c>
    </row>
    <row r="10871">
      <c r="A10871" s="311">
        <v>10870</v>
      </c>
      <c r="B10871" s="396" t="s">
        <v>20314</v>
      </c>
      <c r="C10871" s="396" t="s">
        <v>20315</v>
      </c>
      <c r="D10871" s="396" t="s">
        <v>20299</v>
      </c>
      <c r="E10871" s="396" t="s">
        <v>20300</v>
      </c>
      <c r="F10871" s="396" t="s">
        <v>20209</v>
      </c>
    </row>
    <row r="10872">
      <c r="A10872" s="311">
        <v>10871</v>
      </c>
      <c r="B10872" s="396" t="s">
        <v>20316</v>
      </c>
      <c r="C10872" s="396" t="s">
        <v>20317</v>
      </c>
      <c r="D10872" s="396" t="s">
        <v>20299</v>
      </c>
      <c r="E10872" s="396" t="s">
        <v>20300</v>
      </c>
      <c r="F10872" s="396" t="s">
        <v>20209</v>
      </c>
    </row>
    <row r="10873">
      <c r="A10873" s="311">
        <v>10872</v>
      </c>
      <c r="B10873" s="396" t="s">
        <v>20318</v>
      </c>
      <c r="C10873" s="396" t="s">
        <v>20319</v>
      </c>
      <c r="D10873" s="396" t="s">
        <v>20320</v>
      </c>
      <c r="E10873" s="396" t="s">
        <v>20321</v>
      </c>
      <c r="F10873" s="396" t="s">
        <v>20209</v>
      </c>
    </row>
    <row r="10874">
      <c r="A10874" s="311">
        <v>10873</v>
      </c>
      <c r="B10874" s="396" t="s">
        <v>20322</v>
      </c>
      <c r="C10874" s="396" t="s">
        <v>1391</v>
      </c>
      <c r="D10874" s="396" t="s">
        <v>20320</v>
      </c>
      <c r="E10874" s="396" t="s">
        <v>20321</v>
      </c>
      <c r="F10874" s="396" t="s">
        <v>20209</v>
      </c>
    </row>
    <row r="10875">
      <c r="A10875" s="311">
        <v>10874</v>
      </c>
      <c r="B10875" s="396" t="s">
        <v>20323</v>
      </c>
      <c r="C10875" s="396" t="s">
        <v>20324</v>
      </c>
      <c r="D10875" s="396" t="s">
        <v>20320</v>
      </c>
      <c r="E10875" s="396" t="s">
        <v>20321</v>
      </c>
      <c r="F10875" s="396" t="s">
        <v>20209</v>
      </c>
    </row>
    <row r="10876">
      <c r="A10876" s="311">
        <v>10875</v>
      </c>
      <c r="B10876" s="396" t="s">
        <v>20325</v>
      </c>
      <c r="C10876" s="396" t="s">
        <v>20326</v>
      </c>
      <c r="D10876" s="396" t="s">
        <v>20320</v>
      </c>
      <c r="E10876" s="396" t="s">
        <v>20321</v>
      </c>
      <c r="F10876" s="396" t="s">
        <v>20209</v>
      </c>
    </row>
    <row r="10877">
      <c r="A10877" s="311">
        <v>10876</v>
      </c>
      <c r="B10877" s="396" t="s">
        <v>20327</v>
      </c>
      <c r="C10877" s="396" t="s">
        <v>20328</v>
      </c>
      <c r="D10877" s="396" t="s">
        <v>20320</v>
      </c>
      <c r="E10877" s="396" t="s">
        <v>20321</v>
      </c>
      <c r="F10877" s="396" t="s">
        <v>20209</v>
      </c>
    </row>
    <row r="10878">
      <c r="A10878" s="311">
        <v>10877</v>
      </c>
      <c r="B10878" s="396" t="s">
        <v>20329</v>
      </c>
      <c r="C10878" s="396" t="s">
        <v>20330</v>
      </c>
      <c r="D10878" s="396" t="s">
        <v>20320</v>
      </c>
      <c r="E10878" s="396" t="s">
        <v>20321</v>
      </c>
      <c r="F10878" s="396" t="s">
        <v>20209</v>
      </c>
    </row>
    <row r="10879">
      <c r="A10879" s="311">
        <v>10878</v>
      </c>
      <c r="B10879" s="396" t="s">
        <v>20331</v>
      </c>
      <c r="C10879" s="396" t="s">
        <v>20332</v>
      </c>
      <c r="D10879" s="396" t="s">
        <v>20320</v>
      </c>
      <c r="E10879" s="396" t="s">
        <v>20321</v>
      </c>
      <c r="F10879" s="396" t="s">
        <v>20209</v>
      </c>
    </row>
    <row r="10880">
      <c r="A10880" s="311">
        <v>10879</v>
      </c>
      <c r="B10880" s="396" t="s">
        <v>20333</v>
      </c>
      <c r="C10880" s="396" t="s">
        <v>20334</v>
      </c>
      <c r="D10880" s="396" t="s">
        <v>20320</v>
      </c>
      <c r="E10880" s="396" t="s">
        <v>20321</v>
      </c>
      <c r="F10880" s="396" t="s">
        <v>20209</v>
      </c>
    </row>
    <row r="10881">
      <c r="A10881" s="311">
        <v>10880</v>
      </c>
      <c r="B10881" s="396" t="s">
        <v>20335</v>
      </c>
      <c r="C10881" s="396" t="s">
        <v>20124</v>
      </c>
      <c r="D10881" s="396" t="s">
        <v>20336</v>
      </c>
      <c r="E10881" s="396" t="s">
        <v>20337</v>
      </c>
      <c r="F10881" s="396" t="s">
        <v>20209</v>
      </c>
    </row>
    <row r="10882">
      <c r="A10882" s="311">
        <v>10881</v>
      </c>
      <c r="B10882" s="396" t="s">
        <v>20338</v>
      </c>
      <c r="C10882" s="396" t="s">
        <v>20339</v>
      </c>
      <c r="D10882" s="396" t="s">
        <v>20336</v>
      </c>
      <c r="E10882" s="396" t="s">
        <v>20337</v>
      </c>
      <c r="F10882" s="396" t="s">
        <v>20209</v>
      </c>
    </row>
    <row r="10883">
      <c r="A10883" s="311">
        <v>10882</v>
      </c>
      <c r="B10883" s="396" t="s">
        <v>20340</v>
      </c>
      <c r="C10883" s="396" t="s">
        <v>20341</v>
      </c>
      <c r="D10883" s="396" t="s">
        <v>20336</v>
      </c>
      <c r="E10883" s="396" t="s">
        <v>20337</v>
      </c>
      <c r="F10883" s="396" t="s">
        <v>20209</v>
      </c>
    </row>
    <row r="10884">
      <c r="A10884" s="311">
        <v>10883</v>
      </c>
      <c r="B10884" s="396" t="s">
        <v>20342</v>
      </c>
      <c r="C10884" s="396" t="s">
        <v>16733</v>
      </c>
      <c r="D10884" s="396" t="s">
        <v>20336</v>
      </c>
      <c r="E10884" s="396" t="s">
        <v>20337</v>
      </c>
      <c r="F10884" s="396" t="s">
        <v>20209</v>
      </c>
    </row>
    <row r="10885">
      <c r="A10885" s="311">
        <v>10884</v>
      </c>
      <c r="B10885" s="396" t="s">
        <v>20343</v>
      </c>
      <c r="C10885" s="396" t="s">
        <v>20344</v>
      </c>
      <c r="D10885" s="396" t="s">
        <v>20336</v>
      </c>
      <c r="E10885" s="396" t="s">
        <v>20337</v>
      </c>
      <c r="F10885" s="396" t="s">
        <v>20209</v>
      </c>
    </row>
    <row r="10886">
      <c r="A10886" s="311">
        <v>10885</v>
      </c>
      <c r="B10886" s="396" t="s">
        <v>20345</v>
      </c>
      <c r="C10886" s="396" t="s">
        <v>20346</v>
      </c>
      <c r="D10886" s="396" t="s">
        <v>20336</v>
      </c>
      <c r="E10886" s="396" t="s">
        <v>20337</v>
      </c>
      <c r="F10886" s="396" t="s">
        <v>20209</v>
      </c>
    </row>
    <row r="10887">
      <c r="A10887" s="311">
        <v>10886</v>
      </c>
      <c r="B10887" s="396" t="s">
        <v>20347</v>
      </c>
      <c r="C10887" s="396" t="s">
        <v>20348</v>
      </c>
      <c r="D10887" s="396" t="s">
        <v>20336</v>
      </c>
      <c r="E10887" s="396" t="s">
        <v>20337</v>
      </c>
      <c r="F10887" s="396" t="s">
        <v>20209</v>
      </c>
    </row>
    <row r="10888">
      <c r="A10888" s="311">
        <v>10887</v>
      </c>
      <c r="B10888" s="396" t="s">
        <v>20349</v>
      </c>
      <c r="C10888" s="396" t="s">
        <v>19225</v>
      </c>
      <c r="D10888" s="396" t="s">
        <v>20336</v>
      </c>
      <c r="E10888" s="396" t="s">
        <v>20337</v>
      </c>
      <c r="F10888" s="396" t="s">
        <v>20209</v>
      </c>
    </row>
    <row r="10889">
      <c r="A10889" s="311">
        <v>10888</v>
      </c>
      <c r="B10889" s="396" t="s">
        <v>20350</v>
      </c>
      <c r="C10889" s="396" t="s">
        <v>830</v>
      </c>
      <c r="D10889" s="396" t="s">
        <v>20336</v>
      </c>
      <c r="E10889" s="396" t="s">
        <v>20337</v>
      </c>
      <c r="F10889" s="396" t="s">
        <v>20209</v>
      </c>
    </row>
    <row r="10890">
      <c r="A10890" s="311">
        <v>10889</v>
      </c>
      <c r="B10890" s="396" t="s">
        <v>20351</v>
      </c>
      <c r="C10890" s="396" t="s">
        <v>12451</v>
      </c>
      <c r="D10890" s="396" t="s">
        <v>20352</v>
      </c>
      <c r="E10890" s="396" t="s">
        <v>20353</v>
      </c>
      <c r="F10890" s="396" t="s">
        <v>20354</v>
      </c>
    </row>
    <row r="10891">
      <c r="A10891" s="311">
        <v>10890</v>
      </c>
      <c r="B10891" s="396" t="s">
        <v>20355</v>
      </c>
      <c r="C10891" s="396" t="s">
        <v>14278</v>
      </c>
      <c r="D10891" s="396" t="s">
        <v>20352</v>
      </c>
      <c r="E10891" s="396" t="s">
        <v>20353</v>
      </c>
      <c r="F10891" s="396" t="s">
        <v>20354</v>
      </c>
    </row>
    <row r="10892">
      <c r="A10892" s="311">
        <v>10891</v>
      </c>
      <c r="B10892" s="396" t="s">
        <v>20356</v>
      </c>
      <c r="C10892" s="396" t="s">
        <v>14270</v>
      </c>
      <c r="D10892" s="396" t="s">
        <v>20352</v>
      </c>
      <c r="E10892" s="396" t="s">
        <v>20353</v>
      </c>
      <c r="F10892" s="396" t="s">
        <v>20354</v>
      </c>
    </row>
    <row r="10893">
      <c r="A10893" s="311">
        <v>10892</v>
      </c>
      <c r="B10893" s="396" t="s">
        <v>20357</v>
      </c>
      <c r="C10893" s="396" t="s">
        <v>14280</v>
      </c>
      <c r="D10893" s="396" t="s">
        <v>20352</v>
      </c>
      <c r="E10893" s="396" t="s">
        <v>20353</v>
      </c>
      <c r="F10893" s="396" t="s">
        <v>20354</v>
      </c>
    </row>
    <row r="10894">
      <c r="A10894" s="311">
        <v>10893</v>
      </c>
      <c r="B10894" s="396" t="s">
        <v>20358</v>
      </c>
      <c r="C10894" s="396" t="s">
        <v>12447</v>
      </c>
      <c r="D10894" s="396" t="s">
        <v>20352</v>
      </c>
      <c r="E10894" s="396" t="s">
        <v>20353</v>
      </c>
      <c r="F10894" s="396" t="s">
        <v>20354</v>
      </c>
    </row>
    <row r="10895">
      <c r="A10895" s="311">
        <v>10894</v>
      </c>
      <c r="B10895" s="396" t="s">
        <v>20359</v>
      </c>
      <c r="C10895" s="396" t="s">
        <v>12441</v>
      </c>
      <c r="D10895" s="396" t="s">
        <v>20352</v>
      </c>
      <c r="E10895" s="396" t="s">
        <v>20353</v>
      </c>
      <c r="F10895" s="396" t="s">
        <v>20354</v>
      </c>
    </row>
    <row r="10896">
      <c r="A10896" s="311">
        <v>10895</v>
      </c>
      <c r="B10896" s="396" t="s">
        <v>20360</v>
      </c>
      <c r="C10896" s="396" t="s">
        <v>12449</v>
      </c>
      <c r="D10896" s="396" t="s">
        <v>20352</v>
      </c>
      <c r="E10896" s="396" t="s">
        <v>20353</v>
      </c>
      <c r="F10896" s="396" t="s">
        <v>20354</v>
      </c>
    </row>
    <row r="10897">
      <c r="A10897" s="311">
        <v>10896</v>
      </c>
      <c r="B10897" s="396" t="s">
        <v>20361</v>
      </c>
      <c r="C10897" s="396" t="s">
        <v>12455</v>
      </c>
      <c r="D10897" s="396" t="s">
        <v>20352</v>
      </c>
      <c r="E10897" s="396" t="s">
        <v>20353</v>
      </c>
      <c r="F10897" s="396" t="s">
        <v>20354</v>
      </c>
    </row>
    <row r="10898">
      <c r="A10898" s="311">
        <v>10897</v>
      </c>
      <c r="B10898" s="396" t="s">
        <v>20362</v>
      </c>
      <c r="C10898" s="396" t="s">
        <v>14273</v>
      </c>
      <c r="D10898" s="396" t="s">
        <v>20352</v>
      </c>
      <c r="E10898" s="396" t="s">
        <v>20353</v>
      </c>
      <c r="F10898" s="396" t="s">
        <v>20354</v>
      </c>
    </row>
    <row r="10899">
      <c r="A10899" s="311">
        <v>10898</v>
      </c>
      <c r="B10899" s="396" t="s">
        <v>20363</v>
      </c>
      <c r="C10899" s="396" t="s">
        <v>16300</v>
      </c>
      <c r="D10899" s="396" t="s">
        <v>20352</v>
      </c>
      <c r="E10899" s="396" t="s">
        <v>20353</v>
      </c>
      <c r="F10899" s="396" t="s">
        <v>20354</v>
      </c>
    </row>
    <row r="10900">
      <c r="A10900" s="311">
        <v>10899</v>
      </c>
      <c r="B10900" s="396" t="s">
        <v>20364</v>
      </c>
      <c r="C10900" s="396" t="s">
        <v>16825</v>
      </c>
      <c r="D10900" s="396" t="s">
        <v>20365</v>
      </c>
      <c r="E10900" s="396" t="s">
        <v>16827</v>
      </c>
      <c r="F10900" s="396" t="s">
        <v>20354</v>
      </c>
    </row>
    <row r="10901">
      <c r="A10901" s="311">
        <v>10900</v>
      </c>
      <c r="B10901" s="396" t="s">
        <v>20366</v>
      </c>
      <c r="C10901" s="396" t="s">
        <v>20367</v>
      </c>
      <c r="D10901" s="396" t="s">
        <v>20365</v>
      </c>
      <c r="E10901" s="396" t="s">
        <v>16827</v>
      </c>
      <c r="F10901" s="396" t="s">
        <v>20354</v>
      </c>
    </row>
    <row r="10902">
      <c r="A10902" s="311">
        <v>10901</v>
      </c>
      <c r="B10902" s="396" t="s">
        <v>20368</v>
      </c>
      <c r="C10902" s="396" t="s">
        <v>20369</v>
      </c>
      <c r="D10902" s="396" t="s">
        <v>20365</v>
      </c>
      <c r="E10902" s="396" t="s">
        <v>16827</v>
      </c>
      <c r="F10902" s="396" t="s">
        <v>20354</v>
      </c>
    </row>
    <row r="10903">
      <c r="A10903" s="311">
        <v>10902</v>
      </c>
      <c r="B10903" s="396" t="s">
        <v>20370</v>
      </c>
      <c r="C10903" s="396" t="s">
        <v>1391</v>
      </c>
      <c r="D10903" s="396" t="s">
        <v>20365</v>
      </c>
      <c r="E10903" s="396" t="s">
        <v>16827</v>
      </c>
      <c r="F10903" s="396" t="s">
        <v>20354</v>
      </c>
    </row>
    <row r="10904">
      <c r="A10904" s="311">
        <v>10903</v>
      </c>
      <c r="B10904" s="396" t="s">
        <v>20371</v>
      </c>
      <c r="C10904" s="396" t="s">
        <v>17224</v>
      </c>
      <c r="D10904" s="396" t="s">
        <v>20365</v>
      </c>
      <c r="E10904" s="396" t="s">
        <v>16827</v>
      </c>
      <c r="F10904" s="396" t="s">
        <v>20354</v>
      </c>
    </row>
    <row r="10905">
      <c r="A10905" s="311">
        <v>10904</v>
      </c>
      <c r="B10905" s="396" t="s">
        <v>20372</v>
      </c>
      <c r="C10905" s="396" t="s">
        <v>19270</v>
      </c>
      <c r="D10905" s="396" t="s">
        <v>20365</v>
      </c>
      <c r="E10905" s="396" t="s">
        <v>16827</v>
      </c>
      <c r="F10905" s="396" t="s">
        <v>20354</v>
      </c>
    </row>
    <row r="10906">
      <c r="A10906" s="311">
        <v>10905</v>
      </c>
      <c r="B10906" s="396" t="s">
        <v>20373</v>
      </c>
      <c r="C10906" s="396" t="s">
        <v>8325</v>
      </c>
      <c r="D10906" s="396" t="s">
        <v>20365</v>
      </c>
      <c r="E10906" s="396" t="s">
        <v>16827</v>
      </c>
      <c r="F10906" s="396" t="s">
        <v>20354</v>
      </c>
    </row>
    <row r="10907">
      <c r="A10907" s="311">
        <v>10906</v>
      </c>
      <c r="B10907" s="396" t="s">
        <v>20374</v>
      </c>
      <c r="C10907" s="396" t="s">
        <v>8340</v>
      </c>
      <c r="D10907" s="396" t="s">
        <v>20365</v>
      </c>
      <c r="E10907" s="396" t="s">
        <v>16827</v>
      </c>
      <c r="F10907" s="396" t="s">
        <v>20354</v>
      </c>
    </row>
    <row r="10908">
      <c r="A10908" s="311">
        <v>10907</v>
      </c>
      <c r="B10908" s="396" t="s">
        <v>20375</v>
      </c>
      <c r="C10908" s="396" t="s">
        <v>20376</v>
      </c>
      <c r="D10908" s="396" t="s">
        <v>20377</v>
      </c>
      <c r="E10908" s="396" t="s">
        <v>20378</v>
      </c>
      <c r="F10908" s="396" t="s">
        <v>20354</v>
      </c>
    </row>
    <row r="10909">
      <c r="A10909" s="311">
        <v>10908</v>
      </c>
      <c r="B10909" s="396" t="s">
        <v>20379</v>
      </c>
      <c r="C10909" s="396" t="s">
        <v>20380</v>
      </c>
      <c r="D10909" s="396" t="s">
        <v>20377</v>
      </c>
      <c r="E10909" s="396" t="s">
        <v>20378</v>
      </c>
      <c r="F10909" s="396" t="s">
        <v>20354</v>
      </c>
    </row>
    <row r="10910">
      <c r="A10910" s="311">
        <v>10909</v>
      </c>
      <c r="B10910" s="396" t="s">
        <v>20381</v>
      </c>
      <c r="C10910" s="396" t="s">
        <v>2787</v>
      </c>
      <c r="D10910" s="396" t="s">
        <v>20377</v>
      </c>
      <c r="E10910" s="396" t="s">
        <v>20378</v>
      </c>
      <c r="F10910" s="396" t="s">
        <v>20354</v>
      </c>
    </row>
    <row r="10911">
      <c r="A10911" s="311">
        <v>10910</v>
      </c>
      <c r="B10911" s="396" t="s">
        <v>20382</v>
      </c>
      <c r="C10911" s="396" t="s">
        <v>14912</v>
      </c>
      <c r="D10911" s="396" t="s">
        <v>20377</v>
      </c>
      <c r="E10911" s="396" t="s">
        <v>20378</v>
      </c>
      <c r="F10911" s="396" t="s">
        <v>20354</v>
      </c>
    </row>
    <row r="10912">
      <c r="A10912" s="311">
        <v>10911</v>
      </c>
      <c r="B10912" s="396" t="s">
        <v>20383</v>
      </c>
      <c r="C10912" s="396" t="s">
        <v>20384</v>
      </c>
      <c r="D10912" s="396" t="s">
        <v>20377</v>
      </c>
      <c r="E10912" s="396" t="s">
        <v>20378</v>
      </c>
      <c r="F10912" s="396" t="s">
        <v>20354</v>
      </c>
    </row>
    <row r="10913">
      <c r="A10913" s="311">
        <v>10912</v>
      </c>
      <c r="B10913" s="396" t="s">
        <v>20385</v>
      </c>
      <c r="C10913" s="396" t="s">
        <v>20386</v>
      </c>
      <c r="D10913" s="396" t="s">
        <v>20377</v>
      </c>
      <c r="E10913" s="396" t="s">
        <v>20378</v>
      </c>
      <c r="F10913" s="396" t="s">
        <v>20354</v>
      </c>
    </row>
    <row r="10914">
      <c r="A10914" s="311">
        <v>10913</v>
      </c>
      <c r="B10914" s="396" t="s">
        <v>20387</v>
      </c>
      <c r="C10914" s="396" t="s">
        <v>20388</v>
      </c>
      <c r="D10914" s="396" t="s">
        <v>20377</v>
      </c>
      <c r="E10914" s="396" t="s">
        <v>20378</v>
      </c>
      <c r="F10914" s="396" t="s">
        <v>20354</v>
      </c>
    </row>
    <row r="10915">
      <c r="A10915" s="311">
        <v>10914</v>
      </c>
      <c r="B10915" s="396" t="s">
        <v>20389</v>
      </c>
      <c r="C10915" s="396" t="s">
        <v>20390</v>
      </c>
      <c r="D10915" s="396" t="s">
        <v>20377</v>
      </c>
      <c r="E10915" s="396" t="s">
        <v>20378</v>
      </c>
      <c r="F10915" s="396" t="s">
        <v>20354</v>
      </c>
    </row>
    <row r="10916">
      <c r="A10916" s="311">
        <v>10915</v>
      </c>
      <c r="B10916" s="396" t="s">
        <v>20391</v>
      </c>
      <c r="C10916" s="396" t="s">
        <v>14200</v>
      </c>
      <c r="D10916" s="396" t="s">
        <v>20377</v>
      </c>
      <c r="E10916" s="396" t="s">
        <v>20378</v>
      </c>
      <c r="F10916" s="396" t="s">
        <v>20354</v>
      </c>
    </row>
    <row r="10917">
      <c r="A10917" s="311">
        <v>10916</v>
      </c>
      <c r="B10917" s="396" t="s">
        <v>20392</v>
      </c>
      <c r="C10917" s="396" t="s">
        <v>20393</v>
      </c>
      <c r="D10917" s="396" t="s">
        <v>20377</v>
      </c>
      <c r="E10917" s="396" t="s">
        <v>20378</v>
      </c>
      <c r="F10917" s="396" t="s">
        <v>20354</v>
      </c>
    </row>
    <row r="10918">
      <c r="A10918" s="311">
        <v>10917</v>
      </c>
      <c r="B10918" s="396" t="s">
        <v>20394</v>
      </c>
      <c r="C10918" s="396" t="s">
        <v>20395</v>
      </c>
      <c r="D10918" s="396" t="s">
        <v>20377</v>
      </c>
      <c r="E10918" s="396" t="s">
        <v>20378</v>
      </c>
      <c r="F10918" s="396" t="s">
        <v>20354</v>
      </c>
    </row>
    <row r="10919">
      <c r="A10919" s="311">
        <v>10918</v>
      </c>
      <c r="B10919" s="396" t="s">
        <v>20396</v>
      </c>
      <c r="C10919" s="396" t="s">
        <v>20397</v>
      </c>
      <c r="D10919" s="396" t="s">
        <v>20377</v>
      </c>
      <c r="E10919" s="396" t="s">
        <v>20378</v>
      </c>
      <c r="F10919" s="396" t="s">
        <v>20354</v>
      </c>
    </row>
    <row r="10920">
      <c r="A10920" s="311">
        <v>10919</v>
      </c>
      <c r="B10920" s="396" t="s">
        <v>20398</v>
      </c>
      <c r="C10920" s="396" t="s">
        <v>1193</v>
      </c>
      <c r="D10920" s="396" t="s">
        <v>20377</v>
      </c>
      <c r="E10920" s="396" t="s">
        <v>20378</v>
      </c>
      <c r="F10920" s="396" t="s">
        <v>20354</v>
      </c>
    </row>
    <row r="10921">
      <c r="A10921" s="311">
        <v>10920</v>
      </c>
      <c r="B10921" s="396" t="s">
        <v>20399</v>
      </c>
      <c r="C10921" s="396" t="s">
        <v>20400</v>
      </c>
      <c r="D10921" s="396" t="s">
        <v>20401</v>
      </c>
      <c r="E10921" s="396" t="s">
        <v>20402</v>
      </c>
      <c r="F10921" s="396" t="s">
        <v>20354</v>
      </c>
    </row>
    <row r="10922">
      <c r="A10922" s="311">
        <v>10921</v>
      </c>
      <c r="B10922" s="396" t="s">
        <v>20403</v>
      </c>
      <c r="C10922" s="396" t="s">
        <v>8054</v>
      </c>
      <c r="D10922" s="396" t="s">
        <v>20401</v>
      </c>
      <c r="E10922" s="396" t="s">
        <v>20402</v>
      </c>
      <c r="F10922" s="396" t="s">
        <v>20354</v>
      </c>
    </row>
    <row r="10923">
      <c r="A10923" s="311">
        <v>10922</v>
      </c>
      <c r="B10923" s="396" t="s">
        <v>20404</v>
      </c>
      <c r="C10923" s="396" t="s">
        <v>11614</v>
      </c>
      <c r="D10923" s="396" t="s">
        <v>20401</v>
      </c>
      <c r="E10923" s="396" t="s">
        <v>20402</v>
      </c>
      <c r="F10923" s="396" t="s">
        <v>20354</v>
      </c>
    </row>
    <row r="10924">
      <c r="A10924" s="311">
        <v>10923</v>
      </c>
      <c r="B10924" s="396" t="s">
        <v>20405</v>
      </c>
      <c r="C10924" s="396" t="s">
        <v>7114</v>
      </c>
      <c r="D10924" s="396" t="s">
        <v>20401</v>
      </c>
      <c r="E10924" s="396" t="s">
        <v>20402</v>
      </c>
      <c r="F10924" s="396" t="s">
        <v>20354</v>
      </c>
    </row>
    <row r="10925">
      <c r="A10925" s="311">
        <v>10924</v>
      </c>
      <c r="B10925" s="396" t="s">
        <v>20406</v>
      </c>
      <c r="C10925" s="396" t="s">
        <v>20407</v>
      </c>
      <c r="D10925" s="396" t="s">
        <v>20401</v>
      </c>
      <c r="E10925" s="396" t="s">
        <v>20402</v>
      </c>
      <c r="F10925" s="396" t="s">
        <v>20354</v>
      </c>
    </row>
    <row r="10926">
      <c r="A10926" s="311">
        <v>10925</v>
      </c>
      <c r="B10926" s="396" t="s">
        <v>20408</v>
      </c>
      <c r="C10926" s="396" t="s">
        <v>18474</v>
      </c>
      <c r="D10926" s="396" t="s">
        <v>20401</v>
      </c>
      <c r="E10926" s="396" t="s">
        <v>20402</v>
      </c>
      <c r="F10926" s="396" t="s">
        <v>20354</v>
      </c>
    </row>
    <row r="10927">
      <c r="A10927" s="311">
        <v>10926</v>
      </c>
      <c r="B10927" s="396" t="s">
        <v>20409</v>
      </c>
      <c r="C10927" s="396" t="s">
        <v>20319</v>
      </c>
      <c r="D10927" s="396" t="s">
        <v>20401</v>
      </c>
      <c r="E10927" s="396" t="s">
        <v>20402</v>
      </c>
      <c r="F10927" s="396" t="s">
        <v>20354</v>
      </c>
    </row>
    <row r="10928">
      <c r="A10928" s="311">
        <v>10927</v>
      </c>
      <c r="B10928" s="396" t="s">
        <v>20410</v>
      </c>
      <c r="C10928" s="396" t="s">
        <v>6614</v>
      </c>
      <c r="D10928" s="396" t="s">
        <v>20401</v>
      </c>
      <c r="E10928" s="396" t="s">
        <v>20402</v>
      </c>
      <c r="F10928" s="396" t="s">
        <v>20354</v>
      </c>
    </row>
    <row r="10929">
      <c r="A10929" s="311">
        <v>10928</v>
      </c>
      <c r="B10929" s="396" t="s">
        <v>20411</v>
      </c>
      <c r="C10929" s="396" t="s">
        <v>5078</v>
      </c>
      <c r="D10929" s="396" t="s">
        <v>20401</v>
      </c>
      <c r="E10929" s="396" t="s">
        <v>20402</v>
      </c>
      <c r="F10929" s="396" t="s">
        <v>20354</v>
      </c>
    </row>
    <row r="10930">
      <c r="A10930" s="311">
        <v>10929</v>
      </c>
      <c r="B10930" s="396" t="s">
        <v>20412</v>
      </c>
      <c r="C10930" s="396" t="s">
        <v>20413</v>
      </c>
      <c r="D10930" s="396" t="s">
        <v>20414</v>
      </c>
      <c r="E10930" s="396" t="s">
        <v>20415</v>
      </c>
      <c r="F10930" s="396" t="s">
        <v>20354</v>
      </c>
    </row>
    <row r="10931">
      <c r="A10931" s="311">
        <v>10930</v>
      </c>
      <c r="B10931" s="396" t="s">
        <v>20416</v>
      </c>
      <c r="C10931" s="396" t="s">
        <v>20417</v>
      </c>
      <c r="D10931" s="396" t="s">
        <v>20414</v>
      </c>
      <c r="E10931" s="396" t="s">
        <v>20415</v>
      </c>
      <c r="F10931" s="396" t="s">
        <v>20354</v>
      </c>
    </row>
    <row r="10932">
      <c r="A10932" s="311">
        <v>10931</v>
      </c>
      <c r="B10932" s="396" t="s">
        <v>20418</v>
      </c>
      <c r="C10932" s="396" t="s">
        <v>20419</v>
      </c>
      <c r="D10932" s="396" t="s">
        <v>20414</v>
      </c>
      <c r="E10932" s="396" t="s">
        <v>20415</v>
      </c>
      <c r="F10932" s="396" t="s">
        <v>20354</v>
      </c>
    </row>
    <row r="10933">
      <c r="A10933" s="311">
        <v>10932</v>
      </c>
      <c r="B10933" s="396" t="s">
        <v>20420</v>
      </c>
      <c r="C10933" s="396" t="s">
        <v>20421</v>
      </c>
      <c r="D10933" s="396" t="s">
        <v>20414</v>
      </c>
      <c r="E10933" s="396" t="s">
        <v>20415</v>
      </c>
      <c r="F10933" s="396" t="s">
        <v>20354</v>
      </c>
    </row>
    <row r="10934">
      <c r="A10934" s="311">
        <v>10933</v>
      </c>
      <c r="B10934" s="396" t="s">
        <v>20422</v>
      </c>
      <c r="C10934" s="396" t="s">
        <v>20423</v>
      </c>
      <c r="D10934" s="396" t="s">
        <v>20414</v>
      </c>
      <c r="E10934" s="396" t="s">
        <v>20415</v>
      </c>
      <c r="F10934" s="396" t="s">
        <v>20354</v>
      </c>
    </row>
    <row r="10935">
      <c r="A10935" s="311">
        <v>10934</v>
      </c>
      <c r="B10935" s="396" t="s">
        <v>20424</v>
      </c>
      <c r="C10935" s="396" t="s">
        <v>20425</v>
      </c>
      <c r="D10935" s="396" t="s">
        <v>20414</v>
      </c>
      <c r="E10935" s="396" t="s">
        <v>20415</v>
      </c>
      <c r="F10935" s="396" t="s">
        <v>20354</v>
      </c>
    </row>
    <row r="10936">
      <c r="A10936" s="311">
        <v>10935</v>
      </c>
      <c r="B10936" s="396" t="s">
        <v>20426</v>
      </c>
      <c r="C10936" s="396" t="s">
        <v>20427</v>
      </c>
      <c r="D10936" s="396" t="s">
        <v>20414</v>
      </c>
      <c r="E10936" s="396" t="s">
        <v>20415</v>
      </c>
      <c r="F10936" s="396" t="s">
        <v>20354</v>
      </c>
    </row>
    <row r="10937">
      <c r="A10937" s="311">
        <v>10936</v>
      </c>
      <c r="B10937" s="396" t="s">
        <v>20428</v>
      </c>
      <c r="C10937" s="396" t="s">
        <v>20429</v>
      </c>
      <c r="D10937" s="396" t="s">
        <v>20414</v>
      </c>
      <c r="E10937" s="396" t="s">
        <v>20415</v>
      </c>
      <c r="F10937" s="396" t="s">
        <v>20354</v>
      </c>
    </row>
    <row r="10938">
      <c r="A10938" s="311">
        <v>10937</v>
      </c>
      <c r="B10938" s="396" t="s">
        <v>20430</v>
      </c>
      <c r="C10938" s="396" t="s">
        <v>20431</v>
      </c>
      <c r="D10938" s="396" t="s">
        <v>20432</v>
      </c>
      <c r="E10938" s="396" t="s">
        <v>20433</v>
      </c>
      <c r="F10938" s="396" t="s">
        <v>20354</v>
      </c>
    </row>
    <row r="10939">
      <c r="A10939" s="311">
        <v>10938</v>
      </c>
      <c r="B10939" s="396" t="s">
        <v>20434</v>
      </c>
      <c r="C10939" s="396" t="s">
        <v>20435</v>
      </c>
      <c r="D10939" s="396" t="s">
        <v>20432</v>
      </c>
      <c r="E10939" s="396" t="s">
        <v>20433</v>
      </c>
      <c r="F10939" s="396" t="s">
        <v>20354</v>
      </c>
    </row>
    <row r="10940">
      <c r="A10940" s="311">
        <v>10939</v>
      </c>
      <c r="B10940" s="396" t="s">
        <v>20436</v>
      </c>
      <c r="C10940" s="396" t="s">
        <v>20437</v>
      </c>
      <c r="D10940" s="396" t="s">
        <v>20432</v>
      </c>
      <c r="E10940" s="396" t="s">
        <v>20433</v>
      </c>
      <c r="F10940" s="396" t="s">
        <v>20354</v>
      </c>
    </row>
    <row r="10941">
      <c r="A10941" s="311">
        <v>10940</v>
      </c>
      <c r="B10941" s="396" t="s">
        <v>20438</v>
      </c>
      <c r="C10941" s="396" t="s">
        <v>20439</v>
      </c>
      <c r="D10941" s="396" t="s">
        <v>20432</v>
      </c>
      <c r="E10941" s="396" t="s">
        <v>20433</v>
      </c>
      <c r="F10941" s="396" t="s">
        <v>20354</v>
      </c>
    </row>
    <row r="10942">
      <c r="A10942" s="311">
        <v>10941</v>
      </c>
      <c r="B10942" s="396" t="s">
        <v>20440</v>
      </c>
      <c r="C10942" s="396" t="s">
        <v>17325</v>
      </c>
      <c r="D10942" s="396" t="s">
        <v>20432</v>
      </c>
      <c r="E10942" s="396" t="s">
        <v>20433</v>
      </c>
      <c r="F10942" s="396" t="s">
        <v>20354</v>
      </c>
    </row>
    <row r="10943">
      <c r="A10943" s="311">
        <v>10942</v>
      </c>
      <c r="B10943" s="396" t="s">
        <v>20441</v>
      </c>
      <c r="C10943" s="396" t="s">
        <v>20442</v>
      </c>
      <c r="D10943" s="396" t="s">
        <v>20432</v>
      </c>
      <c r="E10943" s="396" t="s">
        <v>20433</v>
      </c>
      <c r="F10943" s="396" t="s">
        <v>20354</v>
      </c>
    </row>
    <row r="10944">
      <c r="A10944" s="311">
        <v>10943</v>
      </c>
      <c r="B10944" s="396" t="s">
        <v>20443</v>
      </c>
      <c r="C10944" s="396" t="s">
        <v>17374</v>
      </c>
      <c r="D10944" s="396" t="s">
        <v>20432</v>
      </c>
      <c r="E10944" s="396" t="s">
        <v>20433</v>
      </c>
      <c r="F10944" s="396" t="s">
        <v>20354</v>
      </c>
    </row>
    <row r="10945">
      <c r="A10945" s="311">
        <v>10944</v>
      </c>
      <c r="B10945" s="396" t="s">
        <v>20444</v>
      </c>
      <c r="C10945" s="396" t="s">
        <v>296</v>
      </c>
      <c r="D10945" s="396" t="s">
        <v>20432</v>
      </c>
      <c r="E10945" s="396" t="s">
        <v>20433</v>
      </c>
      <c r="F10945" s="396" t="s">
        <v>20354</v>
      </c>
    </row>
    <row r="10946">
      <c r="A10946" s="311">
        <v>10945</v>
      </c>
      <c r="B10946" s="396" t="s">
        <v>20445</v>
      </c>
      <c r="C10946" s="396" t="s">
        <v>20446</v>
      </c>
      <c r="D10946" s="396" t="s">
        <v>20432</v>
      </c>
      <c r="E10946" s="396" t="s">
        <v>20433</v>
      </c>
      <c r="F10946" s="396" t="s">
        <v>20354</v>
      </c>
    </row>
    <row r="10947">
      <c r="A10947" s="311">
        <v>10946</v>
      </c>
      <c r="B10947" s="396" t="s">
        <v>20447</v>
      </c>
      <c r="C10947" s="396" t="s">
        <v>18672</v>
      </c>
      <c r="D10947" s="396" t="s">
        <v>20432</v>
      </c>
      <c r="E10947" s="396" t="s">
        <v>20433</v>
      </c>
      <c r="F10947" s="396" t="s">
        <v>20354</v>
      </c>
    </row>
    <row r="10948">
      <c r="A10948" s="311">
        <v>10947</v>
      </c>
      <c r="B10948" s="396" t="s">
        <v>20448</v>
      </c>
      <c r="C10948" s="396" t="s">
        <v>19225</v>
      </c>
      <c r="D10948" s="396" t="s">
        <v>20432</v>
      </c>
      <c r="E10948" s="396" t="s">
        <v>20433</v>
      </c>
      <c r="F10948" s="396" t="s">
        <v>20354</v>
      </c>
    </row>
    <row r="10949">
      <c r="A10949" s="311">
        <v>10948</v>
      </c>
      <c r="B10949" s="396" t="s">
        <v>20449</v>
      </c>
      <c r="C10949" s="396" t="s">
        <v>20450</v>
      </c>
      <c r="D10949" s="396" t="s">
        <v>20451</v>
      </c>
      <c r="E10949" s="396" t="s">
        <v>20452</v>
      </c>
      <c r="F10949" s="396" t="s">
        <v>20354</v>
      </c>
    </row>
    <row r="10950">
      <c r="A10950" s="311">
        <v>10949</v>
      </c>
      <c r="B10950" s="396" t="s">
        <v>20453</v>
      </c>
      <c r="C10950" s="396" t="s">
        <v>20454</v>
      </c>
      <c r="D10950" s="396" t="s">
        <v>20451</v>
      </c>
      <c r="E10950" s="396" t="s">
        <v>20452</v>
      </c>
      <c r="F10950" s="396" t="s">
        <v>20354</v>
      </c>
    </row>
    <row r="10951">
      <c r="A10951" s="311">
        <v>10950</v>
      </c>
      <c r="B10951" s="396" t="s">
        <v>20455</v>
      </c>
      <c r="C10951" s="396" t="s">
        <v>20456</v>
      </c>
      <c r="D10951" s="396" t="s">
        <v>20451</v>
      </c>
      <c r="E10951" s="396" t="s">
        <v>20452</v>
      </c>
      <c r="F10951" s="396" t="s">
        <v>20354</v>
      </c>
    </row>
    <row r="10952">
      <c r="A10952" s="311">
        <v>10951</v>
      </c>
      <c r="B10952" s="396" t="s">
        <v>20457</v>
      </c>
      <c r="C10952" s="396" t="s">
        <v>17210</v>
      </c>
      <c r="D10952" s="396" t="s">
        <v>20451</v>
      </c>
      <c r="E10952" s="396" t="s">
        <v>20452</v>
      </c>
      <c r="F10952" s="396" t="s">
        <v>20354</v>
      </c>
    </row>
    <row r="10953">
      <c r="A10953" s="311">
        <v>10952</v>
      </c>
      <c r="B10953" s="396" t="s">
        <v>20458</v>
      </c>
      <c r="C10953" s="396" t="s">
        <v>20459</v>
      </c>
      <c r="D10953" s="396" t="s">
        <v>20451</v>
      </c>
      <c r="E10953" s="396" t="s">
        <v>20452</v>
      </c>
      <c r="F10953" s="396" t="s">
        <v>20354</v>
      </c>
    </row>
    <row r="10954">
      <c r="A10954" s="311">
        <v>10953</v>
      </c>
      <c r="B10954" s="396" t="s">
        <v>20460</v>
      </c>
      <c r="C10954" s="396" t="s">
        <v>19149</v>
      </c>
      <c r="D10954" s="396" t="s">
        <v>20451</v>
      </c>
      <c r="E10954" s="396" t="s">
        <v>20452</v>
      </c>
      <c r="F10954" s="396" t="s">
        <v>20354</v>
      </c>
    </row>
    <row r="10955">
      <c r="A10955" s="311">
        <v>10954</v>
      </c>
      <c r="B10955" s="396" t="s">
        <v>20461</v>
      </c>
      <c r="C10955" s="396" t="s">
        <v>20462</v>
      </c>
      <c r="D10955" s="396" t="s">
        <v>20451</v>
      </c>
      <c r="E10955" s="396" t="s">
        <v>20452</v>
      </c>
      <c r="F10955" s="396" t="s">
        <v>20354</v>
      </c>
    </row>
    <row r="10956">
      <c r="A10956" s="311">
        <v>10955</v>
      </c>
      <c r="B10956" s="396" t="s">
        <v>20463</v>
      </c>
      <c r="C10956" s="396" t="s">
        <v>20464</v>
      </c>
      <c r="D10956" s="396" t="s">
        <v>20451</v>
      </c>
      <c r="E10956" s="396" t="s">
        <v>20452</v>
      </c>
      <c r="F10956" s="396" t="s">
        <v>20354</v>
      </c>
    </row>
    <row r="10957">
      <c r="A10957" s="311">
        <v>10956</v>
      </c>
      <c r="B10957" s="396" t="s">
        <v>20465</v>
      </c>
      <c r="C10957" s="396" t="s">
        <v>20466</v>
      </c>
      <c r="D10957" s="396" t="s">
        <v>20451</v>
      </c>
      <c r="E10957" s="396" t="s">
        <v>20452</v>
      </c>
      <c r="F10957" s="396" t="s">
        <v>20354</v>
      </c>
    </row>
    <row r="10958">
      <c r="A10958" s="311">
        <v>10957</v>
      </c>
      <c r="B10958" s="396" t="s">
        <v>20467</v>
      </c>
      <c r="C10958" s="396" t="s">
        <v>20468</v>
      </c>
      <c r="D10958" s="396" t="s">
        <v>20451</v>
      </c>
      <c r="E10958" s="396" t="s">
        <v>20452</v>
      </c>
      <c r="F10958" s="396" t="s">
        <v>20354</v>
      </c>
    </row>
    <row r="10959">
      <c r="A10959" s="311">
        <v>10958</v>
      </c>
      <c r="B10959" s="396" t="s">
        <v>20469</v>
      </c>
      <c r="C10959" s="396" t="s">
        <v>20470</v>
      </c>
      <c r="D10959" s="396" t="s">
        <v>20451</v>
      </c>
      <c r="E10959" s="396" t="s">
        <v>20452</v>
      </c>
      <c r="F10959" s="396" t="s">
        <v>20354</v>
      </c>
    </row>
    <row r="10960">
      <c r="A10960" s="311">
        <v>10959</v>
      </c>
      <c r="B10960" s="396" t="s">
        <v>20471</v>
      </c>
      <c r="C10960" s="396" t="s">
        <v>12441</v>
      </c>
      <c r="D10960" s="396" t="s">
        <v>20472</v>
      </c>
      <c r="E10960" s="396" t="s">
        <v>20473</v>
      </c>
      <c r="F10960" s="396" t="s">
        <v>20354</v>
      </c>
    </row>
    <row r="10961">
      <c r="A10961" s="311">
        <v>10960</v>
      </c>
      <c r="B10961" s="396" t="s">
        <v>20474</v>
      </c>
      <c r="C10961" s="396" t="s">
        <v>12447</v>
      </c>
      <c r="D10961" s="396" t="s">
        <v>20472</v>
      </c>
      <c r="E10961" s="396" t="s">
        <v>20473</v>
      </c>
      <c r="F10961" s="396" t="s">
        <v>20354</v>
      </c>
    </row>
    <row r="10962">
      <c r="A10962" s="311">
        <v>10961</v>
      </c>
      <c r="B10962" s="396" t="s">
        <v>20475</v>
      </c>
      <c r="C10962" s="396" t="s">
        <v>20476</v>
      </c>
      <c r="D10962" s="396" t="s">
        <v>20472</v>
      </c>
      <c r="E10962" s="396" t="s">
        <v>20473</v>
      </c>
      <c r="F10962" s="396" t="s">
        <v>20354</v>
      </c>
    </row>
    <row r="10963">
      <c r="A10963" s="311">
        <v>10962</v>
      </c>
      <c r="B10963" s="396" t="s">
        <v>20477</v>
      </c>
      <c r="C10963" s="396" t="s">
        <v>2462</v>
      </c>
      <c r="D10963" s="396" t="s">
        <v>20472</v>
      </c>
      <c r="E10963" s="396" t="s">
        <v>20473</v>
      </c>
      <c r="F10963" s="396" t="s">
        <v>20354</v>
      </c>
    </row>
    <row r="10964">
      <c r="A10964" s="311">
        <v>10963</v>
      </c>
      <c r="B10964" s="396" t="s">
        <v>20478</v>
      </c>
      <c r="C10964" s="396" t="s">
        <v>16733</v>
      </c>
      <c r="D10964" s="396" t="s">
        <v>20472</v>
      </c>
      <c r="E10964" s="396" t="s">
        <v>20473</v>
      </c>
      <c r="F10964" s="396" t="s">
        <v>20354</v>
      </c>
    </row>
    <row r="10965">
      <c r="A10965" s="311">
        <v>10964</v>
      </c>
      <c r="B10965" s="396" t="s">
        <v>20479</v>
      </c>
      <c r="C10965" s="396" t="s">
        <v>12455</v>
      </c>
      <c r="D10965" s="396" t="s">
        <v>20472</v>
      </c>
      <c r="E10965" s="396" t="s">
        <v>20473</v>
      </c>
      <c r="F10965" s="396" t="s">
        <v>20354</v>
      </c>
    </row>
    <row r="10966">
      <c r="A10966" s="311">
        <v>10965</v>
      </c>
      <c r="B10966" s="396" t="s">
        <v>20480</v>
      </c>
      <c r="C10966" s="396" t="s">
        <v>18200</v>
      </c>
      <c r="D10966" s="396" t="s">
        <v>20472</v>
      </c>
      <c r="E10966" s="396" t="s">
        <v>20473</v>
      </c>
      <c r="F10966" s="396" t="s">
        <v>20354</v>
      </c>
    </row>
    <row r="10967">
      <c r="A10967" s="311">
        <v>10966</v>
      </c>
      <c r="B10967" s="396" t="s">
        <v>20481</v>
      </c>
      <c r="C10967" s="396" t="s">
        <v>20482</v>
      </c>
      <c r="D10967" s="396" t="s">
        <v>20472</v>
      </c>
      <c r="E10967" s="396" t="s">
        <v>20473</v>
      </c>
      <c r="F10967" s="396" t="s">
        <v>20354</v>
      </c>
    </row>
    <row r="10968">
      <c r="A10968" s="311">
        <v>10967</v>
      </c>
      <c r="B10968" s="396" t="s">
        <v>20483</v>
      </c>
      <c r="C10968" s="396" t="s">
        <v>12945</v>
      </c>
      <c r="D10968" s="396" t="s">
        <v>20484</v>
      </c>
      <c r="E10968" s="396" t="s">
        <v>20485</v>
      </c>
      <c r="F10968" s="396" t="s">
        <v>20354</v>
      </c>
    </row>
    <row r="10969">
      <c r="A10969" s="311">
        <v>10968</v>
      </c>
      <c r="B10969" s="396" t="s">
        <v>20486</v>
      </c>
      <c r="C10969" s="396" t="s">
        <v>20487</v>
      </c>
      <c r="D10969" s="396" t="s">
        <v>20484</v>
      </c>
      <c r="E10969" s="396" t="s">
        <v>20485</v>
      </c>
      <c r="F10969" s="396" t="s">
        <v>20354</v>
      </c>
    </row>
    <row r="10970">
      <c r="A10970" s="311">
        <v>10969</v>
      </c>
      <c r="B10970" s="396" t="s">
        <v>20488</v>
      </c>
      <c r="C10970" s="396" t="s">
        <v>20489</v>
      </c>
      <c r="D10970" s="396" t="s">
        <v>20484</v>
      </c>
      <c r="E10970" s="396" t="s">
        <v>20485</v>
      </c>
      <c r="F10970" s="396" t="s">
        <v>20354</v>
      </c>
    </row>
    <row r="10971">
      <c r="A10971" s="311">
        <v>10970</v>
      </c>
      <c r="B10971" s="396" t="s">
        <v>20490</v>
      </c>
      <c r="C10971" s="396" t="s">
        <v>16760</v>
      </c>
      <c r="D10971" s="396" t="s">
        <v>20484</v>
      </c>
      <c r="E10971" s="396" t="s">
        <v>20485</v>
      </c>
      <c r="F10971" s="396" t="s">
        <v>20354</v>
      </c>
    </row>
    <row r="10972">
      <c r="A10972" s="311">
        <v>10971</v>
      </c>
      <c r="B10972" s="396" t="s">
        <v>20491</v>
      </c>
      <c r="C10972" s="396" t="s">
        <v>20492</v>
      </c>
      <c r="D10972" s="396" t="s">
        <v>20484</v>
      </c>
      <c r="E10972" s="396" t="s">
        <v>20485</v>
      </c>
      <c r="F10972" s="396" t="s">
        <v>20354</v>
      </c>
    </row>
    <row r="10973">
      <c r="A10973" s="311">
        <v>10972</v>
      </c>
      <c r="B10973" s="396" t="s">
        <v>20493</v>
      </c>
      <c r="C10973" s="396" t="s">
        <v>20494</v>
      </c>
      <c r="D10973" s="396" t="s">
        <v>20484</v>
      </c>
      <c r="E10973" s="396" t="s">
        <v>20485</v>
      </c>
      <c r="F10973" s="396" t="s">
        <v>20354</v>
      </c>
    </row>
    <row r="10974">
      <c r="A10974" s="311">
        <v>10973</v>
      </c>
      <c r="B10974" s="396" t="s">
        <v>20495</v>
      </c>
      <c r="C10974" s="396" t="s">
        <v>10064</v>
      </c>
      <c r="D10974" s="396" t="s">
        <v>20484</v>
      </c>
      <c r="E10974" s="396" t="s">
        <v>20485</v>
      </c>
      <c r="F10974" s="396" t="s">
        <v>20354</v>
      </c>
    </row>
    <row r="10975">
      <c r="A10975" s="311">
        <v>10974</v>
      </c>
      <c r="B10975" s="396" t="s">
        <v>20496</v>
      </c>
      <c r="C10975" s="396" t="s">
        <v>18070</v>
      </c>
      <c r="D10975" s="396" t="s">
        <v>20484</v>
      </c>
      <c r="E10975" s="396" t="s">
        <v>20485</v>
      </c>
      <c r="F10975" s="396" t="s">
        <v>20354</v>
      </c>
    </row>
    <row r="10976">
      <c r="A10976" s="311">
        <v>10975</v>
      </c>
      <c r="B10976" s="396" t="s">
        <v>20497</v>
      </c>
      <c r="C10976" s="396" t="s">
        <v>2503</v>
      </c>
      <c r="D10976" s="396" t="s">
        <v>20484</v>
      </c>
      <c r="E10976" s="396" t="s">
        <v>20485</v>
      </c>
      <c r="F10976" s="396" t="s">
        <v>20354</v>
      </c>
    </row>
    <row r="10977">
      <c r="A10977" s="311">
        <v>10976</v>
      </c>
      <c r="B10977" s="396" t="s">
        <v>20498</v>
      </c>
      <c r="C10977" s="396" t="s">
        <v>18829</v>
      </c>
      <c r="D10977" s="396" t="s">
        <v>20484</v>
      </c>
      <c r="E10977" s="396" t="s">
        <v>20485</v>
      </c>
      <c r="F10977" s="396" t="s">
        <v>20354</v>
      </c>
    </row>
    <row r="10978">
      <c r="A10978" s="311">
        <v>10977</v>
      </c>
      <c r="B10978" s="396" t="s">
        <v>20499</v>
      </c>
      <c r="C10978" s="396" t="s">
        <v>12441</v>
      </c>
      <c r="D10978" s="396" t="s">
        <v>20500</v>
      </c>
      <c r="E10978" s="396" t="s">
        <v>20501</v>
      </c>
      <c r="F10978" s="396" t="s">
        <v>20354</v>
      </c>
    </row>
    <row r="10979">
      <c r="A10979" s="311">
        <v>10978</v>
      </c>
      <c r="B10979" s="396" t="s">
        <v>20502</v>
      </c>
      <c r="C10979" s="396" t="s">
        <v>16074</v>
      </c>
      <c r="D10979" s="396" t="s">
        <v>20500</v>
      </c>
      <c r="E10979" s="396" t="s">
        <v>20501</v>
      </c>
      <c r="F10979" s="396" t="s">
        <v>20354</v>
      </c>
    </row>
    <row r="10980">
      <c r="A10980" s="311">
        <v>10979</v>
      </c>
      <c r="B10980" s="396" t="s">
        <v>20503</v>
      </c>
      <c r="C10980" s="396" t="s">
        <v>20504</v>
      </c>
      <c r="D10980" s="396" t="s">
        <v>20500</v>
      </c>
      <c r="E10980" s="396" t="s">
        <v>20501</v>
      </c>
      <c r="F10980" s="396" t="s">
        <v>20354</v>
      </c>
    </row>
    <row r="10981">
      <c r="A10981" s="311">
        <v>10980</v>
      </c>
      <c r="B10981" s="396" t="s">
        <v>20505</v>
      </c>
      <c r="C10981" s="396" t="s">
        <v>14124</v>
      </c>
      <c r="D10981" s="396" t="s">
        <v>20500</v>
      </c>
      <c r="E10981" s="396" t="s">
        <v>20501</v>
      </c>
      <c r="F10981" s="396" t="s">
        <v>20354</v>
      </c>
    </row>
    <row r="10982">
      <c r="A10982" s="311">
        <v>10981</v>
      </c>
      <c r="B10982" s="396" t="s">
        <v>20506</v>
      </c>
      <c r="C10982" s="396" t="s">
        <v>14821</v>
      </c>
      <c r="D10982" s="396" t="s">
        <v>20500</v>
      </c>
      <c r="E10982" s="396" t="s">
        <v>20501</v>
      </c>
      <c r="F10982" s="396" t="s">
        <v>20354</v>
      </c>
    </row>
    <row r="10983">
      <c r="A10983" s="311">
        <v>10982</v>
      </c>
      <c r="B10983" s="396" t="s">
        <v>20507</v>
      </c>
      <c r="C10983" s="396" t="s">
        <v>20508</v>
      </c>
      <c r="D10983" s="396" t="s">
        <v>20500</v>
      </c>
      <c r="E10983" s="396" t="s">
        <v>20501</v>
      </c>
      <c r="F10983" s="396" t="s">
        <v>20354</v>
      </c>
    </row>
    <row r="10984">
      <c r="A10984" s="311">
        <v>10983</v>
      </c>
      <c r="B10984" s="396" t="s">
        <v>20509</v>
      </c>
      <c r="C10984" s="396" t="s">
        <v>12447</v>
      </c>
      <c r="D10984" s="396" t="s">
        <v>20500</v>
      </c>
      <c r="E10984" s="396" t="s">
        <v>20501</v>
      </c>
      <c r="F10984" s="396" t="s">
        <v>20354</v>
      </c>
    </row>
    <row r="10985">
      <c r="A10985" s="311">
        <v>10984</v>
      </c>
      <c r="B10985" s="396" t="s">
        <v>20510</v>
      </c>
      <c r="C10985" s="396" t="s">
        <v>14487</v>
      </c>
      <c r="D10985" s="396" t="s">
        <v>20500</v>
      </c>
      <c r="E10985" s="396" t="s">
        <v>20501</v>
      </c>
      <c r="F10985" s="396" t="s">
        <v>20354</v>
      </c>
    </row>
    <row r="10986">
      <c r="A10986" s="311">
        <v>10985</v>
      </c>
      <c r="B10986" s="396" t="s">
        <v>20511</v>
      </c>
      <c r="C10986" s="396" t="s">
        <v>10080</v>
      </c>
      <c r="D10986" s="396" t="s">
        <v>20500</v>
      </c>
      <c r="E10986" s="396" t="s">
        <v>20501</v>
      </c>
      <c r="F10986" s="396" t="s">
        <v>20354</v>
      </c>
    </row>
    <row r="10987">
      <c r="A10987" s="311">
        <v>10986</v>
      </c>
      <c r="B10987" s="396" t="s">
        <v>20512</v>
      </c>
      <c r="C10987" s="396" t="s">
        <v>20513</v>
      </c>
      <c r="D10987" s="396" t="s">
        <v>20500</v>
      </c>
      <c r="E10987" s="396" t="s">
        <v>20501</v>
      </c>
      <c r="F10987" s="396" t="s">
        <v>20354</v>
      </c>
    </row>
    <row r="10988">
      <c r="A10988" s="311">
        <v>10987</v>
      </c>
      <c r="B10988" s="396" t="s">
        <v>20514</v>
      </c>
      <c r="C10988" s="396" t="s">
        <v>20515</v>
      </c>
      <c r="D10988" s="396" t="s">
        <v>20516</v>
      </c>
      <c r="E10988" s="396" t="s">
        <v>20517</v>
      </c>
      <c r="F10988" s="396" t="s">
        <v>20354</v>
      </c>
    </row>
    <row r="10989">
      <c r="A10989" s="311">
        <v>10988</v>
      </c>
      <c r="B10989" s="396" t="s">
        <v>20518</v>
      </c>
      <c r="C10989" s="396" t="s">
        <v>20519</v>
      </c>
      <c r="D10989" s="396" t="s">
        <v>20516</v>
      </c>
      <c r="E10989" s="396" t="s">
        <v>20517</v>
      </c>
      <c r="F10989" s="396" t="s">
        <v>20354</v>
      </c>
    </row>
    <row r="10990">
      <c r="A10990" s="311">
        <v>10989</v>
      </c>
      <c r="B10990" s="396" t="s">
        <v>20520</v>
      </c>
      <c r="C10990" s="396" t="s">
        <v>20521</v>
      </c>
      <c r="D10990" s="396" t="s">
        <v>20516</v>
      </c>
      <c r="E10990" s="396" t="s">
        <v>20517</v>
      </c>
      <c r="F10990" s="396" t="s">
        <v>20354</v>
      </c>
    </row>
    <row r="10991">
      <c r="A10991" s="311">
        <v>10990</v>
      </c>
      <c r="B10991" s="396" t="s">
        <v>20522</v>
      </c>
      <c r="C10991" s="396" t="s">
        <v>20523</v>
      </c>
      <c r="D10991" s="396" t="s">
        <v>20516</v>
      </c>
      <c r="E10991" s="396" t="s">
        <v>20517</v>
      </c>
      <c r="F10991" s="396" t="s">
        <v>20354</v>
      </c>
    </row>
    <row r="10992">
      <c r="A10992" s="311">
        <v>10991</v>
      </c>
      <c r="B10992" s="396" t="s">
        <v>20524</v>
      </c>
      <c r="C10992" s="396" t="s">
        <v>20525</v>
      </c>
      <c r="D10992" s="396" t="s">
        <v>20516</v>
      </c>
      <c r="E10992" s="396" t="s">
        <v>20517</v>
      </c>
      <c r="F10992" s="396" t="s">
        <v>20354</v>
      </c>
    </row>
    <row r="10993">
      <c r="A10993" s="311">
        <v>10992</v>
      </c>
      <c r="B10993" s="396" t="s">
        <v>20526</v>
      </c>
      <c r="C10993" s="396" t="s">
        <v>20527</v>
      </c>
      <c r="D10993" s="396" t="s">
        <v>20516</v>
      </c>
      <c r="E10993" s="396" t="s">
        <v>20517</v>
      </c>
      <c r="F10993" s="396" t="s">
        <v>20354</v>
      </c>
    </row>
    <row r="10994">
      <c r="A10994" s="311">
        <v>10993</v>
      </c>
      <c r="B10994" s="396" t="s">
        <v>20528</v>
      </c>
      <c r="C10994" s="396" t="s">
        <v>20529</v>
      </c>
      <c r="D10994" s="396" t="s">
        <v>20516</v>
      </c>
      <c r="E10994" s="396" t="s">
        <v>20517</v>
      </c>
      <c r="F10994" s="396" t="s">
        <v>20354</v>
      </c>
    </row>
    <row r="10995">
      <c r="A10995" s="311">
        <v>10994</v>
      </c>
      <c r="B10995" s="396" t="s">
        <v>20530</v>
      </c>
      <c r="C10995" s="396" t="s">
        <v>1121</v>
      </c>
      <c r="D10995" s="396" t="s">
        <v>20516</v>
      </c>
      <c r="E10995" s="396" t="s">
        <v>20517</v>
      </c>
      <c r="F10995" s="396" t="s">
        <v>20354</v>
      </c>
    </row>
    <row r="10996">
      <c r="A10996" s="311">
        <v>10995</v>
      </c>
      <c r="B10996" s="396" t="s">
        <v>20531</v>
      </c>
      <c r="C10996" s="396" t="s">
        <v>20532</v>
      </c>
      <c r="D10996" s="396" t="s">
        <v>20516</v>
      </c>
      <c r="E10996" s="396" t="s">
        <v>20517</v>
      </c>
      <c r="F10996" s="396" t="s">
        <v>20354</v>
      </c>
    </row>
    <row r="10997">
      <c r="A10997" s="311">
        <v>10996</v>
      </c>
      <c r="B10997" s="396" t="s">
        <v>20533</v>
      </c>
      <c r="C10997" s="396" t="s">
        <v>20534</v>
      </c>
      <c r="D10997" s="396" t="s">
        <v>20516</v>
      </c>
      <c r="E10997" s="396" t="s">
        <v>20517</v>
      </c>
      <c r="F10997" s="396" t="s">
        <v>20354</v>
      </c>
    </row>
    <row r="10998">
      <c r="A10998" s="311">
        <v>10997</v>
      </c>
      <c r="B10998" s="396" t="s">
        <v>20535</v>
      </c>
      <c r="C10998" s="396" t="s">
        <v>20536</v>
      </c>
      <c r="D10998" s="396" t="s">
        <v>20516</v>
      </c>
      <c r="E10998" s="396" t="s">
        <v>20517</v>
      </c>
      <c r="F10998" s="396" t="s">
        <v>20354</v>
      </c>
    </row>
    <row r="10999">
      <c r="A10999" s="311">
        <v>10998</v>
      </c>
      <c r="B10999" s="396" t="s">
        <v>20537</v>
      </c>
      <c r="C10999" s="396" t="s">
        <v>12447</v>
      </c>
      <c r="D10999" s="396" t="s">
        <v>20538</v>
      </c>
      <c r="E10999" s="396" t="s">
        <v>20539</v>
      </c>
      <c r="F10999" s="396" t="s">
        <v>20540</v>
      </c>
    </row>
    <row r="11000">
      <c r="A11000" s="311">
        <v>10999</v>
      </c>
      <c r="B11000" s="396" t="s">
        <v>20541</v>
      </c>
      <c r="C11000" s="396" t="s">
        <v>12455</v>
      </c>
      <c r="D11000" s="396" t="s">
        <v>20538</v>
      </c>
      <c r="E11000" s="396" t="s">
        <v>20539</v>
      </c>
      <c r="F11000" s="396" t="s">
        <v>20540</v>
      </c>
    </row>
    <row r="11001">
      <c r="A11001" s="311">
        <v>11000</v>
      </c>
      <c r="B11001" s="396" t="s">
        <v>20542</v>
      </c>
      <c r="C11001" s="396" t="s">
        <v>12451</v>
      </c>
      <c r="D11001" s="396" t="s">
        <v>20538</v>
      </c>
      <c r="E11001" s="396" t="s">
        <v>20539</v>
      </c>
      <c r="F11001" s="396" t="s">
        <v>20540</v>
      </c>
    </row>
    <row r="11002">
      <c r="A11002" s="311">
        <v>11001</v>
      </c>
      <c r="B11002" s="396" t="s">
        <v>20543</v>
      </c>
      <c r="C11002" s="396" t="s">
        <v>14278</v>
      </c>
      <c r="D11002" s="396" t="s">
        <v>20538</v>
      </c>
      <c r="E11002" s="396" t="s">
        <v>20539</v>
      </c>
      <c r="F11002" s="396" t="s">
        <v>20540</v>
      </c>
    </row>
    <row r="11003">
      <c r="A11003" s="311">
        <v>11002</v>
      </c>
      <c r="B11003" s="396" t="s">
        <v>20544</v>
      </c>
      <c r="C11003" s="396" t="s">
        <v>12441</v>
      </c>
      <c r="D11003" s="396" t="s">
        <v>20538</v>
      </c>
      <c r="E11003" s="396" t="s">
        <v>20539</v>
      </c>
      <c r="F11003" s="396" t="s">
        <v>20540</v>
      </c>
    </row>
    <row r="11004">
      <c r="A11004" s="311">
        <v>11003</v>
      </c>
      <c r="B11004" s="396" t="s">
        <v>20545</v>
      </c>
      <c r="C11004" s="396" t="s">
        <v>14270</v>
      </c>
      <c r="D11004" s="396" t="s">
        <v>20538</v>
      </c>
      <c r="E11004" s="396" t="s">
        <v>20539</v>
      </c>
      <c r="F11004" s="396" t="s">
        <v>20540</v>
      </c>
    </row>
    <row r="11005">
      <c r="A11005" s="311">
        <v>11004</v>
      </c>
      <c r="B11005" s="396" t="s">
        <v>20546</v>
      </c>
      <c r="C11005" s="396" t="s">
        <v>20547</v>
      </c>
      <c r="D11005" s="396" t="s">
        <v>20538</v>
      </c>
      <c r="E11005" s="396" t="s">
        <v>20539</v>
      </c>
      <c r="F11005" s="396" t="s">
        <v>20540</v>
      </c>
    </row>
    <row r="11006">
      <c r="A11006" s="311">
        <v>11005</v>
      </c>
      <c r="B11006" s="396" t="s">
        <v>20548</v>
      </c>
      <c r="C11006" s="396" t="s">
        <v>19771</v>
      </c>
      <c r="D11006" s="396" t="s">
        <v>20538</v>
      </c>
      <c r="E11006" s="396" t="s">
        <v>20539</v>
      </c>
      <c r="F11006" s="396" t="s">
        <v>20540</v>
      </c>
    </row>
    <row r="11007">
      <c r="A11007" s="311">
        <v>11006</v>
      </c>
      <c r="B11007" s="396" t="s">
        <v>20549</v>
      </c>
      <c r="C11007" s="396" t="s">
        <v>20550</v>
      </c>
      <c r="D11007" s="396" t="s">
        <v>20538</v>
      </c>
      <c r="E11007" s="396" t="s">
        <v>20539</v>
      </c>
      <c r="F11007" s="396" t="s">
        <v>20540</v>
      </c>
    </row>
    <row r="11008">
      <c r="A11008" s="311">
        <v>11007</v>
      </c>
      <c r="B11008" s="396" t="s">
        <v>20551</v>
      </c>
      <c r="C11008" s="396" t="s">
        <v>20552</v>
      </c>
      <c r="D11008" s="396" t="s">
        <v>20538</v>
      </c>
      <c r="E11008" s="396" t="s">
        <v>20539</v>
      </c>
      <c r="F11008" s="396" t="s">
        <v>20540</v>
      </c>
    </row>
    <row r="11009">
      <c r="A11009" s="311">
        <v>11008</v>
      </c>
      <c r="B11009" s="396" t="s">
        <v>20553</v>
      </c>
      <c r="C11009" s="396" t="s">
        <v>20554</v>
      </c>
      <c r="D11009" s="396" t="s">
        <v>20555</v>
      </c>
      <c r="E11009" s="396" t="s">
        <v>20556</v>
      </c>
      <c r="F11009" s="396" t="s">
        <v>20540</v>
      </c>
    </row>
    <row r="11010">
      <c r="A11010" s="311">
        <v>11009</v>
      </c>
      <c r="B11010" s="396" t="s">
        <v>20557</v>
      </c>
      <c r="C11010" s="396" t="s">
        <v>20558</v>
      </c>
      <c r="D11010" s="396" t="s">
        <v>20555</v>
      </c>
      <c r="E11010" s="396" t="s">
        <v>20556</v>
      </c>
      <c r="F11010" s="396" t="s">
        <v>20540</v>
      </c>
    </row>
    <row r="11011">
      <c r="A11011" s="311">
        <v>11010</v>
      </c>
      <c r="B11011" s="396" t="s">
        <v>20559</v>
      </c>
      <c r="C11011" s="396" t="s">
        <v>20560</v>
      </c>
      <c r="D11011" s="396" t="s">
        <v>20555</v>
      </c>
      <c r="E11011" s="396" t="s">
        <v>20556</v>
      </c>
      <c r="F11011" s="396" t="s">
        <v>20540</v>
      </c>
    </row>
    <row r="11012">
      <c r="A11012" s="311">
        <v>11011</v>
      </c>
      <c r="B11012" s="396" t="s">
        <v>20561</v>
      </c>
      <c r="C11012" s="396" t="s">
        <v>7526</v>
      </c>
      <c r="D11012" s="396" t="s">
        <v>20555</v>
      </c>
      <c r="E11012" s="396" t="s">
        <v>20556</v>
      </c>
      <c r="F11012" s="396" t="s">
        <v>20540</v>
      </c>
    </row>
    <row r="11013">
      <c r="A11013" s="311">
        <v>11012</v>
      </c>
      <c r="B11013" s="396" t="s">
        <v>20562</v>
      </c>
      <c r="C11013" s="396" t="s">
        <v>12160</v>
      </c>
      <c r="D11013" s="396" t="s">
        <v>20555</v>
      </c>
      <c r="E11013" s="396" t="s">
        <v>20556</v>
      </c>
      <c r="F11013" s="396" t="s">
        <v>20540</v>
      </c>
    </row>
    <row r="11014">
      <c r="A11014" s="311">
        <v>11013</v>
      </c>
      <c r="B11014" s="396" t="s">
        <v>20563</v>
      </c>
      <c r="C11014" s="396" t="s">
        <v>11882</v>
      </c>
      <c r="D11014" s="396" t="s">
        <v>20555</v>
      </c>
      <c r="E11014" s="396" t="s">
        <v>20556</v>
      </c>
      <c r="F11014" s="396" t="s">
        <v>20540</v>
      </c>
    </row>
    <row r="11015">
      <c r="A11015" s="311">
        <v>11014</v>
      </c>
      <c r="B11015" s="396" t="s">
        <v>20564</v>
      </c>
      <c r="C11015" s="396" t="s">
        <v>17990</v>
      </c>
      <c r="D11015" s="396" t="s">
        <v>20555</v>
      </c>
      <c r="E11015" s="396" t="s">
        <v>20556</v>
      </c>
      <c r="F11015" s="396" t="s">
        <v>20540</v>
      </c>
    </row>
    <row r="11016">
      <c r="A11016" s="311">
        <v>11015</v>
      </c>
      <c r="B11016" s="396" t="s">
        <v>20565</v>
      </c>
      <c r="C11016" s="396" t="s">
        <v>20566</v>
      </c>
      <c r="D11016" s="396" t="s">
        <v>20555</v>
      </c>
      <c r="E11016" s="396" t="s">
        <v>20556</v>
      </c>
      <c r="F11016" s="396" t="s">
        <v>20540</v>
      </c>
    </row>
    <row r="11017">
      <c r="A11017" s="311">
        <v>11016</v>
      </c>
      <c r="B11017" s="396" t="s">
        <v>20567</v>
      </c>
      <c r="C11017" s="396" t="s">
        <v>20568</v>
      </c>
      <c r="D11017" s="396" t="s">
        <v>20555</v>
      </c>
      <c r="E11017" s="396" t="s">
        <v>20556</v>
      </c>
      <c r="F11017" s="396" t="s">
        <v>20540</v>
      </c>
    </row>
    <row r="11018">
      <c r="A11018" s="311">
        <v>11017</v>
      </c>
      <c r="B11018" s="396" t="s">
        <v>20569</v>
      </c>
      <c r="C11018" s="396" t="s">
        <v>20570</v>
      </c>
      <c r="D11018" s="396" t="s">
        <v>20571</v>
      </c>
      <c r="E11018" s="396" t="s">
        <v>20572</v>
      </c>
      <c r="F11018" s="396" t="s">
        <v>20540</v>
      </c>
    </row>
    <row r="11019">
      <c r="A11019" s="311">
        <v>11018</v>
      </c>
      <c r="B11019" s="396" t="s">
        <v>20573</v>
      </c>
      <c r="C11019" s="396" t="s">
        <v>20574</v>
      </c>
      <c r="D11019" s="396" t="s">
        <v>20571</v>
      </c>
      <c r="E11019" s="396" t="s">
        <v>20572</v>
      </c>
      <c r="F11019" s="396" t="s">
        <v>20540</v>
      </c>
    </row>
    <row r="11020">
      <c r="A11020" s="311">
        <v>11019</v>
      </c>
      <c r="B11020" s="396" t="s">
        <v>20575</v>
      </c>
      <c r="C11020" s="396" t="s">
        <v>20576</v>
      </c>
      <c r="D11020" s="396" t="s">
        <v>20571</v>
      </c>
      <c r="E11020" s="396" t="s">
        <v>20572</v>
      </c>
      <c r="F11020" s="396" t="s">
        <v>20540</v>
      </c>
    </row>
    <row r="11021">
      <c r="A11021" s="311">
        <v>11020</v>
      </c>
      <c r="B11021" s="396" t="s">
        <v>20577</v>
      </c>
      <c r="C11021" s="396" t="s">
        <v>18800</v>
      </c>
      <c r="D11021" s="396" t="s">
        <v>20571</v>
      </c>
      <c r="E11021" s="396" t="s">
        <v>20572</v>
      </c>
      <c r="F11021" s="396" t="s">
        <v>20540</v>
      </c>
    </row>
    <row r="11022">
      <c r="A11022" s="311">
        <v>11021</v>
      </c>
      <c r="B11022" s="396" t="s">
        <v>20578</v>
      </c>
      <c r="C11022" s="396" t="s">
        <v>11614</v>
      </c>
      <c r="D11022" s="396" t="s">
        <v>20571</v>
      </c>
      <c r="E11022" s="396" t="s">
        <v>20572</v>
      </c>
      <c r="F11022" s="396" t="s">
        <v>20540</v>
      </c>
    </row>
    <row r="11023">
      <c r="A11023" s="311">
        <v>11022</v>
      </c>
      <c r="B11023" s="396" t="s">
        <v>20579</v>
      </c>
      <c r="C11023" s="396" t="s">
        <v>17382</v>
      </c>
      <c r="D11023" s="396" t="s">
        <v>20571</v>
      </c>
      <c r="E11023" s="396" t="s">
        <v>20572</v>
      </c>
      <c r="F11023" s="396" t="s">
        <v>20540</v>
      </c>
    </row>
    <row r="11024">
      <c r="A11024" s="311">
        <v>11023</v>
      </c>
      <c r="B11024" s="396" t="s">
        <v>20580</v>
      </c>
      <c r="C11024" s="396" t="s">
        <v>20581</v>
      </c>
      <c r="D11024" s="396" t="s">
        <v>20571</v>
      </c>
      <c r="E11024" s="396" t="s">
        <v>20572</v>
      </c>
      <c r="F11024" s="396" t="s">
        <v>20540</v>
      </c>
    </row>
    <row r="11025">
      <c r="A11025" s="311">
        <v>11024</v>
      </c>
      <c r="B11025" s="396" t="s">
        <v>20582</v>
      </c>
      <c r="C11025" s="396" t="s">
        <v>20583</v>
      </c>
      <c r="D11025" s="396" t="s">
        <v>20571</v>
      </c>
      <c r="E11025" s="396" t="s">
        <v>20572</v>
      </c>
      <c r="F11025" s="396" t="s">
        <v>20540</v>
      </c>
    </row>
    <row r="11026">
      <c r="A11026" s="311">
        <v>11025</v>
      </c>
      <c r="B11026" s="396" t="s">
        <v>20584</v>
      </c>
      <c r="C11026" s="396" t="s">
        <v>10071</v>
      </c>
      <c r="D11026" s="396" t="s">
        <v>20585</v>
      </c>
      <c r="E11026" s="396" t="s">
        <v>20586</v>
      </c>
      <c r="F11026" s="396" t="s">
        <v>20540</v>
      </c>
    </row>
    <row r="11027">
      <c r="A11027" s="311">
        <v>11026</v>
      </c>
      <c r="B11027" s="396" t="s">
        <v>20587</v>
      </c>
      <c r="C11027" s="396" t="s">
        <v>20588</v>
      </c>
      <c r="D11027" s="396" t="s">
        <v>20585</v>
      </c>
      <c r="E11027" s="396" t="s">
        <v>20586</v>
      </c>
      <c r="F11027" s="396" t="s">
        <v>20540</v>
      </c>
    </row>
    <row r="11028">
      <c r="A11028" s="311">
        <v>11027</v>
      </c>
      <c r="B11028" s="396" t="s">
        <v>20589</v>
      </c>
      <c r="C11028" s="396" t="s">
        <v>20590</v>
      </c>
      <c r="D11028" s="396" t="s">
        <v>20585</v>
      </c>
      <c r="E11028" s="396" t="s">
        <v>20586</v>
      </c>
      <c r="F11028" s="396" t="s">
        <v>20540</v>
      </c>
    </row>
    <row r="11029">
      <c r="A11029" s="311">
        <v>11028</v>
      </c>
      <c r="B11029" s="396" t="s">
        <v>20591</v>
      </c>
      <c r="C11029" s="396" t="s">
        <v>20592</v>
      </c>
      <c r="D11029" s="396" t="s">
        <v>20585</v>
      </c>
      <c r="E11029" s="396" t="s">
        <v>20586</v>
      </c>
      <c r="F11029" s="396" t="s">
        <v>20540</v>
      </c>
    </row>
    <row r="11030">
      <c r="A11030" s="311">
        <v>11029</v>
      </c>
      <c r="B11030" s="396" t="s">
        <v>20593</v>
      </c>
      <c r="C11030" s="396" t="s">
        <v>20594</v>
      </c>
      <c r="D11030" s="396" t="s">
        <v>20585</v>
      </c>
      <c r="E11030" s="396" t="s">
        <v>20586</v>
      </c>
      <c r="F11030" s="396" t="s">
        <v>20540</v>
      </c>
    </row>
    <row r="11031">
      <c r="A11031" s="311">
        <v>11030</v>
      </c>
      <c r="B11031" s="396" t="s">
        <v>20595</v>
      </c>
      <c r="C11031" s="396" t="s">
        <v>20596</v>
      </c>
      <c r="D11031" s="396" t="s">
        <v>20585</v>
      </c>
      <c r="E11031" s="396" t="s">
        <v>20586</v>
      </c>
      <c r="F11031" s="396" t="s">
        <v>20540</v>
      </c>
    </row>
    <row r="11032">
      <c r="A11032" s="311">
        <v>11031</v>
      </c>
      <c r="B11032" s="396" t="s">
        <v>20597</v>
      </c>
      <c r="C11032" s="396" t="s">
        <v>20598</v>
      </c>
      <c r="D11032" s="396" t="s">
        <v>20585</v>
      </c>
      <c r="E11032" s="396" t="s">
        <v>20586</v>
      </c>
      <c r="F11032" s="396" t="s">
        <v>20540</v>
      </c>
    </row>
    <row r="11033">
      <c r="A11033" s="311">
        <v>11032</v>
      </c>
      <c r="B11033" s="396" t="s">
        <v>20599</v>
      </c>
      <c r="C11033" s="396" t="s">
        <v>18269</v>
      </c>
      <c r="D11033" s="396" t="s">
        <v>20585</v>
      </c>
      <c r="E11033" s="396" t="s">
        <v>20586</v>
      </c>
      <c r="F11033" s="396" t="s">
        <v>20540</v>
      </c>
    </row>
    <row r="11034">
      <c r="A11034" s="311">
        <v>11033</v>
      </c>
      <c r="B11034" s="396" t="s">
        <v>20600</v>
      </c>
      <c r="C11034" s="396" t="s">
        <v>12441</v>
      </c>
      <c r="D11034" s="396" t="s">
        <v>20601</v>
      </c>
      <c r="E11034" s="396" t="s">
        <v>20602</v>
      </c>
      <c r="F11034" s="396" t="s">
        <v>20540</v>
      </c>
    </row>
    <row r="11035">
      <c r="A11035" s="311">
        <v>11034</v>
      </c>
      <c r="B11035" s="396" t="s">
        <v>20603</v>
      </c>
      <c r="C11035" s="396" t="s">
        <v>20604</v>
      </c>
      <c r="D11035" s="396" t="s">
        <v>20601</v>
      </c>
      <c r="E11035" s="396" t="s">
        <v>20602</v>
      </c>
      <c r="F11035" s="396" t="s">
        <v>20540</v>
      </c>
    </row>
    <row r="11036">
      <c r="A11036" s="311">
        <v>11035</v>
      </c>
      <c r="B11036" s="396" t="s">
        <v>20605</v>
      </c>
      <c r="C11036" s="396" t="s">
        <v>20606</v>
      </c>
      <c r="D11036" s="396" t="s">
        <v>20601</v>
      </c>
      <c r="E11036" s="396" t="s">
        <v>20602</v>
      </c>
      <c r="F11036" s="396" t="s">
        <v>20540</v>
      </c>
    </row>
    <row r="11037">
      <c r="A11037" s="311">
        <v>11036</v>
      </c>
      <c r="B11037" s="396" t="s">
        <v>20607</v>
      </c>
      <c r="C11037" s="396" t="s">
        <v>20608</v>
      </c>
      <c r="D11037" s="396" t="s">
        <v>20601</v>
      </c>
      <c r="E11037" s="396" t="s">
        <v>20602</v>
      </c>
      <c r="F11037" s="396" t="s">
        <v>20540</v>
      </c>
    </row>
    <row r="11038">
      <c r="A11038" s="311">
        <v>11037</v>
      </c>
      <c r="B11038" s="396" t="s">
        <v>20609</v>
      </c>
      <c r="C11038" s="396" t="s">
        <v>20610</v>
      </c>
      <c r="D11038" s="396" t="s">
        <v>20601</v>
      </c>
      <c r="E11038" s="396" t="s">
        <v>20602</v>
      </c>
      <c r="F11038" s="396" t="s">
        <v>20540</v>
      </c>
    </row>
    <row r="11039">
      <c r="A11039" s="311">
        <v>11038</v>
      </c>
      <c r="B11039" s="396" t="s">
        <v>20611</v>
      </c>
      <c r="C11039" s="396" t="s">
        <v>3622</v>
      </c>
      <c r="D11039" s="396" t="s">
        <v>20601</v>
      </c>
      <c r="E11039" s="396" t="s">
        <v>20602</v>
      </c>
      <c r="F11039" s="396" t="s">
        <v>20540</v>
      </c>
    </row>
    <row r="11040">
      <c r="A11040" s="311">
        <v>11039</v>
      </c>
      <c r="B11040" s="396" t="s">
        <v>20612</v>
      </c>
      <c r="C11040" s="396" t="s">
        <v>18990</v>
      </c>
      <c r="D11040" s="396" t="s">
        <v>20601</v>
      </c>
      <c r="E11040" s="396" t="s">
        <v>20602</v>
      </c>
      <c r="F11040" s="396" t="s">
        <v>20540</v>
      </c>
    </row>
    <row r="11041">
      <c r="A11041" s="311">
        <v>11040</v>
      </c>
      <c r="B11041" s="396" t="s">
        <v>20613</v>
      </c>
      <c r="C11041" s="396" t="s">
        <v>20614</v>
      </c>
      <c r="D11041" s="396" t="s">
        <v>20601</v>
      </c>
      <c r="E11041" s="396" t="s">
        <v>20602</v>
      </c>
      <c r="F11041" s="396" t="s">
        <v>20540</v>
      </c>
    </row>
    <row r="11042">
      <c r="A11042" s="311">
        <v>11041</v>
      </c>
      <c r="B11042" s="396" t="s">
        <v>20615</v>
      </c>
      <c r="C11042" s="396" t="s">
        <v>20616</v>
      </c>
      <c r="D11042" s="396" t="s">
        <v>20601</v>
      </c>
      <c r="E11042" s="396" t="s">
        <v>20602</v>
      </c>
      <c r="F11042" s="396" t="s">
        <v>20540</v>
      </c>
    </row>
    <row r="11043">
      <c r="A11043" s="311">
        <v>11042</v>
      </c>
      <c r="B11043" s="396" t="s">
        <v>20617</v>
      </c>
      <c r="C11043" s="396" t="s">
        <v>18672</v>
      </c>
      <c r="D11043" s="396" t="s">
        <v>20601</v>
      </c>
      <c r="E11043" s="396" t="s">
        <v>20602</v>
      </c>
      <c r="F11043" s="396" t="s">
        <v>20540</v>
      </c>
    </row>
    <row r="11044">
      <c r="A11044" s="311">
        <v>11043</v>
      </c>
      <c r="B11044" s="396" t="s">
        <v>20618</v>
      </c>
      <c r="C11044" s="396" t="s">
        <v>20619</v>
      </c>
      <c r="D11044" s="396" t="s">
        <v>20620</v>
      </c>
      <c r="E11044" s="396" t="s">
        <v>20621</v>
      </c>
      <c r="F11044" s="396" t="s">
        <v>20540</v>
      </c>
    </row>
    <row r="11045">
      <c r="A11045" s="311">
        <v>11044</v>
      </c>
      <c r="B11045" s="396" t="s">
        <v>20622</v>
      </c>
      <c r="C11045" s="396" t="s">
        <v>20623</v>
      </c>
      <c r="D11045" s="396" t="s">
        <v>20620</v>
      </c>
      <c r="E11045" s="396" t="s">
        <v>20621</v>
      </c>
      <c r="F11045" s="396" t="s">
        <v>20540</v>
      </c>
    </row>
    <row r="11046">
      <c r="A11046" s="311">
        <v>11045</v>
      </c>
      <c r="B11046" s="396" t="s">
        <v>20624</v>
      </c>
      <c r="C11046" s="396" t="s">
        <v>20625</v>
      </c>
      <c r="D11046" s="396" t="s">
        <v>20620</v>
      </c>
      <c r="E11046" s="396" t="s">
        <v>20621</v>
      </c>
      <c r="F11046" s="396" t="s">
        <v>20540</v>
      </c>
    </row>
    <row r="11047">
      <c r="A11047" s="311">
        <v>11046</v>
      </c>
      <c r="B11047" s="396" t="s">
        <v>20626</v>
      </c>
      <c r="C11047" s="396" t="s">
        <v>20627</v>
      </c>
      <c r="D11047" s="396" t="s">
        <v>20620</v>
      </c>
      <c r="E11047" s="396" t="s">
        <v>20621</v>
      </c>
      <c r="F11047" s="396" t="s">
        <v>20540</v>
      </c>
    </row>
    <row r="11048">
      <c r="A11048" s="311">
        <v>11047</v>
      </c>
      <c r="B11048" s="396" t="s">
        <v>20628</v>
      </c>
      <c r="C11048" s="396" t="s">
        <v>20629</v>
      </c>
      <c r="D11048" s="396" t="s">
        <v>20620</v>
      </c>
      <c r="E11048" s="396" t="s">
        <v>20621</v>
      </c>
      <c r="F11048" s="396" t="s">
        <v>20540</v>
      </c>
    </row>
    <row r="11049">
      <c r="A11049" s="311">
        <v>11048</v>
      </c>
      <c r="B11049" s="396" t="s">
        <v>20630</v>
      </c>
      <c r="C11049" s="396" t="s">
        <v>12786</v>
      </c>
      <c r="D11049" s="396" t="s">
        <v>20620</v>
      </c>
      <c r="E11049" s="396" t="s">
        <v>20621</v>
      </c>
      <c r="F11049" s="396" t="s">
        <v>20540</v>
      </c>
    </row>
    <row r="11050">
      <c r="A11050" s="311">
        <v>11049</v>
      </c>
      <c r="B11050" s="396" t="s">
        <v>20631</v>
      </c>
      <c r="C11050" s="396" t="s">
        <v>20632</v>
      </c>
      <c r="D11050" s="396" t="s">
        <v>20620</v>
      </c>
      <c r="E11050" s="396" t="s">
        <v>20621</v>
      </c>
      <c r="F11050" s="396" t="s">
        <v>20540</v>
      </c>
    </row>
    <row r="11051">
      <c r="A11051" s="311">
        <v>11050</v>
      </c>
      <c r="B11051" s="396" t="s">
        <v>20633</v>
      </c>
      <c r="C11051" s="396" t="s">
        <v>20634</v>
      </c>
      <c r="D11051" s="396" t="s">
        <v>20620</v>
      </c>
      <c r="E11051" s="396" t="s">
        <v>20621</v>
      </c>
      <c r="F11051" s="396" t="s">
        <v>20540</v>
      </c>
    </row>
    <row r="11052">
      <c r="A11052" s="311">
        <v>11051</v>
      </c>
      <c r="B11052" s="396" t="s">
        <v>20635</v>
      </c>
      <c r="C11052" s="396" t="s">
        <v>20636</v>
      </c>
      <c r="D11052" s="396" t="s">
        <v>20620</v>
      </c>
      <c r="E11052" s="396" t="s">
        <v>20621</v>
      </c>
      <c r="F11052" s="396" t="s">
        <v>20540</v>
      </c>
    </row>
    <row r="11053">
      <c r="A11053" s="311">
        <v>11052</v>
      </c>
      <c r="B11053" s="396" t="s">
        <v>20637</v>
      </c>
      <c r="C11053" s="396" t="s">
        <v>10116</v>
      </c>
      <c r="D11053" s="396" t="s">
        <v>20620</v>
      </c>
      <c r="E11053" s="396" t="s">
        <v>20621</v>
      </c>
      <c r="F11053" s="396" t="s">
        <v>20540</v>
      </c>
    </row>
    <row r="11054">
      <c r="A11054" s="311">
        <v>11053</v>
      </c>
      <c r="B11054" s="396" t="s">
        <v>20638</v>
      </c>
      <c r="C11054" s="396" t="s">
        <v>20639</v>
      </c>
      <c r="D11054" s="396" t="s">
        <v>20620</v>
      </c>
      <c r="E11054" s="396" t="s">
        <v>20621</v>
      </c>
      <c r="F11054" s="396" t="s">
        <v>20540</v>
      </c>
    </row>
    <row r="11055">
      <c r="A11055" s="311">
        <v>11054</v>
      </c>
      <c r="B11055" s="396" t="s">
        <v>20640</v>
      </c>
      <c r="C11055" s="396" t="s">
        <v>10965</v>
      </c>
      <c r="D11055" s="396" t="s">
        <v>20641</v>
      </c>
      <c r="E11055" s="396" t="s">
        <v>20642</v>
      </c>
      <c r="F11055" s="396" t="s">
        <v>20540</v>
      </c>
    </row>
    <row r="11056">
      <c r="A11056" s="311">
        <v>11055</v>
      </c>
      <c r="B11056" s="396" t="s">
        <v>20643</v>
      </c>
      <c r="C11056" s="396" t="s">
        <v>20644</v>
      </c>
      <c r="D11056" s="396" t="s">
        <v>20641</v>
      </c>
      <c r="E11056" s="396" t="s">
        <v>20642</v>
      </c>
      <c r="F11056" s="396" t="s">
        <v>20540</v>
      </c>
    </row>
    <row r="11057">
      <c r="A11057" s="311">
        <v>11056</v>
      </c>
      <c r="B11057" s="396" t="s">
        <v>20645</v>
      </c>
      <c r="C11057" s="396" t="s">
        <v>18116</v>
      </c>
      <c r="D11057" s="396" t="s">
        <v>20641</v>
      </c>
      <c r="E11057" s="396" t="s">
        <v>20642</v>
      </c>
      <c r="F11057" s="396" t="s">
        <v>20540</v>
      </c>
    </row>
    <row r="11058">
      <c r="A11058" s="311">
        <v>11057</v>
      </c>
      <c r="B11058" s="396" t="s">
        <v>20646</v>
      </c>
      <c r="C11058" s="396" t="s">
        <v>20647</v>
      </c>
      <c r="D11058" s="396" t="s">
        <v>20641</v>
      </c>
      <c r="E11058" s="396" t="s">
        <v>20642</v>
      </c>
      <c r="F11058" s="396" t="s">
        <v>20540</v>
      </c>
    </row>
    <row r="11059">
      <c r="A11059" s="311">
        <v>11058</v>
      </c>
      <c r="B11059" s="396" t="s">
        <v>20648</v>
      </c>
      <c r="C11059" s="396" t="s">
        <v>19587</v>
      </c>
      <c r="D11059" s="396" t="s">
        <v>20641</v>
      </c>
      <c r="E11059" s="396" t="s">
        <v>20642</v>
      </c>
      <c r="F11059" s="396" t="s">
        <v>20540</v>
      </c>
    </row>
    <row r="11060">
      <c r="A11060" s="311">
        <v>11059</v>
      </c>
      <c r="B11060" s="396" t="s">
        <v>20649</v>
      </c>
      <c r="C11060" s="396" t="s">
        <v>20650</v>
      </c>
      <c r="D11060" s="396" t="s">
        <v>20641</v>
      </c>
      <c r="E11060" s="396" t="s">
        <v>20642</v>
      </c>
      <c r="F11060" s="396" t="s">
        <v>20540</v>
      </c>
    </row>
    <row r="11061">
      <c r="A11061" s="311">
        <v>11060</v>
      </c>
      <c r="B11061" s="396" t="s">
        <v>20651</v>
      </c>
      <c r="C11061" s="396" t="s">
        <v>20652</v>
      </c>
      <c r="D11061" s="396" t="s">
        <v>20641</v>
      </c>
      <c r="E11061" s="396" t="s">
        <v>20642</v>
      </c>
      <c r="F11061" s="396" t="s">
        <v>20540</v>
      </c>
    </row>
    <row r="11062">
      <c r="A11062" s="311">
        <v>11061</v>
      </c>
      <c r="B11062" s="396" t="s">
        <v>20653</v>
      </c>
      <c r="C11062" s="396" t="s">
        <v>6849</v>
      </c>
      <c r="D11062" s="396" t="s">
        <v>20641</v>
      </c>
      <c r="E11062" s="396" t="s">
        <v>20642</v>
      </c>
      <c r="F11062" s="396" t="s">
        <v>20540</v>
      </c>
    </row>
    <row r="11063">
      <c r="A11063" s="311">
        <v>11062</v>
      </c>
      <c r="B11063" s="396" t="s">
        <v>20654</v>
      </c>
      <c r="C11063" s="396" t="s">
        <v>14273</v>
      </c>
      <c r="D11063" s="396" t="s">
        <v>20655</v>
      </c>
      <c r="E11063" s="396" t="s">
        <v>20656</v>
      </c>
      <c r="F11063" s="396" t="s">
        <v>20657</v>
      </c>
    </row>
    <row r="11064">
      <c r="A11064" s="311">
        <v>11063</v>
      </c>
      <c r="B11064" s="396" t="s">
        <v>20658</v>
      </c>
      <c r="C11064" s="396" t="s">
        <v>12449</v>
      </c>
      <c r="D11064" s="396" t="s">
        <v>20655</v>
      </c>
      <c r="E11064" s="396" t="s">
        <v>20656</v>
      </c>
      <c r="F11064" s="396" t="s">
        <v>20657</v>
      </c>
    </row>
    <row r="11065">
      <c r="A11065" s="311">
        <v>11064</v>
      </c>
      <c r="B11065" s="396" t="s">
        <v>20659</v>
      </c>
      <c r="C11065" s="396" t="s">
        <v>12441</v>
      </c>
      <c r="D11065" s="396" t="s">
        <v>20655</v>
      </c>
      <c r="E11065" s="396" t="s">
        <v>20656</v>
      </c>
      <c r="F11065" s="396" t="s">
        <v>20657</v>
      </c>
    </row>
    <row r="11066">
      <c r="A11066" s="311">
        <v>11065</v>
      </c>
      <c r="B11066" s="396" t="s">
        <v>20660</v>
      </c>
      <c r="C11066" s="396" t="s">
        <v>12451</v>
      </c>
      <c r="D11066" s="396" t="s">
        <v>20655</v>
      </c>
      <c r="E11066" s="396" t="s">
        <v>20656</v>
      </c>
      <c r="F11066" s="396" t="s">
        <v>20657</v>
      </c>
    </row>
    <row r="11067">
      <c r="A11067" s="311">
        <v>11066</v>
      </c>
      <c r="B11067" s="396" t="s">
        <v>20661</v>
      </c>
      <c r="C11067" s="396" t="s">
        <v>12447</v>
      </c>
      <c r="D11067" s="396" t="s">
        <v>20655</v>
      </c>
      <c r="E11067" s="396" t="s">
        <v>20656</v>
      </c>
      <c r="F11067" s="396" t="s">
        <v>20657</v>
      </c>
    </row>
    <row r="11068">
      <c r="A11068" s="311">
        <v>11067</v>
      </c>
      <c r="B11068" s="396" t="s">
        <v>20662</v>
      </c>
      <c r="C11068" s="396" t="s">
        <v>14270</v>
      </c>
      <c r="D11068" s="396" t="s">
        <v>20655</v>
      </c>
      <c r="E11068" s="396" t="s">
        <v>20656</v>
      </c>
      <c r="F11068" s="396" t="s">
        <v>20657</v>
      </c>
    </row>
    <row r="11069">
      <c r="A11069" s="311">
        <v>11068</v>
      </c>
      <c r="B11069" s="396" t="s">
        <v>20663</v>
      </c>
      <c r="C11069" s="396" t="s">
        <v>14280</v>
      </c>
      <c r="D11069" s="396" t="s">
        <v>20655</v>
      </c>
      <c r="E11069" s="396" t="s">
        <v>20656</v>
      </c>
      <c r="F11069" s="396" t="s">
        <v>20657</v>
      </c>
    </row>
    <row r="11070">
      <c r="A11070" s="311">
        <v>11069</v>
      </c>
      <c r="B11070" s="396" t="s">
        <v>20664</v>
      </c>
      <c r="C11070" s="396" t="s">
        <v>14278</v>
      </c>
      <c r="D11070" s="396" t="s">
        <v>20655</v>
      </c>
      <c r="E11070" s="396" t="s">
        <v>20656</v>
      </c>
      <c r="F11070" s="396" t="s">
        <v>20657</v>
      </c>
    </row>
    <row r="11071">
      <c r="A11071" s="311">
        <v>11070</v>
      </c>
      <c r="B11071" s="396" t="s">
        <v>20665</v>
      </c>
      <c r="C11071" s="396" t="s">
        <v>20666</v>
      </c>
      <c r="D11071" s="396" t="s">
        <v>20655</v>
      </c>
      <c r="E11071" s="396" t="s">
        <v>20656</v>
      </c>
      <c r="F11071" s="396" t="s">
        <v>20657</v>
      </c>
    </row>
    <row r="11072">
      <c r="A11072" s="311">
        <v>11071</v>
      </c>
      <c r="B11072" s="396" t="s">
        <v>20667</v>
      </c>
      <c r="C11072" s="396" t="s">
        <v>20668</v>
      </c>
      <c r="D11072" s="396" t="s">
        <v>20655</v>
      </c>
      <c r="E11072" s="396" t="s">
        <v>20656</v>
      </c>
      <c r="F11072" s="396" t="s">
        <v>20657</v>
      </c>
    </row>
    <row r="11073">
      <c r="A11073" s="311">
        <v>11072</v>
      </c>
      <c r="B11073" s="396" t="s">
        <v>20669</v>
      </c>
      <c r="C11073" s="396" t="s">
        <v>4594</v>
      </c>
      <c r="D11073" s="396" t="s">
        <v>20655</v>
      </c>
      <c r="E11073" s="396" t="s">
        <v>20656</v>
      </c>
      <c r="F11073" s="396" t="s">
        <v>20657</v>
      </c>
    </row>
    <row r="11074">
      <c r="A11074" s="311">
        <v>11073</v>
      </c>
      <c r="B11074" s="396" t="s">
        <v>20670</v>
      </c>
      <c r="C11074" s="396" t="s">
        <v>1552</v>
      </c>
      <c r="D11074" s="396" t="s">
        <v>20655</v>
      </c>
      <c r="E11074" s="396" t="s">
        <v>20656</v>
      </c>
      <c r="F11074" s="396" t="s">
        <v>20657</v>
      </c>
    </row>
    <row r="11075">
      <c r="A11075" s="311">
        <v>11074</v>
      </c>
      <c r="B11075" s="396" t="s">
        <v>20671</v>
      </c>
      <c r="C11075" s="396" t="s">
        <v>20672</v>
      </c>
      <c r="D11075" s="396" t="s">
        <v>20655</v>
      </c>
      <c r="E11075" s="396" t="s">
        <v>20656</v>
      </c>
      <c r="F11075" s="396" t="s">
        <v>20657</v>
      </c>
    </row>
    <row r="11076">
      <c r="A11076" s="311">
        <v>11075</v>
      </c>
      <c r="B11076" s="396" t="s">
        <v>20673</v>
      </c>
      <c r="C11076" s="396" t="s">
        <v>20674</v>
      </c>
      <c r="D11076" s="396" t="s">
        <v>20655</v>
      </c>
      <c r="E11076" s="396" t="s">
        <v>20656</v>
      </c>
      <c r="F11076" s="396" t="s">
        <v>20657</v>
      </c>
    </row>
    <row r="11077">
      <c r="A11077" s="311">
        <v>11076</v>
      </c>
      <c r="B11077" s="396" t="s">
        <v>20675</v>
      </c>
      <c r="C11077" s="396" t="s">
        <v>10134</v>
      </c>
      <c r="D11077" s="396" t="s">
        <v>20655</v>
      </c>
      <c r="E11077" s="396" t="s">
        <v>20656</v>
      </c>
      <c r="F11077" s="396" t="s">
        <v>20657</v>
      </c>
    </row>
    <row r="11078">
      <c r="A11078" s="311">
        <v>11077</v>
      </c>
      <c r="B11078" s="396" t="s">
        <v>20676</v>
      </c>
      <c r="C11078" s="396" t="s">
        <v>14458</v>
      </c>
      <c r="D11078" s="396" t="s">
        <v>20655</v>
      </c>
      <c r="E11078" s="396" t="s">
        <v>20656</v>
      </c>
      <c r="F11078" s="396" t="s">
        <v>20657</v>
      </c>
    </row>
    <row r="11079">
      <c r="A11079" s="311">
        <v>11078</v>
      </c>
      <c r="B11079" s="396" t="s">
        <v>20677</v>
      </c>
      <c r="C11079" s="396" t="s">
        <v>16037</v>
      </c>
      <c r="D11079" s="396" t="s">
        <v>20655</v>
      </c>
      <c r="E11079" s="396" t="s">
        <v>20656</v>
      </c>
      <c r="F11079" s="396" t="s">
        <v>20657</v>
      </c>
    </row>
    <row r="11080">
      <c r="A11080" s="311">
        <v>11079</v>
      </c>
      <c r="B11080" s="396" t="s">
        <v>20678</v>
      </c>
      <c r="C11080" s="396" t="s">
        <v>20679</v>
      </c>
      <c r="D11080" s="396" t="s">
        <v>20680</v>
      </c>
      <c r="E11080" s="396" t="s">
        <v>20681</v>
      </c>
      <c r="F11080" s="396" t="s">
        <v>20657</v>
      </c>
    </row>
    <row r="11081">
      <c r="A11081" s="311">
        <v>11080</v>
      </c>
      <c r="B11081" s="396" t="s">
        <v>20682</v>
      </c>
      <c r="C11081" s="396" t="s">
        <v>3892</v>
      </c>
      <c r="D11081" s="396" t="s">
        <v>20680</v>
      </c>
      <c r="E11081" s="396" t="s">
        <v>20681</v>
      </c>
      <c r="F11081" s="396" t="s">
        <v>20657</v>
      </c>
    </row>
    <row r="11082">
      <c r="A11082" s="311">
        <v>11081</v>
      </c>
      <c r="B11082" s="396" t="s">
        <v>20683</v>
      </c>
      <c r="C11082" s="396" t="s">
        <v>20684</v>
      </c>
      <c r="D11082" s="396" t="s">
        <v>20680</v>
      </c>
      <c r="E11082" s="396" t="s">
        <v>20681</v>
      </c>
      <c r="F11082" s="396" t="s">
        <v>20657</v>
      </c>
    </row>
    <row r="11083">
      <c r="A11083" s="311">
        <v>11082</v>
      </c>
      <c r="B11083" s="396" t="s">
        <v>20685</v>
      </c>
      <c r="C11083" s="396" t="s">
        <v>20686</v>
      </c>
      <c r="D11083" s="396" t="s">
        <v>20680</v>
      </c>
      <c r="E11083" s="396" t="s">
        <v>20681</v>
      </c>
      <c r="F11083" s="396" t="s">
        <v>20657</v>
      </c>
    </row>
    <row r="11084">
      <c r="A11084" s="311">
        <v>11083</v>
      </c>
      <c r="B11084" s="396" t="s">
        <v>20687</v>
      </c>
      <c r="C11084" s="396" t="s">
        <v>20688</v>
      </c>
      <c r="D11084" s="396" t="s">
        <v>20680</v>
      </c>
      <c r="E11084" s="396" t="s">
        <v>20681</v>
      </c>
      <c r="F11084" s="396" t="s">
        <v>20657</v>
      </c>
    </row>
    <row r="11085">
      <c r="A11085" s="311">
        <v>11084</v>
      </c>
      <c r="B11085" s="396" t="s">
        <v>20689</v>
      </c>
      <c r="C11085" s="396" t="s">
        <v>20690</v>
      </c>
      <c r="D11085" s="396" t="s">
        <v>20680</v>
      </c>
      <c r="E11085" s="396" t="s">
        <v>20681</v>
      </c>
      <c r="F11085" s="396" t="s">
        <v>20657</v>
      </c>
    </row>
    <row r="11086">
      <c r="A11086" s="311">
        <v>11085</v>
      </c>
      <c r="B11086" s="396" t="s">
        <v>20691</v>
      </c>
      <c r="C11086" s="396" t="s">
        <v>9541</v>
      </c>
      <c r="D11086" s="396" t="s">
        <v>20680</v>
      </c>
      <c r="E11086" s="396" t="s">
        <v>20681</v>
      </c>
      <c r="F11086" s="396" t="s">
        <v>20657</v>
      </c>
    </row>
    <row r="11087">
      <c r="A11087" s="311">
        <v>11086</v>
      </c>
      <c r="B11087" s="396" t="s">
        <v>20692</v>
      </c>
      <c r="C11087" s="396" t="s">
        <v>9556</v>
      </c>
      <c r="D11087" s="396" t="s">
        <v>20680</v>
      </c>
      <c r="E11087" s="396" t="s">
        <v>20681</v>
      </c>
      <c r="F11087" s="396" t="s">
        <v>20657</v>
      </c>
    </row>
    <row r="11088">
      <c r="A11088" s="311">
        <v>11087</v>
      </c>
      <c r="B11088" s="396" t="s">
        <v>20693</v>
      </c>
      <c r="C11088" s="396" t="s">
        <v>20694</v>
      </c>
      <c r="D11088" s="396" t="s">
        <v>20695</v>
      </c>
      <c r="E11088" s="396" t="s">
        <v>20696</v>
      </c>
      <c r="F11088" s="396" t="s">
        <v>20657</v>
      </c>
    </row>
    <row r="11089">
      <c r="A11089" s="311">
        <v>11088</v>
      </c>
      <c r="B11089" s="396" t="s">
        <v>20697</v>
      </c>
      <c r="C11089" s="396" t="s">
        <v>20698</v>
      </c>
      <c r="D11089" s="396" t="s">
        <v>20695</v>
      </c>
      <c r="E11089" s="396" t="s">
        <v>20696</v>
      </c>
      <c r="F11089" s="396" t="s">
        <v>20657</v>
      </c>
    </row>
    <row r="11090">
      <c r="A11090" s="311">
        <v>11089</v>
      </c>
      <c r="B11090" s="396" t="s">
        <v>20699</v>
      </c>
      <c r="C11090" s="396" t="s">
        <v>20700</v>
      </c>
      <c r="D11090" s="396" t="s">
        <v>20695</v>
      </c>
      <c r="E11090" s="396" t="s">
        <v>20696</v>
      </c>
      <c r="F11090" s="396" t="s">
        <v>20657</v>
      </c>
    </row>
    <row r="11091">
      <c r="A11091" s="311">
        <v>11090</v>
      </c>
      <c r="B11091" s="396" t="s">
        <v>20701</v>
      </c>
      <c r="C11091" s="396" t="s">
        <v>20702</v>
      </c>
      <c r="D11091" s="396" t="s">
        <v>20695</v>
      </c>
      <c r="E11091" s="396" t="s">
        <v>20696</v>
      </c>
      <c r="F11091" s="396" t="s">
        <v>20657</v>
      </c>
    </row>
    <row r="11092">
      <c r="A11092" s="311">
        <v>11091</v>
      </c>
      <c r="B11092" s="396" t="s">
        <v>20703</v>
      </c>
      <c r="C11092" s="396" t="s">
        <v>20704</v>
      </c>
      <c r="D11092" s="396" t="s">
        <v>20695</v>
      </c>
      <c r="E11092" s="396" t="s">
        <v>20696</v>
      </c>
      <c r="F11092" s="396" t="s">
        <v>20657</v>
      </c>
    </row>
    <row r="11093">
      <c r="A11093" s="311">
        <v>11092</v>
      </c>
      <c r="B11093" s="396" t="s">
        <v>20705</v>
      </c>
      <c r="C11093" s="396" t="s">
        <v>20706</v>
      </c>
      <c r="D11093" s="396" t="s">
        <v>20695</v>
      </c>
      <c r="E11093" s="396" t="s">
        <v>20696</v>
      </c>
      <c r="F11093" s="396" t="s">
        <v>20657</v>
      </c>
    </row>
    <row r="11094">
      <c r="A11094" s="311">
        <v>11093</v>
      </c>
      <c r="B11094" s="396" t="s">
        <v>20707</v>
      </c>
      <c r="C11094" s="396" t="s">
        <v>20708</v>
      </c>
      <c r="D11094" s="396" t="s">
        <v>20695</v>
      </c>
      <c r="E11094" s="396" t="s">
        <v>20696</v>
      </c>
      <c r="F11094" s="396" t="s">
        <v>20657</v>
      </c>
    </row>
    <row r="11095">
      <c r="A11095" s="311">
        <v>11094</v>
      </c>
      <c r="B11095" s="396" t="s">
        <v>20709</v>
      </c>
      <c r="C11095" s="396" t="s">
        <v>830</v>
      </c>
      <c r="D11095" s="396" t="s">
        <v>20695</v>
      </c>
      <c r="E11095" s="396" t="s">
        <v>20696</v>
      </c>
      <c r="F11095" s="396" t="s">
        <v>20657</v>
      </c>
    </row>
    <row r="11096">
      <c r="A11096" s="311">
        <v>11095</v>
      </c>
      <c r="B11096" s="396" t="s">
        <v>20710</v>
      </c>
      <c r="C11096" s="396" t="s">
        <v>20711</v>
      </c>
      <c r="D11096" s="396" t="s">
        <v>20695</v>
      </c>
      <c r="E11096" s="396" t="s">
        <v>20696</v>
      </c>
      <c r="F11096" s="396" t="s">
        <v>20657</v>
      </c>
    </row>
    <row r="11097">
      <c r="A11097" s="311">
        <v>11096</v>
      </c>
      <c r="B11097" s="396" t="s">
        <v>20712</v>
      </c>
      <c r="C11097" s="396" t="s">
        <v>12084</v>
      </c>
      <c r="D11097" s="396" t="s">
        <v>20695</v>
      </c>
      <c r="E11097" s="396" t="s">
        <v>20696</v>
      </c>
      <c r="F11097" s="396" t="s">
        <v>20657</v>
      </c>
    </row>
    <row r="11098">
      <c r="A11098" s="311">
        <v>11097</v>
      </c>
      <c r="B11098" s="396" t="s">
        <v>20713</v>
      </c>
      <c r="C11098" s="396" t="s">
        <v>20714</v>
      </c>
      <c r="D11098" s="396" t="s">
        <v>20695</v>
      </c>
      <c r="E11098" s="396" t="s">
        <v>20696</v>
      </c>
      <c r="F11098" s="396" t="s">
        <v>20657</v>
      </c>
    </row>
    <row r="11099">
      <c r="A11099" s="311">
        <v>11098</v>
      </c>
      <c r="B11099" s="396" t="s">
        <v>20715</v>
      </c>
      <c r="C11099" s="396" t="s">
        <v>20716</v>
      </c>
      <c r="D11099" s="396" t="s">
        <v>20695</v>
      </c>
      <c r="E11099" s="396" t="s">
        <v>20696</v>
      </c>
      <c r="F11099" s="396" t="s">
        <v>20657</v>
      </c>
    </row>
    <row r="11100">
      <c r="A11100" s="311">
        <v>11099</v>
      </c>
      <c r="B11100" s="396" t="s">
        <v>20717</v>
      </c>
      <c r="C11100" s="396" t="s">
        <v>20718</v>
      </c>
      <c r="D11100" s="396" t="s">
        <v>20719</v>
      </c>
      <c r="E11100" s="396" t="s">
        <v>20720</v>
      </c>
      <c r="F11100" s="396" t="s">
        <v>20657</v>
      </c>
    </row>
    <row r="11101">
      <c r="A11101" s="311">
        <v>11100</v>
      </c>
      <c r="B11101" s="396" t="s">
        <v>20721</v>
      </c>
      <c r="C11101" s="396" t="s">
        <v>20722</v>
      </c>
      <c r="D11101" s="396" t="s">
        <v>20719</v>
      </c>
      <c r="E11101" s="396" t="s">
        <v>20720</v>
      </c>
      <c r="F11101" s="396" t="s">
        <v>20657</v>
      </c>
    </row>
    <row r="11102">
      <c r="A11102" s="311">
        <v>11101</v>
      </c>
      <c r="B11102" s="396" t="s">
        <v>20723</v>
      </c>
      <c r="C11102" s="396" t="s">
        <v>20724</v>
      </c>
      <c r="D11102" s="396" t="s">
        <v>20719</v>
      </c>
      <c r="E11102" s="396" t="s">
        <v>20720</v>
      </c>
      <c r="F11102" s="396" t="s">
        <v>20657</v>
      </c>
    </row>
    <row r="11103">
      <c r="A11103" s="311">
        <v>11102</v>
      </c>
      <c r="B11103" s="396" t="s">
        <v>20725</v>
      </c>
      <c r="C11103" s="396" t="s">
        <v>20726</v>
      </c>
      <c r="D11103" s="396" t="s">
        <v>20719</v>
      </c>
      <c r="E11103" s="396" t="s">
        <v>20720</v>
      </c>
      <c r="F11103" s="396" t="s">
        <v>20657</v>
      </c>
    </row>
    <row r="11104">
      <c r="A11104" s="311">
        <v>11103</v>
      </c>
      <c r="B11104" s="396" t="s">
        <v>20727</v>
      </c>
      <c r="C11104" s="396" t="s">
        <v>20728</v>
      </c>
      <c r="D11104" s="396" t="s">
        <v>20719</v>
      </c>
      <c r="E11104" s="396" t="s">
        <v>20720</v>
      </c>
      <c r="F11104" s="396" t="s">
        <v>20657</v>
      </c>
    </row>
    <row r="11105">
      <c r="A11105" s="311">
        <v>11104</v>
      </c>
      <c r="B11105" s="396" t="s">
        <v>20729</v>
      </c>
      <c r="C11105" s="396" t="s">
        <v>11878</v>
      </c>
      <c r="D11105" s="396" t="s">
        <v>20719</v>
      </c>
      <c r="E11105" s="396" t="s">
        <v>20720</v>
      </c>
      <c r="F11105" s="396" t="s">
        <v>20657</v>
      </c>
    </row>
    <row r="11106">
      <c r="A11106" s="311">
        <v>11105</v>
      </c>
      <c r="B11106" s="396" t="s">
        <v>20730</v>
      </c>
      <c r="C11106" s="396" t="s">
        <v>14674</v>
      </c>
      <c r="D11106" s="396" t="s">
        <v>20719</v>
      </c>
      <c r="E11106" s="396" t="s">
        <v>20720</v>
      </c>
      <c r="F11106" s="396" t="s">
        <v>20657</v>
      </c>
    </row>
    <row r="11107">
      <c r="A11107" s="311">
        <v>11106</v>
      </c>
      <c r="B11107" s="396" t="s">
        <v>20731</v>
      </c>
      <c r="C11107" s="396" t="s">
        <v>18108</v>
      </c>
      <c r="D11107" s="396" t="s">
        <v>20719</v>
      </c>
      <c r="E11107" s="396" t="s">
        <v>20720</v>
      </c>
      <c r="F11107" s="396" t="s">
        <v>20657</v>
      </c>
    </row>
    <row r="11108">
      <c r="A11108" s="311">
        <v>11107</v>
      </c>
      <c r="B11108" s="396" t="s">
        <v>20732</v>
      </c>
      <c r="C11108" s="396" t="s">
        <v>20733</v>
      </c>
      <c r="D11108" s="396" t="s">
        <v>20719</v>
      </c>
      <c r="E11108" s="396" t="s">
        <v>20720</v>
      </c>
      <c r="F11108" s="396" t="s">
        <v>20657</v>
      </c>
    </row>
    <row r="11109">
      <c r="A11109" s="311">
        <v>11108</v>
      </c>
      <c r="B11109" s="396" t="s">
        <v>20734</v>
      </c>
      <c r="C11109" s="396" t="s">
        <v>9548</v>
      </c>
      <c r="D11109" s="396" t="s">
        <v>20719</v>
      </c>
      <c r="E11109" s="396" t="s">
        <v>20720</v>
      </c>
      <c r="F11109" s="396" t="s">
        <v>20657</v>
      </c>
    </row>
    <row r="11110">
      <c r="A11110" s="311">
        <v>11109</v>
      </c>
      <c r="B11110" s="396" t="s">
        <v>20735</v>
      </c>
      <c r="C11110" s="396" t="s">
        <v>20736</v>
      </c>
      <c r="D11110" s="396" t="s">
        <v>20719</v>
      </c>
      <c r="E11110" s="396" t="s">
        <v>20720</v>
      </c>
      <c r="F11110" s="396" t="s">
        <v>20657</v>
      </c>
    </row>
    <row r="11111">
      <c r="A11111" s="311">
        <v>11110</v>
      </c>
      <c r="B11111" s="396" t="s">
        <v>20737</v>
      </c>
      <c r="C11111" s="396" t="s">
        <v>20738</v>
      </c>
      <c r="D11111" s="396" t="s">
        <v>20719</v>
      </c>
      <c r="E11111" s="396" t="s">
        <v>20720</v>
      </c>
      <c r="F11111" s="396" t="s">
        <v>20657</v>
      </c>
    </row>
    <row r="11112">
      <c r="A11112" s="311">
        <v>11111</v>
      </c>
      <c r="B11112" s="396" t="s">
        <v>20739</v>
      </c>
      <c r="C11112" s="396" t="s">
        <v>20740</v>
      </c>
      <c r="D11112" s="396" t="s">
        <v>20719</v>
      </c>
      <c r="E11112" s="396" t="s">
        <v>20720</v>
      </c>
      <c r="F11112" s="396" t="s">
        <v>20657</v>
      </c>
    </row>
    <row r="11113">
      <c r="A11113" s="311">
        <v>11112</v>
      </c>
      <c r="B11113" s="396" t="s">
        <v>20741</v>
      </c>
      <c r="C11113" s="396" t="s">
        <v>20742</v>
      </c>
      <c r="D11113" s="396" t="s">
        <v>20743</v>
      </c>
      <c r="E11113" s="396" t="s">
        <v>20744</v>
      </c>
      <c r="F11113" s="396" t="s">
        <v>20657</v>
      </c>
    </row>
    <row r="11114">
      <c r="A11114" s="311">
        <v>11113</v>
      </c>
      <c r="B11114" s="396" t="s">
        <v>20745</v>
      </c>
      <c r="C11114" s="396" t="s">
        <v>17210</v>
      </c>
      <c r="D11114" s="396" t="s">
        <v>20743</v>
      </c>
      <c r="E11114" s="396" t="s">
        <v>20744</v>
      </c>
      <c r="F11114" s="396" t="s">
        <v>20657</v>
      </c>
    </row>
    <row r="11115">
      <c r="A11115" s="311">
        <v>11114</v>
      </c>
      <c r="B11115" s="396" t="s">
        <v>20746</v>
      </c>
      <c r="C11115" s="396" t="s">
        <v>20747</v>
      </c>
      <c r="D11115" s="396" t="s">
        <v>20743</v>
      </c>
      <c r="E11115" s="396" t="s">
        <v>20744</v>
      </c>
      <c r="F11115" s="396" t="s">
        <v>20657</v>
      </c>
    </row>
    <row r="11116">
      <c r="A11116" s="311">
        <v>11115</v>
      </c>
      <c r="B11116" s="396" t="s">
        <v>20748</v>
      </c>
      <c r="C11116" s="396" t="s">
        <v>18691</v>
      </c>
      <c r="D11116" s="396" t="s">
        <v>20743</v>
      </c>
      <c r="E11116" s="396" t="s">
        <v>20744</v>
      </c>
      <c r="F11116" s="396" t="s">
        <v>20657</v>
      </c>
    </row>
    <row r="11117">
      <c r="A11117" s="311">
        <v>11116</v>
      </c>
      <c r="B11117" s="396" t="s">
        <v>20749</v>
      </c>
      <c r="C11117" s="396" t="s">
        <v>296</v>
      </c>
      <c r="D11117" s="396" t="s">
        <v>20743</v>
      </c>
      <c r="E11117" s="396" t="s">
        <v>20744</v>
      </c>
      <c r="F11117" s="396" t="s">
        <v>20657</v>
      </c>
    </row>
    <row r="11118">
      <c r="A11118" s="311">
        <v>11117</v>
      </c>
      <c r="B11118" s="396" t="s">
        <v>20750</v>
      </c>
      <c r="C11118" s="396" t="s">
        <v>11589</v>
      </c>
      <c r="D11118" s="396" t="s">
        <v>20743</v>
      </c>
      <c r="E11118" s="396" t="s">
        <v>20744</v>
      </c>
      <c r="F11118" s="396" t="s">
        <v>20657</v>
      </c>
    </row>
    <row r="11119">
      <c r="A11119" s="311">
        <v>11118</v>
      </c>
      <c r="B11119" s="396" t="s">
        <v>20751</v>
      </c>
      <c r="C11119" s="396" t="s">
        <v>20284</v>
      </c>
      <c r="D11119" s="396" t="s">
        <v>20743</v>
      </c>
      <c r="E11119" s="396" t="s">
        <v>20744</v>
      </c>
      <c r="F11119" s="396" t="s">
        <v>20657</v>
      </c>
    </row>
    <row r="11120">
      <c r="A11120" s="311">
        <v>11119</v>
      </c>
      <c r="B11120" s="396" t="s">
        <v>20752</v>
      </c>
      <c r="C11120" s="396" t="s">
        <v>5839</v>
      </c>
      <c r="D11120" s="396" t="s">
        <v>20743</v>
      </c>
      <c r="E11120" s="396" t="s">
        <v>20744</v>
      </c>
      <c r="F11120" s="396" t="s">
        <v>20657</v>
      </c>
    </row>
    <row r="11121">
      <c r="A11121" s="311">
        <v>11120</v>
      </c>
      <c r="B11121" s="396" t="s">
        <v>20753</v>
      </c>
      <c r="C11121" s="396" t="s">
        <v>20754</v>
      </c>
      <c r="D11121" s="396" t="s">
        <v>20743</v>
      </c>
      <c r="E11121" s="396" t="s">
        <v>20744</v>
      </c>
      <c r="F11121" s="396" t="s">
        <v>20657</v>
      </c>
    </row>
    <row r="11122">
      <c r="A11122" s="311">
        <v>11121</v>
      </c>
      <c r="B11122" s="396" t="s">
        <v>20755</v>
      </c>
      <c r="C11122" s="396" t="s">
        <v>20756</v>
      </c>
      <c r="D11122" s="396" t="s">
        <v>20743</v>
      </c>
      <c r="E11122" s="396" t="s">
        <v>20744</v>
      </c>
      <c r="F11122" s="396" t="s">
        <v>20657</v>
      </c>
    </row>
    <row r="11123">
      <c r="A11123" s="311">
        <v>11122</v>
      </c>
      <c r="B11123" s="396" t="s">
        <v>20757</v>
      </c>
      <c r="C11123" s="396" t="s">
        <v>20758</v>
      </c>
      <c r="D11123" s="396" t="s">
        <v>20743</v>
      </c>
      <c r="E11123" s="396" t="s">
        <v>20744</v>
      </c>
      <c r="F11123" s="396" t="s">
        <v>20657</v>
      </c>
    </row>
    <row r="11124">
      <c r="A11124" s="311">
        <v>11123</v>
      </c>
      <c r="B11124" s="396" t="s">
        <v>20759</v>
      </c>
      <c r="C11124" s="396" t="s">
        <v>20760</v>
      </c>
      <c r="D11124" s="396" t="s">
        <v>20761</v>
      </c>
      <c r="E11124" s="396" t="s">
        <v>20762</v>
      </c>
      <c r="F11124" s="396" t="s">
        <v>20657</v>
      </c>
    </row>
    <row r="11125">
      <c r="A11125" s="311">
        <v>11124</v>
      </c>
      <c r="B11125" s="396" t="s">
        <v>20763</v>
      </c>
      <c r="C11125" s="396" t="s">
        <v>20764</v>
      </c>
      <c r="D11125" s="396" t="s">
        <v>20761</v>
      </c>
      <c r="E11125" s="396" t="s">
        <v>20762</v>
      </c>
      <c r="F11125" s="396" t="s">
        <v>20657</v>
      </c>
    </row>
    <row r="11126">
      <c r="A11126" s="311">
        <v>11125</v>
      </c>
      <c r="B11126" s="396" t="s">
        <v>20765</v>
      </c>
      <c r="C11126" s="396" t="s">
        <v>20766</v>
      </c>
      <c r="D11126" s="396" t="s">
        <v>20761</v>
      </c>
      <c r="E11126" s="396" t="s">
        <v>20762</v>
      </c>
      <c r="F11126" s="396" t="s">
        <v>20657</v>
      </c>
    </row>
    <row r="11127">
      <c r="A11127" s="311">
        <v>11126</v>
      </c>
      <c r="B11127" s="396" t="s">
        <v>20767</v>
      </c>
      <c r="C11127" s="396" t="s">
        <v>20768</v>
      </c>
      <c r="D11127" s="396" t="s">
        <v>20761</v>
      </c>
      <c r="E11127" s="396" t="s">
        <v>20762</v>
      </c>
      <c r="F11127" s="396" t="s">
        <v>20657</v>
      </c>
    </row>
    <row r="11128">
      <c r="A11128" s="311">
        <v>11127</v>
      </c>
      <c r="B11128" s="396" t="s">
        <v>20769</v>
      </c>
      <c r="C11128" s="396" t="s">
        <v>5755</v>
      </c>
      <c r="D11128" s="396" t="s">
        <v>20761</v>
      </c>
      <c r="E11128" s="396" t="s">
        <v>20762</v>
      </c>
      <c r="F11128" s="396" t="s">
        <v>20657</v>
      </c>
    </row>
    <row r="11129">
      <c r="A11129" s="311">
        <v>11128</v>
      </c>
      <c r="B11129" s="396" t="s">
        <v>20770</v>
      </c>
      <c r="C11129" s="396" t="s">
        <v>4894</v>
      </c>
      <c r="D11129" s="396" t="s">
        <v>20761</v>
      </c>
      <c r="E11129" s="396" t="s">
        <v>20762</v>
      </c>
      <c r="F11129" s="396" t="s">
        <v>20657</v>
      </c>
    </row>
    <row r="11130">
      <c r="A11130" s="311">
        <v>11129</v>
      </c>
      <c r="B11130" s="396" t="s">
        <v>20771</v>
      </c>
      <c r="C11130" s="396" t="s">
        <v>15038</v>
      </c>
      <c r="D11130" s="396" t="s">
        <v>20761</v>
      </c>
      <c r="E11130" s="396" t="s">
        <v>20762</v>
      </c>
      <c r="F11130" s="396" t="s">
        <v>20657</v>
      </c>
    </row>
    <row r="11131">
      <c r="A11131" s="311">
        <v>11130</v>
      </c>
      <c r="B11131" s="396" t="s">
        <v>20772</v>
      </c>
      <c r="C11131" s="396" t="s">
        <v>20773</v>
      </c>
      <c r="D11131" s="396" t="s">
        <v>20761</v>
      </c>
      <c r="E11131" s="396" t="s">
        <v>20762</v>
      </c>
      <c r="F11131" s="396" t="s">
        <v>20657</v>
      </c>
    </row>
    <row r="11132">
      <c r="A11132" s="311">
        <v>11131</v>
      </c>
      <c r="B11132" s="396" t="s">
        <v>20774</v>
      </c>
      <c r="C11132" s="396" t="s">
        <v>20775</v>
      </c>
      <c r="D11132" s="396" t="s">
        <v>20761</v>
      </c>
      <c r="E11132" s="396" t="s">
        <v>20762</v>
      </c>
      <c r="F11132" s="396" t="s">
        <v>20657</v>
      </c>
    </row>
    <row r="11133">
      <c r="A11133" s="311">
        <v>11132</v>
      </c>
      <c r="B11133" s="396" t="s">
        <v>20776</v>
      </c>
      <c r="C11133" s="396" t="s">
        <v>310</v>
      </c>
      <c r="D11133" s="396" t="s">
        <v>20761</v>
      </c>
      <c r="E11133" s="396" t="s">
        <v>20762</v>
      </c>
      <c r="F11133" s="396" t="s">
        <v>20657</v>
      </c>
    </row>
    <row r="11134">
      <c r="A11134" s="311">
        <v>11133</v>
      </c>
      <c r="B11134" s="396" t="s">
        <v>20777</v>
      </c>
      <c r="C11134" s="396" t="s">
        <v>926</v>
      </c>
      <c r="D11134" s="396" t="s">
        <v>20761</v>
      </c>
      <c r="E11134" s="396" t="s">
        <v>20762</v>
      </c>
      <c r="F11134" s="396" t="s">
        <v>20657</v>
      </c>
    </row>
    <row r="11135">
      <c r="A11135" s="311">
        <v>11134</v>
      </c>
      <c r="B11135" s="396" t="s">
        <v>20778</v>
      </c>
      <c r="C11135" s="396" t="s">
        <v>20779</v>
      </c>
      <c r="D11135" s="396" t="s">
        <v>20761</v>
      </c>
      <c r="E11135" s="396" t="s">
        <v>20762</v>
      </c>
      <c r="F11135" s="396" t="s">
        <v>20657</v>
      </c>
    </row>
    <row r="11136">
      <c r="A11136" s="311">
        <v>11135</v>
      </c>
      <c r="B11136" s="396" t="s">
        <v>20780</v>
      </c>
      <c r="C11136" s="396" t="s">
        <v>20781</v>
      </c>
      <c r="D11136" s="396" t="s">
        <v>20761</v>
      </c>
      <c r="E11136" s="396" t="s">
        <v>20762</v>
      </c>
      <c r="F11136" s="396" t="s">
        <v>20657</v>
      </c>
    </row>
    <row r="11137">
      <c r="A11137" s="311">
        <v>11136</v>
      </c>
      <c r="B11137" s="396" t="s">
        <v>20782</v>
      </c>
      <c r="C11137" s="396" t="s">
        <v>7568</v>
      </c>
      <c r="D11137" s="396" t="s">
        <v>20761</v>
      </c>
      <c r="E11137" s="396" t="s">
        <v>20762</v>
      </c>
      <c r="F11137" s="396" t="s">
        <v>20657</v>
      </c>
    </row>
    <row r="11138">
      <c r="A11138" s="311">
        <v>11137</v>
      </c>
      <c r="B11138" s="396" t="s">
        <v>20783</v>
      </c>
      <c r="C11138" s="396" t="s">
        <v>20784</v>
      </c>
      <c r="D11138" s="396" t="s">
        <v>20761</v>
      </c>
      <c r="E11138" s="396" t="s">
        <v>20762</v>
      </c>
      <c r="F11138" s="396" t="s">
        <v>20657</v>
      </c>
    </row>
    <row r="11139">
      <c r="A11139" s="311">
        <v>11138</v>
      </c>
      <c r="B11139" s="396" t="s">
        <v>20785</v>
      </c>
      <c r="C11139" s="396" t="s">
        <v>20786</v>
      </c>
      <c r="D11139" s="396" t="s">
        <v>20761</v>
      </c>
      <c r="E11139" s="396" t="s">
        <v>20762</v>
      </c>
      <c r="F11139" s="396" t="s">
        <v>20657</v>
      </c>
    </row>
    <row r="11140">
      <c r="A11140" s="311">
        <v>11139</v>
      </c>
      <c r="B11140" s="396" t="s">
        <v>20787</v>
      </c>
      <c r="C11140" s="396" t="s">
        <v>20788</v>
      </c>
      <c r="D11140" s="396" t="s">
        <v>20789</v>
      </c>
      <c r="E11140" s="396" t="s">
        <v>20790</v>
      </c>
      <c r="F11140" s="396" t="s">
        <v>20657</v>
      </c>
    </row>
    <row r="11141">
      <c r="A11141" s="311">
        <v>11140</v>
      </c>
      <c r="B11141" s="396" t="s">
        <v>20791</v>
      </c>
      <c r="C11141" s="396" t="s">
        <v>20792</v>
      </c>
      <c r="D11141" s="396" t="s">
        <v>20789</v>
      </c>
      <c r="E11141" s="396" t="s">
        <v>20790</v>
      </c>
      <c r="F11141" s="396" t="s">
        <v>20657</v>
      </c>
    </row>
    <row r="11142">
      <c r="A11142" s="311">
        <v>11141</v>
      </c>
      <c r="B11142" s="396" t="s">
        <v>20793</v>
      </c>
      <c r="C11142" s="396" t="s">
        <v>20794</v>
      </c>
      <c r="D11142" s="396" t="s">
        <v>20789</v>
      </c>
      <c r="E11142" s="396" t="s">
        <v>20790</v>
      </c>
      <c r="F11142" s="396" t="s">
        <v>20657</v>
      </c>
    </row>
    <row r="11143">
      <c r="A11143" s="311">
        <v>11142</v>
      </c>
      <c r="B11143" s="396" t="s">
        <v>20795</v>
      </c>
      <c r="C11143" s="396" t="s">
        <v>20796</v>
      </c>
      <c r="D11143" s="396" t="s">
        <v>20789</v>
      </c>
      <c r="E11143" s="396" t="s">
        <v>20790</v>
      </c>
      <c r="F11143" s="396" t="s">
        <v>20657</v>
      </c>
    </row>
    <row r="11144">
      <c r="A11144" s="311">
        <v>11143</v>
      </c>
      <c r="B11144" s="396" t="s">
        <v>20797</v>
      </c>
      <c r="C11144" s="396" t="s">
        <v>20798</v>
      </c>
      <c r="D11144" s="396" t="s">
        <v>20789</v>
      </c>
      <c r="E11144" s="396" t="s">
        <v>20790</v>
      </c>
      <c r="F11144" s="396" t="s">
        <v>20657</v>
      </c>
    </row>
    <row r="11145">
      <c r="A11145" s="311">
        <v>11144</v>
      </c>
      <c r="B11145" s="396" t="s">
        <v>20799</v>
      </c>
      <c r="C11145" s="396" t="s">
        <v>20800</v>
      </c>
      <c r="D11145" s="396" t="s">
        <v>20789</v>
      </c>
      <c r="E11145" s="396" t="s">
        <v>20790</v>
      </c>
      <c r="F11145" s="396" t="s">
        <v>20657</v>
      </c>
    </row>
    <row r="11146">
      <c r="A11146" s="311">
        <v>11145</v>
      </c>
      <c r="B11146" s="396" t="s">
        <v>20801</v>
      </c>
      <c r="C11146" s="396" t="s">
        <v>6935</v>
      </c>
      <c r="D11146" s="396" t="s">
        <v>20789</v>
      </c>
      <c r="E11146" s="396" t="s">
        <v>20790</v>
      </c>
      <c r="F11146" s="396" t="s">
        <v>20657</v>
      </c>
    </row>
    <row r="11147">
      <c r="A11147" s="311">
        <v>11146</v>
      </c>
      <c r="B11147" s="396" t="s">
        <v>20802</v>
      </c>
      <c r="C11147" s="396" t="s">
        <v>20803</v>
      </c>
      <c r="D11147" s="396" t="s">
        <v>20789</v>
      </c>
      <c r="E11147" s="396" t="s">
        <v>20790</v>
      </c>
      <c r="F11147" s="396" t="s">
        <v>20657</v>
      </c>
    </row>
    <row r="11148">
      <c r="A11148" s="311">
        <v>11147</v>
      </c>
      <c r="B11148" s="396" t="s">
        <v>20804</v>
      </c>
      <c r="C11148" s="396" t="s">
        <v>20805</v>
      </c>
      <c r="D11148" s="396" t="s">
        <v>20806</v>
      </c>
      <c r="E11148" s="396" t="s">
        <v>19617</v>
      </c>
      <c r="F11148" s="396" t="s">
        <v>20657</v>
      </c>
    </row>
    <row r="11149">
      <c r="A11149" s="311">
        <v>11148</v>
      </c>
      <c r="B11149" s="396" t="s">
        <v>20807</v>
      </c>
      <c r="C11149" s="396" t="s">
        <v>12825</v>
      </c>
      <c r="D11149" s="396" t="s">
        <v>20806</v>
      </c>
      <c r="E11149" s="396" t="s">
        <v>19617</v>
      </c>
      <c r="F11149" s="396" t="s">
        <v>20657</v>
      </c>
    </row>
    <row r="11150">
      <c r="A11150" s="311">
        <v>11149</v>
      </c>
      <c r="B11150" s="396" t="s">
        <v>20808</v>
      </c>
      <c r="C11150" s="396" t="s">
        <v>5078</v>
      </c>
      <c r="D11150" s="396" t="s">
        <v>20806</v>
      </c>
      <c r="E11150" s="396" t="s">
        <v>19617</v>
      </c>
      <c r="F11150" s="396" t="s">
        <v>20657</v>
      </c>
    </row>
    <row r="11151">
      <c r="A11151" s="311">
        <v>11150</v>
      </c>
      <c r="B11151" s="396" t="s">
        <v>20809</v>
      </c>
      <c r="C11151" s="396" t="s">
        <v>17224</v>
      </c>
      <c r="D11151" s="396" t="s">
        <v>20806</v>
      </c>
      <c r="E11151" s="396" t="s">
        <v>19617</v>
      </c>
      <c r="F11151" s="396" t="s">
        <v>20657</v>
      </c>
    </row>
    <row r="11152">
      <c r="A11152" s="311">
        <v>11151</v>
      </c>
      <c r="B11152" s="396" t="s">
        <v>20810</v>
      </c>
      <c r="C11152" s="396" t="s">
        <v>14825</v>
      </c>
      <c r="D11152" s="396" t="s">
        <v>20806</v>
      </c>
      <c r="E11152" s="396" t="s">
        <v>19617</v>
      </c>
      <c r="F11152" s="396" t="s">
        <v>20657</v>
      </c>
    </row>
    <row r="11153">
      <c r="A11153" s="311">
        <v>11152</v>
      </c>
      <c r="B11153" s="396" t="s">
        <v>20811</v>
      </c>
      <c r="C11153" s="396" t="s">
        <v>20812</v>
      </c>
      <c r="D11153" s="396" t="s">
        <v>20806</v>
      </c>
      <c r="E11153" s="396" t="s">
        <v>19617</v>
      </c>
      <c r="F11153" s="396" t="s">
        <v>20657</v>
      </c>
    </row>
    <row r="11154">
      <c r="A11154" s="311">
        <v>11153</v>
      </c>
      <c r="B11154" s="396" t="s">
        <v>20813</v>
      </c>
      <c r="C11154" s="396" t="s">
        <v>20814</v>
      </c>
      <c r="D11154" s="396" t="s">
        <v>20806</v>
      </c>
      <c r="E11154" s="396" t="s">
        <v>19617</v>
      </c>
      <c r="F11154" s="396" t="s">
        <v>20657</v>
      </c>
    </row>
    <row r="11155">
      <c r="A11155" s="311">
        <v>11154</v>
      </c>
      <c r="B11155" s="396" t="s">
        <v>20815</v>
      </c>
      <c r="C11155" s="396" t="s">
        <v>20816</v>
      </c>
      <c r="D11155" s="396" t="s">
        <v>20806</v>
      </c>
      <c r="E11155" s="396" t="s">
        <v>19617</v>
      </c>
      <c r="F11155" s="396" t="s">
        <v>20657</v>
      </c>
    </row>
    <row r="11156">
      <c r="A11156" s="311">
        <v>11155</v>
      </c>
      <c r="B11156" s="396" t="s">
        <v>20817</v>
      </c>
      <c r="C11156" s="396" t="s">
        <v>20818</v>
      </c>
      <c r="D11156" s="396" t="s">
        <v>20806</v>
      </c>
      <c r="E11156" s="396" t="s">
        <v>19617</v>
      </c>
      <c r="F11156" s="396" t="s">
        <v>20657</v>
      </c>
    </row>
    <row r="11157">
      <c r="A11157" s="311">
        <v>11156</v>
      </c>
      <c r="B11157" s="396" t="s">
        <v>20819</v>
      </c>
      <c r="C11157" s="396" t="s">
        <v>20820</v>
      </c>
      <c r="D11157" s="396" t="s">
        <v>20821</v>
      </c>
      <c r="E11157" s="396" t="s">
        <v>20822</v>
      </c>
      <c r="F11157" s="396" t="s">
        <v>20657</v>
      </c>
    </row>
    <row r="11158">
      <c r="A11158" s="311">
        <v>11157</v>
      </c>
      <c r="B11158" s="396" t="s">
        <v>20823</v>
      </c>
      <c r="C11158" s="396" t="s">
        <v>20824</v>
      </c>
      <c r="D11158" s="396" t="s">
        <v>20821</v>
      </c>
      <c r="E11158" s="396" t="s">
        <v>20822</v>
      </c>
      <c r="F11158" s="396" t="s">
        <v>20657</v>
      </c>
    </row>
    <row r="11159">
      <c r="A11159" s="311">
        <v>11158</v>
      </c>
      <c r="B11159" s="396" t="s">
        <v>20825</v>
      </c>
      <c r="C11159" s="396" t="s">
        <v>20826</v>
      </c>
      <c r="D11159" s="396" t="s">
        <v>20821</v>
      </c>
      <c r="E11159" s="396" t="s">
        <v>20822</v>
      </c>
      <c r="F11159" s="396" t="s">
        <v>20657</v>
      </c>
    </row>
    <row r="11160">
      <c r="A11160" s="311">
        <v>11159</v>
      </c>
      <c r="B11160" s="396" t="s">
        <v>20827</v>
      </c>
      <c r="C11160" s="396" t="s">
        <v>1121</v>
      </c>
      <c r="D11160" s="396" t="s">
        <v>20821</v>
      </c>
      <c r="E11160" s="396" t="s">
        <v>20822</v>
      </c>
      <c r="F11160" s="396" t="s">
        <v>20657</v>
      </c>
    </row>
    <row r="11161">
      <c r="A11161" s="311">
        <v>11160</v>
      </c>
      <c r="B11161" s="396" t="s">
        <v>20828</v>
      </c>
      <c r="C11161" s="396" t="s">
        <v>20829</v>
      </c>
      <c r="D11161" s="396" t="s">
        <v>20821</v>
      </c>
      <c r="E11161" s="396" t="s">
        <v>20822</v>
      </c>
      <c r="F11161" s="396" t="s">
        <v>20657</v>
      </c>
    </row>
    <row r="11162">
      <c r="A11162" s="311">
        <v>11161</v>
      </c>
      <c r="B11162" s="396" t="s">
        <v>20830</v>
      </c>
      <c r="C11162" s="396" t="s">
        <v>18331</v>
      </c>
      <c r="D11162" s="396" t="s">
        <v>20821</v>
      </c>
      <c r="E11162" s="396" t="s">
        <v>20822</v>
      </c>
      <c r="F11162" s="396" t="s">
        <v>20657</v>
      </c>
    </row>
    <row r="11163">
      <c r="A11163" s="311">
        <v>11162</v>
      </c>
      <c r="B11163" s="396" t="s">
        <v>20831</v>
      </c>
      <c r="C11163" s="396" t="s">
        <v>20832</v>
      </c>
      <c r="D11163" s="396" t="s">
        <v>20821</v>
      </c>
      <c r="E11163" s="396" t="s">
        <v>20822</v>
      </c>
      <c r="F11163" s="396"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7"/>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7"/>
    </sheetView>
  </sheetViews>
  <sheetFormatPr defaultRowHeight="14.4"/>
  <cols>
    <col min="1" max="1" width="6.109375" customWidth="1"/>
    <col min="2" max="2" width="13.88671875" customWidth="1"/>
    <col min="3" max="3" width="42" customWidth="1"/>
    <col min="4" max="4" width="44.33203125" customWidth="1"/>
    <col min="5" max="5" width="18" customWidth="1"/>
    <col min="6" max="6" width="18" customWidth="1"/>
  </cols>
  <sheetData>
    <row r="1" ht="33.75" customHeight="1">
      <c r="A1" s="308" t="s">
        <v>0</v>
      </c>
      <c r="B1" s="308" t="s">
        <v>20833</v>
      </c>
      <c r="C1" s="308" t="s">
        <v>20834</v>
      </c>
      <c r="D1" s="308" t="s">
        <v>21243</v>
      </c>
      <c r="E1" s="308" t="s">
        <v>21694</v>
      </c>
      <c r="F1" s="308" t="s">
        <v>21695</v>
      </c>
    </row>
    <row r="2">
      <c r="A2" s="307">
        <v>1</v>
      </c>
      <c r="B2" s="307" t="s">
        <v>21925</v>
      </c>
      <c r="C2" s="307" t="s">
        <v>21926</v>
      </c>
      <c r="D2" s="307" t="s">
        <v>21190</v>
      </c>
      <c r="E2" s="307" t="s">
        <v>21190</v>
      </c>
      <c r="F2" s="307" t="s">
        <v>21190</v>
      </c>
    </row>
    <row r="3">
      <c r="A3" s="307">
        <v>2</v>
      </c>
      <c r="B3" s="307" t="s">
        <v>21927</v>
      </c>
      <c r="C3" s="307" t="s">
        <v>21928</v>
      </c>
      <c r="D3" s="307" t="s">
        <v>20855</v>
      </c>
      <c r="E3" s="307" t="s">
        <v>21190</v>
      </c>
      <c r="F3" s="307" t="s">
        <v>21190</v>
      </c>
    </row>
    <row r="4">
      <c r="A4" s="307">
        <v>3</v>
      </c>
      <c r="B4" s="307" t="s">
        <v>21929</v>
      </c>
      <c r="C4" s="307" t="s">
        <v>21930</v>
      </c>
      <c r="D4" s="307" t="s">
        <v>21190</v>
      </c>
      <c r="E4" s="307" t="s">
        <v>21190</v>
      </c>
      <c r="F4" s="307" t="s">
        <v>21190</v>
      </c>
    </row>
    <row r="5">
      <c r="A5" s="311">
        <v>4</v>
      </c>
      <c r="B5" s="311" t="s">
        <v>21931</v>
      </c>
      <c r="C5" s="311" t="s">
        <v>21140</v>
      </c>
      <c r="D5" s="311" t="s">
        <v>21932</v>
      </c>
      <c r="E5" s="311" t="s">
        <v>21933</v>
      </c>
      <c r="F5" s="311" t="s">
        <v>21934</v>
      </c>
    </row>
    <row r="6">
      <c r="A6" s="311">
        <v>5</v>
      </c>
      <c r="B6" s="311" t="s">
        <v>21935</v>
      </c>
      <c r="C6" s="311" t="s">
        <v>21936</v>
      </c>
      <c r="D6" s="311" t="s">
        <v>21937</v>
      </c>
      <c r="E6" s="396"/>
      <c r="F6" s="396"/>
    </row>
    <row r="7">
      <c r="A7" s="361">
        <v>6</v>
      </c>
      <c r="B7" s="361" t="s">
        <v>21179</v>
      </c>
      <c r="C7" s="361" t="s">
        <v>21193</v>
      </c>
      <c r="D7" s="361" t="s">
        <v>21938</v>
      </c>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ColWidth="9.109375" defaultRowHeight="13.8"/>
  <cols>
    <col min="1" max="1" width="6.109375" customWidth="1" style="459"/>
    <col min="2" max="2" width="13.88671875" customWidth="1" style="456"/>
    <col min="3" max="3" width="14.109375" customWidth="1" style="456"/>
    <col min="4" max="4" width="48" customWidth="1" style="456"/>
    <col min="5" max="5" width="9.109375" customWidth="1" style="456"/>
    <col min="6" max="16384" width="9.109375" customWidth="1" style="456"/>
  </cols>
  <sheetData>
    <row r="1" ht="33.75" customHeight="1">
      <c r="A1" s="455" t="s">
        <v>0</v>
      </c>
      <c r="B1" s="455" t="s">
        <v>20833</v>
      </c>
      <c r="C1" s="455" t="s">
        <v>21917</v>
      </c>
      <c r="D1" s="455" t="s">
        <v>20834</v>
      </c>
    </row>
    <row r="2" ht="27.6">
      <c r="A2" s="457">
        <v>1</v>
      </c>
      <c r="B2" s="458" t="s">
        <v>21857</v>
      </c>
      <c r="C2" s="458" t="s">
        <v>21857</v>
      </c>
      <c r="D2" s="458" t="s">
        <v>21031</v>
      </c>
    </row>
    <row r="3">
      <c r="A3" s="457">
        <v>2</v>
      </c>
      <c r="B3" s="458" t="s">
        <v>21703</v>
      </c>
      <c r="C3" s="458" t="s">
        <v>21703</v>
      </c>
      <c r="D3" s="458" t="s">
        <v>21918</v>
      </c>
    </row>
    <row r="4" ht="27.6">
      <c r="A4" s="457">
        <v>3</v>
      </c>
      <c r="B4" s="458" t="s">
        <v>21707</v>
      </c>
      <c r="C4" s="458" t="s">
        <v>21707</v>
      </c>
      <c r="D4" s="458" t="s">
        <v>21919</v>
      </c>
    </row>
    <row r="5">
      <c r="A5" s="457">
        <v>4</v>
      </c>
      <c r="B5" s="458" t="s">
        <v>21713</v>
      </c>
      <c r="C5" s="458" t="s">
        <v>21713</v>
      </c>
      <c r="D5" s="458" t="s">
        <v>21920</v>
      </c>
    </row>
    <row r="6" ht="27.6">
      <c r="A6" s="457">
        <v>5</v>
      </c>
      <c r="B6" s="458" t="s">
        <v>21172</v>
      </c>
      <c r="C6" s="458" t="s">
        <v>21172</v>
      </c>
      <c r="D6" s="458" t="s">
        <v>21173</v>
      </c>
    </row>
    <row r="7" ht="27.6">
      <c r="A7" s="457">
        <v>6</v>
      </c>
      <c r="B7" s="463" t="s">
        <v>21921</v>
      </c>
      <c r="C7" s="458" t="s">
        <v>21707</v>
      </c>
      <c r="D7" s="463" t="s">
        <v>21922</v>
      </c>
    </row>
    <row r="8" ht="27.6">
      <c r="A8" s="457">
        <v>7</v>
      </c>
      <c r="B8" s="458" t="s">
        <v>21923</v>
      </c>
      <c r="C8" s="458" t="s">
        <v>21172</v>
      </c>
      <c r="D8" s="458" t="s">
        <v>21924</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09375" defaultRowHeight="14.4"/>
  <cols>
    <col min="1" max="1" width="6.109375" customWidth="1"/>
    <col min="2" max="2" width="50" customWidth="1"/>
    <col min="3" max="3" width="5.6640625" customWidth="1"/>
    <col min="4" max="4" width="15.33203125" customWidth="1"/>
    <col min="5" max="5" width="13.5546875" customWidth="1"/>
    <col min="6" max="6" width="10.5546875" customWidth="1"/>
    <col min="7" max="7" width="14.44140625" customWidth="1"/>
    <col min="8" max="8" width="13.33203125" customWidth="1"/>
    <col min="9" max="9" width="8" customWidth="1"/>
  </cols>
  <sheetData>
    <row r="1" ht="33.75" customHeight="1">
      <c r="A1" s="312" t="s">
        <v>0</v>
      </c>
      <c r="B1" s="312" t="s">
        <v>20834</v>
      </c>
      <c r="C1" s="312" t="s">
        <v>21855</v>
      </c>
      <c r="D1" s="312" t="s">
        <v>21856</v>
      </c>
      <c r="E1" s="312" t="s">
        <v>21703</v>
      </c>
      <c r="F1" s="312" t="s">
        <v>21707</v>
      </c>
      <c r="G1" s="312" t="s">
        <v>21713</v>
      </c>
      <c r="H1" s="312" t="s">
        <v>21172</v>
      </c>
      <c r="I1" s="312" t="s">
        <v>21857</v>
      </c>
    </row>
    <row r="2">
      <c r="A2" s="311">
        <v>1</v>
      </c>
      <c r="B2" s="311" t="s">
        <v>21858</v>
      </c>
      <c r="C2" s="311">
        <v>2</v>
      </c>
      <c r="D2" s="311" t="s">
        <v>21859</v>
      </c>
      <c r="E2" s="311">
        <v>60</v>
      </c>
      <c r="F2" s="311">
        <v>32.43</v>
      </c>
      <c r="G2" s="311">
        <v>0</v>
      </c>
      <c r="H2" s="311">
        <v>0</v>
      </c>
      <c r="I2" s="311">
        <v>0</v>
      </c>
    </row>
    <row r="3">
      <c r="A3" s="311">
        <v>2</v>
      </c>
      <c r="B3" s="311" t="s">
        <v>21858</v>
      </c>
      <c r="C3" s="311">
        <v>3</v>
      </c>
      <c r="D3" s="311" t="s">
        <v>21859</v>
      </c>
      <c r="E3" s="311">
        <v>60</v>
      </c>
      <c r="F3" s="311">
        <v>32.43</v>
      </c>
      <c r="G3" s="311">
        <v>0</v>
      </c>
      <c r="H3" s="311">
        <v>0</v>
      </c>
      <c r="I3" s="311">
        <v>0</v>
      </c>
    </row>
    <row r="4">
      <c r="A4" s="311">
        <v>3</v>
      </c>
      <c r="B4" s="311" t="s">
        <v>21858</v>
      </c>
      <c r="C4" s="311">
        <v>4</v>
      </c>
      <c r="D4" s="311" t="s">
        <v>21859</v>
      </c>
      <c r="E4" s="311">
        <v>60</v>
      </c>
      <c r="F4" s="311">
        <v>14.49</v>
      </c>
      <c r="G4" s="311">
        <v>0</v>
      </c>
      <c r="H4" s="311">
        <v>0</v>
      </c>
      <c r="I4" s="311">
        <v>0</v>
      </c>
    </row>
    <row r="5">
      <c r="A5" s="311">
        <v>4</v>
      </c>
      <c r="B5" s="311" t="s">
        <v>21858</v>
      </c>
      <c r="C5" s="311">
        <v>1</v>
      </c>
      <c r="D5" s="311" t="s">
        <v>21860</v>
      </c>
      <c r="E5" s="311">
        <v>60</v>
      </c>
      <c r="F5" s="311">
        <v>27.54</v>
      </c>
      <c r="G5" s="311">
        <v>0</v>
      </c>
      <c r="H5" s="311">
        <v>0</v>
      </c>
      <c r="I5" s="311">
        <v>0</v>
      </c>
    </row>
    <row r="6">
      <c r="A6" s="311">
        <v>5</v>
      </c>
      <c r="B6" s="311" t="s">
        <v>21858</v>
      </c>
      <c r="C6" s="311">
        <v>2</v>
      </c>
      <c r="D6" s="311" t="s">
        <v>21860</v>
      </c>
      <c r="E6" s="311">
        <v>60</v>
      </c>
      <c r="F6" s="311">
        <v>25.18</v>
      </c>
      <c r="G6" s="311">
        <v>0</v>
      </c>
      <c r="H6" s="311">
        <v>0</v>
      </c>
      <c r="I6" s="311">
        <v>0</v>
      </c>
    </row>
    <row r="7">
      <c r="A7" s="311">
        <v>6</v>
      </c>
      <c r="B7" s="311" t="s">
        <v>21858</v>
      </c>
      <c r="C7" s="311">
        <v>3</v>
      </c>
      <c r="D7" s="311" t="s">
        <v>21860</v>
      </c>
      <c r="E7" s="311">
        <v>60</v>
      </c>
      <c r="F7" s="311">
        <v>25.18</v>
      </c>
      <c r="G7" s="311">
        <v>0</v>
      </c>
      <c r="H7" s="311">
        <v>0</v>
      </c>
      <c r="I7" s="311">
        <v>0</v>
      </c>
    </row>
    <row r="8">
      <c r="A8" s="311">
        <v>7</v>
      </c>
      <c r="B8" s="311" t="s">
        <v>21858</v>
      </c>
      <c r="C8" s="311">
        <v>4</v>
      </c>
      <c r="D8" s="311" t="s">
        <v>21860</v>
      </c>
      <c r="E8" s="311">
        <v>60</v>
      </c>
      <c r="F8" s="311">
        <v>11.25</v>
      </c>
      <c r="G8" s="311">
        <v>0</v>
      </c>
      <c r="H8" s="311">
        <v>0</v>
      </c>
      <c r="I8" s="311">
        <v>0</v>
      </c>
    </row>
    <row r="9">
      <c r="A9" s="311">
        <v>8</v>
      </c>
      <c r="B9" s="311" t="s">
        <v>21858</v>
      </c>
      <c r="C9" s="311">
        <v>4</v>
      </c>
      <c r="D9" s="311" t="s">
        <v>21861</v>
      </c>
      <c r="E9" s="311">
        <v>60</v>
      </c>
      <c r="F9" s="311">
        <v>0</v>
      </c>
      <c r="G9" s="311">
        <v>0</v>
      </c>
      <c r="H9" s="311">
        <v>0</v>
      </c>
      <c r="I9" s="311">
        <v>0</v>
      </c>
    </row>
    <row r="10">
      <c r="A10" s="311">
        <v>9</v>
      </c>
      <c r="B10" s="311" t="s">
        <v>21858</v>
      </c>
      <c r="C10" s="311">
        <v>5</v>
      </c>
      <c r="D10" s="311" t="s">
        <v>21861</v>
      </c>
      <c r="E10" s="311">
        <v>60</v>
      </c>
      <c r="F10" s="311">
        <v>0</v>
      </c>
      <c r="G10" s="311">
        <v>0</v>
      </c>
      <c r="H10" s="311">
        <v>0</v>
      </c>
      <c r="I10" s="311">
        <v>0</v>
      </c>
    </row>
    <row r="11">
      <c r="A11" s="311">
        <v>10</v>
      </c>
      <c r="B11" s="311" t="s">
        <v>21858</v>
      </c>
      <c r="C11" s="311">
        <v>6</v>
      </c>
      <c r="D11" s="311" t="s">
        <v>21861</v>
      </c>
      <c r="E11" s="311">
        <v>60</v>
      </c>
      <c r="F11" s="311">
        <v>0</v>
      </c>
      <c r="G11" s="311">
        <v>0</v>
      </c>
      <c r="H11" s="311">
        <v>0</v>
      </c>
      <c r="I11" s="311">
        <v>0</v>
      </c>
    </row>
    <row r="12">
      <c r="A12" s="311">
        <v>11</v>
      </c>
      <c r="B12" s="311" t="s">
        <v>21858</v>
      </c>
      <c r="C12" s="311">
        <v>7</v>
      </c>
      <c r="D12" s="311" t="s">
        <v>21861</v>
      </c>
      <c r="E12" s="311">
        <v>60</v>
      </c>
      <c r="F12" s="311">
        <v>0</v>
      </c>
      <c r="G12" s="311">
        <v>0</v>
      </c>
      <c r="H12" s="311">
        <v>0</v>
      </c>
      <c r="I12" s="311">
        <v>0</v>
      </c>
    </row>
    <row r="13">
      <c r="A13" s="311">
        <v>12</v>
      </c>
      <c r="B13" s="311" t="s">
        <v>21858</v>
      </c>
      <c r="C13" s="311">
        <v>8</v>
      </c>
      <c r="D13" s="311" t="s">
        <v>21861</v>
      </c>
      <c r="E13" s="311">
        <v>60</v>
      </c>
      <c r="F13" s="311">
        <v>0</v>
      </c>
      <c r="G13" s="311">
        <v>0</v>
      </c>
      <c r="H13" s="311">
        <v>0</v>
      </c>
      <c r="I13" s="311">
        <v>0</v>
      </c>
    </row>
    <row r="14">
      <c r="A14" s="311">
        <v>13</v>
      </c>
      <c r="B14" s="311" t="s">
        <v>21862</v>
      </c>
      <c r="C14" s="311">
        <v>2</v>
      </c>
      <c r="D14" s="311" t="s">
        <v>21859</v>
      </c>
      <c r="E14" s="311">
        <v>60</v>
      </c>
      <c r="F14" s="311">
        <v>0</v>
      </c>
      <c r="G14" s="311">
        <v>0</v>
      </c>
      <c r="H14" s="311">
        <v>40</v>
      </c>
      <c r="I14" s="311">
        <v>0</v>
      </c>
    </row>
    <row r="15">
      <c r="A15" s="311">
        <v>14</v>
      </c>
      <c r="B15" s="311" t="s">
        <v>21862</v>
      </c>
      <c r="C15" s="311">
        <v>4</v>
      </c>
      <c r="D15" s="311" t="s">
        <v>21859</v>
      </c>
      <c r="E15" s="311">
        <v>60</v>
      </c>
      <c r="F15" s="311">
        <v>0</v>
      </c>
      <c r="G15" s="311">
        <v>0</v>
      </c>
      <c r="H15" s="311">
        <v>0</v>
      </c>
      <c r="I15" s="311">
        <v>0</v>
      </c>
    </row>
    <row r="16">
      <c r="A16" s="311">
        <v>15</v>
      </c>
      <c r="B16" s="311" t="s">
        <v>21862</v>
      </c>
      <c r="C16" s="311">
        <v>2</v>
      </c>
      <c r="D16" s="311" t="s">
        <v>21860</v>
      </c>
      <c r="E16" s="311">
        <v>60</v>
      </c>
      <c r="F16" s="311">
        <v>0</v>
      </c>
      <c r="G16" s="311">
        <v>0</v>
      </c>
      <c r="H16" s="311">
        <v>0</v>
      </c>
      <c r="I16" s="311">
        <v>0</v>
      </c>
    </row>
    <row r="17">
      <c r="A17" s="311">
        <v>16</v>
      </c>
      <c r="B17" s="311" t="s">
        <v>21862</v>
      </c>
      <c r="C17" s="311">
        <v>4</v>
      </c>
      <c r="D17" s="311" t="s">
        <v>21860</v>
      </c>
      <c r="E17" s="311">
        <v>60</v>
      </c>
      <c r="F17" s="311">
        <v>0</v>
      </c>
      <c r="G17" s="311">
        <v>0</v>
      </c>
      <c r="H17" s="311">
        <v>0</v>
      </c>
      <c r="I17" s="311">
        <v>0</v>
      </c>
    </row>
    <row r="18">
      <c r="A18" s="311">
        <v>17</v>
      </c>
      <c r="B18" s="311" t="s">
        <v>21863</v>
      </c>
      <c r="C18" s="311">
        <v>6</v>
      </c>
      <c r="D18" s="311" t="s">
        <v>21864</v>
      </c>
      <c r="E18" s="311">
        <v>60</v>
      </c>
      <c r="F18" s="311">
        <v>0</v>
      </c>
      <c r="G18" s="311">
        <v>0</v>
      </c>
      <c r="H18" s="311">
        <v>0</v>
      </c>
      <c r="I18" s="311">
        <v>0</v>
      </c>
    </row>
    <row r="19">
      <c r="A19" s="311">
        <v>18</v>
      </c>
      <c r="B19" s="311" t="s">
        <v>21863</v>
      </c>
      <c r="C19" s="311">
        <v>7</v>
      </c>
      <c r="D19" s="311" t="s">
        <v>21864</v>
      </c>
      <c r="E19" s="311">
        <v>60</v>
      </c>
      <c r="F19" s="311">
        <v>0</v>
      </c>
      <c r="G19" s="311">
        <v>0</v>
      </c>
      <c r="H19" s="311">
        <v>0</v>
      </c>
      <c r="I19" s="311">
        <v>0</v>
      </c>
    </row>
    <row r="20">
      <c r="A20" s="311">
        <v>19</v>
      </c>
      <c r="B20" s="311" t="s">
        <v>21865</v>
      </c>
      <c r="C20" s="311">
        <v>2</v>
      </c>
      <c r="D20" s="311" t="s">
        <v>21859</v>
      </c>
      <c r="E20" s="311">
        <v>60</v>
      </c>
      <c r="F20" s="311">
        <v>0</v>
      </c>
      <c r="G20" s="311">
        <v>0</v>
      </c>
      <c r="H20" s="311">
        <v>0</v>
      </c>
      <c r="I20" s="311">
        <v>0</v>
      </c>
    </row>
    <row r="21">
      <c r="A21" s="311">
        <v>20</v>
      </c>
      <c r="B21" s="311" t="s">
        <v>21865</v>
      </c>
      <c r="C21" s="311">
        <v>4</v>
      </c>
      <c r="D21" s="311" t="s">
        <v>21859</v>
      </c>
      <c r="E21" s="311">
        <v>60</v>
      </c>
      <c r="F21" s="311">
        <v>0</v>
      </c>
      <c r="G21" s="311">
        <v>0</v>
      </c>
      <c r="H21" s="311">
        <v>0</v>
      </c>
      <c r="I21" s="311">
        <v>0</v>
      </c>
    </row>
    <row r="22">
      <c r="A22" s="311">
        <v>21</v>
      </c>
      <c r="B22" s="311" t="s">
        <v>21865</v>
      </c>
      <c r="C22" s="311">
        <v>2</v>
      </c>
      <c r="D22" s="311" t="s">
        <v>21860</v>
      </c>
      <c r="E22" s="311">
        <v>60</v>
      </c>
      <c r="F22" s="311">
        <v>0</v>
      </c>
      <c r="G22" s="311">
        <v>0</v>
      </c>
      <c r="H22" s="311">
        <v>0</v>
      </c>
      <c r="I22" s="311">
        <v>0</v>
      </c>
    </row>
    <row r="23">
      <c r="A23" s="311">
        <v>22</v>
      </c>
      <c r="B23" s="311" t="s">
        <v>21865</v>
      </c>
      <c r="C23" s="311">
        <v>4</v>
      </c>
      <c r="D23" s="311" t="s">
        <v>21860</v>
      </c>
      <c r="E23" s="311">
        <v>60</v>
      </c>
      <c r="F23" s="311">
        <v>0</v>
      </c>
      <c r="G23" s="311">
        <v>0</v>
      </c>
      <c r="H23" s="311">
        <v>0</v>
      </c>
      <c r="I23" s="311">
        <v>0</v>
      </c>
    </row>
    <row r="24">
      <c r="A24" s="311">
        <v>23</v>
      </c>
      <c r="B24" s="311" t="s">
        <v>21866</v>
      </c>
      <c r="C24" s="311">
        <v>6</v>
      </c>
      <c r="D24" s="311" t="s">
        <v>21864</v>
      </c>
      <c r="E24" s="311">
        <v>60</v>
      </c>
      <c r="F24" s="311">
        <v>0</v>
      </c>
      <c r="G24" s="311">
        <v>0</v>
      </c>
      <c r="H24" s="311">
        <v>0</v>
      </c>
      <c r="I24" s="311">
        <v>0</v>
      </c>
    </row>
    <row r="25">
      <c r="A25" s="311">
        <v>24</v>
      </c>
      <c r="B25" s="311" t="s">
        <v>21866</v>
      </c>
      <c r="C25" s="311">
        <v>7</v>
      </c>
      <c r="D25" s="311" t="s">
        <v>21864</v>
      </c>
      <c r="E25" s="311">
        <v>60</v>
      </c>
      <c r="F25" s="311">
        <v>0</v>
      </c>
      <c r="G25" s="311">
        <v>0</v>
      </c>
      <c r="H25" s="311">
        <v>0</v>
      </c>
      <c r="I25" s="311">
        <v>0</v>
      </c>
    </row>
    <row r="26">
      <c r="A26" s="311">
        <v>25</v>
      </c>
      <c r="B26" s="311" t="s">
        <v>21867</v>
      </c>
      <c r="C26" s="311">
        <v>6</v>
      </c>
      <c r="D26" s="311" t="s">
        <v>21864</v>
      </c>
      <c r="E26" s="311">
        <v>60</v>
      </c>
      <c r="F26" s="311">
        <v>0</v>
      </c>
      <c r="G26" s="311">
        <v>0</v>
      </c>
      <c r="H26" s="311">
        <v>0</v>
      </c>
      <c r="I26" s="311">
        <v>0</v>
      </c>
    </row>
    <row r="27">
      <c r="A27" s="311">
        <v>26</v>
      </c>
      <c r="B27" s="311" t="s">
        <v>21867</v>
      </c>
      <c r="C27" s="311">
        <v>7</v>
      </c>
      <c r="D27" s="311" t="s">
        <v>21864</v>
      </c>
      <c r="E27" s="311">
        <v>60</v>
      </c>
      <c r="F27" s="311">
        <v>0</v>
      </c>
      <c r="G27" s="311">
        <v>0</v>
      </c>
      <c r="H27" s="311">
        <v>0</v>
      </c>
      <c r="I27" s="311">
        <v>0</v>
      </c>
    </row>
    <row r="28">
      <c r="A28" s="311">
        <v>27</v>
      </c>
      <c r="B28" s="311" t="s">
        <v>21868</v>
      </c>
      <c r="C28" s="311">
        <v>2</v>
      </c>
      <c r="D28" s="311" t="s">
        <v>21859</v>
      </c>
      <c r="E28" s="311">
        <v>60</v>
      </c>
      <c r="F28" s="311">
        <v>0</v>
      </c>
      <c r="G28" s="311">
        <v>0</v>
      </c>
      <c r="H28" s="311">
        <v>0</v>
      </c>
      <c r="I28" s="311">
        <v>0</v>
      </c>
    </row>
    <row r="29">
      <c r="A29" s="311">
        <v>28</v>
      </c>
      <c r="B29" s="311" t="s">
        <v>21868</v>
      </c>
      <c r="C29" s="311">
        <v>3</v>
      </c>
      <c r="D29" s="311" t="s">
        <v>21859</v>
      </c>
      <c r="E29" s="311">
        <v>60</v>
      </c>
      <c r="F29" s="311">
        <v>0</v>
      </c>
      <c r="G29" s="311">
        <v>0</v>
      </c>
      <c r="H29" s="311">
        <v>0</v>
      </c>
      <c r="I29" s="311">
        <v>0</v>
      </c>
    </row>
    <row r="30">
      <c r="A30" s="311">
        <v>29</v>
      </c>
      <c r="B30" s="311" t="s">
        <v>21868</v>
      </c>
      <c r="C30" s="311">
        <v>4</v>
      </c>
      <c r="D30" s="311" t="s">
        <v>21859</v>
      </c>
      <c r="E30" s="311">
        <v>60</v>
      </c>
      <c r="F30" s="311">
        <v>0</v>
      </c>
      <c r="G30" s="311">
        <v>0</v>
      </c>
      <c r="H30" s="311">
        <v>0</v>
      </c>
      <c r="I30" s="311">
        <v>0</v>
      </c>
    </row>
    <row r="31">
      <c r="A31" s="311">
        <v>30</v>
      </c>
      <c r="B31" s="311" t="s">
        <v>21868</v>
      </c>
      <c r="C31" s="311">
        <v>1</v>
      </c>
      <c r="D31" s="311" t="s">
        <v>21860</v>
      </c>
      <c r="E31" s="311">
        <v>60</v>
      </c>
      <c r="F31" s="311">
        <v>0</v>
      </c>
      <c r="G31" s="311">
        <v>0</v>
      </c>
      <c r="H31" s="311">
        <v>0</v>
      </c>
      <c r="I31" s="311">
        <v>0</v>
      </c>
    </row>
    <row r="32">
      <c r="A32" s="311">
        <v>31</v>
      </c>
      <c r="B32" s="311" t="s">
        <v>21868</v>
      </c>
      <c r="C32" s="311">
        <v>2</v>
      </c>
      <c r="D32" s="311" t="s">
        <v>21860</v>
      </c>
      <c r="E32" s="311">
        <v>60</v>
      </c>
      <c r="F32" s="311">
        <v>0</v>
      </c>
      <c r="G32" s="311">
        <v>0</v>
      </c>
      <c r="H32" s="311">
        <v>0</v>
      </c>
      <c r="I32" s="311">
        <v>0</v>
      </c>
    </row>
    <row r="33">
      <c r="A33" s="311">
        <v>32</v>
      </c>
      <c r="B33" s="311" t="s">
        <v>21868</v>
      </c>
      <c r="C33" s="311">
        <v>4</v>
      </c>
      <c r="D33" s="311" t="s">
        <v>21860</v>
      </c>
      <c r="E33" s="311">
        <v>60</v>
      </c>
      <c r="F33" s="311">
        <v>0</v>
      </c>
      <c r="G33" s="311">
        <v>0</v>
      </c>
      <c r="H33" s="311">
        <v>0</v>
      </c>
      <c r="I33" s="311">
        <v>0</v>
      </c>
    </row>
    <row r="34">
      <c r="A34" s="311">
        <v>33</v>
      </c>
      <c r="B34" s="311" t="s">
        <v>21868</v>
      </c>
      <c r="C34" s="311">
        <v>4</v>
      </c>
      <c r="D34" s="311" t="s">
        <v>21861</v>
      </c>
      <c r="E34" s="311">
        <v>60</v>
      </c>
      <c r="F34" s="311">
        <v>0</v>
      </c>
      <c r="G34" s="311">
        <v>0</v>
      </c>
      <c r="H34" s="311">
        <v>0</v>
      </c>
      <c r="I34" s="311">
        <v>0</v>
      </c>
    </row>
    <row r="35">
      <c r="A35" s="311">
        <v>34</v>
      </c>
      <c r="B35" s="311" t="s">
        <v>21868</v>
      </c>
      <c r="C35" s="311">
        <v>6</v>
      </c>
      <c r="D35" s="311" t="s">
        <v>21861</v>
      </c>
      <c r="E35" s="311">
        <v>60</v>
      </c>
      <c r="F35" s="311">
        <v>0</v>
      </c>
      <c r="G35" s="311">
        <v>0</v>
      </c>
      <c r="H35" s="311">
        <v>0</v>
      </c>
      <c r="I35" s="311">
        <v>0</v>
      </c>
    </row>
    <row r="36">
      <c r="A36" s="311">
        <v>35</v>
      </c>
      <c r="B36" s="311" t="s">
        <v>21868</v>
      </c>
      <c r="C36" s="311">
        <v>8</v>
      </c>
      <c r="D36" s="311" t="s">
        <v>21861</v>
      </c>
      <c r="E36" s="311">
        <v>60</v>
      </c>
      <c r="F36" s="311">
        <v>0</v>
      </c>
      <c r="G36" s="311">
        <v>0</v>
      </c>
      <c r="H36" s="311">
        <v>0</v>
      </c>
      <c r="I36" s="311">
        <v>0</v>
      </c>
    </row>
    <row r="37">
      <c r="A37" s="311">
        <v>36</v>
      </c>
      <c r="B37" s="311" t="s">
        <v>21869</v>
      </c>
      <c r="C37" s="311">
        <v>4</v>
      </c>
      <c r="D37" s="311" t="s">
        <v>21861</v>
      </c>
      <c r="E37" s="311">
        <v>60</v>
      </c>
      <c r="F37" s="311">
        <v>0</v>
      </c>
      <c r="G37" s="311">
        <v>0</v>
      </c>
      <c r="H37" s="311">
        <v>0</v>
      </c>
      <c r="I37" s="311">
        <v>0</v>
      </c>
    </row>
    <row r="38">
      <c r="A38" s="311">
        <v>37</v>
      </c>
      <c r="B38" s="311" t="s">
        <v>21869</v>
      </c>
      <c r="C38" s="311">
        <v>6</v>
      </c>
      <c r="D38" s="311" t="s">
        <v>21861</v>
      </c>
      <c r="E38" s="311">
        <v>60</v>
      </c>
      <c r="F38" s="311">
        <v>0</v>
      </c>
      <c r="G38" s="311">
        <v>0</v>
      </c>
      <c r="H38" s="311">
        <v>0</v>
      </c>
      <c r="I38" s="311">
        <v>0</v>
      </c>
    </row>
    <row r="39">
      <c r="A39" s="311">
        <v>38</v>
      </c>
      <c r="B39" s="311" t="s">
        <v>21869</v>
      </c>
      <c r="C39" s="311">
        <v>8</v>
      </c>
      <c r="D39" s="311" t="s">
        <v>21861</v>
      </c>
      <c r="E39" s="311">
        <v>60</v>
      </c>
      <c r="F39" s="311">
        <v>0</v>
      </c>
      <c r="G39" s="311">
        <v>0</v>
      </c>
      <c r="H39" s="311">
        <v>0</v>
      </c>
      <c r="I39" s="311">
        <v>0</v>
      </c>
    </row>
    <row r="40">
      <c r="A40" s="311">
        <v>39</v>
      </c>
      <c r="B40" s="311" t="s">
        <v>21870</v>
      </c>
      <c r="C40" s="311">
        <v>4</v>
      </c>
      <c r="D40" s="311" t="s">
        <v>21861</v>
      </c>
      <c r="E40" s="311">
        <v>60</v>
      </c>
      <c r="F40" s="311">
        <v>0</v>
      </c>
      <c r="G40" s="311">
        <v>0</v>
      </c>
      <c r="H40" s="311">
        <v>0</v>
      </c>
      <c r="I40" s="311">
        <v>0</v>
      </c>
    </row>
    <row r="41">
      <c r="A41" s="311">
        <v>40</v>
      </c>
      <c r="B41" s="311" t="s">
        <v>21870</v>
      </c>
      <c r="C41" s="311">
        <v>6</v>
      </c>
      <c r="D41" s="311" t="s">
        <v>21861</v>
      </c>
      <c r="E41" s="311">
        <v>60</v>
      </c>
      <c r="F41" s="311">
        <v>0</v>
      </c>
      <c r="G41" s="311">
        <v>0</v>
      </c>
      <c r="H41" s="311">
        <v>0</v>
      </c>
      <c r="I41" s="311">
        <v>0</v>
      </c>
    </row>
    <row r="42">
      <c r="A42" s="311">
        <v>41</v>
      </c>
      <c r="B42" s="311" t="s">
        <v>21870</v>
      </c>
      <c r="C42" s="311">
        <v>8</v>
      </c>
      <c r="D42" s="311" t="s">
        <v>21861</v>
      </c>
      <c r="E42" s="311">
        <v>60</v>
      </c>
      <c r="F42" s="311">
        <v>0</v>
      </c>
      <c r="G42" s="311">
        <v>0</v>
      </c>
      <c r="H42" s="311">
        <v>0</v>
      </c>
      <c r="I42" s="311">
        <v>0</v>
      </c>
    </row>
    <row r="43">
      <c r="A43" s="311">
        <v>42</v>
      </c>
      <c r="B43" s="311" t="s">
        <v>21871</v>
      </c>
      <c r="C43" s="311">
        <v>2</v>
      </c>
      <c r="D43" s="311" t="s">
        <v>21859</v>
      </c>
      <c r="E43" s="311">
        <v>60</v>
      </c>
      <c r="F43" s="311">
        <v>67.6</v>
      </c>
      <c r="G43" s="311">
        <v>0</v>
      </c>
      <c r="H43" s="311">
        <v>0</v>
      </c>
      <c r="I43" s="311">
        <v>0</v>
      </c>
    </row>
    <row r="44">
      <c r="A44" s="311">
        <v>43</v>
      </c>
      <c r="B44" s="311" t="s">
        <v>21871</v>
      </c>
      <c r="C44" s="311">
        <v>4</v>
      </c>
      <c r="D44" s="311" t="s">
        <v>21859</v>
      </c>
      <c r="E44" s="311">
        <v>60</v>
      </c>
      <c r="F44" s="311">
        <v>63.2</v>
      </c>
      <c r="G44" s="311">
        <v>0</v>
      </c>
      <c r="H44" s="311">
        <v>0</v>
      </c>
      <c r="I44" s="311">
        <v>0</v>
      </c>
    </row>
    <row r="45">
      <c r="A45" s="311">
        <v>44</v>
      </c>
      <c r="B45" s="311" t="s">
        <v>21871</v>
      </c>
      <c r="C45" s="311">
        <v>2</v>
      </c>
      <c r="D45" s="311" t="s">
        <v>21860</v>
      </c>
      <c r="E45" s="311">
        <v>60</v>
      </c>
      <c r="F45" s="311">
        <v>47.9</v>
      </c>
      <c r="G45" s="311">
        <v>0</v>
      </c>
      <c r="H45" s="311">
        <v>0</v>
      </c>
      <c r="I45" s="311">
        <v>0</v>
      </c>
    </row>
    <row r="46">
      <c r="A46" s="311">
        <v>45</v>
      </c>
      <c r="B46" s="311" t="s">
        <v>21871</v>
      </c>
      <c r="C46" s="311">
        <v>4</v>
      </c>
      <c r="D46" s="311" t="s">
        <v>21860</v>
      </c>
      <c r="E46" s="311">
        <v>60</v>
      </c>
      <c r="F46" s="311">
        <v>44.8</v>
      </c>
      <c r="G46" s="311">
        <v>0</v>
      </c>
      <c r="H46" s="311">
        <v>0</v>
      </c>
      <c r="I46" s="311">
        <v>0</v>
      </c>
    </row>
    <row r="47">
      <c r="A47" s="311">
        <v>46</v>
      </c>
      <c r="B47" s="311" t="s">
        <v>21871</v>
      </c>
      <c r="C47" s="311">
        <v>4</v>
      </c>
      <c r="D47" s="311" t="s">
        <v>21861</v>
      </c>
      <c r="E47" s="311">
        <v>60</v>
      </c>
      <c r="F47" s="311">
        <v>0</v>
      </c>
      <c r="G47" s="311">
        <v>0</v>
      </c>
      <c r="H47" s="311">
        <v>0</v>
      </c>
      <c r="I47" s="311">
        <v>0</v>
      </c>
    </row>
    <row r="48">
      <c r="A48" s="311">
        <v>47</v>
      </c>
      <c r="B48" s="311" t="s">
        <v>21871</v>
      </c>
      <c r="C48" s="311">
        <v>6</v>
      </c>
      <c r="D48" s="311" t="s">
        <v>21861</v>
      </c>
      <c r="E48" s="311">
        <v>60</v>
      </c>
      <c r="F48" s="311">
        <v>0</v>
      </c>
      <c r="G48" s="311">
        <v>0</v>
      </c>
      <c r="H48" s="311">
        <v>0</v>
      </c>
      <c r="I48" s="311">
        <v>0</v>
      </c>
    </row>
    <row r="49">
      <c r="A49" s="311">
        <v>48</v>
      </c>
      <c r="B49" s="311" t="s">
        <v>21871</v>
      </c>
      <c r="C49" s="311">
        <v>8</v>
      </c>
      <c r="D49" s="311" t="s">
        <v>21861</v>
      </c>
      <c r="E49" s="311">
        <v>60</v>
      </c>
      <c r="F49" s="311">
        <v>0</v>
      </c>
      <c r="G49" s="311">
        <v>0</v>
      </c>
      <c r="H49" s="311">
        <v>0</v>
      </c>
      <c r="I49" s="311">
        <v>0</v>
      </c>
    </row>
    <row r="50">
      <c r="A50" s="311">
        <v>49</v>
      </c>
      <c r="B50" s="311" t="s">
        <v>21872</v>
      </c>
      <c r="C50" s="311">
        <v>4</v>
      </c>
      <c r="D50" s="311" t="s">
        <v>21861</v>
      </c>
      <c r="E50" s="311">
        <v>60</v>
      </c>
      <c r="F50" s="311">
        <v>0</v>
      </c>
      <c r="G50" s="311">
        <v>0</v>
      </c>
      <c r="H50" s="311">
        <v>0</v>
      </c>
      <c r="I50" s="311">
        <v>0</v>
      </c>
    </row>
    <row r="51">
      <c r="A51" s="311">
        <v>50</v>
      </c>
      <c r="B51" s="311" t="s">
        <v>21872</v>
      </c>
      <c r="C51" s="311">
        <v>6</v>
      </c>
      <c r="D51" s="311" t="s">
        <v>21861</v>
      </c>
      <c r="E51" s="311">
        <v>60</v>
      </c>
      <c r="F51" s="311">
        <v>0</v>
      </c>
      <c r="G51" s="311">
        <v>0</v>
      </c>
      <c r="H51" s="311">
        <v>0</v>
      </c>
      <c r="I51" s="311">
        <v>0</v>
      </c>
    </row>
    <row r="52">
      <c r="A52" s="311">
        <v>51</v>
      </c>
      <c r="B52" s="311" t="s">
        <v>21872</v>
      </c>
      <c r="C52" s="311">
        <v>8</v>
      </c>
      <c r="D52" s="311" t="s">
        <v>21861</v>
      </c>
      <c r="E52" s="311">
        <v>60</v>
      </c>
      <c r="F52" s="311">
        <v>0</v>
      </c>
      <c r="G52" s="311">
        <v>0</v>
      </c>
      <c r="H52" s="311">
        <v>0</v>
      </c>
      <c r="I52" s="311">
        <v>0</v>
      </c>
    </row>
    <row r="53">
      <c r="A53" s="311">
        <v>52</v>
      </c>
      <c r="B53" s="311" t="s">
        <v>21873</v>
      </c>
      <c r="C53" s="311">
        <v>2</v>
      </c>
      <c r="D53" s="311" t="s">
        <v>21859</v>
      </c>
      <c r="E53" s="311">
        <v>60</v>
      </c>
      <c r="F53" s="311">
        <v>39.81</v>
      </c>
      <c r="G53" s="311">
        <v>0</v>
      </c>
      <c r="H53" s="311">
        <v>40</v>
      </c>
      <c r="I53" s="311">
        <v>0</v>
      </c>
    </row>
    <row r="54">
      <c r="A54" s="311">
        <v>53</v>
      </c>
      <c r="B54" s="311" t="s">
        <v>21873</v>
      </c>
      <c r="C54" s="311">
        <v>4</v>
      </c>
      <c r="D54" s="311" t="s">
        <v>21859</v>
      </c>
      <c r="E54" s="311">
        <v>60</v>
      </c>
      <c r="F54" s="311">
        <v>35.56</v>
      </c>
      <c r="G54" s="311">
        <v>0</v>
      </c>
      <c r="H54" s="311">
        <v>80</v>
      </c>
      <c r="I54" s="311">
        <v>0</v>
      </c>
    </row>
    <row r="55">
      <c r="A55" s="311">
        <v>54</v>
      </c>
      <c r="B55" s="311" t="s">
        <v>21873</v>
      </c>
      <c r="C55" s="311">
        <v>2</v>
      </c>
      <c r="D55" s="311" t="s">
        <v>21860</v>
      </c>
      <c r="E55" s="311">
        <v>60</v>
      </c>
      <c r="F55" s="311">
        <v>35.48</v>
      </c>
      <c r="G55" s="311">
        <v>0</v>
      </c>
      <c r="H55" s="311">
        <v>0</v>
      </c>
      <c r="I55" s="311">
        <v>0</v>
      </c>
    </row>
    <row r="56">
      <c r="A56" s="311">
        <v>55</v>
      </c>
      <c r="B56" s="311" t="s">
        <v>21873</v>
      </c>
      <c r="C56" s="311">
        <v>4</v>
      </c>
      <c r="D56" s="311" t="s">
        <v>21860</v>
      </c>
      <c r="E56" s="311">
        <v>60</v>
      </c>
      <c r="F56" s="311">
        <v>31.7</v>
      </c>
      <c r="G56" s="311">
        <v>0</v>
      </c>
      <c r="H56" s="311">
        <v>0</v>
      </c>
      <c r="I56" s="311">
        <v>0</v>
      </c>
    </row>
    <row r="57">
      <c r="A57" s="311">
        <v>56</v>
      </c>
      <c r="B57" s="311" t="s">
        <v>21873</v>
      </c>
      <c r="C57" s="311">
        <v>4</v>
      </c>
      <c r="D57" s="311" t="s">
        <v>21861</v>
      </c>
      <c r="E57" s="311">
        <v>60</v>
      </c>
      <c r="F57" s="311">
        <v>0</v>
      </c>
      <c r="G57" s="311">
        <v>0</v>
      </c>
      <c r="H57" s="311">
        <v>0</v>
      </c>
      <c r="I57" s="311">
        <v>0</v>
      </c>
    </row>
    <row r="58">
      <c r="A58" s="311">
        <v>57</v>
      </c>
      <c r="B58" s="311" t="s">
        <v>21873</v>
      </c>
      <c r="C58" s="311">
        <v>6</v>
      </c>
      <c r="D58" s="311" t="s">
        <v>21861</v>
      </c>
      <c r="E58" s="311">
        <v>60</v>
      </c>
      <c r="F58" s="311">
        <v>0</v>
      </c>
      <c r="G58" s="311">
        <v>0</v>
      </c>
      <c r="H58" s="311">
        <v>0</v>
      </c>
      <c r="I58" s="311">
        <v>0</v>
      </c>
    </row>
    <row r="59">
      <c r="A59" s="311">
        <v>58</v>
      </c>
      <c r="B59" s="311" t="s">
        <v>21873</v>
      </c>
      <c r="C59" s="311">
        <v>8</v>
      </c>
      <c r="D59" s="311" t="s">
        <v>21861</v>
      </c>
      <c r="E59" s="311">
        <v>60</v>
      </c>
      <c r="F59" s="311">
        <v>0</v>
      </c>
      <c r="G59" s="311">
        <v>0</v>
      </c>
      <c r="H59" s="311">
        <v>0</v>
      </c>
      <c r="I59" s="311">
        <v>0</v>
      </c>
    </row>
    <row r="60">
      <c r="A60" s="311">
        <v>59</v>
      </c>
      <c r="B60" s="311" t="s">
        <v>21874</v>
      </c>
      <c r="C60" s="311">
        <v>4</v>
      </c>
      <c r="D60" s="311" t="s">
        <v>21861</v>
      </c>
      <c r="E60" s="311">
        <v>60</v>
      </c>
      <c r="F60" s="311">
        <v>0</v>
      </c>
      <c r="G60" s="311">
        <v>0</v>
      </c>
      <c r="H60" s="311">
        <v>0</v>
      </c>
      <c r="I60" s="311">
        <v>0</v>
      </c>
    </row>
    <row r="61">
      <c r="A61" s="311">
        <v>60</v>
      </c>
      <c r="B61" s="311" t="s">
        <v>21874</v>
      </c>
      <c r="C61" s="311">
        <v>6</v>
      </c>
      <c r="D61" s="311" t="s">
        <v>21861</v>
      </c>
      <c r="E61" s="311">
        <v>60</v>
      </c>
      <c r="F61" s="311">
        <v>0</v>
      </c>
      <c r="G61" s="311">
        <v>0</v>
      </c>
      <c r="H61" s="311">
        <v>0</v>
      </c>
      <c r="I61" s="311">
        <v>0</v>
      </c>
    </row>
    <row r="62">
      <c r="A62" s="311">
        <v>61</v>
      </c>
      <c r="B62" s="311" t="s">
        <v>21874</v>
      </c>
      <c r="C62" s="311">
        <v>8</v>
      </c>
      <c r="D62" s="311" t="s">
        <v>21861</v>
      </c>
      <c r="E62" s="311">
        <v>60</v>
      </c>
      <c r="F62" s="311">
        <v>0</v>
      </c>
      <c r="G62" s="311">
        <v>0</v>
      </c>
      <c r="H62" s="311">
        <v>0</v>
      </c>
      <c r="I62" s="311">
        <v>0</v>
      </c>
    </row>
    <row r="63">
      <c r="A63" s="311">
        <v>62</v>
      </c>
      <c r="B63" s="311" t="s">
        <v>21875</v>
      </c>
      <c r="C63" s="311">
        <v>6</v>
      </c>
      <c r="D63" s="311" t="s">
        <v>21864</v>
      </c>
      <c r="E63" s="311">
        <v>60</v>
      </c>
      <c r="F63" s="311">
        <v>0</v>
      </c>
      <c r="G63" s="311">
        <v>0</v>
      </c>
      <c r="H63" s="311">
        <v>0</v>
      </c>
      <c r="I63" s="311">
        <v>0</v>
      </c>
    </row>
    <row r="64">
      <c r="A64" s="311">
        <v>63</v>
      </c>
      <c r="B64" s="311" t="s">
        <v>21875</v>
      </c>
      <c r="C64" s="311">
        <v>7</v>
      </c>
      <c r="D64" s="311" t="s">
        <v>21864</v>
      </c>
      <c r="E64" s="311">
        <v>60</v>
      </c>
      <c r="F64" s="311">
        <v>0</v>
      </c>
      <c r="G64" s="311">
        <v>0</v>
      </c>
      <c r="H64" s="311">
        <v>0</v>
      </c>
      <c r="I64" s="311">
        <v>0</v>
      </c>
    </row>
    <row r="65">
      <c r="A65" s="311">
        <v>64</v>
      </c>
      <c r="B65" s="311" t="s">
        <v>21876</v>
      </c>
      <c r="C65" s="311">
        <v>1</v>
      </c>
      <c r="D65" s="311" t="s">
        <v>21877</v>
      </c>
      <c r="E65" s="311">
        <v>20</v>
      </c>
      <c r="F65" s="311">
        <v>0</v>
      </c>
      <c r="G65" s="311">
        <v>0</v>
      </c>
      <c r="H65" s="311">
        <v>0</v>
      </c>
      <c r="I65" s="311">
        <v>0</v>
      </c>
    </row>
    <row r="66">
      <c r="A66" s="311">
        <v>65</v>
      </c>
      <c r="B66" s="311" t="s">
        <v>21876</v>
      </c>
      <c r="C66" s="311">
        <v>2</v>
      </c>
      <c r="D66" s="311" t="s">
        <v>21877</v>
      </c>
      <c r="E66" s="311">
        <v>40</v>
      </c>
      <c r="F66" s="311">
        <v>0</v>
      </c>
      <c r="G66" s="311">
        <v>0</v>
      </c>
      <c r="H66" s="311">
        <v>0</v>
      </c>
      <c r="I66" s="311">
        <v>0</v>
      </c>
    </row>
    <row r="67">
      <c r="A67" s="311">
        <v>66</v>
      </c>
      <c r="B67" s="311" t="s">
        <v>21876</v>
      </c>
      <c r="C67" s="311">
        <v>3</v>
      </c>
      <c r="D67" s="311" t="s">
        <v>21877</v>
      </c>
      <c r="E67" s="311">
        <v>60</v>
      </c>
      <c r="F67" s="311">
        <v>0</v>
      </c>
      <c r="G67" s="311">
        <v>0</v>
      </c>
      <c r="H67" s="311">
        <v>0</v>
      </c>
      <c r="I67" s="311">
        <v>0</v>
      </c>
    </row>
    <row r="68">
      <c r="A68" s="311">
        <v>67</v>
      </c>
      <c r="B68" s="311" t="s">
        <v>21878</v>
      </c>
      <c r="C68" s="311">
        <v>1</v>
      </c>
      <c r="D68" s="311" t="s">
        <v>21877</v>
      </c>
      <c r="E68" s="311">
        <v>20</v>
      </c>
      <c r="F68" s="311">
        <v>0</v>
      </c>
      <c r="G68" s="311">
        <v>0</v>
      </c>
      <c r="H68" s="311">
        <v>0</v>
      </c>
      <c r="I68" s="311">
        <v>0</v>
      </c>
    </row>
    <row r="69">
      <c r="A69" s="311">
        <v>68</v>
      </c>
      <c r="B69" s="311" t="s">
        <v>21878</v>
      </c>
      <c r="C69" s="311">
        <v>2</v>
      </c>
      <c r="D69" s="311" t="s">
        <v>21877</v>
      </c>
      <c r="E69" s="311">
        <v>40</v>
      </c>
      <c r="F69" s="311">
        <v>0</v>
      </c>
      <c r="G69" s="311">
        <v>40</v>
      </c>
      <c r="H69" s="311">
        <v>0</v>
      </c>
      <c r="I69" s="311">
        <v>0</v>
      </c>
    </row>
    <row r="70">
      <c r="A70" s="311">
        <v>69</v>
      </c>
      <c r="B70" s="311" t="s">
        <v>21879</v>
      </c>
      <c r="C70" s="311">
        <v>1</v>
      </c>
      <c r="D70" s="311" t="s">
        <v>21877</v>
      </c>
      <c r="E70" s="311">
        <v>20</v>
      </c>
      <c r="F70" s="311">
        <v>0</v>
      </c>
      <c r="G70" s="311">
        <v>30</v>
      </c>
      <c r="H70" s="311">
        <v>0</v>
      </c>
      <c r="I70" s="311">
        <v>0</v>
      </c>
    </row>
    <row r="71">
      <c r="A71" s="311">
        <v>70</v>
      </c>
      <c r="B71" s="311" t="s">
        <v>21879</v>
      </c>
      <c r="C71" s="311">
        <v>2</v>
      </c>
      <c r="D71" s="311" t="s">
        <v>21877</v>
      </c>
      <c r="E71" s="311">
        <v>40</v>
      </c>
      <c r="F71" s="311">
        <v>0</v>
      </c>
      <c r="G71" s="311">
        <v>60</v>
      </c>
      <c r="H71" s="311">
        <v>0</v>
      </c>
      <c r="I71" s="311">
        <v>0</v>
      </c>
    </row>
    <row r="72">
      <c r="A72" s="311">
        <v>71</v>
      </c>
      <c r="B72" s="311" t="s">
        <v>21879</v>
      </c>
      <c r="C72" s="311">
        <v>3</v>
      </c>
      <c r="D72" s="311" t="s">
        <v>21877</v>
      </c>
      <c r="E72" s="311">
        <v>60</v>
      </c>
      <c r="F72" s="311">
        <v>0</v>
      </c>
      <c r="G72" s="311">
        <v>0</v>
      </c>
      <c r="H72" s="311">
        <v>0</v>
      </c>
      <c r="I72" s="311">
        <v>0</v>
      </c>
    </row>
    <row r="73">
      <c r="A73" s="311">
        <v>72</v>
      </c>
      <c r="B73" s="311" t="s">
        <v>21880</v>
      </c>
      <c r="C73" s="311">
        <v>2</v>
      </c>
      <c r="D73" s="311" t="s">
        <v>21859</v>
      </c>
      <c r="E73" s="311">
        <v>60</v>
      </c>
      <c r="F73" s="311">
        <v>0</v>
      </c>
      <c r="G73" s="311">
        <v>40</v>
      </c>
      <c r="H73" s="311">
        <v>0</v>
      </c>
      <c r="I73" s="311">
        <v>0</v>
      </c>
    </row>
    <row r="74">
      <c r="A74" s="311">
        <v>73</v>
      </c>
      <c r="B74" s="311" t="s">
        <v>21880</v>
      </c>
      <c r="C74" s="311">
        <v>4</v>
      </c>
      <c r="D74" s="311" t="s">
        <v>21859</v>
      </c>
      <c r="E74" s="311">
        <v>60</v>
      </c>
      <c r="F74" s="311">
        <v>0</v>
      </c>
      <c r="G74" s="311">
        <v>80</v>
      </c>
      <c r="H74" s="311">
        <v>0</v>
      </c>
      <c r="I74" s="311">
        <v>0</v>
      </c>
    </row>
    <row r="75">
      <c r="A75" s="311">
        <v>74</v>
      </c>
      <c r="B75" s="311" t="s">
        <v>21880</v>
      </c>
      <c r="C75" s="311">
        <v>2</v>
      </c>
      <c r="D75" s="311" t="s">
        <v>21860</v>
      </c>
      <c r="E75" s="311">
        <v>60</v>
      </c>
      <c r="F75" s="311">
        <v>0</v>
      </c>
      <c r="G75" s="311">
        <v>40</v>
      </c>
      <c r="H75" s="311">
        <v>0</v>
      </c>
      <c r="I75" s="311">
        <v>0</v>
      </c>
    </row>
    <row r="76">
      <c r="A76" s="311">
        <v>75</v>
      </c>
      <c r="B76" s="311" t="s">
        <v>21880</v>
      </c>
      <c r="C76" s="311">
        <v>4</v>
      </c>
      <c r="D76" s="311" t="s">
        <v>21860</v>
      </c>
      <c r="E76" s="311">
        <v>60</v>
      </c>
      <c r="F76" s="311">
        <v>25.18</v>
      </c>
      <c r="G76" s="311">
        <v>80</v>
      </c>
      <c r="H76" s="311">
        <v>0</v>
      </c>
      <c r="I76" s="311">
        <v>0</v>
      </c>
    </row>
    <row r="77">
      <c r="A77" s="311">
        <v>76</v>
      </c>
      <c r="B77" s="311" t="s">
        <v>21880</v>
      </c>
      <c r="C77" s="311">
        <v>1</v>
      </c>
      <c r="D77" s="311" t="s">
        <v>21877</v>
      </c>
      <c r="E77" s="311">
        <v>20</v>
      </c>
      <c r="F77" s="311">
        <v>20</v>
      </c>
      <c r="G77" s="311">
        <v>30</v>
      </c>
      <c r="H77" s="311">
        <v>0</v>
      </c>
      <c r="I77" s="311">
        <v>0</v>
      </c>
    </row>
    <row r="78">
      <c r="A78" s="311">
        <v>77</v>
      </c>
      <c r="B78" s="311" t="s">
        <v>21880</v>
      </c>
      <c r="C78" s="311">
        <v>2</v>
      </c>
      <c r="D78" s="311" t="s">
        <v>21877</v>
      </c>
      <c r="E78" s="311">
        <v>40</v>
      </c>
      <c r="F78" s="311">
        <v>40</v>
      </c>
      <c r="G78" s="311">
        <v>60</v>
      </c>
      <c r="H78" s="311">
        <v>0</v>
      </c>
      <c r="I78" s="311">
        <v>0</v>
      </c>
    </row>
    <row r="79">
      <c r="A79" s="311">
        <v>78</v>
      </c>
      <c r="B79" s="311" t="s">
        <v>21880</v>
      </c>
      <c r="C79" s="311">
        <v>4</v>
      </c>
      <c r="D79" s="311" t="s">
        <v>21861</v>
      </c>
      <c r="E79" s="311">
        <v>60</v>
      </c>
      <c r="F79" s="311">
        <v>0</v>
      </c>
      <c r="G79" s="311">
        <v>40</v>
      </c>
      <c r="H79" s="311">
        <v>0</v>
      </c>
      <c r="I79" s="311">
        <v>0</v>
      </c>
    </row>
    <row r="80">
      <c r="A80" s="311">
        <v>79</v>
      </c>
      <c r="B80" s="311" t="s">
        <v>21880</v>
      </c>
      <c r="C80" s="311">
        <v>6</v>
      </c>
      <c r="D80" s="311" t="s">
        <v>21861</v>
      </c>
      <c r="E80" s="311">
        <v>60</v>
      </c>
      <c r="F80" s="311">
        <v>0</v>
      </c>
      <c r="G80" s="311">
        <v>60</v>
      </c>
      <c r="H80" s="311">
        <v>0</v>
      </c>
      <c r="I80" s="311">
        <v>0</v>
      </c>
    </row>
    <row r="81">
      <c r="A81" s="311">
        <v>80</v>
      </c>
      <c r="B81" s="311" t="s">
        <v>21880</v>
      </c>
      <c r="C81" s="311">
        <v>8</v>
      </c>
      <c r="D81" s="311" t="s">
        <v>21861</v>
      </c>
      <c r="E81" s="311">
        <v>60</v>
      </c>
      <c r="F81" s="311">
        <v>0</v>
      </c>
      <c r="G81" s="311">
        <v>80</v>
      </c>
      <c r="H81" s="311">
        <v>0</v>
      </c>
      <c r="I81" s="311">
        <v>0</v>
      </c>
    </row>
    <row r="82">
      <c r="A82" s="311">
        <v>81</v>
      </c>
      <c r="B82" s="311" t="s">
        <v>21881</v>
      </c>
      <c r="C82" s="311">
        <v>1</v>
      </c>
      <c r="D82" s="311" t="s">
        <v>21877</v>
      </c>
      <c r="E82" s="311">
        <v>20</v>
      </c>
      <c r="F82" s="311">
        <v>0</v>
      </c>
      <c r="G82" s="311">
        <v>30</v>
      </c>
      <c r="H82" s="311">
        <v>0</v>
      </c>
      <c r="I82" s="311">
        <v>0</v>
      </c>
    </row>
    <row r="83">
      <c r="A83" s="311">
        <v>82</v>
      </c>
      <c r="B83" s="311" t="s">
        <v>21881</v>
      </c>
      <c r="C83" s="311">
        <v>2</v>
      </c>
      <c r="D83" s="311" t="s">
        <v>21877</v>
      </c>
      <c r="E83" s="311">
        <v>40</v>
      </c>
      <c r="F83" s="311">
        <v>0</v>
      </c>
      <c r="G83" s="311">
        <v>60</v>
      </c>
      <c r="H83" s="311">
        <v>0</v>
      </c>
      <c r="I83" s="311">
        <v>0</v>
      </c>
    </row>
    <row r="84">
      <c r="A84" s="311">
        <v>83</v>
      </c>
      <c r="B84" s="311" t="s">
        <v>21881</v>
      </c>
      <c r="C84" s="311">
        <v>3</v>
      </c>
      <c r="D84" s="311" t="s">
        <v>21877</v>
      </c>
      <c r="E84" s="311">
        <v>60</v>
      </c>
      <c r="F84" s="311">
        <v>20</v>
      </c>
      <c r="G84" s="311">
        <v>80</v>
      </c>
      <c r="H84" s="311">
        <v>0</v>
      </c>
      <c r="I84" s="311">
        <v>0</v>
      </c>
    </row>
    <row r="85">
      <c r="A85" s="311">
        <v>84</v>
      </c>
      <c r="B85" s="311" t="s">
        <v>21882</v>
      </c>
      <c r="C85" s="311">
        <v>2</v>
      </c>
      <c r="D85" s="311" t="s">
        <v>21859</v>
      </c>
      <c r="E85" s="311">
        <v>60</v>
      </c>
      <c r="F85" s="311">
        <v>0</v>
      </c>
      <c r="G85" s="311">
        <v>60</v>
      </c>
      <c r="H85" s="311">
        <v>0</v>
      </c>
      <c r="I85" s="311">
        <v>0</v>
      </c>
    </row>
    <row r="86">
      <c r="A86" s="311">
        <v>85</v>
      </c>
      <c r="B86" s="311" t="s">
        <v>21882</v>
      </c>
      <c r="C86" s="311">
        <v>4</v>
      </c>
      <c r="D86" s="311" t="s">
        <v>21859</v>
      </c>
      <c r="E86" s="311">
        <v>60</v>
      </c>
      <c r="F86" s="311">
        <v>0</v>
      </c>
      <c r="G86" s="311">
        <v>60</v>
      </c>
      <c r="H86" s="311">
        <v>0</v>
      </c>
      <c r="I86" s="311">
        <v>0</v>
      </c>
    </row>
    <row r="87">
      <c r="A87" s="311">
        <v>86</v>
      </c>
      <c r="B87" s="311" t="s">
        <v>21882</v>
      </c>
      <c r="C87" s="311">
        <v>2</v>
      </c>
      <c r="D87" s="311" t="s">
        <v>21860</v>
      </c>
      <c r="E87" s="311">
        <v>60</v>
      </c>
      <c r="F87" s="311">
        <v>0</v>
      </c>
      <c r="G87" s="311">
        <v>60</v>
      </c>
      <c r="H87" s="311">
        <v>0</v>
      </c>
      <c r="I87" s="311">
        <v>0</v>
      </c>
    </row>
    <row r="88">
      <c r="A88" s="311">
        <v>87</v>
      </c>
      <c r="B88" s="311" t="s">
        <v>21882</v>
      </c>
      <c r="C88" s="311">
        <v>4</v>
      </c>
      <c r="D88" s="311" t="s">
        <v>21860</v>
      </c>
      <c r="E88" s="311">
        <v>60</v>
      </c>
      <c r="F88" s="311">
        <v>0</v>
      </c>
      <c r="G88" s="311">
        <v>60</v>
      </c>
      <c r="H88" s="311">
        <v>0</v>
      </c>
      <c r="I88" s="311">
        <v>0</v>
      </c>
    </row>
    <row r="89">
      <c r="A89" s="311">
        <v>88</v>
      </c>
      <c r="B89" s="311" t="s">
        <v>21882</v>
      </c>
      <c r="C89" s="311">
        <v>4</v>
      </c>
      <c r="D89" s="311" t="s">
        <v>21861</v>
      </c>
      <c r="E89" s="311">
        <v>60</v>
      </c>
      <c r="F89" s="311">
        <v>0</v>
      </c>
      <c r="G89" s="311">
        <v>60</v>
      </c>
      <c r="H89" s="311">
        <v>0</v>
      </c>
      <c r="I89" s="311">
        <v>0</v>
      </c>
    </row>
    <row r="90">
      <c r="A90" s="311">
        <v>89</v>
      </c>
      <c r="B90" s="311" t="s">
        <v>21882</v>
      </c>
      <c r="C90" s="311">
        <v>6</v>
      </c>
      <c r="D90" s="311" t="s">
        <v>21861</v>
      </c>
      <c r="E90" s="311">
        <v>60</v>
      </c>
      <c r="F90" s="311">
        <v>0</v>
      </c>
      <c r="G90" s="311">
        <v>60</v>
      </c>
      <c r="H90" s="311">
        <v>0</v>
      </c>
      <c r="I90" s="311">
        <v>0</v>
      </c>
    </row>
    <row r="91">
      <c r="A91" s="311">
        <v>90</v>
      </c>
      <c r="B91" s="311" t="s">
        <v>21882</v>
      </c>
      <c r="C91" s="311">
        <v>8</v>
      </c>
      <c r="D91" s="311" t="s">
        <v>21861</v>
      </c>
      <c r="E91" s="311">
        <v>60</v>
      </c>
      <c r="F91" s="311">
        <v>0</v>
      </c>
      <c r="G91" s="311">
        <v>60</v>
      </c>
      <c r="H91" s="311">
        <v>0</v>
      </c>
      <c r="I91" s="311">
        <v>0</v>
      </c>
    </row>
    <row r="92">
      <c r="A92" s="311">
        <v>91</v>
      </c>
      <c r="B92" s="311" t="s">
        <v>21883</v>
      </c>
      <c r="C92" s="311">
        <v>2</v>
      </c>
      <c r="D92" s="311" t="s">
        <v>21859</v>
      </c>
      <c r="E92" s="311">
        <v>60</v>
      </c>
      <c r="F92" s="311">
        <v>90</v>
      </c>
      <c r="G92" s="311">
        <v>71</v>
      </c>
      <c r="H92" s="311">
        <v>40</v>
      </c>
      <c r="I92" s="311">
        <v>0</v>
      </c>
    </row>
    <row r="93">
      <c r="A93" s="311">
        <v>92</v>
      </c>
      <c r="B93" s="311" t="s">
        <v>21883</v>
      </c>
      <c r="C93" s="311">
        <v>4</v>
      </c>
      <c r="D93" s="311" t="s">
        <v>21859</v>
      </c>
      <c r="E93" s="311">
        <v>60</v>
      </c>
      <c r="F93" s="311">
        <v>40</v>
      </c>
      <c r="G93" s="311">
        <v>71</v>
      </c>
      <c r="H93" s="311">
        <v>80</v>
      </c>
      <c r="I93" s="311">
        <v>0</v>
      </c>
    </row>
    <row r="94">
      <c r="A94" s="311">
        <v>93</v>
      </c>
      <c r="B94" s="311" t="s">
        <v>21883</v>
      </c>
      <c r="C94" s="311">
        <v>2</v>
      </c>
      <c r="D94" s="311" t="s">
        <v>21860</v>
      </c>
      <c r="E94" s="311">
        <v>60</v>
      </c>
      <c r="F94" s="311">
        <v>80</v>
      </c>
      <c r="G94" s="311">
        <v>63</v>
      </c>
      <c r="H94" s="311">
        <v>0</v>
      </c>
      <c r="I94" s="311">
        <v>40</v>
      </c>
    </row>
    <row r="95">
      <c r="A95" s="311">
        <v>94</v>
      </c>
      <c r="B95" s="311" t="s">
        <v>21883</v>
      </c>
      <c r="C95" s="311">
        <v>4</v>
      </c>
      <c r="D95" s="311" t="s">
        <v>21860</v>
      </c>
      <c r="E95" s="311">
        <v>60</v>
      </c>
      <c r="F95" s="311">
        <v>36</v>
      </c>
      <c r="G95" s="311">
        <v>63</v>
      </c>
      <c r="H95" s="311">
        <v>0</v>
      </c>
      <c r="I95" s="311">
        <v>20</v>
      </c>
    </row>
    <row r="96">
      <c r="A96" s="311">
        <v>95</v>
      </c>
      <c r="B96" s="311" t="s">
        <v>21883</v>
      </c>
      <c r="C96" s="311">
        <v>1</v>
      </c>
      <c r="D96" s="311" t="s">
        <v>21877</v>
      </c>
      <c r="E96" s="311">
        <v>20</v>
      </c>
      <c r="F96" s="311">
        <v>20</v>
      </c>
      <c r="G96" s="311">
        <v>0</v>
      </c>
      <c r="H96" s="311">
        <v>0</v>
      </c>
      <c r="I96" s="311">
        <v>0</v>
      </c>
    </row>
    <row r="97">
      <c r="A97" s="311">
        <v>96</v>
      </c>
      <c r="B97" s="311" t="s">
        <v>21883</v>
      </c>
      <c r="C97" s="311">
        <v>2</v>
      </c>
      <c r="D97" s="311" t="s">
        <v>21877</v>
      </c>
      <c r="E97" s="311">
        <v>40</v>
      </c>
      <c r="F97" s="311">
        <v>40</v>
      </c>
      <c r="G97" s="311">
        <v>0</v>
      </c>
      <c r="H97" s="311">
        <v>0</v>
      </c>
      <c r="I97" s="311">
        <v>0</v>
      </c>
    </row>
    <row r="98">
      <c r="A98" s="311">
        <v>97</v>
      </c>
      <c r="B98" s="311" t="s">
        <v>21883</v>
      </c>
      <c r="C98" s="311">
        <v>4</v>
      </c>
      <c r="D98" s="311" t="s">
        <v>21861</v>
      </c>
      <c r="E98" s="311">
        <v>60</v>
      </c>
      <c r="F98" s="311">
        <v>0</v>
      </c>
      <c r="G98" s="311">
        <v>71</v>
      </c>
      <c r="H98" s="311">
        <v>0</v>
      </c>
      <c r="I98" s="311">
        <v>0</v>
      </c>
    </row>
    <row r="99">
      <c r="A99" s="311">
        <v>98</v>
      </c>
      <c r="B99" s="311" t="s">
        <v>21883</v>
      </c>
      <c r="C99" s="311">
        <v>6</v>
      </c>
      <c r="D99" s="311" t="s">
        <v>21861</v>
      </c>
      <c r="E99" s="311">
        <v>60</v>
      </c>
      <c r="F99" s="311">
        <v>0</v>
      </c>
      <c r="G99" s="311">
        <v>71</v>
      </c>
      <c r="H99" s="311">
        <v>0</v>
      </c>
      <c r="I99" s="311">
        <v>0</v>
      </c>
    </row>
    <row r="100">
      <c r="A100" s="311">
        <v>99</v>
      </c>
      <c r="B100" s="311" t="s">
        <v>21883</v>
      </c>
      <c r="C100" s="311">
        <v>8</v>
      </c>
      <c r="D100" s="311" t="s">
        <v>21861</v>
      </c>
      <c r="E100" s="311">
        <v>60</v>
      </c>
      <c r="F100" s="311">
        <v>0</v>
      </c>
      <c r="G100" s="311">
        <v>71</v>
      </c>
      <c r="H100" s="311">
        <v>0</v>
      </c>
      <c r="I100" s="311">
        <v>0</v>
      </c>
    </row>
    <row r="101">
      <c r="A101" s="311">
        <v>100</v>
      </c>
      <c r="B101" s="311" t="s">
        <v>21884</v>
      </c>
      <c r="C101" s="311">
        <v>2</v>
      </c>
      <c r="D101" s="311" t="s">
        <v>21859</v>
      </c>
      <c r="E101" s="311">
        <v>60</v>
      </c>
      <c r="F101" s="311">
        <v>90</v>
      </c>
      <c r="G101" s="311">
        <v>0</v>
      </c>
      <c r="H101" s="311">
        <v>40</v>
      </c>
      <c r="I101" s="311">
        <v>0</v>
      </c>
    </row>
    <row r="102">
      <c r="A102" s="311">
        <v>101</v>
      </c>
      <c r="B102" s="311" t="s">
        <v>21884</v>
      </c>
      <c r="C102" s="311">
        <v>4</v>
      </c>
      <c r="D102" s="311" t="s">
        <v>21859</v>
      </c>
      <c r="E102" s="311">
        <v>60</v>
      </c>
      <c r="F102" s="311">
        <v>40</v>
      </c>
      <c r="G102" s="311">
        <v>0</v>
      </c>
      <c r="H102" s="311">
        <v>80</v>
      </c>
      <c r="I102" s="311">
        <v>0</v>
      </c>
    </row>
    <row r="103">
      <c r="A103" s="311">
        <v>102</v>
      </c>
      <c r="B103" s="311" t="s">
        <v>21884</v>
      </c>
      <c r="C103" s="311">
        <v>2</v>
      </c>
      <c r="D103" s="311" t="s">
        <v>21860</v>
      </c>
      <c r="E103" s="311">
        <v>60</v>
      </c>
      <c r="F103" s="311">
        <v>0</v>
      </c>
      <c r="G103" s="311">
        <v>0</v>
      </c>
      <c r="H103" s="311">
        <v>0</v>
      </c>
      <c r="I103" s="311">
        <v>40</v>
      </c>
    </row>
    <row r="104">
      <c r="A104" s="311">
        <v>103</v>
      </c>
      <c r="B104" s="311" t="s">
        <v>21884</v>
      </c>
      <c r="C104" s="311">
        <v>4</v>
      </c>
      <c r="D104" s="311" t="s">
        <v>21860</v>
      </c>
      <c r="E104" s="311">
        <v>60</v>
      </c>
      <c r="F104" s="311">
        <v>0</v>
      </c>
      <c r="G104" s="311">
        <v>0</v>
      </c>
      <c r="H104" s="311">
        <v>0</v>
      </c>
      <c r="I104" s="311">
        <v>20</v>
      </c>
    </row>
    <row r="105">
      <c r="A105" s="311">
        <v>104</v>
      </c>
      <c r="B105" s="311" t="s">
        <v>21885</v>
      </c>
      <c r="C105" s="311">
        <v>2</v>
      </c>
      <c r="D105" s="311" t="s">
        <v>21859</v>
      </c>
      <c r="E105" s="311">
        <v>60</v>
      </c>
      <c r="F105" s="311">
        <v>40</v>
      </c>
      <c r="G105" s="311">
        <v>20</v>
      </c>
      <c r="H105" s="311">
        <v>0</v>
      </c>
      <c r="I105" s="311">
        <v>0</v>
      </c>
    </row>
    <row r="106">
      <c r="A106" s="311">
        <v>105</v>
      </c>
      <c r="B106" s="311" t="s">
        <v>21885</v>
      </c>
      <c r="C106" s="311">
        <v>4</v>
      </c>
      <c r="D106" s="311" t="s">
        <v>21860</v>
      </c>
      <c r="E106" s="311">
        <v>60</v>
      </c>
      <c r="F106" s="311">
        <v>20</v>
      </c>
      <c r="G106" s="311">
        <v>15</v>
      </c>
      <c r="H106" s="311">
        <v>0</v>
      </c>
      <c r="I106" s="311">
        <v>20</v>
      </c>
    </row>
    <row r="107">
      <c r="A107" s="311">
        <v>106</v>
      </c>
      <c r="B107" s="311" t="s">
        <v>21885</v>
      </c>
      <c r="C107" s="311">
        <v>1</v>
      </c>
      <c r="D107" s="311" t="s">
        <v>21877</v>
      </c>
      <c r="E107" s="311">
        <v>20</v>
      </c>
      <c r="F107" s="311">
        <v>20</v>
      </c>
      <c r="G107" s="311">
        <v>0</v>
      </c>
      <c r="H107" s="311">
        <v>30</v>
      </c>
      <c r="I107" s="311">
        <v>0</v>
      </c>
    </row>
    <row r="108">
      <c r="A108" s="311">
        <v>107</v>
      </c>
      <c r="B108" s="311" t="s">
        <v>21885</v>
      </c>
      <c r="C108" s="311">
        <v>2</v>
      </c>
      <c r="D108" s="311" t="s">
        <v>21877</v>
      </c>
      <c r="E108" s="311">
        <v>40</v>
      </c>
      <c r="F108" s="311">
        <v>40</v>
      </c>
      <c r="G108" s="311">
        <v>0</v>
      </c>
      <c r="H108" s="311">
        <v>60</v>
      </c>
      <c r="I108" s="311">
        <v>0</v>
      </c>
    </row>
    <row r="109">
      <c r="A109" s="311">
        <v>108</v>
      </c>
      <c r="B109" s="311" t="s">
        <v>21886</v>
      </c>
      <c r="C109" s="311">
        <v>2</v>
      </c>
      <c r="D109" s="311" t="s">
        <v>21859</v>
      </c>
      <c r="E109" s="311">
        <v>60</v>
      </c>
      <c r="F109" s="311">
        <v>41.7</v>
      </c>
      <c r="G109" s="311">
        <v>0</v>
      </c>
      <c r="H109" s="311">
        <v>0</v>
      </c>
      <c r="I109" s="311">
        <v>0</v>
      </c>
    </row>
    <row r="110">
      <c r="A110" s="311">
        <v>109</v>
      </c>
      <c r="B110" s="311" t="s">
        <v>21887</v>
      </c>
      <c r="C110" s="311">
        <v>1</v>
      </c>
      <c r="D110" s="311" t="s">
        <v>21877</v>
      </c>
      <c r="E110" s="311">
        <v>20</v>
      </c>
      <c r="F110" s="311">
        <v>20</v>
      </c>
      <c r="G110" s="311">
        <v>0</v>
      </c>
      <c r="H110" s="311">
        <v>0</v>
      </c>
      <c r="I110" s="311">
        <v>0</v>
      </c>
    </row>
    <row r="111">
      <c r="A111" s="311">
        <v>110</v>
      </c>
      <c r="B111" s="311" t="s">
        <v>21887</v>
      </c>
      <c r="C111" s="311">
        <v>2</v>
      </c>
      <c r="D111" s="311" t="s">
        <v>21877</v>
      </c>
      <c r="E111" s="311">
        <v>40</v>
      </c>
      <c r="F111" s="311">
        <v>40</v>
      </c>
      <c r="G111" s="311">
        <v>0</v>
      </c>
      <c r="H111" s="311">
        <v>0</v>
      </c>
      <c r="I111" s="311">
        <v>0</v>
      </c>
    </row>
    <row r="112">
      <c r="A112" s="311">
        <v>111</v>
      </c>
      <c r="B112" s="311" t="s">
        <v>21888</v>
      </c>
      <c r="C112" s="311">
        <v>2</v>
      </c>
      <c r="D112" s="311" t="s">
        <v>21859</v>
      </c>
      <c r="E112" s="311">
        <v>60</v>
      </c>
      <c r="F112" s="311">
        <v>0</v>
      </c>
      <c r="G112" s="311">
        <v>0</v>
      </c>
      <c r="H112" s="311">
        <v>0</v>
      </c>
      <c r="I112" s="311">
        <v>0</v>
      </c>
    </row>
    <row r="113">
      <c r="A113" s="311">
        <v>112</v>
      </c>
      <c r="B113" s="311" t="s">
        <v>21888</v>
      </c>
      <c r="C113" s="311">
        <v>4</v>
      </c>
      <c r="D113" s="311" t="s">
        <v>21859</v>
      </c>
      <c r="E113" s="311">
        <v>60</v>
      </c>
      <c r="F113" s="311">
        <v>0</v>
      </c>
      <c r="G113" s="311">
        <v>0</v>
      </c>
      <c r="H113" s="311">
        <v>0</v>
      </c>
      <c r="I113" s="311">
        <v>0</v>
      </c>
    </row>
    <row r="114">
      <c r="A114" s="311">
        <v>113</v>
      </c>
      <c r="B114" s="311" t="s">
        <v>21888</v>
      </c>
      <c r="C114" s="311">
        <v>2</v>
      </c>
      <c r="D114" s="311" t="s">
        <v>21860</v>
      </c>
      <c r="E114" s="311">
        <v>60</v>
      </c>
      <c r="F114" s="311">
        <v>0</v>
      </c>
      <c r="G114" s="311">
        <v>0</v>
      </c>
      <c r="H114" s="311">
        <v>0</v>
      </c>
      <c r="I114" s="311">
        <v>0</v>
      </c>
    </row>
    <row r="115">
      <c r="A115" s="311">
        <v>114</v>
      </c>
      <c r="B115" s="311" t="s">
        <v>21888</v>
      </c>
      <c r="C115" s="311">
        <v>4</v>
      </c>
      <c r="D115" s="311" t="s">
        <v>21860</v>
      </c>
      <c r="E115" s="311">
        <v>60</v>
      </c>
      <c r="F115" s="311">
        <v>0</v>
      </c>
      <c r="G115" s="311">
        <v>0</v>
      </c>
      <c r="H115" s="311">
        <v>0</v>
      </c>
      <c r="I115" s="311">
        <v>0</v>
      </c>
    </row>
    <row r="116">
      <c r="A116" s="311">
        <v>115</v>
      </c>
      <c r="B116" s="311" t="s">
        <v>21888</v>
      </c>
      <c r="C116" s="311">
        <v>6</v>
      </c>
      <c r="D116" s="311" t="s">
        <v>21860</v>
      </c>
      <c r="E116" s="311">
        <v>60</v>
      </c>
      <c r="F116" s="311">
        <v>0</v>
      </c>
      <c r="G116" s="311">
        <v>0</v>
      </c>
      <c r="H116" s="311">
        <v>0</v>
      </c>
      <c r="I116" s="311">
        <v>0</v>
      </c>
    </row>
    <row r="117">
      <c r="A117" s="311">
        <v>116</v>
      </c>
      <c r="B117" s="311" t="s">
        <v>21888</v>
      </c>
      <c r="C117" s="311">
        <v>6</v>
      </c>
      <c r="D117" s="311" t="s">
        <v>21861</v>
      </c>
      <c r="E117" s="311">
        <v>60</v>
      </c>
      <c r="F117" s="311">
        <v>0</v>
      </c>
      <c r="G117" s="311">
        <v>0</v>
      </c>
      <c r="H117" s="311">
        <v>0</v>
      </c>
      <c r="I117" s="311">
        <v>0</v>
      </c>
    </row>
    <row r="118">
      <c r="A118" s="311">
        <v>117</v>
      </c>
      <c r="B118" s="311" t="s">
        <v>21888</v>
      </c>
      <c r="C118" s="311">
        <v>8</v>
      </c>
      <c r="D118" s="311" t="s">
        <v>21861</v>
      </c>
      <c r="E118" s="311">
        <v>60</v>
      </c>
      <c r="F118" s="311">
        <v>0</v>
      </c>
      <c r="G118" s="311">
        <v>0</v>
      </c>
      <c r="H118" s="311">
        <v>0</v>
      </c>
      <c r="I118" s="311">
        <v>0</v>
      </c>
    </row>
    <row r="119">
      <c r="A119" s="311">
        <v>118</v>
      </c>
      <c r="B119" s="311" t="s">
        <v>21888</v>
      </c>
      <c r="C119" s="311">
        <v>10</v>
      </c>
      <c r="D119" s="311" t="s">
        <v>21861</v>
      </c>
      <c r="E119" s="311">
        <v>60</v>
      </c>
      <c r="F119" s="311">
        <v>0</v>
      </c>
      <c r="G119" s="311">
        <v>0</v>
      </c>
      <c r="H119" s="311">
        <v>0</v>
      </c>
      <c r="I119" s="311">
        <v>0</v>
      </c>
    </row>
    <row r="120">
      <c r="A120" s="311">
        <v>119</v>
      </c>
      <c r="B120" s="311" t="s">
        <v>21888</v>
      </c>
      <c r="C120" s="311">
        <v>12</v>
      </c>
      <c r="D120" s="311" t="s">
        <v>21861</v>
      </c>
      <c r="E120" s="311">
        <v>60</v>
      </c>
      <c r="F120" s="311">
        <v>0</v>
      </c>
      <c r="G120" s="311">
        <v>0</v>
      </c>
      <c r="H120" s="311">
        <v>0</v>
      </c>
      <c r="I120" s="311">
        <v>0</v>
      </c>
    </row>
    <row r="121" ht="28.8">
      <c r="A121" s="311">
        <v>120</v>
      </c>
      <c r="B121" s="311" t="s">
        <v>21889</v>
      </c>
      <c r="C121" s="311">
        <v>6</v>
      </c>
      <c r="D121" s="311" t="s">
        <v>21890</v>
      </c>
      <c r="E121" s="311">
        <v>60</v>
      </c>
      <c r="F121" s="311">
        <v>0</v>
      </c>
      <c r="G121" s="311">
        <v>0</v>
      </c>
      <c r="H121" s="311">
        <v>0</v>
      </c>
      <c r="I121" s="311">
        <v>0</v>
      </c>
    </row>
    <row r="122" ht="28.8">
      <c r="A122" s="311">
        <v>121</v>
      </c>
      <c r="B122" s="311" t="s">
        <v>21889</v>
      </c>
      <c r="C122" s="311">
        <v>7</v>
      </c>
      <c r="D122" s="311" t="s">
        <v>21890</v>
      </c>
      <c r="E122" s="311">
        <v>60</v>
      </c>
      <c r="F122" s="311">
        <v>0</v>
      </c>
      <c r="G122" s="311">
        <v>0</v>
      </c>
      <c r="H122" s="311">
        <v>0</v>
      </c>
      <c r="I122" s="311">
        <v>0</v>
      </c>
    </row>
    <row r="123">
      <c r="A123" s="311">
        <v>122</v>
      </c>
      <c r="B123" s="311" t="s">
        <v>21891</v>
      </c>
      <c r="C123" s="311">
        <v>1</v>
      </c>
      <c r="D123" s="311" t="s">
        <v>21892</v>
      </c>
      <c r="E123" s="311">
        <v>40</v>
      </c>
      <c r="F123" s="311">
        <v>0</v>
      </c>
      <c r="G123" s="311">
        <v>0</v>
      </c>
      <c r="H123" s="311">
        <v>0</v>
      </c>
      <c r="I123" s="311">
        <v>0</v>
      </c>
    </row>
    <row r="124">
      <c r="A124" s="311">
        <v>123</v>
      </c>
      <c r="B124" s="311" t="s">
        <v>21893</v>
      </c>
      <c r="C124" s="311">
        <v>1</v>
      </c>
      <c r="D124" s="311" t="s">
        <v>21877</v>
      </c>
      <c r="E124" s="311">
        <v>20</v>
      </c>
      <c r="F124" s="311">
        <v>0</v>
      </c>
      <c r="G124" s="311">
        <v>0</v>
      </c>
      <c r="H124" s="311">
        <v>0</v>
      </c>
      <c r="I124" s="311">
        <v>0</v>
      </c>
    </row>
    <row r="125">
      <c r="A125" s="311">
        <v>124</v>
      </c>
      <c r="B125" s="311" t="s">
        <v>21893</v>
      </c>
      <c r="C125" s="311">
        <v>2</v>
      </c>
      <c r="D125" s="311" t="s">
        <v>21877</v>
      </c>
      <c r="E125" s="311">
        <v>40</v>
      </c>
      <c r="F125" s="311">
        <v>0</v>
      </c>
      <c r="G125" s="311">
        <v>0</v>
      </c>
      <c r="H125" s="311">
        <v>0</v>
      </c>
      <c r="I125" s="311">
        <v>0</v>
      </c>
    </row>
    <row r="126">
      <c r="A126" s="311">
        <v>125</v>
      </c>
      <c r="B126" s="311" t="s">
        <v>21236</v>
      </c>
      <c r="C126" s="311">
        <v>1</v>
      </c>
      <c r="D126" s="311" t="s">
        <v>21859</v>
      </c>
      <c r="E126" s="311">
        <v>40</v>
      </c>
      <c r="F126" s="311">
        <v>0</v>
      </c>
      <c r="G126" s="311">
        <v>0</v>
      </c>
      <c r="H126" s="311">
        <v>40</v>
      </c>
      <c r="I126" s="311">
        <v>0</v>
      </c>
    </row>
    <row r="127">
      <c r="A127" s="311">
        <v>126</v>
      </c>
      <c r="B127" s="311" t="s">
        <v>21236</v>
      </c>
      <c r="C127" s="311">
        <v>2</v>
      </c>
      <c r="D127" s="311" t="s">
        <v>21859</v>
      </c>
      <c r="E127" s="311">
        <v>80</v>
      </c>
      <c r="F127" s="311">
        <v>0</v>
      </c>
      <c r="G127" s="311">
        <v>0</v>
      </c>
      <c r="H127" s="311">
        <v>80</v>
      </c>
      <c r="I127" s="311">
        <v>0</v>
      </c>
    </row>
    <row r="128">
      <c r="A128" s="311">
        <v>127</v>
      </c>
      <c r="B128" s="311" t="s">
        <v>21236</v>
      </c>
      <c r="C128" s="311">
        <v>4</v>
      </c>
      <c r="D128" s="311" t="s">
        <v>21859</v>
      </c>
      <c r="E128" s="311">
        <v>80</v>
      </c>
      <c r="F128" s="311">
        <v>0</v>
      </c>
      <c r="G128" s="311">
        <v>0</v>
      </c>
      <c r="H128" s="311">
        <v>0</v>
      </c>
      <c r="I128" s="311">
        <v>0</v>
      </c>
    </row>
    <row r="129">
      <c r="A129" s="311">
        <v>128</v>
      </c>
      <c r="B129" s="311" t="s">
        <v>21236</v>
      </c>
      <c r="C129" s="311">
        <v>2</v>
      </c>
      <c r="D129" s="311" t="s">
        <v>21860</v>
      </c>
      <c r="E129" s="311">
        <v>40</v>
      </c>
      <c r="F129" s="311">
        <v>0</v>
      </c>
      <c r="G129" s="311">
        <v>0</v>
      </c>
      <c r="H129" s="311">
        <v>0</v>
      </c>
      <c r="I129" s="311">
        <v>0</v>
      </c>
    </row>
    <row r="130">
      <c r="A130" s="311">
        <v>129</v>
      </c>
      <c r="B130" s="311" t="s">
        <v>21236</v>
      </c>
      <c r="C130" s="311">
        <v>4</v>
      </c>
      <c r="D130" s="311" t="s">
        <v>21860</v>
      </c>
      <c r="E130" s="311">
        <v>40</v>
      </c>
      <c r="F130" s="311">
        <v>0</v>
      </c>
      <c r="G130" s="311">
        <v>0</v>
      </c>
      <c r="H130" s="311">
        <v>0</v>
      </c>
      <c r="I130" s="311">
        <v>0</v>
      </c>
    </row>
    <row r="131">
      <c r="A131" s="311">
        <v>130</v>
      </c>
      <c r="B131" s="311" t="s">
        <v>21236</v>
      </c>
      <c r="C131" s="311">
        <v>1</v>
      </c>
      <c r="D131" s="311" t="s">
        <v>21877</v>
      </c>
      <c r="E131" s="311">
        <v>20</v>
      </c>
      <c r="F131" s="311">
        <v>0</v>
      </c>
      <c r="G131" s="311">
        <v>0</v>
      </c>
      <c r="H131" s="311">
        <v>40</v>
      </c>
      <c r="I131" s="311">
        <v>0</v>
      </c>
    </row>
    <row r="132">
      <c r="A132" s="311">
        <v>131</v>
      </c>
      <c r="B132" s="311" t="s">
        <v>21236</v>
      </c>
      <c r="C132" s="311">
        <v>2</v>
      </c>
      <c r="D132" s="311" t="s">
        <v>21877</v>
      </c>
      <c r="E132" s="311">
        <v>40</v>
      </c>
      <c r="F132" s="311">
        <v>0</v>
      </c>
      <c r="G132" s="311">
        <v>0</v>
      </c>
      <c r="H132" s="311">
        <v>80</v>
      </c>
      <c r="I132" s="311">
        <v>0</v>
      </c>
    </row>
    <row r="133">
      <c r="A133" s="311">
        <v>132</v>
      </c>
      <c r="B133" s="311" t="s">
        <v>21894</v>
      </c>
      <c r="C133" s="311">
        <v>1</v>
      </c>
      <c r="D133" s="311" t="s">
        <v>21859</v>
      </c>
      <c r="E133" s="311">
        <v>40</v>
      </c>
      <c r="F133" s="311">
        <v>0</v>
      </c>
      <c r="G133" s="311">
        <v>0</v>
      </c>
      <c r="H133" s="311">
        <v>0</v>
      </c>
      <c r="I133" s="311">
        <v>0</v>
      </c>
    </row>
    <row r="134">
      <c r="A134" s="311">
        <v>133</v>
      </c>
      <c r="B134" s="311" t="s">
        <v>21894</v>
      </c>
      <c r="C134" s="311">
        <v>2</v>
      </c>
      <c r="D134" s="311" t="s">
        <v>21859</v>
      </c>
      <c r="E134" s="311">
        <v>80</v>
      </c>
      <c r="F134" s="311">
        <v>0</v>
      </c>
      <c r="G134" s="311">
        <v>0</v>
      </c>
      <c r="H134" s="311">
        <v>0</v>
      </c>
      <c r="I134" s="311">
        <v>0</v>
      </c>
    </row>
    <row r="135">
      <c r="A135" s="311">
        <v>134</v>
      </c>
      <c r="B135" s="311" t="s">
        <v>21894</v>
      </c>
      <c r="C135" s="311">
        <v>4</v>
      </c>
      <c r="D135" s="311" t="s">
        <v>21859</v>
      </c>
      <c r="E135" s="311">
        <v>80</v>
      </c>
      <c r="F135" s="311">
        <v>0</v>
      </c>
      <c r="G135" s="311">
        <v>0</v>
      </c>
      <c r="H135" s="311">
        <v>0</v>
      </c>
      <c r="I135" s="311">
        <v>0</v>
      </c>
    </row>
    <row r="136">
      <c r="A136" s="311">
        <v>135</v>
      </c>
      <c r="B136" s="311" t="s">
        <v>21894</v>
      </c>
      <c r="C136" s="311">
        <v>2</v>
      </c>
      <c r="D136" s="311" t="s">
        <v>21860</v>
      </c>
      <c r="E136" s="311">
        <v>40</v>
      </c>
      <c r="F136" s="311">
        <v>0</v>
      </c>
      <c r="G136" s="311">
        <v>0</v>
      </c>
      <c r="H136" s="311">
        <v>0</v>
      </c>
      <c r="I136" s="311">
        <v>0</v>
      </c>
    </row>
    <row r="137">
      <c r="A137" s="311">
        <v>136</v>
      </c>
      <c r="B137" s="311" t="s">
        <v>21894</v>
      </c>
      <c r="C137" s="311">
        <v>4</v>
      </c>
      <c r="D137" s="311" t="s">
        <v>21860</v>
      </c>
      <c r="E137" s="311">
        <v>40</v>
      </c>
      <c r="F137" s="311">
        <v>0</v>
      </c>
      <c r="G137" s="311">
        <v>0</v>
      </c>
      <c r="H137" s="311">
        <v>0</v>
      </c>
      <c r="I137" s="311">
        <v>0</v>
      </c>
    </row>
    <row r="138">
      <c r="A138" s="311">
        <v>137</v>
      </c>
      <c r="B138" s="311" t="s">
        <v>21895</v>
      </c>
      <c r="C138" s="311">
        <v>3</v>
      </c>
      <c r="D138" s="311" t="s">
        <v>21877</v>
      </c>
      <c r="E138" s="311">
        <v>60</v>
      </c>
      <c r="F138" s="311">
        <v>0</v>
      </c>
      <c r="G138" s="311">
        <v>0</v>
      </c>
      <c r="H138" s="311">
        <v>0</v>
      </c>
      <c r="I138" s="311">
        <v>0</v>
      </c>
    </row>
    <row r="139">
      <c r="A139" s="311">
        <v>138</v>
      </c>
      <c r="B139" s="311" t="s">
        <v>21896</v>
      </c>
      <c r="C139" s="311">
        <v>1</v>
      </c>
      <c r="D139" s="311" t="s">
        <v>21859</v>
      </c>
      <c r="E139" s="311">
        <v>40</v>
      </c>
      <c r="F139" s="311">
        <v>0</v>
      </c>
      <c r="G139" s="311">
        <v>0</v>
      </c>
      <c r="H139" s="311">
        <v>0</v>
      </c>
      <c r="I139" s="311">
        <v>0</v>
      </c>
    </row>
    <row r="140">
      <c r="A140" s="311">
        <v>139</v>
      </c>
      <c r="B140" s="311" t="s">
        <v>21896</v>
      </c>
      <c r="C140" s="311">
        <v>2</v>
      </c>
      <c r="D140" s="311" t="s">
        <v>21859</v>
      </c>
      <c r="E140" s="311">
        <v>80</v>
      </c>
      <c r="F140" s="311">
        <v>0</v>
      </c>
      <c r="G140" s="311">
        <v>0</v>
      </c>
      <c r="H140" s="311">
        <v>0</v>
      </c>
      <c r="I140" s="311">
        <v>0</v>
      </c>
    </row>
    <row r="141">
      <c r="A141" s="311">
        <v>140</v>
      </c>
      <c r="B141" s="311" t="s">
        <v>21896</v>
      </c>
      <c r="C141" s="311">
        <v>4</v>
      </c>
      <c r="D141" s="311" t="s">
        <v>21859</v>
      </c>
      <c r="E141" s="311">
        <v>80</v>
      </c>
      <c r="F141" s="311">
        <v>0</v>
      </c>
      <c r="G141" s="311">
        <v>0</v>
      </c>
      <c r="H141" s="311">
        <v>0</v>
      </c>
      <c r="I141" s="311">
        <v>0</v>
      </c>
    </row>
    <row r="142">
      <c r="A142" s="311">
        <v>141</v>
      </c>
      <c r="B142" s="311" t="s">
        <v>21896</v>
      </c>
      <c r="C142" s="311">
        <v>2</v>
      </c>
      <c r="D142" s="311" t="s">
        <v>21860</v>
      </c>
      <c r="E142" s="311">
        <v>40</v>
      </c>
      <c r="F142" s="311">
        <v>0</v>
      </c>
      <c r="G142" s="311">
        <v>0</v>
      </c>
      <c r="H142" s="311">
        <v>0</v>
      </c>
      <c r="I142" s="311">
        <v>0</v>
      </c>
    </row>
    <row r="143">
      <c r="A143" s="311">
        <v>142</v>
      </c>
      <c r="B143" s="311" t="s">
        <v>21896</v>
      </c>
      <c r="C143" s="311">
        <v>4</v>
      </c>
      <c r="D143" s="311" t="s">
        <v>21860</v>
      </c>
      <c r="E143" s="311">
        <v>40</v>
      </c>
      <c r="F143" s="311">
        <v>0</v>
      </c>
      <c r="G143" s="311">
        <v>0</v>
      </c>
      <c r="H143" s="311">
        <v>0</v>
      </c>
      <c r="I143" s="311">
        <v>0</v>
      </c>
    </row>
    <row r="144">
      <c r="A144" s="311">
        <v>143</v>
      </c>
      <c r="B144" s="311" t="s">
        <v>21858</v>
      </c>
      <c r="C144" s="311">
        <v>1</v>
      </c>
      <c r="D144" s="311" t="s">
        <v>21859</v>
      </c>
      <c r="E144" s="311">
        <v>0</v>
      </c>
      <c r="F144" s="311">
        <v>35.48</v>
      </c>
      <c r="G144" s="311">
        <v>0</v>
      </c>
      <c r="H144" s="311">
        <v>0</v>
      </c>
      <c r="I144" s="311">
        <v>0</v>
      </c>
    </row>
    <row r="145">
      <c r="A145" s="311">
        <v>144</v>
      </c>
      <c r="B145" s="311" t="s">
        <v>21880</v>
      </c>
      <c r="C145" s="311">
        <v>3</v>
      </c>
      <c r="D145" s="311" t="s">
        <v>21860</v>
      </c>
      <c r="E145" s="311">
        <v>0</v>
      </c>
      <c r="F145" s="311">
        <v>27.54</v>
      </c>
      <c r="G145" s="311">
        <v>60</v>
      </c>
      <c r="H145" s="311">
        <v>0</v>
      </c>
      <c r="I145" s="311">
        <v>0</v>
      </c>
    </row>
    <row r="146">
      <c r="A146" s="311">
        <v>145</v>
      </c>
      <c r="B146" s="311" t="s">
        <v>21880</v>
      </c>
      <c r="C146" s="311">
        <v>3</v>
      </c>
      <c r="D146" s="311" t="s">
        <v>21877</v>
      </c>
      <c r="E146" s="311">
        <v>0</v>
      </c>
      <c r="F146" s="311">
        <v>20</v>
      </c>
      <c r="G146" s="311">
        <v>80</v>
      </c>
      <c r="H146" s="311">
        <v>0</v>
      </c>
      <c r="I146" s="311">
        <v>0</v>
      </c>
    </row>
    <row r="147">
      <c r="A147" s="311">
        <v>146</v>
      </c>
      <c r="B147" s="311" t="s">
        <v>21881</v>
      </c>
      <c r="C147" s="311">
        <v>2</v>
      </c>
      <c r="D147" s="311" t="s">
        <v>21859</v>
      </c>
      <c r="E147" s="311">
        <v>0</v>
      </c>
      <c r="F147" s="311">
        <v>40</v>
      </c>
      <c r="G147" s="311">
        <v>0</v>
      </c>
      <c r="H147" s="311">
        <v>40</v>
      </c>
      <c r="I147" s="311">
        <v>0</v>
      </c>
    </row>
    <row r="148">
      <c r="A148" s="311">
        <v>147</v>
      </c>
      <c r="B148" s="311" t="s">
        <v>21881</v>
      </c>
      <c r="C148" s="311">
        <v>4</v>
      </c>
      <c r="D148" s="311" t="s">
        <v>21859</v>
      </c>
      <c r="E148" s="311">
        <v>0</v>
      </c>
      <c r="F148" s="311">
        <v>80</v>
      </c>
      <c r="G148" s="311">
        <v>0</v>
      </c>
      <c r="H148" s="311">
        <v>80</v>
      </c>
      <c r="I148" s="311">
        <v>0</v>
      </c>
    </row>
    <row r="149">
      <c r="A149" s="311">
        <v>148</v>
      </c>
      <c r="B149" s="311" t="s">
        <v>21881</v>
      </c>
      <c r="C149" s="311">
        <v>2</v>
      </c>
      <c r="D149" s="311" t="s">
        <v>21860</v>
      </c>
      <c r="E149" s="311">
        <v>0</v>
      </c>
      <c r="F149" s="311">
        <v>40</v>
      </c>
      <c r="G149" s="311">
        <v>0</v>
      </c>
      <c r="H149" s="311">
        <v>0</v>
      </c>
      <c r="I149" s="311">
        <v>0</v>
      </c>
    </row>
    <row r="150">
      <c r="A150" s="311">
        <v>149</v>
      </c>
      <c r="B150" s="311" t="s">
        <v>21881</v>
      </c>
      <c r="C150" s="311">
        <v>4</v>
      </c>
      <c r="D150" s="311" t="s">
        <v>21860</v>
      </c>
      <c r="E150" s="311">
        <v>0</v>
      </c>
      <c r="F150" s="311">
        <v>80</v>
      </c>
      <c r="G150" s="311">
        <v>0</v>
      </c>
      <c r="H150" s="311">
        <v>0</v>
      </c>
      <c r="I150" s="311">
        <v>0</v>
      </c>
    </row>
    <row r="151">
      <c r="A151" s="311">
        <v>150</v>
      </c>
      <c r="B151" s="311" t="s">
        <v>21885</v>
      </c>
      <c r="C151" s="311">
        <v>4</v>
      </c>
      <c r="D151" s="311" t="s">
        <v>21859</v>
      </c>
      <c r="E151" s="311">
        <v>0</v>
      </c>
      <c r="F151" s="311">
        <v>20</v>
      </c>
      <c r="G151" s="311">
        <v>15</v>
      </c>
      <c r="H151" s="311">
        <v>0</v>
      </c>
      <c r="I151" s="311">
        <v>0</v>
      </c>
    </row>
    <row r="152">
      <c r="A152" s="311">
        <v>151</v>
      </c>
      <c r="B152" s="311" t="s">
        <v>21885</v>
      </c>
      <c r="C152" s="311">
        <v>2</v>
      </c>
      <c r="D152" s="311" t="s">
        <v>21860</v>
      </c>
      <c r="E152" s="311">
        <v>0</v>
      </c>
      <c r="F152" s="311">
        <v>40</v>
      </c>
      <c r="G152" s="311">
        <v>20</v>
      </c>
      <c r="H152" s="311">
        <v>0</v>
      </c>
      <c r="I152" s="311">
        <v>40</v>
      </c>
    </row>
    <row r="153">
      <c r="A153" s="311">
        <v>152</v>
      </c>
      <c r="B153" s="311" t="s">
        <v>21886</v>
      </c>
      <c r="C153" s="311">
        <v>4</v>
      </c>
      <c r="D153" s="311" t="s">
        <v>21859</v>
      </c>
      <c r="E153" s="311">
        <v>0</v>
      </c>
      <c r="F153" s="311">
        <v>37.24</v>
      </c>
      <c r="G153" s="311">
        <v>0</v>
      </c>
      <c r="H153" s="311">
        <v>0</v>
      </c>
      <c r="I153" s="311">
        <v>0</v>
      </c>
    </row>
    <row r="154">
      <c r="A154" s="311">
        <v>153</v>
      </c>
      <c r="B154" s="311" t="s">
        <v>21886</v>
      </c>
      <c r="C154" s="311">
        <v>2</v>
      </c>
      <c r="D154" s="311" t="s">
        <v>21860</v>
      </c>
      <c r="E154" s="311">
        <v>0</v>
      </c>
      <c r="F154" s="311">
        <v>41.7</v>
      </c>
      <c r="G154" s="311">
        <v>0</v>
      </c>
      <c r="H154" s="311">
        <v>0</v>
      </c>
      <c r="I154" s="311">
        <v>0</v>
      </c>
    </row>
    <row r="155">
      <c r="A155" s="311">
        <v>154</v>
      </c>
      <c r="B155" s="311" t="s">
        <v>21886</v>
      </c>
      <c r="C155" s="311">
        <v>4</v>
      </c>
      <c r="D155" s="311" t="s">
        <v>21860</v>
      </c>
      <c r="E155" s="311">
        <v>0</v>
      </c>
      <c r="F155" s="311">
        <v>37.24</v>
      </c>
      <c r="G155" s="311">
        <v>0</v>
      </c>
      <c r="H155" s="311">
        <v>0</v>
      </c>
      <c r="I155" s="311">
        <v>0</v>
      </c>
    </row>
    <row r="156">
      <c r="A156" s="311">
        <v>155</v>
      </c>
      <c r="B156" s="311" t="s">
        <v>21897</v>
      </c>
      <c r="C156" s="311">
        <v>1</v>
      </c>
      <c r="D156" s="311" t="s">
        <v>21859</v>
      </c>
      <c r="E156" s="311">
        <v>0</v>
      </c>
      <c r="F156" s="311">
        <v>20</v>
      </c>
      <c r="G156" s="311">
        <v>0</v>
      </c>
      <c r="H156" s="311">
        <v>0</v>
      </c>
      <c r="I156" s="311">
        <v>0</v>
      </c>
    </row>
    <row r="157">
      <c r="A157" s="311">
        <v>156</v>
      </c>
      <c r="B157" s="311" t="s">
        <v>21897</v>
      </c>
      <c r="C157" s="311">
        <v>2</v>
      </c>
      <c r="D157" s="311" t="s">
        <v>21859</v>
      </c>
      <c r="E157" s="311">
        <v>0</v>
      </c>
      <c r="F157" s="311">
        <v>40</v>
      </c>
      <c r="G157" s="311">
        <v>0</v>
      </c>
      <c r="H157" s="311">
        <v>0</v>
      </c>
      <c r="I157" s="311">
        <v>0</v>
      </c>
    </row>
    <row r="158">
      <c r="A158" s="311">
        <v>157</v>
      </c>
      <c r="B158" s="311" t="s">
        <v>21897</v>
      </c>
      <c r="C158" s="311">
        <v>3</v>
      </c>
      <c r="D158" s="311" t="s">
        <v>21859</v>
      </c>
      <c r="E158" s="311">
        <v>0</v>
      </c>
      <c r="F158" s="311">
        <v>60</v>
      </c>
      <c r="G158" s="311">
        <v>0</v>
      </c>
      <c r="H158" s="311">
        <v>0</v>
      </c>
      <c r="I158" s="311">
        <v>0</v>
      </c>
    </row>
    <row r="159">
      <c r="A159" s="311">
        <v>158</v>
      </c>
      <c r="B159" s="311" t="s">
        <v>21897</v>
      </c>
      <c r="C159" s="311">
        <v>4</v>
      </c>
      <c r="D159" s="311" t="s">
        <v>21859</v>
      </c>
      <c r="E159" s="311">
        <v>0</v>
      </c>
      <c r="F159" s="311">
        <v>80</v>
      </c>
      <c r="G159" s="311">
        <v>0</v>
      </c>
      <c r="H159" s="311">
        <v>0</v>
      </c>
      <c r="I159" s="311">
        <v>0</v>
      </c>
    </row>
    <row r="160">
      <c r="A160" s="311">
        <v>159</v>
      </c>
      <c r="B160" s="311" t="s">
        <v>21897</v>
      </c>
      <c r="C160" s="311">
        <v>5</v>
      </c>
      <c r="D160" s="311" t="s">
        <v>21859</v>
      </c>
      <c r="E160" s="311">
        <v>0</v>
      </c>
      <c r="F160" s="311">
        <v>100</v>
      </c>
      <c r="G160" s="311">
        <v>0</v>
      </c>
      <c r="H160" s="311">
        <v>0</v>
      </c>
      <c r="I160" s="311">
        <v>0</v>
      </c>
    </row>
    <row r="161">
      <c r="A161" s="311">
        <v>160</v>
      </c>
      <c r="B161" s="311" t="s">
        <v>21897</v>
      </c>
      <c r="C161" s="311">
        <v>6</v>
      </c>
      <c r="D161" s="311" t="s">
        <v>21859</v>
      </c>
      <c r="E161" s="311">
        <v>0</v>
      </c>
      <c r="F161" s="311">
        <v>120</v>
      </c>
      <c r="G161" s="311">
        <v>0</v>
      </c>
      <c r="H161" s="311">
        <v>0</v>
      </c>
      <c r="I161" s="311">
        <v>0</v>
      </c>
    </row>
    <row r="162">
      <c r="A162" s="311">
        <v>161</v>
      </c>
      <c r="B162" s="311" t="s">
        <v>21897</v>
      </c>
      <c r="C162" s="311">
        <v>1</v>
      </c>
      <c r="D162" s="311" t="s">
        <v>21860</v>
      </c>
      <c r="E162" s="311">
        <v>0</v>
      </c>
      <c r="F162" s="311">
        <v>20</v>
      </c>
      <c r="G162" s="311">
        <v>0</v>
      </c>
      <c r="H162" s="311">
        <v>0</v>
      </c>
      <c r="I162" s="311">
        <v>0</v>
      </c>
    </row>
    <row r="163">
      <c r="A163" s="311">
        <v>162</v>
      </c>
      <c r="B163" s="311" t="s">
        <v>21897</v>
      </c>
      <c r="C163" s="311">
        <v>2</v>
      </c>
      <c r="D163" s="311" t="s">
        <v>21860</v>
      </c>
      <c r="E163" s="311">
        <v>0</v>
      </c>
      <c r="F163" s="311">
        <v>40</v>
      </c>
      <c r="G163" s="311">
        <v>0</v>
      </c>
      <c r="H163" s="311">
        <v>0</v>
      </c>
      <c r="I163" s="311">
        <v>0</v>
      </c>
    </row>
    <row r="164">
      <c r="A164" s="311">
        <v>163</v>
      </c>
      <c r="B164" s="311" t="s">
        <v>21897</v>
      </c>
      <c r="C164" s="311">
        <v>3</v>
      </c>
      <c r="D164" s="311" t="s">
        <v>21860</v>
      </c>
      <c r="E164" s="311">
        <v>0</v>
      </c>
      <c r="F164" s="311">
        <v>60</v>
      </c>
      <c r="G164" s="311">
        <v>0</v>
      </c>
      <c r="H164" s="311">
        <v>0</v>
      </c>
      <c r="I164" s="311">
        <v>0</v>
      </c>
    </row>
    <row r="165">
      <c r="A165" s="311">
        <v>164</v>
      </c>
      <c r="B165" s="311" t="s">
        <v>21897</v>
      </c>
      <c r="C165" s="311">
        <v>4</v>
      </c>
      <c r="D165" s="311" t="s">
        <v>21860</v>
      </c>
      <c r="E165" s="311">
        <v>0</v>
      </c>
      <c r="F165" s="311">
        <v>80</v>
      </c>
      <c r="G165" s="311">
        <v>0</v>
      </c>
      <c r="H165" s="311">
        <v>0</v>
      </c>
      <c r="I165" s="311">
        <v>0</v>
      </c>
    </row>
    <row r="166">
      <c r="A166" s="311">
        <v>165</v>
      </c>
      <c r="B166" s="311" t="s">
        <v>21897</v>
      </c>
      <c r="C166" s="311">
        <v>5</v>
      </c>
      <c r="D166" s="311" t="s">
        <v>21860</v>
      </c>
      <c r="E166" s="311">
        <v>0</v>
      </c>
      <c r="F166" s="311">
        <v>100</v>
      </c>
      <c r="G166" s="311">
        <v>0</v>
      </c>
      <c r="H166" s="311">
        <v>0</v>
      </c>
      <c r="I166" s="311">
        <v>0</v>
      </c>
    </row>
    <row r="167">
      <c r="A167" s="311">
        <v>166</v>
      </c>
      <c r="B167" s="311" t="s">
        <v>21897</v>
      </c>
      <c r="C167" s="311">
        <v>6</v>
      </c>
      <c r="D167" s="311" t="s">
        <v>21860</v>
      </c>
      <c r="E167" s="311">
        <v>0</v>
      </c>
      <c r="F167" s="311">
        <v>120</v>
      </c>
      <c r="G167" s="311">
        <v>0</v>
      </c>
      <c r="H167" s="311">
        <v>0</v>
      </c>
      <c r="I167" s="311">
        <v>0</v>
      </c>
    </row>
    <row r="168">
      <c r="A168" s="311">
        <v>167</v>
      </c>
      <c r="B168" s="311" t="s">
        <v>21898</v>
      </c>
      <c r="C168" s="311">
        <v>1</v>
      </c>
      <c r="D168" s="311" t="s">
        <v>21892</v>
      </c>
      <c r="E168" s="311">
        <v>0</v>
      </c>
      <c r="F168" s="311">
        <v>40</v>
      </c>
      <c r="G168" s="311">
        <v>0</v>
      </c>
      <c r="H168" s="311">
        <v>0</v>
      </c>
      <c r="I168" s="311">
        <v>0</v>
      </c>
    </row>
    <row r="169">
      <c r="A169" s="311">
        <v>168</v>
      </c>
      <c r="B169" s="311" t="s">
        <v>21899</v>
      </c>
      <c r="C169" s="311">
        <v>1</v>
      </c>
      <c r="D169" s="311" t="s">
        <v>21859</v>
      </c>
      <c r="E169" s="311">
        <v>0</v>
      </c>
      <c r="F169" s="311">
        <v>20</v>
      </c>
      <c r="G169" s="311">
        <v>0</v>
      </c>
      <c r="H169" s="311">
        <v>0</v>
      </c>
      <c r="I169" s="311">
        <v>0</v>
      </c>
    </row>
    <row r="170">
      <c r="A170" s="311">
        <v>169</v>
      </c>
      <c r="B170" s="311" t="s">
        <v>21899</v>
      </c>
      <c r="C170" s="311">
        <v>2</v>
      </c>
      <c r="D170" s="311" t="s">
        <v>21859</v>
      </c>
      <c r="E170" s="311">
        <v>0</v>
      </c>
      <c r="F170" s="311">
        <v>40</v>
      </c>
      <c r="G170" s="311">
        <v>0</v>
      </c>
      <c r="H170" s="311">
        <v>0</v>
      </c>
      <c r="I170" s="311">
        <v>0</v>
      </c>
    </row>
    <row r="171">
      <c r="A171" s="311">
        <v>170</v>
      </c>
      <c r="B171" s="311" t="s">
        <v>21899</v>
      </c>
      <c r="C171" s="311">
        <v>3</v>
      </c>
      <c r="D171" s="311" t="s">
        <v>21859</v>
      </c>
      <c r="E171" s="311">
        <v>0</v>
      </c>
      <c r="F171" s="311">
        <v>60</v>
      </c>
      <c r="G171" s="311">
        <v>0</v>
      </c>
      <c r="H171" s="311">
        <v>0</v>
      </c>
      <c r="I171" s="311">
        <v>0</v>
      </c>
    </row>
    <row r="172">
      <c r="A172" s="311">
        <v>171</v>
      </c>
      <c r="B172" s="311" t="s">
        <v>21899</v>
      </c>
      <c r="C172" s="311">
        <v>4</v>
      </c>
      <c r="D172" s="311" t="s">
        <v>21859</v>
      </c>
      <c r="E172" s="311">
        <v>0</v>
      </c>
      <c r="F172" s="311">
        <v>80</v>
      </c>
      <c r="G172" s="311">
        <v>0</v>
      </c>
      <c r="H172" s="311">
        <v>0</v>
      </c>
      <c r="I172" s="311">
        <v>0</v>
      </c>
    </row>
    <row r="173">
      <c r="A173" s="311">
        <v>172</v>
      </c>
      <c r="B173" s="311" t="s">
        <v>21899</v>
      </c>
      <c r="C173" s="311">
        <v>5</v>
      </c>
      <c r="D173" s="311" t="s">
        <v>21859</v>
      </c>
      <c r="E173" s="311">
        <v>0</v>
      </c>
      <c r="F173" s="311">
        <v>80</v>
      </c>
      <c r="G173" s="311">
        <v>0</v>
      </c>
      <c r="H173" s="311">
        <v>0</v>
      </c>
      <c r="I173" s="311">
        <v>0</v>
      </c>
    </row>
    <row r="174">
      <c r="A174" s="311">
        <v>173</v>
      </c>
      <c r="B174" s="311" t="s">
        <v>21899</v>
      </c>
      <c r="C174" s="311">
        <v>6</v>
      </c>
      <c r="D174" s="311" t="s">
        <v>21859</v>
      </c>
      <c r="E174" s="311">
        <v>0</v>
      </c>
      <c r="F174" s="311">
        <v>80</v>
      </c>
      <c r="G174" s="311">
        <v>0</v>
      </c>
      <c r="H174" s="311">
        <v>0</v>
      </c>
      <c r="I174" s="311">
        <v>0</v>
      </c>
    </row>
    <row r="175">
      <c r="A175" s="311">
        <v>174</v>
      </c>
      <c r="B175" s="311" t="s">
        <v>21899</v>
      </c>
      <c r="C175" s="311">
        <v>1</v>
      </c>
      <c r="D175" s="311" t="s">
        <v>21860</v>
      </c>
      <c r="E175" s="311">
        <v>0</v>
      </c>
      <c r="F175" s="311">
        <v>20</v>
      </c>
      <c r="G175" s="311">
        <v>0</v>
      </c>
      <c r="H175" s="311">
        <v>0</v>
      </c>
      <c r="I175" s="311">
        <v>0</v>
      </c>
    </row>
    <row r="176">
      <c r="A176" s="311">
        <v>175</v>
      </c>
      <c r="B176" s="311" t="s">
        <v>21899</v>
      </c>
      <c r="C176" s="311">
        <v>2</v>
      </c>
      <c r="D176" s="311" t="s">
        <v>21860</v>
      </c>
      <c r="E176" s="311">
        <v>0</v>
      </c>
      <c r="F176" s="311">
        <v>40</v>
      </c>
      <c r="G176" s="311">
        <v>0</v>
      </c>
      <c r="H176" s="311">
        <v>0</v>
      </c>
      <c r="I176" s="311">
        <v>0</v>
      </c>
    </row>
    <row r="177">
      <c r="A177" s="311">
        <v>176</v>
      </c>
      <c r="B177" s="311" t="s">
        <v>21899</v>
      </c>
      <c r="C177" s="311">
        <v>3</v>
      </c>
      <c r="D177" s="311" t="s">
        <v>21860</v>
      </c>
      <c r="E177" s="311">
        <v>0</v>
      </c>
      <c r="F177" s="311">
        <v>60</v>
      </c>
      <c r="G177" s="311">
        <v>0</v>
      </c>
      <c r="H177" s="311">
        <v>0</v>
      </c>
      <c r="I177" s="311">
        <v>0</v>
      </c>
    </row>
    <row r="178">
      <c r="A178" s="311">
        <v>177</v>
      </c>
      <c r="B178" s="311" t="s">
        <v>21899</v>
      </c>
      <c r="C178" s="311">
        <v>4</v>
      </c>
      <c r="D178" s="311" t="s">
        <v>21860</v>
      </c>
      <c r="E178" s="311">
        <v>0</v>
      </c>
      <c r="F178" s="311">
        <v>80</v>
      </c>
      <c r="G178" s="311">
        <v>0</v>
      </c>
      <c r="H178" s="311">
        <v>0</v>
      </c>
      <c r="I178" s="311">
        <v>0</v>
      </c>
    </row>
    <row r="179">
      <c r="A179" s="311">
        <v>178</v>
      </c>
      <c r="B179" s="311" t="s">
        <v>21899</v>
      </c>
      <c r="C179" s="311">
        <v>5</v>
      </c>
      <c r="D179" s="311" t="s">
        <v>21860</v>
      </c>
      <c r="E179" s="311">
        <v>0</v>
      </c>
      <c r="F179" s="311">
        <v>80</v>
      </c>
      <c r="G179" s="311">
        <v>0</v>
      </c>
      <c r="H179" s="311">
        <v>0</v>
      </c>
      <c r="I179" s="311">
        <v>0</v>
      </c>
    </row>
    <row r="180">
      <c r="A180" s="311">
        <v>179</v>
      </c>
      <c r="B180" s="311" t="s">
        <v>21899</v>
      </c>
      <c r="C180" s="311">
        <v>6</v>
      </c>
      <c r="D180" s="311" t="s">
        <v>21860</v>
      </c>
      <c r="E180" s="311">
        <v>0</v>
      </c>
      <c r="F180" s="311">
        <v>80</v>
      </c>
      <c r="G180" s="311">
        <v>0</v>
      </c>
      <c r="H180" s="311">
        <v>0</v>
      </c>
      <c r="I180" s="311">
        <v>0</v>
      </c>
    </row>
    <row r="181">
      <c r="A181" s="311">
        <v>180</v>
      </c>
      <c r="B181" s="311" t="s">
        <v>21883</v>
      </c>
      <c r="C181" s="311">
        <v>3</v>
      </c>
      <c r="D181" s="311" t="s">
        <v>21877</v>
      </c>
      <c r="E181" s="311">
        <v>0</v>
      </c>
      <c r="F181" s="311">
        <v>60</v>
      </c>
      <c r="G181" s="311">
        <v>0</v>
      </c>
      <c r="H181" s="311">
        <v>0</v>
      </c>
      <c r="I181" s="311">
        <v>0</v>
      </c>
    </row>
    <row r="182">
      <c r="A182" s="311">
        <v>181</v>
      </c>
      <c r="B182" s="311" t="s">
        <v>21883</v>
      </c>
      <c r="C182" s="311">
        <v>4</v>
      </c>
      <c r="D182" s="311" t="s">
        <v>21877</v>
      </c>
      <c r="E182" s="311">
        <v>0</v>
      </c>
      <c r="F182" s="311">
        <v>80</v>
      </c>
      <c r="G182" s="311">
        <v>0</v>
      </c>
      <c r="H182" s="311">
        <v>0</v>
      </c>
      <c r="I182" s="311">
        <v>0</v>
      </c>
    </row>
    <row r="183">
      <c r="A183" s="311">
        <v>182</v>
      </c>
      <c r="B183" s="311" t="s">
        <v>21885</v>
      </c>
      <c r="C183" s="311">
        <v>3</v>
      </c>
      <c r="D183" s="311" t="s">
        <v>21877</v>
      </c>
      <c r="E183" s="311">
        <v>0</v>
      </c>
      <c r="F183" s="311">
        <v>60</v>
      </c>
      <c r="G183" s="311">
        <v>0</v>
      </c>
      <c r="H183" s="311">
        <v>0</v>
      </c>
      <c r="I183" s="311">
        <v>0</v>
      </c>
    </row>
    <row r="184">
      <c r="A184" s="311">
        <v>183</v>
      </c>
      <c r="B184" s="311" t="s">
        <v>21885</v>
      </c>
      <c r="C184" s="311">
        <v>4</v>
      </c>
      <c r="D184" s="311" t="s">
        <v>21877</v>
      </c>
      <c r="E184" s="311">
        <v>0</v>
      </c>
      <c r="F184" s="311">
        <v>80</v>
      </c>
      <c r="G184" s="311">
        <v>0</v>
      </c>
      <c r="H184" s="311">
        <v>0</v>
      </c>
      <c r="I184" s="311">
        <v>0</v>
      </c>
    </row>
    <row r="185">
      <c r="A185" s="311">
        <v>184</v>
      </c>
      <c r="B185" s="311" t="s">
        <v>21900</v>
      </c>
      <c r="C185" s="311">
        <v>1</v>
      </c>
      <c r="D185" s="311" t="s">
        <v>21892</v>
      </c>
      <c r="E185" s="311">
        <v>0</v>
      </c>
      <c r="F185" s="311">
        <v>40</v>
      </c>
      <c r="G185" s="311">
        <v>0</v>
      </c>
      <c r="H185" s="311">
        <v>0</v>
      </c>
      <c r="I185" s="311">
        <v>0</v>
      </c>
    </row>
    <row r="186">
      <c r="A186" s="311">
        <v>185</v>
      </c>
      <c r="B186" s="311" t="s">
        <v>21901</v>
      </c>
      <c r="C186" s="311">
        <v>1</v>
      </c>
      <c r="D186" s="311" t="s">
        <v>21877</v>
      </c>
      <c r="E186" s="311">
        <v>0</v>
      </c>
      <c r="F186" s="311">
        <v>20</v>
      </c>
      <c r="G186" s="311">
        <v>0</v>
      </c>
      <c r="H186" s="311">
        <v>0</v>
      </c>
      <c r="I186" s="311">
        <v>0</v>
      </c>
    </row>
    <row r="187">
      <c r="A187" s="311">
        <v>186</v>
      </c>
      <c r="B187" s="311" t="s">
        <v>21901</v>
      </c>
      <c r="C187" s="311">
        <v>2</v>
      </c>
      <c r="D187" s="311" t="s">
        <v>21877</v>
      </c>
      <c r="E187" s="311">
        <v>0</v>
      </c>
      <c r="F187" s="311">
        <v>40</v>
      </c>
      <c r="G187" s="311">
        <v>0</v>
      </c>
      <c r="H187" s="311">
        <v>0</v>
      </c>
      <c r="I187" s="311">
        <v>0</v>
      </c>
    </row>
    <row r="188">
      <c r="A188" s="311">
        <v>187</v>
      </c>
      <c r="B188" s="311" t="s">
        <v>21901</v>
      </c>
      <c r="C188" s="311">
        <v>3</v>
      </c>
      <c r="D188" s="311" t="s">
        <v>21877</v>
      </c>
      <c r="E188" s="311">
        <v>0</v>
      </c>
      <c r="F188" s="311">
        <v>60</v>
      </c>
      <c r="G188" s="311">
        <v>0</v>
      </c>
      <c r="H188" s="311">
        <v>0</v>
      </c>
      <c r="I188" s="311">
        <v>0</v>
      </c>
    </row>
    <row r="189">
      <c r="A189" s="311">
        <v>188</v>
      </c>
      <c r="B189" s="311" t="s">
        <v>21901</v>
      </c>
      <c r="C189" s="311">
        <v>4</v>
      </c>
      <c r="D189" s="311" t="s">
        <v>21877</v>
      </c>
      <c r="E189" s="311">
        <v>0</v>
      </c>
      <c r="F189" s="311">
        <v>80</v>
      </c>
      <c r="G189" s="311">
        <v>0</v>
      </c>
      <c r="H189" s="311">
        <v>0</v>
      </c>
      <c r="I189" s="311">
        <v>0</v>
      </c>
    </row>
    <row r="190">
      <c r="A190" s="311">
        <v>189</v>
      </c>
      <c r="B190" s="311" t="s">
        <v>21902</v>
      </c>
      <c r="C190" s="311">
        <v>1</v>
      </c>
      <c r="D190" s="311" t="s">
        <v>21892</v>
      </c>
      <c r="E190" s="311">
        <v>0</v>
      </c>
      <c r="F190" s="311">
        <v>40</v>
      </c>
      <c r="G190" s="311">
        <v>0</v>
      </c>
      <c r="H190" s="311">
        <v>0</v>
      </c>
      <c r="I190" s="311">
        <v>0</v>
      </c>
    </row>
    <row r="191">
      <c r="A191" s="311">
        <v>190</v>
      </c>
      <c r="B191" s="311" t="s">
        <v>21903</v>
      </c>
      <c r="C191" s="311">
        <v>2</v>
      </c>
      <c r="D191" s="311" t="s">
        <v>21877</v>
      </c>
      <c r="E191" s="311">
        <v>0</v>
      </c>
      <c r="F191" s="311">
        <v>0</v>
      </c>
      <c r="G191" s="311">
        <v>80</v>
      </c>
      <c r="H191" s="311">
        <v>0</v>
      </c>
      <c r="I191" s="311">
        <v>0</v>
      </c>
    </row>
    <row r="192">
      <c r="A192" s="311">
        <v>191</v>
      </c>
      <c r="B192" s="311" t="s">
        <v>21903</v>
      </c>
      <c r="C192" s="311">
        <v>1</v>
      </c>
      <c r="D192" s="311" t="s">
        <v>21904</v>
      </c>
      <c r="E192" s="311">
        <v>0</v>
      </c>
      <c r="F192" s="311">
        <v>0</v>
      </c>
      <c r="G192" s="311">
        <v>80</v>
      </c>
      <c r="H192" s="311">
        <v>0</v>
      </c>
      <c r="I192" s="311">
        <v>0</v>
      </c>
    </row>
    <row r="193">
      <c r="A193" s="311">
        <v>192</v>
      </c>
      <c r="B193" s="311" t="s">
        <v>21880</v>
      </c>
      <c r="C193" s="311">
        <v>1</v>
      </c>
      <c r="D193" s="311" t="s">
        <v>21859</v>
      </c>
      <c r="E193" s="311">
        <v>0</v>
      </c>
      <c r="F193" s="311">
        <v>0</v>
      </c>
      <c r="G193" s="311">
        <v>20</v>
      </c>
      <c r="H193" s="311">
        <v>0</v>
      </c>
      <c r="I193" s="311">
        <v>0</v>
      </c>
    </row>
    <row r="194">
      <c r="A194" s="311">
        <v>193</v>
      </c>
      <c r="B194" s="311" t="s">
        <v>21880</v>
      </c>
      <c r="C194" s="311">
        <v>3</v>
      </c>
      <c r="D194" s="311" t="s">
        <v>21859</v>
      </c>
      <c r="E194" s="311">
        <v>0</v>
      </c>
      <c r="F194" s="311">
        <v>0</v>
      </c>
      <c r="G194" s="311">
        <v>60</v>
      </c>
      <c r="H194" s="311">
        <v>0</v>
      </c>
      <c r="I194" s="311">
        <v>0</v>
      </c>
    </row>
    <row r="195">
      <c r="A195" s="311">
        <v>194</v>
      </c>
      <c r="B195" s="311" t="s">
        <v>21880</v>
      </c>
      <c r="C195" s="311">
        <v>1</v>
      </c>
      <c r="D195" s="311" t="s">
        <v>21860</v>
      </c>
      <c r="E195" s="311">
        <v>0</v>
      </c>
      <c r="F195" s="311">
        <v>0</v>
      </c>
      <c r="G195" s="311">
        <v>20</v>
      </c>
      <c r="H195" s="311">
        <v>0</v>
      </c>
      <c r="I195" s="311">
        <v>0</v>
      </c>
    </row>
    <row r="196">
      <c r="A196" s="311">
        <v>195</v>
      </c>
      <c r="B196" s="311" t="s">
        <v>21881</v>
      </c>
      <c r="C196" s="311">
        <v>1</v>
      </c>
      <c r="D196" s="311" t="s">
        <v>21904</v>
      </c>
      <c r="E196" s="311">
        <v>0</v>
      </c>
      <c r="F196" s="311">
        <v>0</v>
      </c>
      <c r="G196" s="311">
        <v>80</v>
      </c>
      <c r="H196" s="311">
        <v>0</v>
      </c>
      <c r="I196" s="311">
        <v>0</v>
      </c>
    </row>
    <row r="197">
      <c r="A197" s="311">
        <v>196</v>
      </c>
      <c r="B197" s="311" t="s">
        <v>21905</v>
      </c>
      <c r="C197" s="311">
        <v>1</v>
      </c>
      <c r="D197" s="311" t="s">
        <v>21892</v>
      </c>
      <c r="E197" s="311">
        <v>0</v>
      </c>
      <c r="F197" s="311">
        <v>0</v>
      </c>
      <c r="G197" s="311">
        <v>60</v>
      </c>
      <c r="H197" s="311">
        <v>0</v>
      </c>
      <c r="I197" s="311">
        <v>0</v>
      </c>
    </row>
    <row r="198">
      <c r="A198" s="311">
        <v>197</v>
      </c>
      <c r="B198" s="311" t="s">
        <v>21906</v>
      </c>
      <c r="C198" s="311">
        <v>1</v>
      </c>
      <c r="D198" s="311" t="s">
        <v>21892</v>
      </c>
      <c r="E198" s="311">
        <v>0</v>
      </c>
      <c r="F198" s="311">
        <v>0</v>
      </c>
      <c r="G198" s="311">
        <v>120</v>
      </c>
      <c r="H198" s="311">
        <v>0</v>
      </c>
      <c r="I198" s="311">
        <v>0</v>
      </c>
    </row>
    <row r="199">
      <c r="A199" s="311">
        <v>198</v>
      </c>
      <c r="B199" s="311" t="s">
        <v>21883</v>
      </c>
      <c r="C199" s="311">
        <v>3</v>
      </c>
      <c r="D199" s="311" t="s">
        <v>21859</v>
      </c>
      <c r="E199" s="311">
        <v>0</v>
      </c>
      <c r="F199" s="311">
        <v>0</v>
      </c>
      <c r="G199" s="311">
        <v>71</v>
      </c>
      <c r="H199" s="311">
        <v>60</v>
      </c>
      <c r="I199" s="311">
        <v>0</v>
      </c>
    </row>
    <row r="200">
      <c r="A200" s="311">
        <v>199</v>
      </c>
      <c r="B200" s="311" t="s">
        <v>21156</v>
      </c>
      <c r="C200" s="311">
        <v>2</v>
      </c>
      <c r="D200" s="311" t="s">
        <v>21859</v>
      </c>
      <c r="E200" s="311">
        <v>0</v>
      </c>
      <c r="F200" s="311">
        <v>0</v>
      </c>
      <c r="G200" s="311">
        <v>20</v>
      </c>
      <c r="H200" s="311">
        <v>0</v>
      </c>
      <c r="I200" s="311">
        <v>0</v>
      </c>
    </row>
    <row r="201">
      <c r="A201" s="311">
        <v>200</v>
      </c>
      <c r="B201" s="311" t="s">
        <v>21156</v>
      </c>
      <c r="C201" s="311">
        <v>3</v>
      </c>
      <c r="D201" s="311" t="s">
        <v>21859</v>
      </c>
      <c r="E201" s="311">
        <v>0</v>
      </c>
      <c r="F201" s="311">
        <v>0</v>
      </c>
      <c r="G201" s="311">
        <v>20</v>
      </c>
      <c r="H201" s="311">
        <v>0</v>
      </c>
      <c r="I201" s="311">
        <v>0</v>
      </c>
    </row>
    <row r="202">
      <c r="A202" s="311">
        <v>201</v>
      </c>
      <c r="B202" s="311" t="s">
        <v>21156</v>
      </c>
      <c r="C202" s="311">
        <v>4</v>
      </c>
      <c r="D202" s="311" t="s">
        <v>21859</v>
      </c>
      <c r="E202" s="311">
        <v>0</v>
      </c>
      <c r="F202" s="311">
        <v>0</v>
      </c>
      <c r="G202" s="311">
        <v>20</v>
      </c>
      <c r="H202" s="311">
        <v>0</v>
      </c>
      <c r="I202" s="311">
        <v>0</v>
      </c>
    </row>
    <row r="203">
      <c r="A203" s="311">
        <v>202</v>
      </c>
      <c r="B203" s="311" t="s">
        <v>21156</v>
      </c>
      <c r="C203" s="311">
        <v>2</v>
      </c>
      <c r="D203" s="311" t="s">
        <v>21860</v>
      </c>
      <c r="E203" s="311">
        <v>0</v>
      </c>
      <c r="F203" s="311">
        <v>0</v>
      </c>
      <c r="G203" s="311">
        <v>16</v>
      </c>
      <c r="H203" s="311">
        <v>0</v>
      </c>
      <c r="I203" s="311">
        <v>0</v>
      </c>
    </row>
    <row r="204">
      <c r="A204" s="311">
        <v>203</v>
      </c>
      <c r="B204" s="311" t="s">
        <v>21156</v>
      </c>
      <c r="C204" s="311">
        <v>3</v>
      </c>
      <c r="D204" s="311" t="s">
        <v>21860</v>
      </c>
      <c r="E204" s="311">
        <v>0</v>
      </c>
      <c r="F204" s="311">
        <v>0</v>
      </c>
      <c r="G204" s="311">
        <v>16</v>
      </c>
      <c r="H204" s="311">
        <v>0</v>
      </c>
      <c r="I204" s="311">
        <v>0</v>
      </c>
    </row>
    <row r="205">
      <c r="A205" s="311">
        <v>204</v>
      </c>
      <c r="B205" s="311" t="s">
        <v>21156</v>
      </c>
      <c r="C205" s="311">
        <v>4</v>
      </c>
      <c r="D205" s="311" t="s">
        <v>21860</v>
      </c>
      <c r="E205" s="311">
        <v>0</v>
      </c>
      <c r="F205" s="311">
        <v>0</v>
      </c>
      <c r="G205" s="311">
        <v>16</v>
      </c>
      <c r="H205" s="311">
        <v>0</v>
      </c>
      <c r="I205" s="311">
        <v>0</v>
      </c>
    </row>
    <row r="206">
      <c r="A206" s="311">
        <v>205</v>
      </c>
      <c r="B206" s="311" t="s">
        <v>21156</v>
      </c>
      <c r="C206" s="311">
        <v>4</v>
      </c>
      <c r="D206" s="311" t="s">
        <v>21861</v>
      </c>
      <c r="E206" s="311">
        <v>0</v>
      </c>
      <c r="F206" s="311">
        <v>0</v>
      </c>
      <c r="G206" s="311">
        <v>20</v>
      </c>
      <c r="H206" s="311">
        <v>0</v>
      </c>
      <c r="I206" s="311">
        <v>0</v>
      </c>
    </row>
    <row r="207">
      <c r="A207" s="311">
        <v>206</v>
      </c>
      <c r="B207" s="311" t="s">
        <v>21156</v>
      </c>
      <c r="C207" s="311">
        <v>6</v>
      </c>
      <c r="D207" s="311" t="s">
        <v>21861</v>
      </c>
      <c r="E207" s="311">
        <v>0</v>
      </c>
      <c r="F207" s="311">
        <v>0</v>
      </c>
      <c r="G207" s="311">
        <v>20</v>
      </c>
      <c r="H207" s="311">
        <v>0</v>
      </c>
      <c r="I207" s="311">
        <v>0</v>
      </c>
    </row>
    <row r="208">
      <c r="A208" s="311">
        <v>207</v>
      </c>
      <c r="B208" s="311" t="s">
        <v>21156</v>
      </c>
      <c r="C208" s="311">
        <v>8</v>
      </c>
      <c r="D208" s="311" t="s">
        <v>21861</v>
      </c>
      <c r="E208" s="311">
        <v>0</v>
      </c>
      <c r="F208" s="311">
        <v>0</v>
      </c>
      <c r="G208" s="311">
        <v>20</v>
      </c>
      <c r="H208" s="311">
        <v>0</v>
      </c>
      <c r="I208" s="311">
        <v>0</v>
      </c>
    </row>
    <row r="209">
      <c r="A209" s="311">
        <v>208</v>
      </c>
      <c r="B209" s="311" t="s">
        <v>21907</v>
      </c>
      <c r="C209" s="311">
        <v>1</v>
      </c>
      <c r="D209" s="311" t="s">
        <v>21859</v>
      </c>
      <c r="E209" s="311">
        <v>0</v>
      </c>
      <c r="F209" s="311">
        <v>0</v>
      </c>
      <c r="G209" s="311">
        <v>63</v>
      </c>
      <c r="H209" s="311">
        <v>0</v>
      </c>
      <c r="I209" s="311">
        <v>0</v>
      </c>
    </row>
    <row r="210">
      <c r="A210" s="311">
        <v>209</v>
      </c>
      <c r="B210" s="311" t="s">
        <v>21907</v>
      </c>
      <c r="C210" s="311">
        <v>2</v>
      </c>
      <c r="D210" s="311" t="s">
        <v>21859</v>
      </c>
      <c r="E210" s="311">
        <v>0</v>
      </c>
      <c r="F210" s="311">
        <v>0</v>
      </c>
      <c r="G210" s="311">
        <v>63</v>
      </c>
      <c r="H210" s="311">
        <v>0</v>
      </c>
      <c r="I210" s="311">
        <v>0</v>
      </c>
    </row>
    <row r="211">
      <c r="A211" s="311">
        <v>210</v>
      </c>
      <c r="B211" s="311" t="s">
        <v>21907</v>
      </c>
      <c r="C211" s="311">
        <v>1</v>
      </c>
      <c r="D211" s="311" t="s">
        <v>21860</v>
      </c>
      <c r="E211" s="311">
        <v>0</v>
      </c>
      <c r="F211" s="311">
        <v>0</v>
      </c>
      <c r="G211" s="311">
        <v>50</v>
      </c>
      <c r="H211" s="311">
        <v>0</v>
      </c>
      <c r="I211" s="311">
        <v>0</v>
      </c>
    </row>
    <row r="212">
      <c r="A212" s="311">
        <v>211</v>
      </c>
      <c r="B212" s="311" t="s">
        <v>21907</v>
      </c>
      <c r="C212" s="311">
        <v>2</v>
      </c>
      <c r="D212" s="311" t="s">
        <v>21860</v>
      </c>
      <c r="E212" s="311">
        <v>0</v>
      </c>
      <c r="F212" s="311">
        <v>0</v>
      </c>
      <c r="G212" s="311">
        <v>50</v>
      </c>
      <c r="H212" s="311">
        <v>0</v>
      </c>
      <c r="I212" s="311">
        <v>0</v>
      </c>
    </row>
    <row r="213">
      <c r="A213" s="311">
        <v>212</v>
      </c>
      <c r="B213" s="311" t="s">
        <v>21908</v>
      </c>
      <c r="C213" s="311">
        <v>2</v>
      </c>
      <c r="D213" s="311" t="s">
        <v>21859</v>
      </c>
      <c r="E213" s="311">
        <v>0</v>
      </c>
      <c r="F213" s="311">
        <v>0</v>
      </c>
      <c r="G213" s="311">
        <v>60</v>
      </c>
      <c r="H213" s="311">
        <v>0</v>
      </c>
      <c r="I213" s="311">
        <v>0</v>
      </c>
    </row>
    <row r="214">
      <c r="A214" s="311">
        <v>213</v>
      </c>
      <c r="B214" s="311" t="s">
        <v>21909</v>
      </c>
      <c r="C214" s="311">
        <v>1</v>
      </c>
      <c r="D214" s="311" t="s">
        <v>21904</v>
      </c>
      <c r="E214" s="311">
        <v>0</v>
      </c>
      <c r="F214" s="311">
        <v>0</v>
      </c>
      <c r="G214" s="311">
        <v>60</v>
      </c>
      <c r="H214" s="311">
        <v>0</v>
      </c>
      <c r="I214" s="311">
        <v>0</v>
      </c>
    </row>
    <row r="215">
      <c r="A215" s="311">
        <v>214</v>
      </c>
      <c r="B215" s="311" t="s">
        <v>21910</v>
      </c>
      <c r="C215" s="311">
        <v>1</v>
      </c>
      <c r="D215" s="311" t="s">
        <v>21892</v>
      </c>
      <c r="E215" s="311">
        <v>0</v>
      </c>
      <c r="F215" s="311">
        <v>0</v>
      </c>
      <c r="G215" s="311">
        <v>160</v>
      </c>
      <c r="H215" s="311">
        <v>0</v>
      </c>
      <c r="I215" s="311">
        <v>0</v>
      </c>
    </row>
    <row r="216">
      <c r="A216" s="311">
        <v>215</v>
      </c>
      <c r="B216" s="311" t="s">
        <v>21911</v>
      </c>
      <c r="C216" s="311">
        <v>1</v>
      </c>
      <c r="D216" s="311" t="s">
        <v>21892</v>
      </c>
      <c r="E216" s="311">
        <v>0</v>
      </c>
      <c r="F216" s="311">
        <v>0</v>
      </c>
      <c r="G216" s="311">
        <v>120</v>
      </c>
      <c r="H216" s="311">
        <v>0</v>
      </c>
      <c r="I216" s="311">
        <v>0</v>
      </c>
    </row>
    <row r="217">
      <c r="A217" s="311">
        <v>216</v>
      </c>
      <c r="B217" s="311" t="s">
        <v>21912</v>
      </c>
      <c r="C217" s="311">
        <v>1</v>
      </c>
      <c r="D217" s="311" t="s">
        <v>21877</v>
      </c>
      <c r="E217" s="311">
        <v>0</v>
      </c>
      <c r="F217" s="311">
        <v>0</v>
      </c>
      <c r="G217" s="311">
        <v>80</v>
      </c>
      <c r="H217" s="311">
        <v>0</v>
      </c>
      <c r="I217" s="311">
        <v>0</v>
      </c>
    </row>
    <row r="218">
      <c r="A218" s="311">
        <v>217</v>
      </c>
      <c r="B218" s="311" t="s">
        <v>21912</v>
      </c>
      <c r="C218" s="311">
        <v>2</v>
      </c>
      <c r="D218" s="311" t="s">
        <v>21877</v>
      </c>
      <c r="E218" s="311">
        <v>0</v>
      </c>
      <c r="F218" s="311">
        <v>0</v>
      </c>
      <c r="G218" s="311">
        <v>80</v>
      </c>
      <c r="H218" s="311">
        <v>0</v>
      </c>
      <c r="I218" s="311">
        <v>0</v>
      </c>
    </row>
    <row r="219">
      <c r="A219" s="311">
        <v>218</v>
      </c>
      <c r="B219" s="311" t="s">
        <v>21912</v>
      </c>
      <c r="C219" s="311">
        <v>3</v>
      </c>
      <c r="D219" s="311" t="s">
        <v>21877</v>
      </c>
      <c r="E219" s="311">
        <v>0</v>
      </c>
      <c r="F219" s="311">
        <v>0</v>
      </c>
      <c r="G219" s="311">
        <v>80</v>
      </c>
      <c r="H219" s="311">
        <v>0</v>
      </c>
      <c r="I219" s="311">
        <v>0</v>
      </c>
    </row>
    <row r="220">
      <c r="A220" s="311">
        <v>219</v>
      </c>
      <c r="B220" s="311" t="s">
        <v>21913</v>
      </c>
      <c r="C220" s="311">
        <v>1</v>
      </c>
      <c r="D220" s="311" t="s">
        <v>21877</v>
      </c>
      <c r="E220" s="311">
        <v>0</v>
      </c>
      <c r="F220" s="311">
        <v>0</v>
      </c>
      <c r="G220" s="311">
        <v>120</v>
      </c>
      <c r="H220" s="311">
        <v>0</v>
      </c>
      <c r="I220" s="311">
        <v>0</v>
      </c>
    </row>
    <row r="221">
      <c r="A221" s="311">
        <v>220</v>
      </c>
      <c r="B221" s="311" t="s">
        <v>21913</v>
      </c>
      <c r="C221" s="311">
        <v>2</v>
      </c>
      <c r="D221" s="311" t="s">
        <v>21877</v>
      </c>
      <c r="E221" s="311">
        <v>0</v>
      </c>
      <c r="F221" s="311">
        <v>0</v>
      </c>
      <c r="G221" s="311">
        <v>120</v>
      </c>
      <c r="H221" s="311">
        <v>0</v>
      </c>
      <c r="I221" s="311">
        <v>0</v>
      </c>
    </row>
    <row r="222">
      <c r="A222" s="311">
        <v>221</v>
      </c>
      <c r="B222" s="311" t="s">
        <v>21913</v>
      </c>
      <c r="C222" s="311">
        <v>3</v>
      </c>
      <c r="D222" s="311" t="s">
        <v>21877</v>
      </c>
      <c r="E222" s="311">
        <v>0</v>
      </c>
      <c r="F222" s="311">
        <v>0</v>
      </c>
      <c r="G222" s="311">
        <v>120</v>
      </c>
      <c r="H222" s="311">
        <v>0</v>
      </c>
      <c r="I222" s="311">
        <v>0</v>
      </c>
    </row>
    <row r="223">
      <c r="A223" s="311">
        <v>222</v>
      </c>
      <c r="B223" s="311" t="s">
        <v>21914</v>
      </c>
      <c r="C223" s="311">
        <v>1</v>
      </c>
      <c r="D223" s="311" t="s">
        <v>21904</v>
      </c>
      <c r="E223" s="311">
        <v>0</v>
      </c>
      <c r="F223" s="311">
        <v>0</v>
      </c>
      <c r="G223" s="311">
        <v>80</v>
      </c>
      <c r="H223" s="311">
        <v>0</v>
      </c>
      <c r="I223" s="311">
        <v>0</v>
      </c>
    </row>
    <row r="224">
      <c r="A224" s="311">
        <v>223</v>
      </c>
      <c r="B224" s="311" t="s">
        <v>21915</v>
      </c>
      <c r="C224" s="311">
        <v>2</v>
      </c>
      <c r="D224" s="311" t="s">
        <v>21877</v>
      </c>
      <c r="E224" s="311">
        <v>0</v>
      </c>
      <c r="F224" s="311">
        <v>0</v>
      </c>
      <c r="G224" s="311">
        <v>20</v>
      </c>
      <c r="H224" s="311">
        <v>0</v>
      </c>
      <c r="I224" s="311">
        <v>0</v>
      </c>
    </row>
    <row r="225">
      <c r="A225" s="311">
        <v>224</v>
      </c>
      <c r="B225" s="311" t="s">
        <v>21916</v>
      </c>
      <c r="C225" s="311">
        <v>2</v>
      </c>
      <c r="D225" s="311" t="s">
        <v>21877</v>
      </c>
      <c r="E225" s="311">
        <v>0</v>
      </c>
      <c r="F225" s="311">
        <v>0</v>
      </c>
      <c r="G225" s="311">
        <v>40</v>
      </c>
      <c r="H225" s="311">
        <v>0</v>
      </c>
      <c r="I225" s="311">
        <v>0</v>
      </c>
    </row>
    <row r="226">
      <c r="A226" s="311">
        <v>225</v>
      </c>
      <c r="B226" s="311" t="s">
        <v>21908</v>
      </c>
      <c r="C226" s="311">
        <v>1</v>
      </c>
      <c r="D226" s="311" t="s">
        <v>21892</v>
      </c>
      <c r="E226" s="311">
        <v>0</v>
      </c>
      <c r="F226" s="311">
        <v>0</v>
      </c>
      <c r="G226" s="311">
        <v>120</v>
      </c>
      <c r="H226" s="311">
        <v>0</v>
      </c>
      <c r="I226" s="311">
        <v>0</v>
      </c>
    </row>
    <row r="227">
      <c r="A227" s="311">
        <v>226</v>
      </c>
      <c r="B227" s="311" t="s">
        <v>21881</v>
      </c>
      <c r="C227" s="311">
        <v>1</v>
      </c>
      <c r="D227" s="311" t="s">
        <v>21892</v>
      </c>
      <c r="E227" s="311">
        <v>0</v>
      </c>
      <c r="F227" s="311">
        <v>0</v>
      </c>
      <c r="G227" s="311">
        <v>60</v>
      </c>
      <c r="H227" s="311">
        <v>0</v>
      </c>
      <c r="I227" s="311">
        <v>0</v>
      </c>
    </row>
    <row r="228">
      <c r="A228" s="311">
        <v>227</v>
      </c>
      <c r="B228" s="311" t="s">
        <v>21873</v>
      </c>
      <c r="C228" s="311">
        <v>3</v>
      </c>
      <c r="D228" s="311" t="s">
        <v>21859</v>
      </c>
      <c r="E228" s="311">
        <v>0</v>
      </c>
      <c r="F228" s="311">
        <v>0</v>
      </c>
      <c r="G228" s="311">
        <v>0</v>
      </c>
      <c r="H228" s="311">
        <v>76</v>
      </c>
      <c r="I228" s="311">
        <v>0</v>
      </c>
    </row>
    <row r="229">
      <c r="A229" s="311">
        <v>228</v>
      </c>
      <c r="B229" s="311" t="s">
        <v>21881</v>
      </c>
      <c r="C229" s="311">
        <v>6</v>
      </c>
      <c r="D229" s="311" t="s">
        <v>21859</v>
      </c>
      <c r="E229" s="311">
        <v>0</v>
      </c>
      <c r="F229" s="311">
        <v>0</v>
      </c>
      <c r="G229" s="311">
        <v>0</v>
      </c>
      <c r="H229" s="311">
        <v>120</v>
      </c>
      <c r="I229" s="311">
        <v>0</v>
      </c>
    </row>
    <row r="230">
      <c r="A230" s="311">
        <v>229</v>
      </c>
      <c r="B230" s="311" t="s">
        <v>21883</v>
      </c>
      <c r="C230" s="311">
        <v>6</v>
      </c>
      <c r="D230" s="311" t="s">
        <v>21859</v>
      </c>
      <c r="E230" s="311">
        <v>0</v>
      </c>
      <c r="F230" s="311">
        <v>0</v>
      </c>
      <c r="G230" s="311">
        <v>0</v>
      </c>
      <c r="H230" s="311">
        <v>120</v>
      </c>
      <c r="I230" s="311">
        <v>0</v>
      </c>
    </row>
    <row r="231">
      <c r="A231" s="311">
        <v>230</v>
      </c>
      <c r="B231" s="311" t="s">
        <v>21884</v>
      </c>
      <c r="C231" s="311">
        <v>3</v>
      </c>
      <c r="D231" s="311" t="s">
        <v>21859</v>
      </c>
      <c r="E231" s="311">
        <v>0</v>
      </c>
      <c r="F231" s="311">
        <v>0</v>
      </c>
      <c r="G231" s="311">
        <v>0</v>
      </c>
      <c r="H231" s="311">
        <v>60</v>
      </c>
      <c r="I231" s="311">
        <v>0</v>
      </c>
    </row>
    <row r="232">
      <c r="A232" s="311">
        <v>231</v>
      </c>
      <c r="B232" s="311" t="s">
        <v>21884</v>
      </c>
      <c r="C232" s="311">
        <v>6</v>
      </c>
      <c r="D232" s="311" t="s">
        <v>21859</v>
      </c>
      <c r="E232" s="311">
        <v>0</v>
      </c>
      <c r="F232" s="311">
        <v>0</v>
      </c>
      <c r="G232" s="311">
        <v>0</v>
      </c>
      <c r="H232" s="311">
        <v>120</v>
      </c>
      <c r="I232" s="311">
        <v>0</v>
      </c>
    </row>
    <row r="233">
      <c r="A233" s="311">
        <v>232</v>
      </c>
      <c r="B233" s="311" t="s">
        <v>21236</v>
      </c>
      <c r="C233" s="311">
        <v>1</v>
      </c>
      <c r="D233" s="311" t="s">
        <v>21904</v>
      </c>
      <c r="E233" s="311">
        <v>0</v>
      </c>
      <c r="F233" s="311">
        <v>0</v>
      </c>
      <c r="G233" s="311">
        <v>0</v>
      </c>
      <c r="H233" s="311">
        <v>40</v>
      </c>
      <c r="I233" s="311">
        <v>0</v>
      </c>
    </row>
    <row r="234">
      <c r="A234" s="311">
        <v>233</v>
      </c>
      <c r="B234" s="311" t="s">
        <v>21883</v>
      </c>
      <c r="C234" s="311">
        <v>1</v>
      </c>
      <c r="D234" s="311" t="s">
        <v>21860</v>
      </c>
      <c r="E234" s="311">
        <v>0</v>
      </c>
      <c r="F234" s="311">
        <v>0</v>
      </c>
      <c r="G234" s="311">
        <v>0</v>
      </c>
      <c r="H234" s="311">
        <v>0</v>
      </c>
      <c r="I234" s="311">
        <v>60</v>
      </c>
    </row>
    <row r="235">
      <c r="A235" s="311">
        <v>234</v>
      </c>
      <c r="B235" s="311" t="s">
        <v>21884</v>
      </c>
      <c r="C235" s="311">
        <v>1</v>
      </c>
      <c r="D235" s="311" t="s">
        <v>21860</v>
      </c>
      <c r="E235" s="311">
        <v>0</v>
      </c>
      <c r="F235" s="311">
        <v>0</v>
      </c>
      <c r="G235" s="311">
        <v>0</v>
      </c>
      <c r="H235" s="311">
        <v>0</v>
      </c>
      <c r="I235" s="311">
        <v>60</v>
      </c>
    </row>
    <row r="236">
      <c r="A236" s="311">
        <v>235</v>
      </c>
      <c r="B236" s="311" t="s">
        <v>21885</v>
      </c>
      <c r="C236" s="311">
        <v>1</v>
      </c>
      <c r="D236" s="311" t="s">
        <v>21860</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4.4"/>
  <cols>
    <col min="1" max="1" width="6.109375" customWidth="1"/>
    <col min="2" max="2" width="5.33203125" customWidth="1"/>
    <col min="3" max="3" width="25.109375" customWidth="1"/>
  </cols>
  <sheetData>
    <row r="1" ht="33.75" customHeight="1">
      <c r="A1" s="306" t="s">
        <v>0</v>
      </c>
      <c r="B1" s="306" t="s">
        <v>20833</v>
      </c>
      <c r="C1" s="306" t="s">
        <v>20834</v>
      </c>
    </row>
    <row r="2">
      <c r="A2" s="305">
        <v>1</v>
      </c>
      <c r="B2" s="305">
        <v>1</v>
      </c>
      <c r="C2" s="305" t="s">
        <v>21851</v>
      </c>
    </row>
    <row r="3">
      <c r="A3" s="305">
        <v>2</v>
      </c>
      <c r="B3" s="305">
        <v>2</v>
      </c>
      <c r="C3" s="305" t="s">
        <v>21852</v>
      </c>
    </row>
    <row r="4">
      <c r="A4" s="305">
        <v>3</v>
      </c>
      <c r="B4" s="305">
        <v>3</v>
      </c>
      <c r="C4" s="305" t="s">
        <v>21853</v>
      </c>
    </row>
    <row r="5">
      <c r="A5" s="305">
        <v>4</v>
      </c>
      <c r="B5" s="305">
        <v>4</v>
      </c>
      <c r="C5" s="305" t="s">
        <v>21854</v>
      </c>
    </row>
    <row r="6">
      <c r="A6" s="361"/>
      <c r="B6" s="361"/>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7620</xdr:rowOff>
                  </from>
                  <to>
                    <xdr:col>0</xdr:col>
                    <xdr:colOff>342900</xdr:colOff>
                    <xdr:row>0</xdr:row>
                    <xdr:rowOff>160020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1"/>
  <sheetViews>
    <sheetView zoomScaleNormal="100" workbookViewId="0">
      <pane xSplit="3" ySplit="1" topLeftCell="D29" activePane="bottomRight" state="frozen"/>
      <selection pane="topRight" activeCell="D1" sqref="D1"/>
      <selection pane="bottomLeft" activeCell="A2" sqref="A2"/>
      <selection pane="bottomRight" sqref="A1:H31"/>
    </sheetView>
  </sheetViews>
  <sheetFormatPr defaultRowHeight="14.4"/>
  <cols>
    <col min="1" max="1" width="6.109375" customWidth="1"/>
    <col min="2" max="2" width="17.109375" customWidth="1"/>
    <col min="3" max="3" width="43.5546875" customWidth="1"/>
    <col min="4" max="4" width="39" customWidth="1"/>
    <col min="5" max="5" width="14.6640625" customWidth="1"/>
    <col min="6" max="6" width="14" customWidth="1"/>
    <col min="7" max="7" width="15.6640625" customWidth="1"/>
    <col min="8" max="8" width="15.88671875" customWidth="1"/>
  </cols>
  <sheetData>
    <row r="1" ht="33.75" customHeight="1">
      <c r="A1" s="310" t="s">
        <v>0</v>
      </c>
      <c r="B1" s="310" t="s">
        <v>20833</v>
      </c>
      <c r="C1" s="310" t="s">
        <v>20834</v>
      </c>
      <c r="D1" s="310" t="s">
        <v>21243</v>
      </c>
      <c r="E1" s="310" t="s">
        <v>21694</v>
      </c>
      <c r="F1" s="310" t="s">
        <v>21695</v>
      </c>
      <c r="G1" s="310" t="s">
        <v>21696</v>
      </c>
      <c r="H1" s="310" t="s">
        <v>21167</v>
      </c>
    </row>
    <row r="2" ht="43.2">
      <c r="A2" s="309">
        <v>1</v>
      </c>
      <c r="B2" s="309" t="s">
        <v>21697</v>
      </c>
      <c r="C2" s="309" t="s">
        <v>21698</v>
      </c>
      <c r="D2" s="309" t="s">
        <v>21699</v>
      </c>
      <c r="E2" s="309" t="s">
        <v>21700</v>
      </c>
      <c r="F2" s="309" t="s">
        <v>21701</v>
      </c>
      <c r="G2" s="309" t="s">
        <v>21702</v>
      </c>
      <c r="H2" s="309" t="s">
        <v>21703</v>
      </c>
    </row>
    <row r="3" ht="43.2">
      <c r="A3" s="309">
        <v>2</v>
      </c>
      <c r="B3" s="309" t="s">
        <v>21704</v>
      </c>
      <c r="C3" s="309" t="s">
        <v>21705</v>
      </c>
      <c r="D3" s="309" t="s">
        <v>21706</v>
      </c>
      <c r="E3" s="309" t="s">
        <v>21190</v>
      </c>
      <c r="F3" s="309" t="s">
        <v>21190</v>
      </c>
      <c r="G3" s="309" t="s">
        <v>21190</v>
      </c>
      <c r="H3" s="309" t="s">
        <v>21707</v>
      </c>
    </row>
    <row r="4">
      <c r="A4" s="309">
        <v>3</v>
      </c>
      <c r="B4" s="309" t="s">
        <v>21708</v>
      </c>
      <c r="C4" s="309" t="s">
        <v>21709</v>
      </c>
      <c r="D4" s="309" t="s">
        <v>21710</v>
      </c>
      <c r="E4" s="309" t="s">
        <v>21711</v>
      </c>
      <c r="F4" s="309" t="s">
        <v>21701</v>
      </c>
      <c r="G4" s="309" t="s">
        <v>21712</v>
      </c>
      <c r="H4" s="309" t="s">
        <v>21713</v>
      </c>
    </row>
    <row r="5" ht="43.2">
      <c r="A5" s="309">
        <v>4</v>
      </c>
      <c r="B5" s="309" t="s">
        <v>21171</v>
      </c>
      <c r="C5" s="309" t="s">
        <v>21186</v>
      </c>
      <c r="D5" s="309" t="s">
        <v>21714</v>
      </c>
      <c r="E5" s="309" t="s">
        <v>21715</v>
      </c>
      <c r="F5" s="309" t="s">
        <v>21716</v>
      </c>
      <c r="G5" s="309" t="s">
        <v>21717</v>
      </c>
      <c r="H5" s="309" t="s">
        <v>21172</v>
      </c>
    </row>
    <row r="6" ht="28.8">
      <c r="A6" s="309">
        <v>5</v>
      </c>
      <c r="B6" s="309" t="s">
        <v>21718</v>
      </c>
      <c r="C6" s="309" t="s">
        <v>21719</v>
      </c>
      <c r="D6" s="309" t="s">
        <v>21720</v>
      </c>
      <c r="E6" s="309" t="s">
        <v>21721</v>
      </c>
      <c r="F6" s="309" t="s">
        <v>21722</v>
      </c>
      <c r="G6" s="309" t="s">
        <v>21723</v>
      </c>
      <c r="H6" s="309" t="s">
        <v>21724</v>
      </c>
    </row>
    <row r="7" ht="28.8">
      <c r="A7" s="309">
        <v>6</v>
      </c>
      <c r="B7" s="309" t="s">
        <v>21725</v>
      </c>
      <c r="C7" s="309" t="s">
        <v>21726</v>
      </c>
      <c r="D7" s="309" t="s">
        <v>21727</v>
      </c>
      <c r="E7" s="309" t="s">
        <v>21728</v>
      </c>
      <c r="F7" s="309" t="s">
        <v>21729</v>
      </c>
      <c r="G7" s="309" t="s">
        <v>21730</v>
      </c>
      <c r="H7" s="309" t="s">
        <v>21713</v>
      </c>
    </row>
    <row r="8" ht="28.8">
      <c r="A8" s="309">
        <v>7</v>
      </c>
      <c r="B8" s="309" t="s">
        <v>21731</v>
      </c>
      <c r="C8" s="309" t="s">
        <v>21732</v>
      </c>
      <c r="D8" s="309" t="s">
        <v>21733</v>
      </c>
      <c r="E8" s="309" t="s">
        <v>21734</v>
      </c>
      <c r="F8" s="309" t="s">
        <v>21735</v>
      </c>
      <c r="G8" s="309" t="s">
        <v>21736</v>
      </c>
      <c r="H8" s="309" t="s">
        <v>21707</v>
      </c>
    </row>
    <row r="9" ht="28.8">
      <c r="A9" s="309">
        <v>8</v>
      </c>
      <c r="B9" s="309" t="s">
        <v>21737</v>
      </c>
      <c r="C9" s="309" t="s">
        <v>21738</v>
      </c>
      <c r="D9" s="309" t="s">
        <v>21739</v>
      </c>
      <c r="E9" s="309" t="s">
        <v>21740</v>
      </c>
      <c r="F9" s="309" t="s">
        <v>21190</v>
      </c>
      <c r="G9" s="309" t="s">
        <v>21741</v>
      </c>
      <c r="H9" s="309" t="s">
        <v>21707</v>
      </c>
    </row>
    <row r="10" ht="28.8">
      <c r="A10" s="309">
        <v>9</v>
      </c>
      <c r="B10" s="309" t="s">
        <v>21742</v>
      </c>
      <c r="C10" s="309" t="s">
        <v>21743</v>
      </c>
      <c r="D10" s="309" t="s">
        <v>21744</v>
      </c>
      <c r="E10" s="309" t="s">
        <v>21745</v>
      </c>
      <c r="F10" s="309" t="s">
        <v>21746</v>
      </c>
      <c r="G10" s="309" t="s">
        <v>21747</v>
      </c>
      <c r="H10" s="309" t="s">
        <v>21707</v>
      </c>
    </row>
    <row r="11" ht="28.8">
      <c r="A11" s="309">
        <v>10</v>
      </c>
      <c r="B11" s="309" t="s">
        <v>21748</v>
      </c>
      <c r="C11" s="309" t="s">
        <v>21749</v>
      </c>
      <c r="D11" s="309" t="s">
        <v>21750</v>
      </c>
      <c r="E11" s="309" t="s">
        <v>21751</v>
      </c>
      <c r="F11" s="309" t="s">
        <v>21752</v>
      </c>
      <c r="G11" s="309" t="s">
        <v>21753</v>
      </c>
      <c r="H11" s="309" t="s">
        <v>21707</v>
      </c>
    </row>
    <row r="12" ht="43.2">
      <c r="A12" s="309">
        <v>11</v>
      </c>
      <c r="B12" s="309" t="s">
        <v>21754</v>
      </c>
      <c r="C12" s="309" t="s">
        <v>21755</v>
      </c>
      <c r="D12" s="309" t="s">
        <v>21756</v>
      </c>
      <c r="E12" s="309" t="s">
        <v>21757</v>
      </c>
      <c r="F12" s="309" t="s">
        <v>21190</v>
      </c>
      <c r="G12" s="309" t="s">
        <v>21758</v>
      </c>
      <c r="H12" s="309" t="s">
        <v>21707</v>
      </c>
    </row>
    <row r="13" ht="28.8">
      <c r="A13" s="309">
        <v>12</v>
      </c>
      <c r="B13" s="309" t="s">
        <v>21759</v>
      </c>
      <c r="C13" s="309" t="s">
        <v>21760</v>
      </c>
      <c r="D13" s="309" t="s">
        <v>21761</v>
      </c>
      <c r="E13" s="309" t="s">
        <v>21762</v>
      </c>
      <c r="F13" s="309" t="s">
        <v>21190</v>
      </c>
      <c r="G13" s="309" t="s">
        <v>21763</v>
      </c>
      <c r="H13" s="309" t="s">
        <v>21707</v>
      </c>
    </row>
    <row r="14" ht="43.2">
      <c r="A14" s="309">
        <v>13</v>
      </c>
      <c r="B14" s="309" t="s">
        <v>21764</v>
      </c>
      <c r="C14" s="309" t="s">
        <v>21765</v>
      </c>
      <c r="D14" s="309" t="s">
        <v>21766</v>
      </c>
      <c r="E14" s="309" t="s">
        <v>21767</v>
      </c>
      <c r="F14" s="309" t="s">
        <v>21190</v>
      </c>
      <c r="G14" s="309" t="s">
        <v>21741</v>
      </c>
      <c r="H14" s="309" t="s">
        <v>21707</v>
      </c>
    </row>
    <row r="15" ht="28.8">
      <c r="A15" s="309">
        <v>14</v>
      </c>
      <c r="B15" s="309" t="s">
        <v>21768</v>
      </c>
      <c r="C15" s="309" t="s">
        <v>21769</v>
      </c>
      <c r="D15" s="309" t="s">
        <v>21770</v>
      </c>
      <c r="E15" s="309" t="s">
        <v>21771</v>
      </c>
      <c r="F15" s="309" t="s">
        <v>21772</v>
      </c>
      <c r="G15" s="309" t="s">
        <v>21773</v>
      </c>
      <c r="H15" s="309" t="s">
        <v>21707</v>
      </c>
    </row>
    <row r="16" ht="28.8">
      <c r="A16" s="309">
        <v>15</v>
      </c>
      <c r="B16" s="309" t="s">
        <v>21774</v>
      </c>
      <c r="C16" s="309" t="s">
        <v>21775</v>
      </c>
      <c r="D16" s="309" t="s">
        <v>21776</v>
      </c>
      <c r="E16" s="309" t="s">
        <v>21777</v>
      </c>
      <c r="F16" s="309" t="s">
        <v>21777</v>
      </c>
      <c r="G16" s="309" t="s">
        <v>21778</v>
      </c>
      <c r="H16" s="309" t="s">
        <v>21707</v>
      </c>
    </row>
    <row r="17" ht="28.8">
      <c r="A17" s="309">
        <v>16</v>
      </c>
      <c r="B17" s="309" t="s">
        <v>21779</v>
      </c>
      <c r="C17" s="309" t="s">
        <v>21780</v>
      </c>
      <c r="D17" s="309" t="s">
        <v>21781</v>
      </c>
      <c r="E17" s="309" t="s">
        <v>21782</v>
      </c>
      <c r="F17" s="309" t="s">
        <v>21190</v>
      </c>
      <c r="G17" s="309" t="s">
        <v>21783</v>
      </c>
      <c r="H17" s="309" t="s">
        <v>21707</v>
      </c>
    </row>
    <row r="18" ht="28.8">
      <c r="A18" s="309">
        <v>17</v>
      </c>
      <c r="B18" s="309" t="s">
        <v>21784</v>
      </c>
      <c r="C18" s="309" t="s">
        <v>21785</v>
      </c>
      <c r="D18" s="309" t="s">
        <v>21786</v>
      </c>
      <c r="E18" s="309" t="s">
        <v>21787</v>
      </c>
      <c r="F18" s="309" t="s">
        <v>21788</v>
      </c>
      <c r="G18" s="309" t="s">
        <v>21789</v>
      </c>
      <c r="H18" s="309" t="s">
        <v>21707</v>
      </c>
    </row>
    <row r="19" ht="28.8">
      <c r="A19" s="309">
        <v>18</v>
      </c>
      <c r="B19" s="309" t="s">
        <v>21790</v>
      </c>
      <c r="C19" s="309" t="s">
        <v>21791</v>
      </c>
      <c r="D19" s="309" t="s">
        <v>21792</v>
      </c>
      <c r="E19" s="309" t="s">
        <v>21793</v>
      </c>
      <c r="F19" s="309" t="s">
        <v>21190</v>
      </c>
      <c r="G19" s="309" t="s">
        <v>21794</v>
      </c>
      <c r="H19" s="309" t="s">
        <v>21707</v>
      </c>
    </row>
    <row r="20" ht="28.8">
      <c r="A20" s="309">
        <v>19</v>
      </c>
      <c r="B20" s="309" t="s">
        <v>21795</v>
      </c>
      <c r="C20" s="309" t="s">
        <v>21796</v>
      </c>
      <c r="D20" s="309" t="s">
        <v>21797</v>
      </c>
      <c r="E20" s="309" t="s">
        <v>21798</v>
      </c>
      <c r="F20" s="309" t="s">
        <v>21190</v>
      </c>
      <c r="G20" s="309" t="s">
        <v>21799</v>
      </c>
      <c r="H20" s="309" t="s">
        <v>21707</v>
      </c>
    </row>
    <row r="21" ht="28.8">
      <c r="A21" s="309">
        <v>20</v>
      </c>
      <c r="B21" s="309" t="s">
        <v>21800</v>
      </c>
      <c r="C21" s="309" t="s">
        <v>21801</v>
      </c>
      <c r="D21" s="309" t="s">
        <v>21802</v>
      </c>
      <c r="E21" s="309" t="s">
        <v>21803</v>
      </c>
      <c r="F21" s="309" t="s">
        <v>21190</v>
      </c>
      <c r="G21" s="309" t="s">
        <v>21804</v>
      </c>
      <c r="H21" s="309" t="s">
        <v>21707</v>
      </c>
    </row>
    <row r="22" ht="28.8">
      <c r="A22" s="309">
        <v>21</v>
      </c>
      <c r="B22" s="309" t="s">
        <v>21805</v>
      </c>
      <c r="C22" s="309" t="s">
        <v>21806</v>
      </c>
      <c r="D22" s="309" t="s">
        <v>21807</v>
      </c>
      <c r="E22" s="309" t="s">
        <v>21808</v>
      </c>
      <c r="F22" s="309" t="s">
        <v>21190</v>
      </c>
      <c r="G22" s="309" t="s">
        <v>21809</v>
      </c>
      <c r="H22" s="309" t="s">
        <v>21707</v>
      </c>
    </row>
    <row r="23" ht="28.8">
      <c r="A23" s="309">
        <v>22</v>
      </c>
      <c r="B23" s="309" t="s">
        <v>21810</v>
      </c>
      <c r="C23" s="309" t="s">
        <v>21811</v>
      </c>
      <c r="D23" s="309" t="s">
        <v>21812</v>
      </c>
      <c r="E23" s="309" t="s">
        <v>21190</v>
      </c>
      <c r="F23" s="309" t="s">
        <v>21813</v>
      </c>
      <c r="G23" s="309" t="s">
        <v>21814</v>
      </c>
      <c r="H23" s="309" t="s">
        <v>21707</v>
      </c>
    </row>
    <row r="24" ht="43.2">
      <c r="A24" s="309">
        <v>23</v>
      </c>
      <c r="B24" s="309" t="s">
        <v>21815</v>
      </c>
      <c r="C24" s="309" t="s">
        <v>21816</v>
      </c>
      <c r="D24" s="309" t="s">
        <v>21817</v>
      </c>
      <c r="E24" s="309" t="s">
        <v>21818</v>
      </c>
      <c r="F24" s="309" t="s">
        <v>21190</v>
      </c>
      <c r="G24" s="309" t="s">
        <v>21819</v>
      </c>
      <c r="H24" s="309" t="s">
        <v>21707</v>
      </c>
    </row>
    <row r="25" ht="28.8">
      <c r="A25" s="309">
        <v>24</v>
      </c>
      <c r="B25" s="309" t="s">
        <v>21820</v>
      </c>
      <c r="C25" s="309" t="s">
        <v>21821</v>
      </c>
      <c r="D25" s="309" t="s">
        <v>21822</v>
      </c>
      <c r="E25" s="309" t="s">
        <v>21823</v>
      </c>
      <c r="F25" s="309" t="s">
        <v>21824</v>
      </c>
      <c r="G25" s="309" t="s">
        <v>21825</v>
      </c>
      <c r="H25" s="309" t="s">
        <v>21707</v>
      </c>
    </row>
    <row r="26" ht="28.8">
      <c r="A26" s="309">
        <v>25</v>
      </c>
      <c r="B26" s="309" t="s">
        <v>21826</v>
      </c>
      <c r="C26" s="309" t="s">
        <v>21827</v>
      </c>
      <c r="D26" s="309" t="s">
        <v>21828</v>
      </c>
      <c r="E26" s="309" t="s">
        <v>21829</v>
      </c>
      <c r="F26" s="309" t="s">
        <v>21190</v>
      </c>
      <c r="G26" s="309" t="s">
        <v>21830</v>
      </c>
      <c r="H26" s="309" t="s">
        <v>21707</v>
      </c>
    </row>
    <row r="27" ht="28.8">
      <c r="A27" s="309">
        <v>26</v>
      </c>
      <c r="B27" s="309" t="s">
        <v>21831</v>
      </c>
      <c r="C27" s="309" t="s">
        <v>21832</v>
      </c>
      <c r="D27" s="309" t="s">
        <v>21833</v>
      </c>
      <c r="E27" s="309" t="s">
        <v>21834</v>
      </c>
      <c r="F27" s="309" t="s">
        <v>21835</v>
      </c>
      <c r="G27" s="309" t="s">
        <v>21836</v>
      </c>
      <c r="H27" s="309" t="s">
        <v>21707</v>
      </c>
    </row>
    <row r="28" ht="28.8">
      <c r="A28" s="309">
        <v>27</v>
      </c>
      <c r="B28" s="309" t="s">
        <v>21837</v>
      </c>
      <c r="C28" s="309" t="s">
        <v>21838</v>
      </c>
      <c r="D28" s="309" t="s">
        <v>21839</v>
      </c>
      <c r="E28" s="309" t="s">
        <v>21840</v>
      </c>
      <c r="F28" s="309" t="s">
        <v>21190</v>
      </c>
      <c r="G28" s="309" t="s">
        <v>21841</v>
      </c>
      <c r="H28" s="309" t="s">
        <v>21707</v>
      </c>
    </row>
    <row r="29" ht="28.8">
      <c r="A29" s="309">
        <v>28</v>
      </c>
      <c r="B29" s="309" t="s">
        <v>21842</v>
      </c>
      <c r="C29" s="309" t="s">
        <v>21843</v>
      </c>
      <c r="D29" s="309" t="s">
        <v>21844</v>
      </c>
      <c r="E29" s="309" t="s">
        <v>21845</v>
      </c>
      <c r="F29" s="309" t="s">
        <v>21845</v>
      </c>
      <c r="G29" s="309" t="s">
        <v>21846</v>
      </c>
      <c r="H29" s="309" t="s">
        <v>21707</v>
      </c>
    </row>
    <row r="30" ht="28.8">
      <c r="A30" s="309">
        <v>29</v>
      </c>
      <c r="B30" s="309" t="s">
        <v>21847</v>
      </c>
      <c r="C30" s="309" t="s">
        <v>21848</v>
      </c>
      <c r="D30" s="309" t="s">
        <v>21849</v>
      </c>
      <c r="E30" s="309" t="s">
        <v>21190</v>
      </c>
      <c r="F30" s="309" t="s">
        <v>21190</v>
      </c>
      <c r="G30" s="309" t="s">
        <v>21809</v>
      </c>
      <c r="H30" s="309" t="s">
        <v>21707</v>
      </c>
    </row>
    <row r="31" ht="28.8">
      <c r="A31" s="361">
        <v>30</v>
      </c>
      <c r="B31" s="361" t="s">
        <v>21703</v>
      </c>
      <c r="C31" s="361" t="s">
        <v>21850</v>
      </c>
      <c r="D31" s="311" t="s">
        <v>21699</v>
      </c>
      <c r="E31" s="311" t="s">
        <v>21700</v>
      </c>
      <c r="F31" s="311" t="s">
        <v>21701</v>
      </c>
      <c r="G31" s="311" t="s">
        <v>21702</v>
      </c>
      <c r="H31" s="361" t="s">
        <v>21703</v>
      </c>
    </row>
  </sheetData>
  <sheetProtection formatCells="0" formatColumns="0" formatRows="0" sort="0" autoFilter="0" pivotTables="0"/>
  <autoFilter ref="A1:H30"/>
  <dataConsolidate/>
  <dataValidations count="1">
    <dataValidation allowBlank="1" showDropDown="1" showInputMessage="1" showErrorMessage="1" sqref="B1:B1048576" xr:uid="{F522A787-C928-40AF-BCD0-76706E556436}"/>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C2" activePane="bottomRight" state="frozen"/>
      <selection activeCell="G5" sqref="G5"/>
      <selection pane="topRight" activeCell="G5" sqref="G5"/>
      <selection pane="bottomLeft" activeCell="G5" sqref="G5"/>
      <selection pane="bottomRight" sqref="A1:M4"/>
    </sheetView>
  </sheetViews>
  <sheetFormatPr defaultColWidth="9.109375" defaultRowHeight="13.8"/>
  <cols>
    <col min="1" max="1" width="18" customWidth="1" style="216"/>
    <col min="2" max="2" width="34.33203125" customWidth="1" style="216"/>
    <col min="3" max="3" bestFit="1" width="23.109375" customWidth="1" style="216"/>
    <col min="4" max="5" width="14.44140625" customWidth="1" style="216"/>
    <col min="6" max="6" width="19.5546875" customWidth="1" style="216"/>
    <col min="7" max="7" width="15" customWidth="1" style="216"/>
    <col min="8" max="8" width="12.44140625" customWidth="1" style="216"/>
    <col min="9" max="9" width="20.33203125" customWidth="1" style="216"/>
    <col min="10" max="10" width="19.6640625" customWidth="1" style="216"/>
    <col min="11" max="11" bestFit="1" width="17.6640625" customWidth="1" style="216"/>
    <col min="12" max="12" width="19.88671875" customWidth="1" style="226"/>
    <col min="13" max="13" bestFit="1" width="42.109375" customWidth="1" style="226"/>
    <col min="14" max="24" width="9.109375" customWidth="1" style="216"/>
    <col min="25" max="16384" width="9.109375" customWidth="1" style="216"/>
  </cols>
  <sheetData>
    <row r="1" ht="33.75" customHeight="1" s="436" customFormat="1">
      <c r="A1" s="437" t="s">
        <v>21166</v>
      </c>
      <c r="B1" s="438" t="s">
        <v>21276</v>
      </c>
      <c r="C1" s="437" t="s">
        <v>21674</v>
      </c>
      <c r="D1" s="437" t="s">
        <v>21675</v>
      </c>
      <c r="E1" s="437" t="s">
        <v>21676</v>
      </c>
      <c r="F1" s="437" t="s">
        <v>21677</v>
      </c>
      <c r="G1" s="437" t="s">
        <v>21678</v>
      </c>
      <c r="H1" s="439" t="s">
        <v>21679</v>
      </c>
      <c r="I1" s="437" t="s">
        <v>21680</v>
      </c>
      <c r="J1" s="437" t="s">
        <v>21681</v>
      </c>
      <c r="K1" s="437" t="s">
        <v>21682</v>
      </c>
      <c r="L1" s="439" t="s">
        <v>21167</v>
      </c>
      <c r="M1" s="439" t="s">
        <v>21277</v>
      </c>
    </row>
    <row r="2" ht="43.2" s="436" customFormat="1">
      <c r="A2" s="421" t="s">
        <v>21481</v>
      </c>
      <c r="B2" s="444" t="s">
        <v>21488</v>
      </c>
      <c r="C2" s="421" t="s">
        <v>21683</v>
      </c>
      <c r="D2" s="421" t="s">
        <v>21684</v>
      </c>
      <c r="E2" s="421" t="s">
        <v>21685</v>
      </c>
      <c r="F2" s="421" t="s">
        <v>21686</v>
      </c>
      <c r="G2" s="421" t="s">
        <v>21687</v>
      </c>
      <c r="H2" s="421" t="s">
        <v>21688</v>
      </c>
      <c r="I2" s="421" t="s">
        <v>21689</v>
      </c>
      <c r="J2" s="421" t="s">
        <v>21690</v>
      </c>
      <c r="K2" s="421" t="s">
        <v>21691</v>
      </c>
      <c r="L2" s="421" t="s">
        <v>21482</v>
      </c>
      <c r="M2" s="421" t="s">
        <v>21489</v>
      </c>
    </row>
    <row r="3" ht="27.6" s="217" customFormat="1">
      <c r="A3" s="440" t="s">
        <v>21171</v>
      </c>
      <c r="B3" s="440" t="str">
        <f>INDEX(ApplicantNameList,MATCH(A3,ApplicantIDList,0))</f>
        <v>Công ty Cổ phần Viễn thông Di động Vietnamobile</v>
      </c>
      <c r="C3" s="440" t="s">
        <v>21692</v>
      </c>
      <c r="D3" s="441">
        <v>43543</v>
      </c>
      <c r="E3" s="440">
        <v>7</v>
      </c>
      <c r="F3" s="440">
        <v>7</v>
      </c>
      <c r="G3" s="441">
        <v>43566</v>
      </c>
      <c r="H3" s="442">
        <f>F3*2500000</f>
        <v>17500000</v>
      </c>
      <c r="I3" s="443" t="s">
        <v>21693</v>
      </c>
      <c r="J3" s="441">
        <v>43610</v>
      </c>
      <c r="K3" s="441">
        <v>43810</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C8031D96-E82A-4544-91B9-C349AFC4019E}">
      <formula1>ApplicantIDList</formula1>
    </dataValidation>
    <dataValidation type="whole" operator="greaterThanOrEqual" allowBlank="1" showInputMessage="1" showErrorMessage="1" errorTitle="Lỗi nhập liệu" error="Yêu cầu nhập vào một số &gt;= 1" sqref="E3:F3" xr:uid="{76B38F9B-542B-4CB2-8013-547B73F575C2}">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 activePane="bottomRight" state="frozen"/>
      <selection pane="topRight" activeCell="C1" sqref="C1"/>
      <selection pane="bottomLeft" activeCell="A2" sqref="A2"/>
      <selection pane="bottomRight" activeCell="C9" sqref="C9"/>
    </sheetView>
  </sheetViews>
  <sheetFormatPr defaultColWidth="9.109375" defaultRowHeight="14.4"/>
  <cols>
    <col min="1" max="1" width="7.109375" customWidth="1" style="346"/>
    <col min="2" max="2" width="15.6640625" customWidth="1" style="400"/>
    <col min="3" max="3" width="15.6640625" customWidth="1" style="353"/>
    <col min="4" max="4" width="15.6640625" customWidth="1" style="400"/>
    <col min="5" max="5" width="15.6640625" customWidth="1" style="353"/>
    <col min="6" max="6" width="15.6640625" customWidth="1" style="400"/>
    <col min="7" max="7" width="27.44140625" customWidth="1" style="346"/>
    <col min="8" max="8" width="15.5546875" customWidth="1" style="346"/>
    <col min="9" max="9" width="14.88671875" customWidth="1" style="353"/>
    <col min="10" max="10" width="23.6640625" customWidth="1" style="353"/>
    <col min="11" max="11" width="29.109375" customWidth="1" style="353"/>
    <col min="12" max="12" width="13.6640625" customWidth="1" style="353"/>
    <col min="13" max="13" width="10.6640625" customWidth="1" style="346"/>
    <col min="14" max="14" width="10.33203125" customWidth="1" style="346"/>
    <col min="15" max="15" width="13.33203125" customWidth="1" style="346"/>
    <col min="16" max="16" width="36.88671875" customWidth="1" style="346"/>
    <col min="17" max="27" width="9.109375" customWidth="1" style="346"/>
    <col min="28" max="16384" width="9.109375" customWidth="1" style="346"/>
  </cols>
  <sheetData>
    <row r="1" ht="33.75" customHeight="1">
      <c r="A1" s="359" t="s">
        <v>0</v>
      </c>
      <c r="B1" s="344" t="s">
        <v>21939</v>
      </c>
      <c r="C1" s="344" t="s">
        <v>21940</v>
      </c>
      <c r="D1" s="344" t="s">
        <v>21941</v>
      </c>
      <c r="E1" s="344" t="s">
        <v>21942</v>
      </c>
      <c r="F1" s="345" t="s">
        <v>21943</v>
      </c>
      <c r="G1" s="344" t="s">
        <v>21944</v>
      </c>
      <c r="I1" s="477" t="s">
        <v>21945</v>
      </c>
      <c r="J1" s="477"/>
      <c r="K1" s="477"/>
      <c r="L1" s="477"/>
    </row>
    <row r="2">
      <c r="A2" s="348">
        <v>1</v>
      </c>
      <c r="B2" s="398" t="s">
        <v>0</v>
      </c>
      <c r="C2" s="348" t="s">
        <v>21946</v>
      </c>
      <c r="D2" s="398" t="s">
        <v>0</v>
      </c>
      <c r="E2" s="348">
        <v>1</v>
      </c>
      <c r="F2" s="401" t="s">
        <v>0</v>
      </c>
      <c r="G2" s="349" t="s">
        <v>21947</v>
      </c>
      <c r="H2" s="350"/>
      <c r="I2" s="347" t="s">
        <v>0</v>
      </c>
      <c r="J2" s="347" t="s">
        <v>21948</v>
      </c>
      <c r="K2" s="347" t="s">
        <v>21949</v>
      </c>
      <c r="L2" s="347" t="s">
        <v>21950</v>
      </c>
    </row>
    <row r="3">
      <c r="A3" s="348">
        <v>2</v>
      </c>
      <c r="B3" s="399" t="s">
        <v>21242</v>
      </c>
      <c r="C3" s="348" t="s">
        <v>21946</v>
      </c>
      <c r="D3" s="399" t="s">
        <v>21242</v>
      </c>
      <c r="E3" s="355"/>
      <c r="F3" s="402" t="s">
        <v>21242</v>
      </c>
      <c r="G3" s="352" t="s">
        <v>21951</v>
      </c>
      <c r="H3" s="350"/>
      <c r="I3" s="360">
        <v>1</v>
      </c>
      <c r="J3" s="360" t="b">
        <v>1</v>
      </c>
      <c r="K3" s="351" t="s">
        <v>21952</v>
      </c>
      <c r="L3" s="351" t="s">
        <v>21953</v>
      </c>
    </row>
    <row r="4">
      <c r="A4" s="348">
        <v>3</v>
      </c>
      <c r="B4" s="399" t="s">
        <v>21243</v>
      </c>
      <c r="C4" s="348" t="s">
        <v>21946</v>
      </c>
      <c r="D4" s="399" t="s">
        <v>21243</v>
      </c>
      <c r="E4" s="354"/>
      <c r="F4" s="402" t="s">
        <v>21243</v>
      </c>
      <c r="G4" s="352" t="s">
        <v>21954</v>
      </c>
      <c r="H4" s="350"/>
      <c r="I4" s="360">
        <v>2</v>
      </c>
      <c r="J4" s="360" t="b">
        <v>0</v>
      </c>
      <c r="K4" s="351" t="s">
        <v>21955</v>
      </c>
      <c r="L4" s="351" t="s">
        <v>0</v>
      </c>
    </row>
    <row r="5">
      <c r="A5" s="348">
        <v>4</v>
      </c>
      <c r="B5" s="399" t="s">
        <v>21244</v>
      </c>
      <c r="C5" s="348" t="s">
        <v>21946</v>
      </c>
      <c r="D5" s="399" t="s">
        <v>21244</v>
      </c>
      <c r="E5" s="354" t="s">
        <v>20917</v>
      </c>
      <c r="F5" s="402" t="s">
        <v>21244</v>
      </c>
      <c r="G5" s="352" t="s">
        <v>21956</v>
      </c>
      <c r="H5" s="350"/>
    </row>
    <row r="6">
      <c r="A6" s="348">
        <v>5</v>
      </c>
      <c r="B6" s="398" t="s">
        <v>21282</v>
      </c>
      <c r="C6" s="348" t="s">
        <v>21946</v>
      </c>
      <c r="D6" s="398" t="s">
        <v>21282</v>
      </c>
      <c r="E6" s="354" t="s">
        <v>17532</v>
      </c>
      <c r="F6" s="401" t="s">
        <v>21282</v>
      </c>
      <c r="G6" s="352" t="s">
        <v>21957</v>
      </c>
      <c r="H6" s="350"/>
      <c r="I6" s="344" t="s">
        <v>21958</v>
      </c>
      <c r="J6" s="344" t="s">
        <v>21959</v>
      </c>
      <c r="K6" s="344" t="s">
        <v>21960</v>
      </c>
      <c r="L6" s="344" t="s">
        <v>21961</v>
      </c>
    </row>
    <row r="7">
      <c r="A7" s="348">
        <v>6</v>
      </c>
      <c r="B7" s="399" t="s">
        <v>21962</v>
      </c>
      <c r="C7" s="348" t="s">
        <v>21963</v>
      </c>
      <c r="D7" s="399" t="s">
        <v>21245</v>
      </c>
      <c r="E7" s="354"/>
      <c r="F7" s="402" t="s">
        <v>21245</v>
      </c>
      <c r="G7" s="352" t="s">
        <v>21964</v>
      </c>
      <c r="H7" s="350"/>
      <c r="I7" s="362" t="s">
        <v>21965</v>
      </c>
      <c r="J7" s="348" t="s">
        <v>21952</v>
      </c>
      <c r="K7" s="348" t="b">
        <f>INDEX(TrueFalseList,_xlfn.IFNA(MATCH(OptionsIsNotLogicalValue,CoKhongList,0),MATCH(OptionsIsNotLogicalValue,YesNoList,0)))</f>
        <v>1</v>
      </c>
      <c r="L7" s="348" t="b">
        <v>1</v>
      </c>
    </row>
    <row r="8">
      <c r="A8" s="348">
        <v>7</v>
      </c>
      <c r="B8" s="399" t="s">
        <v>21962</v>
      </c>
      <c r="C8" s="348" t="s">
        <v>21966</v>
      </c>
      <c r="D8" s="399" t="s">
        <v>21246</v>
      </c>
      <c r="E8" s="354"/>
      <c r="F8" s="402" t="s">
        <v>21246</v>
      </c>
      <c r="G8" s="352" t="s">
        <v>21967</v>
      </c>
      <c r="H8" s="350"/>
    </row>
    <row r="9">
      <c r="A9" s="348">
        <v>8</v>
      </c>
      <c r="B9" s="399" t="s">
        <v>21968</v>
      </c>
      <c r="C9" s="348" t="s">
        <v>21946</v>
      </c>
      <c r="D9" s="399" t="s">
        <v>21247</v>
      </c>
      <c r="E9" s="354">
        <v>1</v>
      </c>
      <c r="F9" s="402" t="s">
        <v>21247</v>
      </c>
      <c r="G9" s="352" t="s">
        <v>21969</v>
      </c>
      <c r="H9" s="350"/>
    </row>
    <row r="10">
      <c r="A10" s="348">
        <v>9</v>
      </c>
      <c r="B10" s="399" t="s">
        <v>21248</v>
      </c>
      <c r="C10" s="354" t="s">
        <v>21970</v>
      </c>
      <c r="D10" s="399" t="s">
        <v>21248</v>
      </c>
      <c r="E10" s="354"/>
      <c r="F10" s="402" t="s">
        <v>21248</v>
      </c>
      <c r="G10" s="352" t="s">
        <v>21971</v>
      </c>
      <c r="H10" s="350"/>
      <c r="I10" s="477" t="s">
        <v>21972</v>
      </c>
      <c r="J10" s="477"/>
      <c r="K10" s="477"/>
      <c r="L10" s="477"/>
    </row>
    <row r="11" ht="28.8">
      <c r="A11" s="348">
        <v>10</v>
      </c>
      <c r="B11" s="399" t="s">
        <v>21973</v>
      </c>
      <c r="C11" s="354" t="s">
        <v>21974</v>
      </c>
      <c r="D11" s="399" t="s">
        <v>21295</v>
      </c>
      <c r="E11" s="354"/>
      <c r="F11" s="403" t="s">
        <v>21295</v>
      </c>
      <c r="G11" s="352" t="s">
        <v>21975</v>
      </c>
      <c r="H11" s="350"/>
      <c r="I11" s="344" t="s">
        <v>21976</v>
      </c>
      <c r="J11" s="344" t="s">
        <v>21942</v>
      </c>
      <c r="K11" s="344" t="s">
        <v>21944</v>
      </c>
      <c r="L11" s="359"/>
    </row>
    <row r="12" ht="28.8">
      <c r="A12" s="348">
        <v>11</v>
      </c>
      <c r="B12" s="399" t="s">
        <v>21977</v>
      </c>
      <c r="C12" s="354" t="s">
        <v>21974</v>
      </c>
      <c r="D12" s="399" t="s">
        <v>21249</v>
      </c>
      <c r="E12" s="354"/>
      <c r="F12" s="402" t="s">
        <v>21249</v>
      </c>
      <c r="G12" s="352" t="s">
        <v>21978</v>
      </c>
      <c r="H12" s="350"/>
      <c r="I12" s="378" t="s">
        <v>21979</v>
      </c>
      <c r="J12" s="348" t="b">
        <v>1</v>
      </c>
      <c r="K12" s="348" t="s">
        <v>21980</v>
      </c>
      <c r="L12" s="348"/>
    </row>
    <row r="13" ht="28.8">
      <c r="A13" s="348">
        <v>12</v>
      </c>
      <c r="B13" s="399" t="s">
        <v>21981</v>
      </c>
      <c r="C13" s="354" t="s">
        <v>21974</v>
      </c>
      <c r="D13" s="399" t="s">
        <v>21250</v>
      </c>
      <c r="E13" s="354"/>
      <c r="F13" s="402" t="s">
        <v>21250</v>
      </c>
      <c r="G13" s="352" t="s">
        <v>21982</v>
      </c>
      <c r="H13" s="350"/>
      <c r="I13" s="378" t="s">
        <v>21243</v>
      </c>
      <c r="J13" s="348" t="b">
        <v>0</v>
      </c>
      <c r="K13" s="348" t="s">
        <v>21983</v>
      </c>
      <c r="L13" s="348"/>
    </row>
    <row r="14" ht="43.2">
      <c r="A14" s="348">
        <v>13</v>
      </c>
      <c r="B14" s="399" t="s">
        <v>21984</v>
      </c>
      <c r="C14" s="354" t="s">
        <v>21974</v>
      </c>
      <c r="D14" s="399" t="s">
        <v>21251</v>
      </c>
      <c r="E14" s="354"/>
      <c r="F14" s="402" t="s">
        <v>21251</v>
      </c>
      <c r="G14" s="352" t="s">
        <v>21985</v>
      </c>
      <c r="H14" s="350"/>
      <c r="I14" s="378" t="s">
        <v>21986</v>
      </c>
      <c r="J14" s="348" t="b">
        <v>0</v>
      </c>
      <c r="K14" s="348" t="s">
        <v>21987</v>
      </c>
      <c r="L14" s="348"/>
    </row>
    <row r="15" ht="43.2">
      <c r="A15" s="348">
        <v>14</v>
      </c>
      <c r="B15" s="399" t="s">
        <v>21988</v>
      </c>
      <c r="C15" s="354" t="s">
        <v>21974</v>
      </c>
      <c r="D15" s="399" t="s">
        <v>21252</v>
      </c>
      <c r="E15" s="354"/>
      <c r="F15" s="402" t="s">
        <v>21252</v>
      </c>
      <c r="G15" s="352" t="s">
        <v>21989</v>
      </c>
      <c r="H15" s="350"/>
      <c r="I15" s="378" t="s">
        <v>21990</v>
      </c>
      <c r="J15" s="348" t="b">
        <v>0</v>
      </c>
      <c r="K15" s="348" t="s">
        <v>21991</v>
      </c>
      <c r="L15" s="348"/>
    </row>
    <row r="16" ht="43.2">
      <c r="A16" s="348">
        <v>15</v>
      </c>
      <c r="B16" s="399" t="s">
        <v>21992</v>
      </c>
      <c r="C16" s="354" t="s">
        <v>21974</v>
      </c>
      <c r="D16" s="399" t="s">
        <v>21253</v>
      </c>
      <c r="E16" s="354"/>
      <c r="F16" s="402" t="s">
        <v>21253</v>
      </c>
      <c r="G16" s="352" t="s">
        <v>21993</v>
      </c>
      <c r="H16" s="350"/>
      <c r="I16" s="362" t="s">
        <v>21994</v>
      </c>
      <c r="J16" s="348" t="b">
        <v>1</v>
      </c>
      <c r="K16" s="348" t="s">
        <v>21995</v>
      </c>
      <c r="L16" s="348"/>
    </row>
    <row r="17" ht="43.2">
      <c r="A17" s="348">
        <v>16</v>
      </c>
      <c r="B17" s="399" t="s">
        <v>21996</v>
      </c>
      <c r="C17" s="354" t="s">
        <v>21974</v>
      </c>
      <c r="D17" s="399" t="s">
        <v>21254</v>
      </c>
      <c r="E17" s="354"/>
      <c r="F17" s="402" t="s">
        <v>21254</v>
      </c>
      <c r="G17" s="352" t="s">
        <v>21997</v>
      </c>
      <c r="H17" s="350"/>
    </row>
    <row r="18" ht="28.8">
      <c r="A18" s="348">
        <v>17</v>
      </c>
      <c r="B18" s="399" t="s">
        <v>21998</v>
      </c>
      <c r="C18" s="354" t="s">
        <v>21974</v>
      </c>
      <c r="D18" s="399" t="s">
        <v>21255</v>
      </c>
      <c r="E18" s="354"/>
      <c r="F18" s="402" t="s">
        <v>21255</v>
      </c>
      <c r="G18" s="352" t="s">
        <v>21999</v>
      </c>
      <c r="H18" s="350"/>
      <c r="I18" s="477" t="s">
        <v>22000</v>
      </c>
      <c r="J18" s="477"/>
      <c r="K18" s="477"/>
      <c r="L18" s="477"/>
    </row>
    <row r="19" ht="43.2">
      <c r="A19" s="348">
        <v>18</v>
      </c>
      <c r="B19" s="399" t="s">
        <v>22001</v>
      </c>
      <c r="C19" s="354" t="s">
        <v>21974</v>
      </c>
      <c r="D19" s="399" t="s">
        <v>21256</v>
      </c>
      <c r="E19" s="354"/>
      <c r="F19" s="402" t="s">
        <v>21256</v>
      </c>
      <c r="G19" s="352" t="s">
        <v>22002</v>
      </c>
      <c r="H19" s="350"/>
      <c r="I19" s="344" t="s">
        <v>0</v>
      </c>
      <c r="J19" s="344" t="s">
        <v>21270</v>
      </c>
      <c r="K19" s="344" t="s">
        <v>22003</v>
      </c>
      <c r="L19" s="344" t="s">
        <v>21474</v>
      </c>
    </row>
    <row r="20" ht="28.8">
      <c r="A20" s="348">
        <v>19</v>
      </c>
      <c r="B20" s="399" t="s">
        <v>21257</v>
      </c>
      <c r="C20" s="348" t="s">
        <v>21946</v>
      </c>
      <c r="D20" s="399" t="s">
        <v>21257</v>
      </c>
      <c r="E20" s="354" t="b">
        <v>1</v>
      </c>
      <c r="F20" s="402" t="s">
        <v>21257</v>
      </c>
      <c r="G20" s="352" t="s">
        <v>22004</v>
      </c>
      <c r="H20" s="350"/>
      <c r="I20" s="348">
        <v>1</v>
      </c>
      <c r="J20" s="348" t="s">
        <v>22005</v>
      </c>
      <c r="K20" s="348" t="s">
        <v>22006</v>
      </c>
      <c r="L20" s="348" t="s">
        <v>21035</v>
      </c>
    </row>
    <row r="21" ht="28.8">
      <c r="A21" s="348">
        <v>20</v>
      </c>
      <c r="B21" s="399" t="s">
        <v>21168</v>
      </c>
      <c r="C21" s="348" t="s">
        <v>21946</v>
      </c>
      <c r="D21" s="399" t="s">
        <v>21168</v>
      </c>
      <c r="E21" s="355" t="s">
        <v>21190</v>
      </c>
      <c r="F21" s="402" t="s">
        <v>21168</v>
      </c>
      <c r="G21" s="352" t="s">
        <v>22007</v>
      </c>
      <c r="H21" s="350"/>
      <c r="I21" s="348">
        <v>2</v>
      </c>
      <c r="J21" s="348" t="s">
        <v>21025</v>
      </c>
      <c r="K21" s="348" t="s">
        <v>21059</v>
      </c>
      <c r="L21" s="348" t="s">
        <v>21036</v>
      </c>
    </row>
    <row r="22" ht="28.8">
      <c r="A22" s="348">
        <v>21</v>
      </c>
      <c r="B22" s="399" t="s">
        <v>21968</v>
      </c>
      <c r="C22" s="348" t="s">
        <v>21968</v>
      </c>
      <c r="D22" s="399" t="s">
        <v>21258</v>
      </c>
      <c r="E22" s="354"/>
      <c r="F22" s="402" t="s">
        <v>21258</v>
      </c>
      <c r="G22" s="352" t="s">
        <v>22008</v>
      </c>
      <c r="H22" s="350"/>
      <c r="I22" s="348">
        <v>3</v>
      </c>
      <c r="J22" s="348" t="s">
        <v>21183</v>
      </c>
      <c r="K22" s="348" t="s">
        <v>21184</v>
      </c>
      <c r="L22" s="348" t="s">
        <v>21037</v>
      </c>
    </row>
    <row r="23">
      <c r="A23" s="348">
        <v>22</v>
      </c>
      <c r="B23" s="399" t="s">
        <v>21968</v>
      </c>
      <c r="C23" s="348" t="s">
        <v>21968</v>
      </c>
      <c r="D23" s="399" t="s">
        <v>21259</v>
      </c>
      <c r="E23" s="354" t="s">
        <v>21179</v>
      </c>
      <c r="F23" s="402" t="s">
        <v>21259</v>
      </c>
      <c r="G23" s="352" t="s">
        <v>22009</v>
      </c>
      <c r="H23" s="350"/>
    </row>
    <row r="24">
      <c r="A24" s="348">
        <v>23</v>
      </c>
      <c r="B24" s="399" t="s">
        <v>21260</v>
      </c>
      <c r="C24" s="348" t="s">
        <v>21946</v>
      </c>
      <c r="D24" s="399" t="s">
        <v>21260</v>
      </c>
      <c r="E24" s="354"/>
      <c r="F24" s="402" t="s">
        <v>21260</v>
      </c>
      <c r="G24" s="352" t="s">
        <v>21092</v>
      </c>
      <c r="H24" s="350"/>
      <c r="I24" s="344" t="s">
        <v>22010</v>
      </c>
      <c r="J24" s="344" t="s">
        <v>21942</v>
      </c>
      <c r="K24" s="344" t="s">
        <v>21944</v>
      </c>
      <c r="L24" s="344"/>
    </row>
    <row r="25" ht="28.8">
      <c r="A25" s="348">
        <v>24</v>
      </c>
      <c r="B25" s="399" t="s">
        <v>21261</v>
      </c>
      <c r="C25" s="348" t="s">
        <v>21946</v>
      </c>
      <c r="D25" s="399" t="s">
        <v>21261</v>
      </c>
      <c r="E25" s="460"/>
      <c r="F25" s="402" t="s">
        <v>21261</v>
      </c>
      <c r="G25" s="352" t="s">
        <v>22011</v>
      </c>
      <c r="H25" s="350"/>
      <c r="I25" s="358" t="s">
        <v>21270</v>
      </c>
      <c r="J25" s="348" t="s">
        <v>21183</v>
      </c>
      <c r="K25" s="348" t="s">
        <v>22012</v>
      </c>
      <c r="L25" s="348"/>
    </row>
    <row r="26" ht="28.8">
      <c r="A26" s="348">
        <v>25</v>
      </c>
      <c r="B26" s="399" t="s">
        <v>21262</v>
      </c>
      <c r="C26" s="348" t="s">
        <v>21946</v>
      </c>
      <c r="D26" s="399" t="s">
        <v>21262</v>
      </c>
      <c r="E26" s="354" t="b">
        <v>0</v>
      </c>
      <c r="F26" s="402" t="s">
        <v>21262</v>
      </c>
      <c r="G26" s="352" t="s">
        <v>22013</v>
      </c>
      <c r="H26" s="350"/>
      <c r="I26" s="378" t="s">
        <v>21271</v>
      </c>
      <c r="J26" s="348" t="str">
        <f>INDEX(OptionsPlaceList,MATCH(OptionsVerifyUnit,OptionsVerifyUnitList,0))</f>
        <v>TP. Đà Nẵng</v>
      </c>
      <c r="K26" s="348" t="s">
        <v>22014</v>
      </c>
      <c r="L26" s="348"/>
    </row>
    <row r="27" ht="28.8">
      <c r="A27" s="348">
        <v>26</v>
      </c>
      <c r="B27" s="399" t="s">
        <v>21263</v>
      </c>
      <c r="C27" s="348" t="s">
        <v>21946</v>
      </c>
      <c r="D27" s="399" t="s">
        <v>21263</v>
      </c>
      <c r="E27" s="354" t="b">
        <v>0</v>
      </c>
      <c r="F27" s="402" t="s">
        <v>21263</v>
      </c>
      <c r="G27" s="352" t="s">
        <v>22015</v>
      </c>
      <c r="H27" s="350"/>
      <c r="I27" s="378" t="s">
        <v>21474</v>
      </c>
      <c r="J27" s="348" t="s">
        <v>21037</v>
      </c>
      <c r="K27" s="348" t="s">
        <v>22016</v>
      </c>
      <c r="L27" s="348"/>
    </row>
    <row r="28" ht="28.8">
      <c r="A28" s="348">
        <v>27</v>
      </c>
      <c r="B28" s="399" t="s">
        <v>21264</v>
      </c>
      <c r="C28" s="348" t="s">
        <v>21946</v>
      </c>
      <c r="D28" s="399" t="s">
        <v>21264</v>
      </c>
      <c r="E28" s="354"/>
      <c r="F28" s="402" t="s">
        <v>21264</v>
      </c>
      <c r="G28" s="352" t="s">
        <v>22017</v>
      </c>
      <c r="H28" s="350"/>
      <c r="I28" s="378" t="s">
        <v>21477</v>
      </c>
      <c r="J28" s="348" t="s">
        <v>21196</v>
      </c>
      <c r="K28" s="348" t="s">
        <v>22018</v>
      </c>
      <c r="L28" s="348"/>
    </row>
    <row r="29" ht="43.2">
      <c r="A29" s="348">
        <v>28</v>
      </c>
      <c r="B29" s="399" t="s">
        <v>21265</v>
      </c>
      <c r="C29" s="348" t="s">
        <v>21946</v>
      </c>
      <c r="D29" s="399" t="s">
        <v>21265</v>
      </c>
      <c r="E29" s="354" t="b">
        <v>1</v>
      </c>
      <c r="F29" s="402" t="s">
        <v>21265</v>
      </c>
      <c r="G29" s="352" t="s">
        <v>22019</v>
      </c>
      <c r="H29" s="350"/>
      <c r="I29" s="358" t="s">
        <v>21272</v>
      </c>
      <c r="J29" s="348" t="s">
        <v>21055</v>
      </c>
      <c r="K29" s="348" t="s">
        <v>22020</v>
      </c>
      <c r="L29" s="348"/>
    </row>
    <row r="30" ht="43.2">
      <c r="A30" s="348">
        <v>29</v>
      </c>
      <c r="B30" s="399" t="s">
        <v>21266</v>
      </c>
      <c r="C30" s="348" t="s">
        <v>22021</v>
      </c>
      <c r="D30" s="399" t="s">
        <v>21266</v>
      </c>
      <c r="E30" s="354"/>
      <c r="F30" s="402" t="s">
        <v>21266</v>
      </c>
      <c r="G30" s="352" t="s">
        <v>22022</v>
      </c>
      <c r="I30" s="358" t="s">
        <v>21273</v>
      </c>
      <c r="J30" s="379" t="s">
        <v>21060</v>
      </c>
      <c r="K30" s="348" t="s">
        <v>22023</v>
      </c>
      <c r="L30" s="348"/>
    </row>
    <row r="31" ht="28.8">
      <c r="A31" s="348">
        <v>30</v>
      </c>
      <c r="B31" s="399" t="s">
        <v>21968</v>
      </c>
      <c r="C31" s="348" t="s">
        <v>21968</v>
      </c>
      <c r="D31" s="399" t="s">
        <v>21267</v>
      </c>
      <c r="E31" s="354" t="b">
        <v>0</v>
      </c>
      <c r="F31" s="402" t="s">
        <v>21267</v>
      </c>
      <c r="G31" s="352" t="s">
        <v>22024</v>
      </c>
      <c r="I31" s="358" t="s">
        <v>21274</v>
      </c>
      <c r="J31" s="348" t="s">
        <v>21185</v>
      </c>
      <c r="K31" s="348" t="s">
        <v>22025</v>
      </c>
      <c r="L31" s="348"/>
    </row>
    <row r="32" ht="28.8">
      <c r="A32" s="348">
        <v>31</v>
      </c>
      <c r="B32" s="399" t="s">
        <v>21968</v>
      </c>
      <c r="C32" s="348" t="s">
        <v>21968</v>
      </c>
      <c r="D32" s="399" t="s">
        <v>21968</v>
      </c>
      <c r="E32" s="355" t="s">
        <v>22026</v>
      </c>
      <c r="F32" s="402" t="s">
        <v>21472</v>
      </c>
      <c r="G32" s="352" t="s">
        <v>22027</v>
      </c>
      <c r="I32" s="378" t="s">
        <v>21268</v>
      </c>
      <c r="J32" s="348" t="s">
        <v>21181</v>
      </c>
      <c r="K32" s="348" t="s">
        <v>22028</v>
      </c>
      <c r="L32" s="348"/>
    </row>
    <row r="33" ht="57.6">
      <c r="A33" s="348">
        <v>32</v>
      </c>
      <c r="B33" s="399" t="s">
        <v>21968</v>
      </c>
      <c r="C33" s="348" t="s">
        <v>21968</v>
      </c>
      <c r="D33" s="399" t="s">
        <v>21968</v>
      </c>
      <c r="E33" s="355" t="s">
        <v>22029</v>
      </c>
      <c r="F33" s="402" t="s">
        <v>21473</v>
      </c>
      <c r="G33" s="352" t="s">
        <v>22030</v>
      </c>
      <c r="I33" s="378" t="s">
        <v>21269</v>
      </c>
      <c r="J33" s="348" t="s">
        <v>21182</v>
      </c>
      <c r="K33" s="348" t="s">
        <v>22031</v>
      </c>
      <c r="L33" s="348"/>
    </row>
    <row r="34">
      <c r="A34" s="348">
        <v>33</v>
      </c>
      <c r="B34" s="398" t="s">
        <v>21268</v>
      </c>
      <c r="C34" s="348" t="s">
        <v>21946</v>
      </c>
      <c r="D34" s="398" t="s">
        <v>21268</v>
      </c>
      <c r="E34" s="379" t="s">
        <v>22032</v>
      </c>
      <c r="F34" s="401" t="s">
        <v>21268</v>
      </c>
      <c r="G34" s="349" t="s">
        <v>22033</v>
      </c>
    </row>
    <row r="35">
      <c r="A35" s="348">
        <v>34</v>
      </c>
      <c r="B35" s="398" t="s">
        <v>21269</v>
      </c>
      <c r="C35" s="348" t="s">
        <v>21946</v>
      </c>
      <c r="D35" s="398" t="s">
        <v>21269</v>
      </c>
      <c r="E35" s="379" t="s">
        <v>22034</v>
      </c>
      <c r="F35" s="401" t="s">
        <v>21269</v>
      </c>
      <c r="G35" s="349" t="s">
        <v>22035</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D3025196-CA53-4E6C-98BA-903F61A77627}">
      <formula1>LabIDList</formula1>
    </dataValidation>
    <dataValidation type="list" allowBlank="1" showInputMessage="1" showErrorMessage="1" sqref="E9" xr:uid="{E6040347-73F3-4E62-89E9-0A089D4A64B3}">
      <formula1 xml:space="preserve"> InCaseOfIDList</formula1>
    </dataValidation>
    <dataValidation type="list" allowBlank="1" showInputMessage="1" showErrorMessage="1" sqref="E6" xr:uid="{90E2162E-7C9E-4B10-9E7B-48B1F2C7AAB5}">
      <formula1>CityIDList</formula1>
    </dataValidation>
    <dataValidation type="list" allowBlank="1" showInputMessage="1" showErrorMessage="1" sqref="E5" xr:uid="{DB93B435-2C50-46C7-916E-976F4507A57E}">
      <formula1>CityNameList</formula1>
    </dataValidation>
    <dataValidation type="list" allowBlank="1" showInputMessage="1" showErrorMessage="1" sqref="J25" xr:uid="{19868498-BD95-4F64-9898-9A734D60C6ED}">
      <formula1 xml:space="preserve"> OptionsVerifyUnitList</formula1>
    </dataValidation>
    <dataValidation type="list" allowBlank="1" showInputMessage="1" showErrorMessage="1" sqref="J31" xr:uid="{FE345AB1-9F12-47AF-9220-0006AF1A813C}">
      <formula1>"Bùi Ngọc Dũng,Lỗ Quốc Việt,Trần Công Khanh,Vũ Long"</formula1>
    </dataValidation>
    <dataValidation type="list" allowBlank="1" showInputMessage="1" showErrorMessage="1" sqref="J29" xr:uid="{9DC24F6B-B57B-4627-88D8-4B90BED5AC3C}">
      <formula1>"GIÁM ĐỐC, KT. GIÁM ĐỐC"</formula1>
    </dataValidation>
    <dataValidation type="list" showInputMessage="1" showErrorMessage="1" sqref="J30" xr:uid="{DF64AE43-559E-46A5-AA83-AEF4B20800CF}">
      <formula1>"',PHÓ GIÁM ĐỐC"</formula1>
    </dataValidation>
    <dataValidation type="list" allowBlank="1" showInputMessage="1" showErrorMessage="1" sqref="L7 E20 E26:E27 E29 E31 J12:J15" xr:uid="{85839F2F-1F25-4CD4-92A8-F9428F6DF845}">
      <formula1>"TRUE,FALSE"</formula1>
    </dataValidation>
    <dataValidation type="list" allowBlank="1" showInputMessage="1" showErrorMessage="1" sqref="J26" xr:uid="{B84CFD82-E39B-486D-BB4A-6966706F9E30}">
      <formula1 xml:space="preserve"> OptionsPlaceList</formula1>
    </dataValidation>
    <dataValidation type="list" allowBlank="1" showInputMessage="1" showErrorMessage="1" sqref="J27" xr:uid="{25980E74-CCDB-479A-88AA-C10235FD9534}">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AP10"/>
  <sheetViews>
    <sheetView showZeros="0" zoomScale="145" zoomScaleNormal="145" workbookViewId="0">
      <pane xSplit="3" ySplit="1" topLeftCell="D8" activePane="bottomRight" state="frozen"/>
      <selection activeCell="G5" sqref="G5"/>
      <selection pane="topRight" activeCell="G5" sqref="G5"/>
      <selection pane="bottomLeft" activeCell="G5" sqref="G5"/>
      <selection pane="bottomRight" activeCell="E10" sqref="E10"/>
    </sheetView>
  </sheetViews>
  <sheetFormatPr defaultColWidth="9.109375" defaultRowHeight="13.2"/>
  <cols>
    <col min="1" max="1" bestFit="1" width="5" customWidth="1" style="314"/>
    <col min="2" max="2" width="8.109375" customWidth="1" style="314"/>
    <col min="3" max="3" width="32.6640625" customWidth="1" style="330"/>
    <col min="4" max="5" width="14" customWidth="1" style="329"/>
    <col min="6" max="6" width="21.88671875" customWidth="1" style="340"/>
    <col min="7" max="7" width="17" customWidth="1" style="282"/>
    <col min="8" max="8" width="18.33203125" customWidth="1" style="467"/>
    <col min="9" max="12" width="9.109375" customWidth="1" style="282"/>
    <col min="13" max="13" width="27.33203125" customWidth="1" style="282"/>
    <col min="14" max="18" width="14.33203125" customWidth="1" style="282"/>
    <col min="19" max="19" width="13.44140625" customWidth="1" style="282"/>
    <col min="20" max="20" bestFit="1" width="15.44140625" customWidth="1" style="282"/>
    <col min="21" max="23" width="15.44140625" customWidth="1" style="282"/>
    <col min="24" max="24" width="15.33203125" customWidth="1" style="282"/>
    <col min="25" max="28" width="11.88671875" customWidth="1" style="282"/>
    <col min="29" max="29" width="13.109375" customWidth="1" style="282"/>
    <col min="30" max="35" width="17.6640625" customWidth="1" style="340"/>
    <col min="36" max="37" width="10.5546875" customWidth="1" style="314"/>
    <col min="38" max="38" width="13.88671875" customWidth="1" style="282"/>
    <col min="39" max="39" width="13" customWidth="1" style="340"/>
    <col min="40" max="40" width="15.33203125" customWidth="1" style="282"/>
    <col min="41" max="41" width="14.5546875" customWidth="1" style="282"/>
    <col min="42" max="42" width="13.33203125" customWidth="1" style="282"/>
    <col min="43" max="49" width="9.109375" customWidth="1" style="282"/>
    <col min="50" max="16384" width="9.109375" customWidth="1" style="282"/>
  </cols>
  <sheetData>
    <row r="1" ht="41.4" s="445" customFormat="1">
      <c r="A1" s="319" t="s">
        <v>0</v>
      </c>
      <c r="B1" s="370" t="s">
        <v>21242</v>
      </c>
      <c r="C1" s="448" t="s">
        <v>21243</v>
      </c>
      <c r="D1" s="449" t="s">
        <v>21244</v>
      </c>
      <c r="E1" s="449" t="s">
        <v>21962</v>
      </c>
      <c r="F1" s="408" t="s">
        <v>21168</v>
      </c>
      <c r="G1" s="370" t="s">
        <v>21260</v>
      </c>
      <c r="H1" s="465" t="s">
        <v>21261</v>
      </c>
      <c r="I1" s="464" t="s">
        <v>21268</v>
      </c>
      <c r="J1" s="464" t="s">
        <v>21269</v>
      </c>
      <c r="K1" s="464" t="s">
        <v>22067</v>
      </c>
      <c r="L1" s="464" t="s">
        <v>22068</v>
      </c>
      <c r="M1" s="370" t="s">
        <v>21998</v>
      </c>
      <c r="N1" s="370" t="s">
        <v>22069</v>
      </c>
      <c r="O1" s="369" t="s">
        <v>22070</v>
      </c>
      <c r="P1" s="369" t="s">
        <v>22071</v>
      </c>
      <c r="Q1" s="369" t="s">
        <v>22072</v>
      </c>
      <c r="R1" s="370" t="s">
        <v>21981</v>
      </c>
      <c r="S1" s="370" t="s">
        <v>21973</v>
      </c>
      <c r="T1" s="370" t="s">
        <v>21988</v>
      </c>
      <c r="U1" s="369" t="s">
        <v>22073</v>
      </c>
      <c r="V1" s="369" t="s">
        <v>22074</v>
      </c>
      <c r="W1" s="369" t="s">
        <v>22075</v>
      </c>
      <c r="X1" s="370" t="s">
        <v>21984</v>
      </c>
      <c r="Y1" s="370" t="s">
        <v>21992</v>
      </c>
      <c r="Z1" s="369" t="s">
        <v>22076</v>
      </c>
      <c r="AA1" s="369" t="s">
        <v>22077</v>
      </c>
      <c r="AB1" s="369" t="s">
        <v>22078</v>
      </c>
      <c r="AC1" s="450" t="s">
        <v>22079</v>
      </c>
      <c r="AD1" s="371" t="s">
        <v>22080</v>
      </c>
      <c r="AE1" s="464" t="s">
        <v>22081</v>
      </c>
      <c r="AF1" s="464" t="s">
        <v>22082</v>
      </c>
      <c r="AG1" s="464" t="s">
        <v>21266</v>
      </c>
      <c r="AH1" s="464" t="s">
        <v>22083</v>
      </c>
      <c r="AI1" s="464" t="s">
        <v>22084</v>
      </c>
      <c r="AJ1" s="410" t="s">
        <v>22055</v>
      </c>
      <c r="AK1" s="410" t="s">
        <v>22001</v>
      </c>
      <c r="AL1" s="335" t="s">
        <v>21996</v>
      </c>
      <c r="AM1" s="339" t="s">
        <v>21257</v>
      </c>
      <c r="AN1" s="336" t="s">
        <v>21262</v>
      </c>
      <c r="AO1" s="336" t="s">
        <v>21265</v>
      </c>
      <c r="AP1" s="336" t="s">
        <v>21267</v>
      </c>
    </row>
    <row r="2" ht="72" s="454" customFormat="1">
      <c r="A2" s="451" t="s">
        <v>21079</v>
      </c>
      <c r="B2" s="451" t="s">
        <v>21080</v>
      </c>
      <c r="C2" s="451" t="s">
        <v>21027</v>
      </c>
      <c r="D2" s="434" t="s">
        <v>22057</v>
      </c>
      <c r="E2" s="452" t="s">
        <v>22085</v>
      </c>
      <c r="F2" s="451" t="s">
        <v>22086</v>
      </c>
      <c r="G2" s="429" t="s">
        <v>22087</v>
      </c>
      <c r="H2" s="466" t="s">
        <v>22088</v>
      </c>
      <c r="I2" s="429" t="s">
        <v>22089</v>
      </c>
      <c r="J2" s="429" t="s">
        <v>22090</v>
      </c>
      <c r="K2" s="429" t="s">
        <v>22091</v>
      </c>
      <c r="L2" s="429" t="s">
        <v>22092</v>
      </c>
      <c r="M2" s="453" t="s">
        <v>22093</v>
      </c>
      <c r="N2" s="451" t="s">
        <v>22094</v>
      </c>
      <c r="O2" s="451" t="s">
        <v>22095</v>
      </c>
      <c r="P2" s="451" t="s">
        <v>22096</v>
      </c>
      <c r="Q2" s="451" t="s">
        <v>22097</v>
      </c>
      <c r="R2" s="451" t="s">
        <v>22098</v>
      </c>
      <c r="S2" s="451" t="s">
        <v>21032</v>
      </c>
      <c r="T2" s="451" t="s">
        <v>22099</v>
      </c>
      <c r="U2" s="451" t="s">
        <v>22100</v>
      </c>
      <c r="V2" s="451" t="s">
        <v>22101</v>
      </c>
      <c r="W2" s="451" t="s">
        <v>22102</v>
      </c>
      <c r="X2" s="451" t="s">
        <v>22103</v>
      </c>
      <c r="Y2" s="452" t="s">
        <v>22104</v>
      </c>
      <c r="Z2" s="452" t="s">
        <v>22105</v>
      </c>
      <c r="AA2" s="452" t="s">
        <v>22106</v>
      </c>
      <c r="AB2" s="452" t="s">
        <v>22107</v>
      </c>
      <c r="AC2" s="430" t="s">
        <v>22066</v>
      </c>
      <c r="AD2" s="429" t="s">
        <v>22108</v>
      </c>
      <c r="AE2" s="429" t="s">
        <v>22109</v>
      </c>
      <c r="AF2" s="429" t="s">
        <v>22110</v>
      </c>
      <c r="AG2" s="429" t="s">
        <v>22111</v>
      </c>
      <c r="AH2" s="429" t="s">
        <v>22112</v>
      </c>
      <c r="AI2" s="429" t="s">
        <v>22113</v>
      </c>
      <c r="AJ2" s="451" t="s">
        <v>22114</v>
      </c>
      <c r="AK2" s="451" t="s">
        <v>22063</v>
      </c>
      <c r="AL2" s="451" t="s">
        <v>22115</v>
      </c>
      <c r="AM2" s="429" t="s">
        <v>22004</v>
      </c>
      <c r="AN2" s="429" t="s">
        <v>22013</v>
      </c>
      <c r="AO2" s="429" t="s">
        <v>22048</v>
      </c>
      <c r="AP2" s="430" t="s">
        <v>22024</v>
      </c>
    </row>
    <row r="3" ht="26.4">
      <c r="A3" s="314">
        <v>1</v>
      </c>
      <c r="B3" s="314">
        <v>209089</v>
      </c>
      <c r="C3" s="330" t="s">
        <v>21097</v>
      </c>
      <c r="D3" s="329" t="s">
        <v>20942</v>
      </c>
      <c r="E3" s="329" t="s">
        <v>22116</v>
      </c>
      <c r="F3" s="340" t="s">
        <v>21098</v>
      </c>
      <c r="G3" s="282" t="s">
        <v>21099</v>
      </c>
      <c r="H3" s="467" t="s">
        <v>22050</v>
      </c>
      <c r="I3" s="282" t="s">
        <v>21181</v>
      </c>
      <c r="J3" s="282" t="s">
        <v>21182</v>
      </c>
      <c r="K3" s="282">
        <v>45</v>
      </c>
      <c r="L3" s="282">
        <v>0</v>
      </c>
      <c r="M3" s="282">
        <v>900</v>
      </c>
      <c r="N3" s="282">
        <v>42</v>
      </c>
      <c r="O3" s="282">
        <v>100</v>
      </c>
      <c r="P3" s="282" t="s">
        <v>22117</v>
      </c>
      <c r="Q3" s="282" t="s">
        <v>22118</v>
      </c>
      <c r="R3" s="282" t="s">
        <v>21174</v>
      </c>
      <c r="S3" s="282" t="s">
        <v>21172</v>
      </c>
      <c r="T3" s="282">
        <v>3</v>
      </c>
      <c r="U3" s="282" t="s">
        <v>22119</v>
      </c>
      <c r="V3" s="282" t="s">
        <v>22120</v>
      </c>
      <c r="W3" s="282" t="s">
        <v>22121</v>
      </c>
      <c r="X3" s="282" t="s">
        <v>21175</v>
      </c>
      <c r="Y3" s="282" t="s">
        <v>21176</v>
      </c>
      <c r="Z3" s="282">
        <v>6</v>
      </c>
      <c r="AA3" s="282">
        <v>39</v>
      </c>
      <c r="AB3" s="282" t="s">
        <v>21955</v>
      </c>
      <c r="AC3" s="282">
        <v>2</v>
      </c>
      <c r="AD3" s="340" t="s">
        <v>21952</v>
      </c>
      <c r="AE3" s="340" t="s">
        <v>22122</v>
      </c>
      <c r="AG3" s="340">
        <v>4</v>
      </c>
      <c r="AH3" s="340">
        <v>42</v>
      </c>
      <c r="AI3" s="340">
        <v>13</v>
      </c>
      <c r="AJ3" s="314">
        <v>1</v>
      </c>
      <c r="AK3" s="314" t="s">
        <v>21178</v>
      </c>
      <c r="AL3" s="282" t="s">
        <v>21177</v>
      </c>
      <c r="AM3" s="340" t="b">
        <v>1</v>
      </c>
      <c r="AN3" s="282" t="b">
        <v>1</v>
      </c>
      <c r="AO3" s="282" t="b">
        <v>1</v>
      </c>
    </row>
    <row r="4" ht="26.4">
      <c r="A4" s="314">
        <v>2</v>
      </c>
      <c r="B4" s="314">
        <v>216115</v>
      </c>
      <c r="C4" s="330" t="s">
        <v>21100</v>
      </c>
      <c r="D4" s="329" t="s">
        <v>20946</v>
      </c>
      <c r="E4" s="329" t="s">
        <v>22123</v>
      </c>
      <c r="F4" s="340" t="s">
        <v>21101</v>
      </c>
      <c r="G4" s="282" t="s">
        <v>21102</v>
      </c>
      <c r="H4" s="467" t="s">
        <v>22050</v>
      </c>
      <c r="I4" s="282" t="s">
        <v>21181</v>
      </c>
      <c r="J4" s="282" t="s">
        <v>21182</v>
      </c>
      <c r="K4" s="282">
        <v>45</v>
      </c>
      <c r="L4" s="282">
        <v>0</v>
      </c>
      <c r="M4" s="282">
        <v>900</v>
      </c>
      <c r="N4" s="282">
        <v>42</v>
      </c>
      <c r="O4" s="282">
        <v>50</v>
      </c>
      <c r="P4" s="282" t="s">
        <v>22117</v>
      </c>
      <c r="Q4" s="282" t="s">
        <v>22118</v>
      </c>
      <c r="R4" s="282" t="s">
        <v>21197</v>
      </c>
      <c r="S4" s="282" t="s">
        <v>21172</v>
      </c>
      <c r="T4" s="282">
        <v>3</v>
      </c>
      <c r="U4" s="282" t="s">
        <v>22119</v>
      </c>
      <c r="V4" s="282" t="s">
        <v>22120</v>
      </c>
      <c r="W4" s="282" t="s">
        <v>22124</v>
      </c>
      <c r="X4" s="282" t="s">
        <v>21175</v>
      </c>
      <c r="Y4" s="282" t="s">
        <v>21176</v>
      </c>
      <c r="Z4" s="282">
        <v>6</v>
      </c>
      <c r="AA4" s="282">
        <v>39</v>
      </c>
      <c r="AB4" s="282" t="s">
        <v>21955</v>
      </c>
      <c r="AC4" s="282">
        <v>2</v>
      </c>
      <c r="AD4" s="340" t="s">
        <v>21952</v>
      </c>
      <c r="AE4" s="340" t="s">
        <v>22122</v>
      </c>
      <c r="AG4" s="340">
        <v>4</v>
      </c>
      <c r="AH4" s="340">
        <v>42</v>
      </c>
      <c r="AI4" s="340">
        <v>0</v>
      </c>
      <c r="AJ4" s="314">
        <v>2</v>
      </c>
      <c r="AK4" s="314" t="s">
        <v>21178</v>
      </c>
      <c r="AL4" s="282" t="s">
        <v>21177</v>
      </c>
      <c r="AM4" s="340" t="b">
        <v>1</v>
      </c>
      <c r="AN4" s="282" t="b">
        <v>1</v>
      </c>
      <c r="AO4" s="282" t="b">
        <v>1</v>
      </c>
    </row>
    <row r="5" ht="26.4">
      <c r="A5" s="314">
        <v>3</v>
      </c>
      <c r="B5" s="314">
        <v>216501</v>
      </c>
      <c r="C5" s="330" t="s">
        <v>21103</v>
      </c>
      <c r="D5" s="329" t="s">
        <v>20946</v>
      </c>
      <c r="E5" s="329" t="s">
        <v>22125</v>
      </c>
      <c r="F5" s="340" t="s">
        <v>21104</v>
      </c>
      <c r="G5" s="282" t="s">
        <v>21105</v>
      </c>
      <c r="H5" s="467" t="s">
        <v>22050</v>
      </c>
      <c r="I5" s="282" t="s">
        <v>21181</v>
      </c>
      <c r="J5" s="282" t="s">
        <v>21182</v>
      </c>
      <c r="K5" s="282">
        <v>45</v>
      </c>
      <c r="L5" s="282">
        <v>0</v>
      </c>
      <c r="M5" s="282">
        <v>900</v>
      </c>
      <c r="N5" s="282">
        <v>42</v>
      </c>
      <c r="O5" s="282">
        <v>-40</v>
      </c>
      <c r="P5" s="282" t="s">
        <v>22117</v>
      </c>
      <c r="Q5" s="282" t="s">
        <v>22118</v>
      </c>
      <c r="R5" s="282" t="s">
        <v>21202</v>
      </c>
      <c r="S5" s="282" t="s">
        <v>21172</v>
      </c>
      <c r="T5" s="282">
        <v>3</v>
      </c>
      <c r="U5" s="282" t="s">
        <v>22119</v>
      </c>
      <c r="V5" s="282" t="s">
        <v>22120</v>
      </c>
      <c r="W5" s="282" t="s">
        <v>22126</v>
      </c>
      <c r="X5" s="282" t="s">
        <v>21175</v>
      </c>
      <c r="Y5" s="282" t="s">
        <v>21176</v>
      </c>
      <c r="Z5" s="282">
        <v>6</v>
      </c>
      <c r="AA5" s="282">
        <v>39</v>
      </c>
      <c r="AB5" s="282" t="s">
        <v>21955</v>
      </c>
      <c r="AC5" s="282">
        <v>2</v>
      </c>
      <c r="AD5" s="340" t="s">
        <v>21952</v>
      </c>
      <c r="AE5" s="340" t="s">
        <v>22122</v>
      </c>
      <c r="AG5" s="340">
        <v>4</v>
      </c>
      <c r="AH5" s="340">
        <v>42</v>
      </c>
      <c r="AI5" s="340">
        <v>0</v>
      </c>
      <c r="AJ5" s="314">
        <v>3</v>
      </c>
      <c r="AK5" s="314" t="s">
        <v>21178</v>
      </c>
      <c r="AL5" s="282" t="s">
        <v>21177</v>
      </c>
      <c r="AM5" s="340" t="b">
        <v>1</v>
      </c>
      <c r="AN5" s="282" t="b">
        <v>1</v>
      </c>
      <c r="AO5" s="282" t="b">
        <v>1</v>
      </c>
    </row>
    <row r="6" ht="26.4">
      <c r="A6" s="314">
        <v>4</v>
      </c>
      <c r="B6" s="314">
        <v>216502</v>
      </c>
      <c r="C6" s="330" t="s">
        <v>21106</v>
      </c>
      <c r="D6" s="329" t="s">
        <v>20946</v>
      </c>
      <c r="E6" s="329" t="s">
        <v>22127</v>
      </c>
      <c r="F6" s="340" t="s">
        <v>21107</v>
      </c>
      <c r="G6" s="282" t="s">
        <v>21108</v>
      </c>
      <c r="H6" s="467" t="s">
        <v>22050</v>
      </c>
      <c r="I6" s="282" t="s">
        <v>21181</v>
      </c>
      <c r="J6" s="282" t="s">
        <v>21182</v>
      </c>
      <c r="K6" s="282">
        <v>45</v>
      </c>
      <c r="L6" s="282">
        <v>0</v>
      </c>
      <c r="M6" s="282">
        <v>900</v>
      </c>
      <c r="N6" s="282">
        <v>42</v>
      </c>
      <c r="O6" s="282">
        <v>-160</v>
      </c>
      <c r="P6" s="282" t="s">
        <v>22117</v>
      </c>
      <c r="Q6" s="282" t="s">
        <v>22118</v>
      </c>
      <c r="R6" s="282" t="s">
        <v>21205</v>
      </c>
      <c r="S6" s="282" t="s">
        <v>21172</v>
      </c>
      <c r="T6" s="282">
        <v>3</v>
      </c>
      <c r="U6" s="282" t="s">
        <v>22119</v>
      </c>
      <c r="V6" s="282" t="s">
        <v>22120</v>
      </c>
      <c r="W6" s="282" t="s">
        <v>21042</v>
      </c>
      <c r="X6" s="282" t="s">
        <v>21175</v>
      </c>
      <c r="Y6" s="282" t="s">
        <v>21176</v>
      </c>
      <c r="Z6" s="282">
        <v>6</v>
      </c>
      <c r="AA6" s="282">
        <v>39</v>
      </c>
      <c r="AB6" s="282" t="s">
        <v>21955</v>
      </c>
      <c r="AC6" s="282">
        <v>2</v>
      </c>
      <c r="AD6" s="340" t="s">
        <v>21952</v>
      </c>
      <c r="AE6" s="340" t="s">
        <v>22122</v>
      </c>
      <c r="AG6" s="340">
        <v>4</v>
      </c>
      <c r="AH6" s="340">
        <v>42</v>
      </c>
      <c r="AI6" s="340">
        <v>27</v>
      </c>
      <c r="AJ6" s="314">
        <v>4</v>
      </c>
      <c r="AK6" s="314" t="s">
        <v>21178</v>
      </c>
      <c r="AL6" s="282" t="s">
        <v>21177</v>
      </c>
      <c r="AM6" s="340" t="b">
        <v>1</v>
      </c>
      <c r="AN6" s="282" t="b">
        <v>1</v>
      </c>
      <c r="AO6" s="282" t="b">
        <v>1</v>
      </c>
    </row>
    <row r="7" ht="26.4">
      <c r="A7" s="314">
        <v>5</v>
      </c>
      <c r="B7" s="314">
        <v>217501</v>
      </c>
      <c r="C7" s="330" t="s">
        <v>21109</v>
      </c>
      <c r="D7" s="329" t="s">
        <v>20952</v>
      </c>
      <c r="E7" s="329" t="s">
        <v>22128</v>
      </c>
      <c r="F7" s="340" t="s">
        <v>21110</v>
      </c>
      <c r="G7" s="282" t="s">
        <v>21111</v>
      </c>
      <c r="H7" s="467" t="s">
        <v>22050</v>
      </c>
      <c r="I7" s="282" t="s">
        <v>21181</v>
      </c>
      <c r="J7" s="282" t="s">
        <v>21182</v>
      </c>
      <c r="K7" s="282">
        <v>45</v>
      </c>
      <c r="L7" s="282">
        <v>0</v>
      </c>
      <c r="M7" s="282">
        <v>900</v>
      </c>
      <c r="N7" s="282">
        <v>42</v>
      </c>
      <c r="O7" s="282">
        <v>60</v>
      </c>
      <c r="P7" s="282" t="s">
        <v>22117</v>
      </c>
      <c r="Q7" s="282" t="s">
        <v>22118</v>
      </c>
      <c r="R7" s="282" t="s">
        <v>21209</v>
      </c>
      <c r="S7" s="282" t="s">
        <v>21172</v>
      </c>
      <c r="T7" s="282">
        <v>3</v>
      </c>
      <c r="U7" s="282" t="s">
        <v>22119</v>
      </c>
      <c r="V7" s="282" t="s">
        <v>22120</v>
      </c>
      <c r="W7" s="282" t="s">
        <v>22129</v>
      </c>
      <c r="X7" s="282" t="s">
        <v>21175</v>
      </c>
      <c r="Y7" s="282" t="s">
        <v>21176</v>
      </c>
      <c r="Z7" s="282">
        <v>6</v>
      </c>
      <c r="AA7" s="282">
        <v>39</v>
      </c>
      <c r="AB7" s="282" t="s">
        <v>21955</v>
      </c>
      <c r="AC7" s="282">
        <v>2</v>
      </c>
      <c r="AD7" s="340" t="s">
        <v>21952</v>
      </c>
      <c r="AE7" s="340" t="s">
        <v>22122</v>
      </c>
      <c r="AG7" s="340">
        <v>4</v>
      </c>
      <c r="AH7" s="340">
        <v>42</v>
      </c>
      <c r="AI7" s="340">
        <v>0</v>
      </c>
      <c r="AJ7" s="314">
        <v>5</v>
      </c>
      <c r="AK7" s="314" t="s">
        <v>21178</v>
      </c>
      <c r="AL7" s="282" t="s">
        <v>21177</v>
      </c>
      <c r="AM7" s="340" t="b">
        <v>1</v>
      </c>
      <c r="AN7" s="282" t="b">
        <v>1</v>
      </c>
      <c r="AO7" s="282" t="b">
        <v>1</v>
      </c>
    </row>
    <row r="8" ht="26.4">
      <c r="A8" s="314">
        <v>6</v>
      </c>
      <c r="B8" s="314">
        <v>221501</v>
      </c>
      <c r="C8" s="330" t="s">
        <v>21112</v>
      </c>
      <c r="D8" s="329" t="s">
        <v>20954</v>
      </c>
      <c r="E8" s="329" t="s">
        <v>22130</v>
      </c>
      <c r="F8" s="340" t="s">
        <v>21113</v>
      </c>
      <c r="G8" s="282" t="s">
        <v>21114</v>
      </c>
      <c r="H8" s="467" t="s">
        <v>22050</v>
      </c>
      <c r="I8" s="282" t="s">
        <v>21181</v>
      </c>
      <c r="J8" s="282" t="s">
        <v>21182</v>
      </c>
      <c r="K8" s="282">
        <v>45</v>
      </c>
      <c r="L8" s="282">
        <v>0</v>
      </c>
      <c r="M8" s="282">
        <v>900</v>
      </c>
      <c r="N8" s="282">
        <v>42</v>
      </c>
      <c r="O8" s="282">
        <v>-50</v>
      </c>
      <c r="P8" s="282" t="s">
        <v>22117</v>
      </c>
      <c r="Q8" s="282" t="s">
        <v>22118</v>
      </c>
      <c r="R8" s="282" t="s">
        <v>21214</v>
      </c>
      <c r="S8" s="282" t="s">
        <v>21172</v>
      </c>
      <c r="T8" s="282">
        <v>2</v>
      </c>
      <c r="U8" s="282" t="s">
        <v>22119</v>
      </c>
      <c r="V8" s="282" t="s">
        <v>22131</v>
      </c>
      <c r="W8" s="282" t="s">
        <v>22132</v>
      </c>
      <c r="X8" s="282" t="s">
        <v>21175</v>
      </c>
      <c r="Y8" s="282" t="s">
        <v>21215</v>
      </c>
      <c r="Z8" s="282">
        <v>6</v>
      </c>
      <c r="AA8" s="282">
        <v>39</v>
      </c>
      <c r="AB8" s="282" t="s">
        <v>21955</v>
      </c>
      <c r="AC8" s="282">
        <v>2</v>
      </c>
      <c r="AD8" s="340" t="s">
        <v>21952</v>
      </c>
      <c r="AE8" s="340" t="s">
        <v>22122</v>
      </c>
      <c r="AG8" s="340">
        <v>4</v>
      </c>
      <c r="AH8" s="340">
        <v>42</v>
      </c>
      <c r="AI8" s="340">
        <v>0</v>
      </c>
      <c r="AJ8" s="314">
        <v>6</v>
      </c>
      <c r="AK8" s="314" t="s">
        <v>21217</v>
      </c>
      <c r="AL8" s="282" t="s">
        <v>21216</v>
      </c>
      <c r="AM8" s="340" t="b">
        <v>1</v>
      </c>
      <c r="AN8" s="282" t="b">
        <v>1</v>
      </c>
      <c r="AO8" s="282" t="b">
        <v>1</v>
      </c>
    </row>
    <row r="9" ht="39.6">
      <c r="A9" s="314">
        <v>7</v>
      </c>
      <c r="B9" s="314">
        <v>209050</v>
      </c>
      <c r="C9" s="330" t="s">
        <v>21115</v>
      </c>
      <c r="D9" s="329" t="s">
        <v>20942</v>
      </c>
      <c r="E9" s="329" t="s">
        <v>22133</v>
      </c>
      <c r="F9" s="340" t="s">
        <v>21116</v>
      </c>
      <c r="G9" s="282" t="s">
        <v>21117</v>
      </c>
      <c r="H9" s="467" t="s">
        <v>22050</v>
      </c>
      <c r="I9" s="282" t="s">
        <v>21181</v>
      </c>
      <c r="J9" s="282" t="s">
        <v>21182</v>
      </c>
      <c r="K9" s="282">
        <v>3</v>
      </c>
      <c r="L9" s="282">
        <v>20</v>
      </c>
      <c r="M9" s="282">
        <v>900</v>
      </c>
      <c r="N9" s="282">
        <v>21</v>
      </c>
      <c r="O9" s="282">
        <v>-160</v>
      </c>
      <c r="P9" s="282" t="s">
        <v>22117</v>
      </c>
      <c r="Q9" s="282" t="s">
        <v>22118</v>
      </c>
      <c r="R9" s="282" t="s">
        <v>21234</v>
      </c>
      <c r="S9" s="282" t="s">
        <v>21172</v>
      </c>
      <c r="T9" s="282">
        <v>3</v>
      </c>
      <c r="U9" s="282" t="s">
        <v>22119</v>
      </c>
      <c r="V9" s="282" t="s">
        <v>22120</v>
      </c>
      <c r="W9" s="282" t="s">
        <v>21042</v>
      </c>
      <c r="X9" s="282" t="s">
        <v>21175</v>
      </c>
      <c r="Y9" s="282" t="s">
        <v>21042</v>
      </c>
      <c r="Z9" s="282">
        <v>6</v>
      </c>
      <c r="AA9" s="282">
        <v>0</v>
      </c>
      <c r="AB9" s="282" t="s">
        <v>21955</v>
      </c>
      <c r="AC9" s="282">
        <v>2</v>
      </c>
      <c r="AD9" s="340" t="s">
        <v>21955</v>
      </c>
      <c r="AE9" s="340" t="s">
        <v>22134</v>
      </c>
      <c r="AG9" s="340">
        <v>8</v>
      </c>
      <c r="AH9" s="340">
        <v>21</v>
      </c>
      <c r="AI9" s="340">
        <v>14.5</v>
      </c>
      <c r="AJ9" s="314">
        <v>7</v>
      </c>
      <c r="AK9" s="314" t="s">
        <v>21240</v>
      </c>
      <c r="AL9" s="282" t="s">
        <v>21177</v>
      </c>
      <c r="AM9" s="340" t="b">
        <v>1</v>
      </c>
      <c r="AN9" s="282" t="b">
        <v>0</v>
      </c>
      <c r="AO9" s="282" t="b">
        <v>1</v>
      </c>
    </row>
    <row r="10" ht="26.4">
      <c r="E10" s="329" t="s">
        <v>22135</v>
      </c>
      <c r="I10" s="282" t="s">
        <v>21181</v>
      </c>
      <c r="J10" s="282" t="s">
        <v>21182</v>
      </c>
      <c r="M10" s="282">
        <v>2100</v>
      </c>
      <c r="N10" s="282">
        <v>21</v>
      </c>
      <c r="R10" s="282" t="s">
        <v>21235</v>
      </c>
      <c r="S10" s="282" t="s">
        <v>21172</v>
      </c>
      <c r="T10" s="282">
        <v>3</v>
      </c>
      <c r="U10" s="282" t="s">
        <v>22136</v>
      </c>
      <c r="V10" s="282" t="s">
        <v>22120</v>
      </c>
      <c r="W10" s="282" t="s">
        <v>21042</v>
      </c>
      <c r="X10" s="282" t="s">
        <v>21236</v>
      </c>
      <c r="Y10" s="282" t="s">
        <v>21176</v>
      </c>
      <c r="Z10" s="282">
        <v>3</v>
      </c>
      <c r="AA10" s="282">
        <v>0</v>
      </c>
      <c r="AB10" s="282" t="s">
        <v>21955</v>
      </c>
      <c r="AI10" s="340">
        <v>0</v>
      </c>
      <c r="AJ10" s="314">
        <v>8</v>
      </c>
      <c r="AK10" s="314" t="s">
        <v>21240</v>
      </c>
      <c r="AL10" s="282" t="s">
        <v>21237</v>
      </c>
      <c r="AM10" s="340" t="b">
        <v>1</v>
      </c>
      <c r="AN10" s="282" t="b">
        <v>1</v>
      </c>
      <c r="AO10" s="282" t="b">
        <v>1</v>
      </c>
    </row>
  </sheetData>
  <sheetProtection formatCells="0" formatColumns="0" formatRows="0" sort="0" autoFilter="0" pivotTables="0"/>
  <autoFilter ref="A1:AO2"/>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9"/>
  <sheetViews>
    <sheetView showZeros="0" zoomScaleNormal="100" workbookViewId="0">
      <pane xSplit="3" ySplit="1" topLeftCell="D2" activePane="bottomRight" state="frozen"/>
      <selection activeCell="G5" sqref="G5"/>
      <selection pane="topRight" activeCell="G5" sqref="G5"/>
      <selection pane="bottomLeft" activeCell="G5" sqref="G5"/>
      <selection pane="bottomRight" activeCell="A3" sqref="A3:XFD9"/>
    </sheetView>
  </sheetViews>
  <sheetFormatPr defaultColWidth="9.109375" defaultRowHeight="13.2"/>
  <cols>
    <col min="1" max="1" bestFit="1" width="5" customWidth="1" style="314"/>
    <col min="2" max="2" width="9" customWidth="1" style="314"/>
    <col min="3" max="3" width="32.6640625" customWidth="1" style="330"/>
    <col min="4" max="6" width="14" customWidth="1" style="329"/>
    <col min="7" max="7" width="33.33203125" customWidth="1" style="282"/>
    <col min="8" max="8" width="12.6640625" customWidth="1" style="314"/>
    <col min="9" max="10" width="15.33203125" customWidth="1" style="282"/>
    <col min="11" max="11" bestFit="1" width="15.44140625" customWidth="1" style="397"/>
    <col min="12" max="12" width="42.109375" customWidth="1" style="282"/>
    <col min="13" max="13" width="9.109375" customWidth="1" style="282"/>
    <col min="14" max="14" width="27.33203125" customWidth="1" style="282"/>
    <col min="15" max="15" width="14.33203125" customWidth="1" style="397"/>
    <col min="16" max="17" width="13" customWidth="1" style="340"/>
    <col min="18" max="18" width="14" customWidth="1" style="333"/>
    <col min="19" max="19" width="16" customWidth="1" style="282"/>
    <col min="20" max="20" width="32.33203125" customWidth="1" style="282"/>
    <col min="21" max="21" width="24.6640625" customWidth="1" style="282"/>
    <col min="22" max="22" width="10.6640625" customWidth="1" style="282"/>
    <col min="23" max="23" width="23.109375" customWidth="1" style="282"/>
    <col min="24" max="24" width="17" customWidth="1" style="467"/>
    <col min="25" max="25" width="18.33203125" customWidth="1" style="282"/>
    <col min="26" max="26" width="13" customWidth="1" style="282"/>
    <col min="27" max="27" width="17.6640625" customWidth="1" style="340"/>
    <col min="28" max="28" width="14.6640625" customWidth="1" style="282"/>
    <col min="29" max="29" width="14.5546875" customWidth="1" style="282"/>
    <col min="30" max="30" width="13" customWidth="1" style="282"/>
    <col min="31" max="40" width="9.109375" customWidth="1" style="282"/>
    <col min="41" max="16384" width="9.109375" customWidth="1" style="282"/>
  </cols>
  <sheetData>
    <row r="1" ht="41.4" s="314" customFormat="1">
      <c r="A1" s="319" t="s">
        <v>0</v>
      </c>
      <c r="B1" s="408" t="s">
        <v>21242</v>
      </c>
      <c r="C1" s="376" t="s">
        <v>21243</v>
      </c>
      <c r="D1" s="367" t="s">
        <v>21244</v>
      </c>
      <c r="E1" s="367" t="s">
        <v>21245</v>
      </c>
      <c r="F1" s="367" t="s">
        <v>21246</v>
      </c>
      <c r="G1" s="369" t="s">
        <v>21295</v>
      </c>
      <c r="H1" s="369" t="s">
        <v>22055</v>
      </c>
      <c r="I1" s="369" t="s">
        <v>21250</v>
      </c>
      <c r="J1" s="369" t="s">
        <v>21251</v>
      </c>
      <c r="K1" s="412" t="s">
        <v>21253</v>
      </c>
      <c r="L1" s="369" t="s">
        <v>21254</v>
      </c>
      <c r="M1" s="369" t="s">
        <v>21252</v>
      </c>
      <c r="N1" s="369" t="s">
        <v>21255</v>
      </c>
      <c r="O1" s="412" t="s">
        <v>21256</v>
      </c>
      <c r="P1" s="407" t="s">
        <v>21266</v>
      </c>
      <c r="Q1" s="408" t="s">
        <v>22056</v>
      </c>
      <c r="R1" s="368" t="s">
        <v>21247</v>
      </c>
      <c r="S1" s="406" t="s">
        <v>21257</v>
      </c>
      <c r="T1" s="409" t="s">
        <v>21168</v>
      </c>
      <c r="U1" s="409" t="s">
        <v>21258</v>
      </c>
      <c r="V1" s="409" t="s">
        <v>21259</v>
      </c>
      <c r="W1" s="410" t="s">
        <v>21260</v>
      </c>
      <c r="X1" s="468" t="s">
        <v>21261</v>
      </c>
      <c r="Y1" s="406" t="s">
        <v>21262</v>
      </c>
      <c r="Z1" s="406" t="s">
        <v>21263</v>
      </c>
      <c r="AA1" s="411" t="s">
        <v>21264</v>
      </c>
      <c r="AB1" s="406" t="s">
        <v>21265</v>
      </c>
      <c r="AC1" s="406" t="s">
        <v>21266</v>
      </c>
      <c r="AD1" s="406" t="s">
        <v>21267</v>
      </c>
      <c r="AE1" s="406" t="s">
        <v>21268</v>
      </c>
      <c r="AF1" s="406" t="s">
        <v>21269</v>
      </c>
    </row>
    <row r="2" ht="72" s="314" customFormat="1">
      <c r="A2" s="429" t="s">
        <v>20973</v>
      </c>
      <c r="B2" s="429" t="s">
        <v>21951</v>
      </c>
      <c r="C2" s="429" t="s">
        <v>21027</v>
      </c>
      <c r="D2" s="434" t="s">
        <v>22057</v>
      </c>
      <c r="E2" s="434" t="s">
        <v>21964</v>
      </c>
      <c r="F2" s="434" t="s">
        <v>21967</v>
      </c>
      <c r="G2" s="429" t="s">
        <v>22040</v>
      </c>
      <c r="H2" s="429" t="s">
        <v>22039</v>
      </c>
      <c r="I2" s="429" t="s">
        <v>22058</v>
      </c>
      <c r="J2" s="429" t="s">
        <v>22059</v>
      </c>
      <c r="K2" s="429" t="s">
        <v>22060</v>
      </c>
      <c r="L2" s="429" t="s">
        <v>22061</v>
      </c>
      <c r="M2" s="435" t="s">
        <v>22062</v>
      </c>
      <c r="N2" s="429" t="s">
        <v>21072</v>
      </c>
      <c r="O2" s="435" t="s">
        <v>22063</v>
      </c>
      <c r="P2" s="429" t="s">
        <v>22064</v>
      </c>
      <c r="Q2" s="429" t="s">
        <v>22065</v>
      </c>
      <c r="R2" s="430" t="s">
        <v>22066</v>
      </c>
      <c r="S2" s="429" t="s">
        <v>22004</v>
      </c>
      <c r="T2" s="434" t="s">
        <v>22007</v>
      </c>
      <c r="U2" s="429" t="s">
        <v>22008</v>
      </c>
      <c r="V2" s="429" t="s">
        <v>22009</v>
      </c>
      <c r="W2" s="429" t="s">
        <v>21092</v>
      </c>
      <c r="X2" s="466" t="s">
        <v>22011</v>
      </c>
      <c r="Y2" s="429" t="s">
        <v>22013</v>
      </c>
      <c r="Z2" s="429" t="s">
        <v>22015</v>
      </c>
      <c r="AA2" s="429" t="s">
        <v>22017</v>
      </c>
      <c r="AB2" s="429" t="s">
        <v>22048</v>
      </c>
      <c r="AC2" s="429" t="s">
        <v>22049</v>
      </c>
      <c r="AD2" s="430" t="s">
        <v>22024</v>
      </c>
      <c r="AE2" s="429" t="s">
        <v>22033</v>
      </c>
      <c r="AF2" s="429" t="s">
        <v>22035</v>
      </c>
    </row>
    <row r="3" ht="26.4">
      <c r="A3" s="314">
        <v>1</v>
      </c>
      <c r="B3" s="314">
        <v>209089</v>
      </c>
      <c r="C3" s="330" t="s">
        <v>21097</v>
      </c>
      <c r="D3" s="329" t="s">
        <v>20942</v>
      </c>
      <c r="E3" s="329">
        <v>14.10187</v>
      </c>
      <c r="F3" s="329">
        <v>109.19875</v>
      </c>
      <c r="G3" s="282" t="s">
        <v>21172</v>
      </c>
      <c r="H3" s="314">
        <v>1</v>
      </c>
      <c r="I3" s="282" t="s">
        <v>21174</v>
      </c>
      <c r="J3" s="282" t="s">
        <v>21175</v>
      </c>
      <c r="K3" s="397" t="s">
        <v>21176</v>
      </c>
      <c r="L3" s="282" t="s">
        <v>21177</v>
      </c>
      <c r="M3" s="282">
        <v>3</v>
      </c>
      <c r="N3" s="282">
        <v>900</v>
      </c>
      <c r="O3" s="397" t="s">
        <v>21178</v>
      </c>
      <c r="P3" s="340">
        <v>4</v>
      </c>
      <c r="R3" s="333">
        <v>1</v>
      </c>
      <c r="S3" s="282" t="b">
        <v>1</v>
      </c>
      <c r="T3" s="282" t="s">
        <v>21098</v>
      </c>
      <c r="V3" s="282" t="s">
        <v>21179</v>
      </c>
      <c r="W3" s="282" t="s">
        <v>21099</v>
      </c>
      <c r="X3" s="467" t="s">
        <v>22050</v>
      </c>
      <c r="Y3" s="282" t="b">
        <v>1</v>
      </c>
      <c r="Z3" s="282" t="b">
        <v>0</v>
      </c>
      <c r="AB3" s="282" t="b">
        <v>1</v>
      </c>
      <c r="AC3" s="282">
        <v>4</v>
      </c>
      <c r="AD3" s="282" t="b">
        <v>0</v>
      </c>
      <c r="AE3" s="282" t="s">
        <v>21181</v>
      </c>
      <c r="AF3" s="282" t="s">
        <v>21182</v>
      </c>
    </row>
    <row r="4" ht="26.4">
      <c r="A4" s="314">
        <v>2</v>
      </c>
      <c r="B4" s="314">
        <v>216115</v>
      </c>
      <c r="C4" s="330" t="s">
        <v>21100</v>
      </c>
      <c r="D4" s="329" t="s">
        <v>20946</v>
      </c>
      <c r="E4" s="329">
        <v>12.45295</v>
      </c>
      <c r="F4" s="329">
        <v>108.04336</v>
      </c>
      <c r="G4" s="282" t="s">
        <v>21172</v>
      </c>
      <c r="H4" s="314">
        <v>1</v>
      </c>
      <c r="I4" s="282" t="s">
        <v>21197</v>
      </c>
      <c r="J4" s="282" t="s">
        <v>21175</v>
      </c>
      <c r="K4" s="397" t="s">
        <v>21176</v>
      </c>
      <c r="L4" s="282" t="s">
        <v>21177</v>
      </c>
      <c r="M4" s="282">
        <v>3</v>
      </c>
      <c r="N4" s="282">
        <v>900</v>
      </c>
      <c r="O4" s="397" t="s">
        <v>21178</v>
      </c>
      <c r="P4" s="340">
        <v>4</v>
      </c>
      <c r="R4" s="333">
        <v>1</v>
      </c>
      <c r="S4" s="282" t="b">
        <v>1</v>
      </c>
      <c r="T4" s="282" t="s">
        <v>21101</v>
      </c>
      <c r="V4" s="282" t="s">
        <v>21179</v>
      </c>
      <c r="W4" s="282" t="s">
        <v>21102</v>
      </c>
      <c r="X4" s="467" t="s">
        <v>22050</v>
      </c>
      <c r="Y4" s="282" t="b">
        <v>1</v>
      </c>
      <c r="Z4" s="282" t="b">
        <v>0</v>
      </c>
      <c r="AB4" s="282" t="b">
        <v>1</v>
      </c>
      <c r="AC4" s="282">
        <v>4</v>
      </c>
      <c r="AD4" s="282" t="b">
        <v>0</v>
      </c>
      <c r="AE4" s="282" t="s">
        <v>21181</v>
      </c>
      <c r="AF4" s="282" t="s">
        <v>21182</v>
      </c>
    </row>
    <row r="5" ht="26.4">
      <c r="A5" s="314">
        <v>3</v>
      </c>
      <c r="B5" s="314">
        <v>216501</v>
      </c>
      <c r="C5" s="330" t="s">
        <v>21103</v>
      </c>
      <c r="D5" s="329" t="s">
        <v>20946</v>
      </c>
      <c r="E5" s="329">
        <v>12.93722</v>
      </c>
      <c r="F5" s="329">
        <v>108.02293</v>
      </c>
      <c r="G5" s="282" t="s">
        <v>21172</v>
      </c>
      <c r="H5" s="314">
        <v>1</v>
      </c>
      <c r="I5" s="282" t="s">
        <v>21202</v>
      </c>
      <c r="J5" s="282" t="s">
        <v>21175</v>
      </c>
      <c r="K5" s="397" t="s">
        <v>21176</v>
      </c>
      <c r="L5" s="282" t="s">
        <v>21177</v>
      </c>
      <c r="M5" s="282">
        <v>3</v>
      </c>
      <c r="N5" s="282">
        <v>900</v>
      </c>
      <c r="O5" s="397" t="s">
        <v>21178</v>
      </c>
      <c r="P5" s="340">
        <v>4</v>
      </c>
      <c r="R5" s="333">
        <v>1</v>
      </c>
      <c r="S5" s="282" t="b">
        <v>1</v>
      </c>
      <c r="T5" s="282" t="s">
        <v>21104</v>
      </c>
      <c r="V5" s="282" t="s">
        <v>21179</v>
      </c>
      <c r="W5" s="282" t="s">
        <v>21105</v>
      </c>
      <c r="X5" s="467" t="s">
        <v>22050</v>
      </c>
      <c r="Y5" s="282" t="b">
        <v>1</v>
      </c>
      <c r="Z5" s="282" t="b">
        <v>0</v>
      </c>
      <c r="AB5" s="282" t="b">
        <v>1</v>
      </c>
      <c r="AC5" s="282">
        <v>4</v>
      </c>
      <c r="AD5" s="282" t="b">
        <v>0</v>
      </c>
      <c r="AE5" s="282" t="s">
        <v>21181</v>
      </c>
      <c r="AF5" s="282" t="s">
        <v>21182</v>
      </c>
    </row>
    <row r="6" ht="26.4">
      <c r="A6" s="314">
        <v>4</v>
      </c>
      <c r="B6" s="314">
        <v>216502</v>
      </c>
      <c r="C6" s="330" t="s">
        <v>21106</v>
      </c>
      <c r="D6" s="329" t="s">
        <v>20946</v>
      </c>
      <c r="E6" s="329">
        <v>12.39463</v>
      </c>
      <c r="F6" s="329">
        <v>108.08707</v>
      </c>
      <c r="G6" s="282" t="s">
        <v>21172</v>
      </c>
      <c r="H6" s="314">
        <v>1</v>
      </c>
      <c r="I6" s="282" t="s">
        <v>21205</v>
      </c>
      <c r="J6" s="282" t="s">
        <v>21175</v>
      </c>
      <c r="K6" s="397" t="s">
        <v>21176</v>
      </c>
      <c r="L6" s="282" t="s">
        <v>21177</v>
      </c>
      <c r="M6" s="282">
        <v>3</v>
      </c>
      <c r="N6" s="282">
        <v>900</v>
      </c>
      <c r="O6" s="397" t="s">
        <v>21178</v>
      </c>
      <c r="P6" s="340">
        <v>4</v>
      </c>
      <c r="R6" s="333">
        <v>1</v>
      </c>
      <c r="S6" s="282" t="b">
        <v>1</v>
      </c>
      <c r="T6" s="282" t="s">
        <v>21107</v>
      </c>
      <c r="V6" s="282" t="s">
        <v>21179</v>
      </c>
      <c r="W6" s="282" t="s">
        <v>21108</v>
      </c>
      <c r="X6" s="467" t="s">
        <v>22050</v>
      </c>
      <c r="Y6" s="282" t="b">
        <v>1</v>
      </c>
      <c r="Z6" s="282" t="b">
        <v>0</v>
      </c>
      <c r="AB6" s="282" t="b">
        <v>1</v>
      </c>
      <c r="AC6" s="282">
        <v>4</v>
      </c>
      <c r="AD6" s="282" t="b">
        <v>0</v>
      </c>
      <c r="AE6" s="282" t="s">
        <v>21181</v>
      </c>
      <c r="AF6" s="282" t="s">
        <v>21182</v>
      </c>
    </row>
    <row r="7" ht="26.4">
      <c r="A7" s="314">
        <v>5</v>
      </c>
      <c r="B7" s="314">
        <v>217501</v>
      </c>
      <c r="C7" s="330" t="s">
        <v>21109</v>
      </c>
      <c r="D7" s="329" t="s">
        <v>20952</v>
      </c>
      <c r="E7" s="329">
        <v>12.55385</v>
      </c>
      <c r="F7" s="329">
        <v>107.88986</v>
      </c>
      <c r="G7" s="282" t="s">
        <v>21172</v>
      </c>
      <c r="H7" s="314">
        <v>1</v>
      </c>
      <c r="I7" s="282" t="s">
        <v>21209</v>
      </c>
      <c r="J7" s="282" t="s">
        <v>21175</v>
      </c>
      <c r="K7" s="397" t="s">
        <v>21176</v>
      </c>
      <c r="L7" s="282" t="s">
        <v>21177</v>
      </c>
      <c r="M7" s="282">
        <v>3</v>
      </c>
      <c r="N7" s="282">
        <v>900</v>
      </c>
      <c r="O7" s="397" t="s">
        <v>21178</v>
      </c>
      <c r="P7" s="340">
        <v>4</v>
      </c>
      <c r="R7" s="333">
        <v>1</v>
      </c>
      <c r="S7" s="282" t="b">
        <v>1</v>
      </c>
      <c r="T7" s="282" t="s">
        <v>21110</v>
      </c>
      <c r="V7" s="282" t="s">
        <v>21179</v>
      </c>
      <c r="W7" s="282" t="s">
        <v>21111</v>
      </c>
      <c r="X7" s="467" t="s">
        <v>22050</v>
      </c>
      <c r="Y7" s="282" t="b">
        <v>1</v>
      </c>
      <c r="Z7" s="282" t="b">
        <v>0</v>
      </c>
      <c r="AB7" s="282" t="b">
        <v>1</v>
      </c>
      <c r="AC7" s="282">
        <v>4</v>
      </c>
      <c r="AD7" s="282" t="b">
        <v>0</v>
      </c>
      <c r="AE7" s="282" t="s">
        <v>21181</v>
      </c>
      <c r="AF7" s="282" t="s">
        <v>21182</v>
      </c>
    </row>
    <row r="8" ht="26.4">
      <c r="A8" s="314">
        <v>6</v>
      </c>
      <c r="B8" s="314">
        <v>221501</v>
      </c>
      <c r="C8" s="330" t="s">
        <v>21112</v>
      </c>
      <c r="D8" s="329" t="s">
        <v>20954</v>
      </c>
      <c r="E8" s="329">
        <v>14.22198</v>
      </c>
      <c r="F8" s="329">
        <v>107.9852</v>
      </c>
      <c r="G8" s="282" t="s">
        <v>21172</v>
      </c>
      <c r="H8" s="314">
        <v>1</v>
      </c>
      <c r="I8" s="282" t="s">
        <v>21214</v>
      </c>
      <c r="J8" s="282" t="s">
        <v>21175</v>
      </c>
      <c r="K8" s="397" t="s">
        <v>21215</v>
      </c>
      <c r="L8" s="282" t="s">
        <v>21216</v>
      </c>
      <c r="M8" s="282">
        <v>2</v>
      </c>
      <c r="N8" s="282">
        <v>900</v>
      </c>
      <c r="O8" s="397" t="s">
        <v>21217</v>
      </c>
      <c r="P8" s="340">
        <v>4</v>
      </c>
      <c r="R8" s="333">
        <v>1</v>
      </c>
      <c r="S8" s="282" t="b">
        <v>1</v>
      </c>
      <c r="T8" s="282" t="s">
        <v>21113</v>
      </c>
      <c r="V8" s="282" t="s">
        <v>21179</v>
      </c>
      <c r="W8" s="282" t="s">
        <v>21114</v>
      </c>
      <c r="X8" s="467" t="s">
        <v>22050</v>
      </c>
      <c r="Y8" s="282" t="b">
        <v>1</v>
      </c>
      <c r="Z8" s="282" t="b">
        <v>0</v>
      </c>
      <c r="AB8" s="282" t="b">
        <v>1</v>
      </c>
      <c r="AC8" s="282">
        <v>4</v>
      </c>
      <c r="AD8" s="282" t="b">
        <v>0</v>
      </c>
      <c r="AE8" s="282" t="s">
        <v>21181</v>
      </c>
      <c r="AF8" s="282" t="s">
        <v>21182</v>
      </c>
    </row>
    <row r="9" ht="39.6">
      <c r="A9" s="314">
        <v>7</v>
      </c>
      <c r="B9" s="314">
        <v>209050</v>
      </c>
      <c r="C9" s="330" t="s">
        <v>21115</v>
      </c>
      <c r="D9" s="329" t="s">
        <v>20942</v>
      </c>
      <c r="E9" s="329">
        <v>13.7644</v>
      </c>
      <c r="F9" s="329">
        <v>109.1499</v>
      </c>
      <c r="G9" s="282" t="s">
        <v>21233</v>
      </c>
      <c r="H9" s="314">
        <v>2</v>
      </c>
      <c r="I9" s="282" t="s">
        <v>21224</v>
      </c>
      <c r="J9" s="282" t="s">
        <v>21225</v>
      </c>
      <c r="K9" s="397" t="s">
        <v>21227</v>
      </c>
      <c r="L9" s="282" t="s">
        <v>21228</v>
      </c>
      <c r="M9" s="282" t="s">
        <v>21226</v>
      </c>
      <c r="N9" s="282" t="s">
        <v>21229</v>
      </c>
      <c r="O9" s="397" t="s">
        <v>21230</v>
      </c>
      <c r="P9" s="340">
        <v>8</v>
      </c>
      <c r="R9" s="333">
        <v>1</v>
      </c>
      <c r="S9" s="282" t="b">
        <v>1</v>
      </c>
      <c r="T9" s="282" t="s">
        <v>21116</v>
      </c>
      <c r="V9" s="282" t="s">
        <v>21179</v>
      </c>
      <c r="W9" s="282" t="s">
        <v>21117</v>
      </c>
      <c r="X9" s="467" t="s">
        <v>22050</v>
      </c>
      <c r="Y9" s="282" t="b">
        <v>0</v>
      </c>
      <c r="Z9" s="282" t="b">
        <v>0</v>
      </c>
      <c r="AB9" s="282" t="b">
        <v>1</v>
      </c>
      <c r="AC9" s="282">
        <v>8</v>
      </c>
      <c r="AD9" s="282" t="b">
        <v>0</v>
      </c>
      <c r="AE9" s="282" t="s">
        <v>21181</v>
      </c>
      <c r="AF9" s="282" t="s">
        <v>21182</v>
      </c>
    </row>
  </sheetData>
  <sheetProtection formatCells="0" formatColumns="0" formatRows="0" sort="0" autoFilter="0" pivotTables="0"/>
  <phoneticPr fontId="100" type="noConversion"/>
  <dataValidations count="1">
    <dataValidation type="list" allowBlank="1" showInputMessage="1" showErrorMessage="1" sqref="X2 V3:V1048576" xr:uid="{EC644FD2-908E-40E6-A568-753015ADDCB5}">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09375" customWidth="1" style="329"/>
    <col min="2" max="2" width="11.109375" customWidth="1" style="328"/>
    <col min="3" max="3" width="32.6640625" customWidth="1" style="330"/>
    <col min="4" max="4" width="14" customWidth="1" style="329"/>
    <col min="5" max="5" width="14" customWidth="1" style="328"/>
    <col min="6" max="6" width="14" customWidth="1" style="328"/>
    <col min="7" max="7" width="14" customWidth="1" style="328"/>
    <col min="8" max="8" width="14" customWidth="1" style="328"/>
    <col min="9" max="9" width="12.109375" customWidth="1" style="328"/>
    <col min="10" max="10" width="12.109375" customWidth="1" style="328"/>
    <col min="11" max="11" width="12.44140625" customWidth="1" style="328"/>
    <col min="12" max="12" width="14.5546875" customWidth="1" style="328"/>
    <col min="13" max="13" width="12" customWidth="1" style="328"/>
    <col min="14" max="24" width="9" customWidth="1" style="328"/>
    <col min="25" max="16384" width="9" customWidth="1" style="328"/>
  </cols>
  <sheetData>
    <row r="1" ht="33.75" customHeight="1" s="324" customFormat="1">
      <c r="A1" s="322" t="s">
        <v>0</v>
      </c>
      <c r="B1" s="334" t="s">
        <v>21242</v>
      </c>
      <c r="C1" s="334" t="s">
        <v>21243</v>
      </c>
      <c r="D1" s="334" t="s">
        <v>21244</v>
      </c>
      <c r="E1" s="321" t="s">
        <v>21245</v>
      </c>
      <c r="F1" s="321" t="s">
        <v>21246</v>
      </c>
      <c r="G1" s="321" t="s">
        <v>21247</v>
      </c>
      <c r="H1" s="322" t="s">
        <v>21282</v>
      </c>
      <c r="I1" s="323"/>
      <c r="J1" s="323"/>
    </row>
    <row r="2" ht="27.6">
      <c r="A2" s="325">
        <v>1</v>
      </c>
      <c r="B2" s="217">
        <v>359018</v>
      </c>
      <c r="C2" s="326" t="s">
        <v>22051</v>
      </c>
      <c r="D2" s="325" t="s">
        <v>20917</v>
      </c>
      <c r="E2" s="327">
        <v>106.698889</v>
      </c>
      <c r="F2" s="217">
        <v>10.759444</v>
      </c>
      <c r="G2" s="217">
        <v>1</v>
      </c>
      <c r="H2" s="325" t="str">
        <f>INDEX(CityIDList,MATCH(D2,CityNameList,0))</f>
        <v>HCM</v>
      </c>
    </row>
    <row r="3" ht="41.4">
      <c r="A3" s="325">
        <v>2</v>
      </c>
      <c r="B3" s="217">
        <v>359184</v>
      </c>
      <c r="C3" s="326" t="s">
        <v>22052</v>
      </c>
      <c r="D3" s="325" t="s">
        <v>20917</v>
      </c>
      <c r="E3" s="327">
        <v>106.6932</v>
      </c>
      <c r="F3" s="217">
        <v>10.77212</v>
      </c>
      <c r="G3" s="217">
        <v>1</v>
      </c>
      <c r="H3" s="325" t="str">
        <f>INDEX(CityIDList,MATCH(D3,CityNameList,0))</f>
        <v>HCM</v>
      </c>
    </row>
    <row r="4" ht="41.4">
      <c r="A4" s="325">
        <v>3</v>
      </c>
      <c r="B4" s="217">
        <v>359356</v>
      </c>
      <c r="C4" s="326" t="s">
        <v>22053</v>
      </c>
      <c r="D4" s="325" t="s">
        <v>20917</v>
      </c>
      <c r="E4" s="327">
        <v>106.68681</v>
      </c>
      <c r="F4" s="217">
        <v>10.76398</v>
      </c>
      <c r="G4" s="217">
        <v>1</v>
      </c>
      <c r="H4" s="325" t="str">
        <f>INDEX(CityIDList,MATCH(D4,CityNameList,0))</f>
        <v>HCM</v>
      </c>
    </row>
    <row r="5" ht="27.6">
      <c r="A5" s="325">
        <v>5</v>
      </c>
      <c r="B5" s="217">
        <v>359389</v>
      </c>
      <c r="C5" s="326" t="s">
        <v>22054</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9"/>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sqref="A1:AC9"/>
    </sheetView>
  </sheetViews>
  <sheetFormatPr defaultColWidth="9.109375" defaultRowHeight="13.2"/>
  <cols>
    <col min="1" max="1" bestFit="1" width="5" customWidth="1" style="314"/>
    <col min="2" max="2" width="11.109375" customWidth="1" style="328"/>
    <col min="3" max="3" width="32.6640625" customWidth="1" style="330"/>
    <col min="4" max="4" width="14" customWidth="1" style="329"/>
    <col min="5" max="6" width="14" customWidth="1" style="405"/>
    <col min="7" max="7" width="14" customWidth="1" style="333"/>
    <col min="8" max="8" width="10.5546875" customWidth="1" style="314"/>
    <col min="9" max="9" width="33.33203125" customWidth="1" style="282"/>
    <col min="10" max="11" width="15.33203125" customWidth="1" style="282"/>
    <col min="12" max="12" width="9.109375" customWidth="1" style="282"/>
    <col min="13" max="13" bestFit="1" width="15.44140625" customWidth="1" style="282"/>
    <col min="14" max="14" width="18.109375" customWidth="1" style="282"/>
    <col min="15" max="15" width="20.6640625" customWidth="1" style="282"/>
    <col min="16" max="16" width="14.33203125" customWidth="1" style="282"/>
    <col min="17" max="17" width="13" customWidth="1" style="282"/>
    <col min="18" max="18" width="32.33203125" customWidth="1" style="282"/>
    <col min="19" max="19" width="24.6640625" customWidth="1" style="282"/>
    <col min="20" max="20" width="10.6640625" customWidth="1" style="282"/>
    <col min="21" max="21" width="23.109375" customWidth="1" style="282"/>
    <col min="22" max="22" width="17" customWidth="1" style="397"/>
    <col min="23" max="25" width="13" customWidth="1" style="282"/>
    <col min="26" max="26" width="13" customWidth="1" style="340"/>
    <col min="27" max="27" width="13" customWidth="1" style="282"/>
    <col min="28" max="36" width="9.109375" customWidth="1" style="282"/>
    <col min="37" max="16384" width="9.109375" customWidth="1" style="282"/>
  </cols>
  <sheetData>
    <row r="1" ht="33.75" customHeight="1" s="314" customFormat="1">
      <c r="A1" s="319" t="s">
        <v>0</v>
      </c>
      <c r="B1" s="367" t="s">
        <v>21242</v>
      </c>
      <c r="C1" s="376" t="s">
        <v>21243</v>
      </c>
      <c r="D1" s="367" t="s">
        <v>21244</v>
      </c>
      <c r="E1" s="404" t="s">
        <v>21245</v>
      </c>
      <c r="F1" s="404" t="s">
        <v>21246</v>
      </c>
      <c r="G1" s="368" t="s">
        <v>21247</v>
      </c>
      <c r="H1" s="369" t="s">
        <v>21248</v>
      </c>
      <c r="I1" s="370" t="s">
        <v>21295</v>
      </c>
      <c r="J1" s="370" t="s">
        <v>21250</v>
      </c>
      <c r="K1" s="370" t="s">
        <v>21251</v>
      </c>
      <c r="L1" s="370" t="s">
        <v>21252</v>
      </c>
      <c r="M1" s="370" t="s">
        <v>21253</v>
      </c>
      <c r="N1" s="370" t="s">
        <v>21254</v>
      </c>
      <c r="O1" s="370" t="s">
        <v>21255</v>
      </c>
      <c r="P1" s="370" t="s">
        <v>21256</v>
      </c>
      <c r="Q1" s="371" t="s">
        <v>21257</v>
      </c>
      <c r="R1" s="372" t="s">
        <v>21168</v>
      </c>
      <c r="S1" s="372" t="s">
        <v>21258</v>
      </c>
      <c r="T1" s="372" t="s">
        <v>21259</v>
      </c>
      <c r="U1" s="335" t="s">
        <v>21260</v>
      </c>
      <c r="V1" s="461" t="s">
        <v>21261</v>
      </c>
      <c r="W1" s="336" t="s">
        <v>21262</v>
      </c>
      <c r="X1" s="336" t="s">
        <v>21263</v>
      </c>
      <c r="Y1" s="336" t="s">
        <v>21265</v>
      </c>
      <c r="Z1" s="339" t="s">
        <v>21266</v>
      </c>
      <c r="AA1" s="336" t="s">
        <v>21267</v>
      </c>
      <c r="AB1" s="406" t="s">
        <v>21268</v>
      </c>
      <c r="AC1" s="406" t="s">
        <v>21269</v>
      </c>
    </row>
    <row r="2" ht="86.4">
      <c r="A2" s="429" t="s">
        <v>20973</v>
      </c>
      <c r="B2" s="421" t="s">
        <v>21951</v>
      </c>
      <c r="C2" s="421" t="s">
        <v>22036</v>
      </c>
      <c r="D2" s="421" t="s">
        <v>22037</v>
      </c>
      <c r="E2" s="422" t="s">
        <v>21964</v>
      </c>
      <c r="F2" s="422" t="s">
        <v>21967</v>
      </c>
      <c r="G2" s="421" t="s">
        <v>22038</v>
      </c>
      <c r="H2" s="423" t="s">
        <v>22039</v>
      </c>
      <c r="I2" s="424" t="s">
        <v>22040</v>
      </c>
      <c r="J2" s="431" t="s">
        <v>22041</v>
      </c>
      <c r="K2" s="431" t="s">
        <v>22042</v>
      </c>
      <c r="L2" s="424" t="s">
        <v>22043</v>
      </c>
      <c r="M2" s="432" t="s">
        <v>22044</v>
      </c>
      <c r="N2" s="431" t="s">
        <v>22045</v>
      </c>
      <c r="O2" s="431" t="s">
        <v>22046</v>
      </c>
      <c r="P2" s="431" t="s">
        <v>22047</v>
      </c>
      <c r="Q2" s="424" t="s">
        <v>22004</v>
      </c>
      <c r="R2" s="429" t="s">
        <v>22007</v>
      </c>
      <c r="S2" s="433" t="s">
        <v>22008</v>
      </c>
      <c r="T2" s="433" t="s">
        <v>22009</v>
      </c>
      <c r="U2" s="424" t="s">
        <v>21092</v>
      </c>
      <c r="V2" s="462" t="s">
        <v>22011</v>
      </c>
      <c r="W2" s="424" t="s">
        <v>22013</v>
      </c>
      <c r="X2" s="425" t="s">
        <v>22015</v>
      </c>
      <c r="Y2" s="424" t="s">
        <v>22048</v>
      </c>
      <c r="Z2" s="426" t="s">
        <v>22049</v>
      </c>
      <c r="AA2" s="424" t="s">
        <v>22024</v>
      </c>
      <c r="AB2" s="429" t="s">
        <v>22033</v>
      </c>
      <c r="AC2" s="429" t="s">
        <v>22035</v>
      </c>
    </row>
    <row r="3" ht="26.4">
      <c r="A3" s="320">
        <v>1</v>
      </c>
      <c r="B3" s="413">
        <v>209089</v>
      </c>
      <c r="C3" s="414" t="s">
        <v>21097</v>
      </c>
      <c r="D3" s="415" t="s">
        <v>20942</v>
      </c>
      <c r="E3" s="416">
        <v>14.10187</v>
      </c>
      <c r="F3" s="416">
        <v>109.19875</v>
      </c>
      <c r="G3" s="417">
        <v>1</v>
      </c>
      <c r="H3" s="320">
        <v>1</v>
      </c>
      <c r="I3" s="341" t="s">
        <v>21172</v>
      </c>
      <c r="J3" s="341" t="s">
        <v>21174</v>
      </c>
      <c r="K3" s="341" t="s">
        <v>21175</v>
      </c>
      <c r="L3" s="341">
        <v>3</v>
      </c>
      <c r="M3" s="418" t="s">
        <v>21176</v>
      </c>
      <c r="N3" s="341" t="s">
        <v>21177</v>
      </c>
      <c r="O3" s="341">
        <v>900</v>
      </c>
      <c r="P3" s="418" t="s">
        <v>21178</v>
      </c>
      <c r="Q3" s="341" t="b">
        <v>1</v>
      </c>
      <c r="R3" s="341" t="s">
        <v>21098</v>
      </c>
      <c r="S3" s="341">
        <v>0</v>
      </c>
      <c r="T3" s="341" t="s">
        <v>21179</v>
      </c>
      <c r="U3" s="341" t="s">
        <v>21099</v>
      </c>
      <c r="V3" s="469" t="s">
        <v>22050</v>
      </c>
      <c r="W3" s="341" t="b">
        <v>1</v>
      </c>
      <c r="X3" s="419" t="b">
        <v>0</v>
      </c>
      <c r="Y3" s="341" t="b">
        <v>1</v>
      </c>
      <c r="Z3" s="420">
        <v>4</v>
      </c>
      <c r="AA3" s="341" t="b">
        <v>0</v>
      </c>
      <c r="AB3" s="341" t="s">
        <v>21181</v>
      </c>
      <c r="AC3" s="341" t="s">
        <v>21182</v>
      </c>
    </row>
    <row r="4" ht="26.4">
      <c r="A4" s="320">
        <v>2</v>
      </c>
      <c r="B4" s="413">
        <v>216115</v>
      </c>
      <c r="C4" s="414" t="s">
        <v>21100</v>
      </c>
      <c r="D4" s="415" t="s">
        <v>20946</v>
      </c>
      <c r="E4" s="416">
        <v>12.45295</v>
      </c>
      <c r="F4" s="416">
        <v>108.04336</v>
      </c>
      <c r="G4" s="417">
        <v>1</v>
      </c>
      <c r="H4" s="320">
        <v>1</v>
      </c>
      <c r="I4" s="341" t="s">
        <v>21172</v>
      </c>
      <c r="J4" s="341" t="s">
        <v>21197</v>
      </c>
      <c r="K4" s="341" t="s">
        <v>21175</v>
      </c>
      <c r="L4" s="341">
        <v>3</v>
      </c>
      <c r="M4" s="418" t="s">
        <v>21176</v>
      </c>
      <c r="N4" s="341" t="s">
        <v>21177</v>
      </c>
      <c r="O4" s="341">
        <v>900</v>
      </c>
      <c r="P4" s="418" t="s">
        <v>21178</v>
      </c>
      <c r="Q4" s="341" t="b">
        <v>1</v>
      </c>
      <c r="R4" s="341" t="s">
        <v>21101</v>
      </c>
      <c r="S4" s="341">
        <v>0</v>
      </c>
      <c r="T4" s="341" t="s">
        <v>21179</v>
      </c>
      <c r="U4" s="341" t="s">
        <v>21102</v>
      </c>
      <c r="V4" s="469" t="s">
        <v>22050</v>
      </c>
      <c r="W4" s="341" t="b">
        <v>1</v>
      </c>
      <c r="X4" s="419" t="b">
        <v>0</v>
      </c>
      <c r="Y4" s="341" t="b">
        <v>1</v>
      </c>
      <c r="Z4" s="420">
        <v>4</v>
      </c>
      <c r="AA4" s="341" t="b">
        <v>0</v>
      </c>
      <c r="AB4" s="341" t="s">
        <v>21181</v>
      </c>
      <c r="AC4" s="341" t="s">
        <v>21182</v>
      </c>
    </row>
    <row r="5" ht="26.4">
      <c r="A5" s="320">
        <v>3</v>
      </c>
      <c r="B5" s="413">
        <v>216501</v>
      </c>
      <c r="C5" s="414" t="s">
        <v>21103</v>
      </c>
      <c r="D5" s="415" t="s">
        <v>20946</v>
      </c>
      <c r="E5" s="416">
        <v>12.93722</v>
      </c>
      <c r="F5" s="416">
        <v>108.02293</v>
      </c>
      <c r="G5" s="417">
        <v>1</v>
      </c>
      <c r="H5" s="320">
        <v>1</v>
      </c>
      <c r="I5" s="341" t="s">
        <v>21172</v>
      </c>
      <c r="J5" s="341" t="s">
        <v>21202</v>
      </c>
      <c r="K5" s="341" t="s">
        <v>21175</v>
      </c>
      <c r="L5" s="341">
        <v>3</v>
      </c>
      <c r="M5" s="418" t="s">
        <v>21176</v>
      </c>
      <c r="N5" s="341" t="s">
        <v>21177</v>
      </c>
      <c r="O5" s="341">
        <v>900</v>
      </c>
      <c r="P5" s="418" t="s">
        <v>21178</v>
      </c>
      <c r="Q5" s="341" t="b">
        <v>1</v>
      </c>
      <c r="R5" s="341" t="s">
        <v>21104</v>
      </c>
      <c r="S5" s="341">
        <v>0</v>
      </c>
      <c r="T5" s="341" t="s">
        <v>21179</v>
      </c>
      <c r="U5" s="341" t="s">
        <v>21105</v>
      </c>
      <c r="V5" s="469" t="s">
        <v>22050</v>
      </c>
      <c r="W5" s="341" t="b">
        <v>1</v>
      </c>
      <c r="X5" s="419" t="b">
        <v>0</v>
      </c>
      <c r="Y5" s="341" t="b">
        <v>1</v>
      </c>
      <c r="Z5" s="420">
        <v>4</v>
      </c>
      <c r="AA5" s="341" t="b">
        <v>0</v>
      </c>
      <c r="AB5" s="341" t="s">
        <v>21181</v>
      </c>
      <c r="AC5" s="341" t="s">
        <v>21182</v>
      </c>
    </row>
    <row r="6" ht="26.4">
      <c r="A6" s="320">
        <v>4</v>
      </c>
      <c r="B6" s="413">
        <v>216502</v>
      </c>
      <c r="C6" s="414" t="s">
        <v>21106</v>
      </c>
      <c r="D6" s="415" t="s">
        <v>20946</v>
      </c>
      <c r="E6" s="416">
        <v>12.39463</v>
      </c>
      <c r="F6" s="416">
        <v>108.08707</v>
      </c>
      <c r="G6" s="417">
        <v>1</v>
      </c>
      <c r="H6" s="320">
        <v>1</v>
      </c>
      <c r="I6" s="341" t="s">
        <v>21172</v>
      </c>
      <c r="J6" s="341" t="s">
        <v>21205</v>
      </c>
      <c r="K6" s="341" t="s">
        <v>21175</v>
      </c>
      <c r="L6" s="341">
        <v>3</v>
      </c>
      <c r="M6" s="418" t="s">
        <v>21176</v>
      </c>
      <c r="N6" s="341" t="s">
        <v>21177</v>
      </c>
      <c r="O6" s="341">
        <v>900</v>
      </c>
      <c r="P6" s="418" t="s">
        <v>21178</v>
      </c>
      <c r="Q6" s="341" t="b">
        <v>1</v>
      </c>
      <c r="R6" s="341" t="s">
        <v>21107</v>
      </c>
      <c r="S6" s="341">
        <v>0</v>
      </c>
      <c r="T6" s="341" t="s">
        <v>21179</v>
      </c>
      <c r="U6" s="341" t="s">
        <v>21108</v>
      </c>
      <c r="V6" s="469" t="s">
        <v>22050</v>
      </c>
      <c r="W6" s="341" t="b">
        <v>1</v>
      </c>
      <c r="X6" s="419" t="b">
        <v>0</v>
      </c>
      <c r="Y6" s="341" t="b">
        <v>1</v>
      </c>
      <c r="Z6" s="420">
        <v>4</v>
      </c>
      <c r="AA6" s="341" t="b">
        <v>0</v>
      </c>
      <c r="AB6" s="341" t="s">
        <v>21181</v>
      </c>
      <c r="AC6" s="341" t="s">
        <v>21182</v>
      </c>
    </row>
    <row r="7" ht="26.4">
      <c r="A7" s="320">
        <v>5</v>
      </c>
      <c r="B7" s="413">
        <v>217501</v>
      </c>
      <c r="C7" s="414" t="s">
        <v>21109</v>
      </c>
      <c r="D7" s="415" t="s">
        <v>20952</v>
      </c>
      <c r="E7" s="416">
        <v>12.55385</v>
      </c>
      <c r="F7" s="416">
        <v>107.88986</v>
      </c>
      <c r="G7" s="417">
        <v>1</v>
      </c>
      <c r="H7" s="320">
        <v>1</v>
      </c>
      <c r="I7" s="341" t="s">
        <v>21172</v>
      </c>
      <c r="J7" s="341" t="s">
        <v>21209</v>
      </c>
      <c r="K7" s="341" t="s">
        <v>21175</v>
      </c>
      <c r="L7" s="341">
        <v>3</v>
      </c>
      <c r="M7" s="418" t="s">
        <v>21176</v>
      </c>
      <c r="N7" s="341" t="s">
        <v>21177</v>
      </c>
      <c r="O7" s="341">
        <v>900</v>
      </c>
      <c r="P7" s="418" t="s">
        <v>21178</v>
      </c>
      <c r="Q7" s="341" t="b">
        <v>1</v>
      </c>
      <c r="R7" s="341" t="s">
        <v>21110</v>
      </c>
      <c r="S7" s="341">
        <v>0</v>
      </c>
      <c r="T7" s="341" t="s">
        <v>21179</v>
      </c>
      <c r="U7" s="341" t="s">
        <v>21111</v>
      </c>
      <c r="V7" s="469" t="s">
        <v>22050</v>
      </c>
      <c r="W7" s="341" t="b">
        <v>1</v>
      </c>
      <c r="X7" s="419" t="b">
        <v>0</v>
      </c>
      <c r="Y7" s="341" t="b">
        <v>1</v>
      </c>
      <c r="Z7" s="420">
        <v>4</v>
      </c>
      <c r="AA7" s="341" t="b">
        <v>0</v>
      </c>
      <c r="AB7" s="341" t="s">
        <v>21181</v>
      </c>
      <c r="AC7" s="341" t="s">
        <v>21182</v>
      </c>
    </row>
    <row r="8" ht="26.4">
      <c r="A8" s="320">
        <v>6</v>
      </c>
      <c r="B8" s="413">
        <v>221501</v>
      </c>
      <c r="C8" s="414" t="s">
        <v>21112</v>
      </c>
      <c r="D8" s="415" t="s">
        <v>20954</v>
      </c>
      <c r="E8" s="416">
        <v>14.22198</v>
      </c>
      <c r="F8" s="416">
        <v>107.9852</v>
      </c>
      <c r="G8" s="417">
        <v>1</v>
      </c>
      <c r="H8" s="320">
        <v>1</v>
      </c>
      <c r="I8" s="341" t="s">
        <v>21172</v>
      </c>
      <c r="J8" s="341" t="s">
        <v>21214</v>
      </c>
      <c r="K8" s="341" t="s">
        <v>21175</v>
      </c>
      <c r="L8" s="341">
        <v>2</v>
      </c>
      <c r="M8" s="418" t="s">
        <v>21215</v>
      </c>
      <c r="N8" s="341" t="s">
        <v>21216</v>
      </c>
      <c r="O8" s="341">
        <v>900</v>
      </c>
      <c r="P8" s="418" t="s">
        <v>21217</v>
      </c>
      <c r="Q8" s="341" t="b">
        <v>1</v>
      </c>
      <c r="R8" s="341" t="s">
        <v>21113</v>
      </c>
      <c r="S8" s="341">
        <v>0</v>
      </c>
      <c r="T8" s="341" t="s">
        <v>21179</v>
      </c>
      <c r="U8" s="341" t="s">
        <v>21114</v>
      </c>
      <c r="V8" s="469" t="s">
        <v>22050</v>
      </c>
      <c r="W8" s="341" t="b">
        <v>1</v>
      </c>
      <c r="X8" s="419" t="b">
        <v>0</v>
      </c>
      <c r="Y8" s="341" t="b">
        <v>1</v>
      </c>
      <c r="Z8" s="420">
        <v>4</v>
      </c>
      <c r="AA8" s="341" t="b">
        <v>0</v>
      </c>
      <c r="AB8" s="341" t="s">
        <v>21181</v>
      </c>
      <c r="AC8" s="341" t="s">
        <v>21182</v>
      </c>
    </row>
    <row r="9" ht="39.6">
      <c r="A9" s="320">
        <v>7</v>
      </c>
      <c r="B9" s="413">
        <v>209050</v>
      </c>
      <c r="C9" s="414" t="s">
        <v>21115</v>
      </c>
      <c r="D9" s="415" t="s">
        <v>20942</v>
      </c>
      <c r="E9" s="416">
        <v>13.7644</v>
      </c>
      <c r="F9" s="416">
        <v>109.1499</v>
      </c>
      <c r="G9" s="417">
        <v>1</v>
      </c>
      <c r="H9" s="320">
        <v>2</v>
      </c>
      <c r="I9" s="341" t="s">
        <v>21233</v>
      </c>
      <c r="J9" s="341" t="s">
        <v>21224</v>
      </c>
      <c r="K9" s="341" t="s">
        <v>21225</v>
      </c>
      <c r="L9" s="341" t="s">
        <v>21226</v>
      </c>
      <c r="M9" s="418" t="s">
        <v>21227</v>
      </c>
      <c r="N9" s="341" t="s">
        <v>21228</v>
      </c>
      <c r="O9" s="341" t="s">
        <v>21229</v>
      </c>
      <c r="P9" s="418" t="s">
        <v>21230</v>
      </c>
      <c r="Q9" s="341" t="b">
        <v>1</v>
      </c>
      <c r="R9" s="341" t="s">
        <v>21116</v>
      </c>
      <c r="S9" s="341">
        <v>0</v>
      </c>
      <c r="T9" s="341" t="s">
        <v>21179</v>
      </c>
      <c r="U9" s="341" t="s">
        <v>21117</v>
      </c>
      <c r="V9" s="469" t="s">
        <v>22050</v>
      </c>
      <c r="W9" s="341" t="b">
        <v>0</v>
      </c>
      <c r="X9" s="419" t="b">
        <v>0</v>
      </c>
      <c r="Y9" s="341" t="b">
        <v>1</v>
      </c>
      <c r="Z9" s="420">
        <v>8</v>
      </c>
      <c r="AA9" s="341" t="b">
        <v>0</v>
      </c>
      <c r="AB9" s="341" t="s">
        <v>21181</v>
      </c>
      <c r="AC9" s="341" t="s">
        <v>21182</v>
      </c>
    </row>
  </sheetData>
  <sheetProtection sheet="1" objects="1" scenarios="1"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8E71E753-23D5-4463-993E-4BCFD8095CB3}">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9"/>
  <sheetViews>
    <sheetView zoomScale="85" zoomScaleNormal="85" workbookViewId="0">
      <pane xSplit="5" ySplit="1" topLeftCell="F7" activePane="bottomRight" state="frozen"/>
      <selection activeCell="AL13" sqref="AL13"/>
      <selection pane="topRight" activeCell="AL13" sqref="AL13"/>
      <selection pane="bottomLeft" activeCell="AL13" sqref="AL13"/>
      <selection pane="bottomRight" activeCell="A9" sqref="A9:II9"/>
    </sheetView>
  </sheetViews>
  <sheetFormatPr defaultColWidth="9.109375" defaultRowHeight="13.2"/>
  <cols>
    <col min="1" max="1" bestFit="1" width="5" customWidth="1" style="313"/>
    <col min="2" max="2" width="12.44140625" customWidth="1" style="313"/>
    <col min="3" max="3" width="12.44140625" customWidth="1" style="313"/>
    <col min="4" max="4" width="16" customWidth="1" style="313"/>
    <col min="5" max="5" width="32.6640625" customWidth="1" style="318"/>
    <col min="6" max="6" width="16.5546875" customWidth="1" style="313"/>
    <col min="7" max="7" bestFit="1" width="13.5546875" customWidth="1" style="313"/>
    <col min="8" max="8" bestFit="1" width="12.33203125" customWidth="1" style="283"/>
    <col min="9" max="9" width="8.5546875" customWidth="1" style="283"/>
    <col min="10" max="10" width="10.5546875" customWidth="1" style="313"/>
    <col min="11" max="11" width="33.33203125" customWidth="1" style="283"/>
    <col min="12" max="13" width="15.33203125" customWidth="1" style="283"/>
    <col min="14" max="14" width="9.109375" customWidth="1" style="283"/>
    <col min="15" max="15" bestFit="1" width="15.44140625" customWidth="1" style="283"/>
    <col min="16" max="16" width="42.109375" customWidth="1" style="283"/>
    <col min="17" max="17" width="27.33203125" customWidth="1" style="283"/>
    <col min="18" max="18" width="14.33203125" customWidth="1" style="283"/>
    <col min="19" max="19" width="13" customWidth="1" style="283"/>
    <col min="20" max="20" width="32.33203125" customWidth="1" style="283"/>
    <col min="21" max="21" width="24.6640625" customWidth="1" style="283"/>
    <col min="22" max="22" width="10.6640625" customWidth="1" style="283"/>
    <col min="23" max="23" width="23.109375" customWidth="1" style="283"/>
    <col min="24" max="24" width="15.5546875" customWidth="1" style="315"/>
    <col min="25" max="25" width="16.109375" customWidth="1" style="283"/>
    <col min="26" max="26" width="14.109375" customWidth="1" style="283"/>
    <col min="27" max="27" width="16.109375" customWidth="1" style="283"/>
    <col min="28" max="37" width="13" customWidth="1" style="283"/>
    <col min="38" max="38" width="4.6640625" customWidth="1" style="283"/>
    <col min="39" max="39" bestFit="1" width="15.44140625" customWidth="1" style="283"/>
    <col min="40" max="40" width="15.88671875" customWidth="1" style="283"/>
    <col min="41" max="41" width="15.88671875" customWidth="1" style="313"/>
    <col min="42" max="44" width="15.88671875" customWidth="1" style="283"/>
    <col min="45" max="45" width="9.109375" customWidth="1" style="313"/>
    <col min="46" max="51" width="9.109375" customWidth="1" style="283"/>
    <col min="52" max="54" width="9.6640625" customWidth="1" style="283"/>
    <col min="55" max="227" width="9.109375" customWidth="1" style="283"/>
    <col min="228" max="228" bestFit="1" width="9.5546875" customWidth="1" style="283"/>
    <col min="229" max="234" width="9.109375" customWidth="1" style="283"/>
    <col min="235" max="240" width="13" customWidth="1" style="283"/>
    <col min="241" max="242" width="13" customWidth="1" style="383"/>
    <col min="243" max="253" width="9.109375" customWidth="1" style="283"/>
    <col min="254" max="16384" width="9.109375" customWidth="1" style="283"/>
  </cols>
  <sheetData>
    <row r="1" ht="55.2" s="313" customFormat="1">
      <c r="A1" s="375" t="s">
        <v>0</v>
      </c>
      <c r="B1" s="343" t="s">
        <v>21166</v>
      </c>
      <c r="C1" s="343" t="s">
        <v>21167</v>
      </c>
      <c r="D1" s="373" t="s">
        <v>21242</v>
      </c>
      <c r="E1" s="377" t="s">
        <v>21243</v>
      </c>
      <c r="F1" s="373" t="s">
        <v>21244</v>
      </c>
      <c r="G1" s="373" t="s">
        <v>21245</v>
      </c>
      <c r="H1" s="374" t="s">
        <v>21246</v>
      </c>
      <c r="I1" s="374" t="s">
        <v>21247</v>
      </c>
      <c r="J1" s="374" t="s">
        <v>21248</v>
      </c>
      <c r="K1" s="374" t="s">
        <v>21249</v>
      </c>
      <c r="L1" s="374" t="s">
        <v>21250</v>
      </c>
      <c r="M1" s="374" t="s">
        <v>21251</v>
      </c>
      <c r="N1" s="374" t="s">
        <v>21252</v>
      </c>
      <c r="O1" s="374" t="s">
        <v>21253</v>
      </c>
      <c r="P1" s="374" t="s">
        <v>21254</v>
      </c>
      <c r="Q1" s="374" t="s">
        <v>21255</v>
      </c>
      <c r="R1" s="374" t="s">
        <v>21256</v>
      </c>
      <c r="S1" s="371" t="s">
        <v>21257</v>
      </c>
      <c r="T1" s="373" t="s">
        <v>21168</v>
      </c>
      <c r="U1" s="373" t="s">
        <v>21258</v>
      </c>
      <c r="V1" s="373" t="s">
        <v>21259</v>
      </c>
      <c r="W1" s="294" t="s">
        <v>21260</v>
      </c>
      <c r="X1" s="338" t="s">
        <v>21261</v>
      </c>
      <c r="Y1" s="336" t="s">
        <v>21262</v>
      </c>
      <c r="Z1" s="336" t="s">
        <v>21263</v>
      </c>
      <c r="AA1" s="336" t="s">
        <v>21264</v>
      </c>
      <c r="AB1" s="336" t="s">
        <v>21265</v>
      </c>
      <c r="AC1" s="337" t="s">
        <v>21266</v>
      </c>
      <c r="AD1" s="336" t="s">
        <v>21267</v>
      </c>
      <c r="AE1" s="357" t="s">
        <v>21268</v>
      </c>
      <c r="AF1" s="357" t="s">
        <v>21269</v>
      </c>
      <c r="AG1" s="357" t="s">
        <v>21270</v>
      </c>
      <c r="AH1" s="357" t="s">
        <v>21271</v>
      </c>
      <c r="AI1" s="357" t="s">
        <v>21272</v>
      </c>
      <c r="AJ1" s="357" t="s">
        <v>21273</v>
      </c>
      <c r="AK1" s="357" t="s">
        <v>21274</v>
      </c>
      <c r="AL1" s="364" t="s">
        <v>21275</v>
      </c>
      <c r="AM1" s="292" t="s">
        <v>21276</v>
      </c>
      <c r="AN1" s="292" t="s">
        <v>21277</v>
      </c>
      <c r="AO1" s="292" t="s">
        <v>21278</v>
      </c>
      <c r="AP1" s="292" t="s">
        <v>21279</v>
      </c>
      <c r="AQ1" s="384" t="s">
        <v>21280</v>
      </c>
      <c r="AR1" s="384" t="s">
        <v>21281</v>
      </c>
      <c r="AS1" s="294" t="s">
        <v>21282</v>
      </c>
      <c r="AT1" s="295" t="s">
        <v>21283</v>
      </c>
      <c r="AU1" s="295" t="s">
        <v>21284</v>
      </c>
      <c r="AV1" s="295" t="s">
        <v>21285</v>
      </c>
      <c r="AW1" s="295" t="s">
        <v>21286</v>
      </c>
      <c r="AX1" s="295" t="s">
        <v>21287</v>
      </c>
      <c r="AY1" s="295" t="s">
        <v>21288</v>
      </c>
      <c r="AZ1" s="294" t="s">
        <v>21289</v>
      </c>
      <c r="BA1" s="294" t="s">
        <v>21290</v>
      </c>
      <c r="BB1" s="294" t="s">
        <v>21291</v>
      </c>
      <c r="BC1" s="294" t="s">
        <v>21292</v>
      </c>
      <c r="BD1" s="294" t="s">
        <v>21293</v>
      </c>
      <c r="BE1" s="294" t="s">
        <v>21294</v>
      </c>
      <c r="BF1" s="295" t="s">
        <v>21295</v>
      </c>
      <c r="BG1" s="294" t="s">
        <v>21296</v>
      </c>
      <c r="BH1" s="294" t="s">
        <v>21297</v>
      </c>
      <c r="BI1" s="294" t="s">
        <v>21298</v>
      </c>
      <c r="BJ1" s="294" t="s">
        <v>21299</v>
      </c>
      <c r="BK1" s="294" t="s">
        <v>21300</v>
      </c>
      <c r="BL1" s="294" t="s">
        <v>21301</v>
      </c>
      <c r="BM1" s="295" t="s">
        <v>21302</v>
      </c>
      <c r="BN1" s="295" t="s">
        <v>21303</v>
      </c>
      <c r="BO1" s="295" t="s">
        <v>21304</v>
      </c>
      <c r="BP1" s="295" t="s">
        <v>21305</v>
      </c>
      <c r="BQ1" s="295" t="s">
        <v>21306</v>
      </c>
      <c r="BR1" s="295" t="s">
        <v>21307</v>
      </c>
      <c r="BS1" s="294" t="s">
        <v>21308</v>
      </c>
      <c r="BT1" s="294" t="s">
        <v>21309</v>
      </c>
      <c r="BU1" s="294" t="s">
        <v>21310</v>
      </c>
      <c r="BV1" s="294" t="s">
        <v>21311</v>
      </c>
      <c r="BW1" s="294" t="s">
        <v>21312</v>
      </c>
      <c r="BX1" s="294" t="s">
        <v>21313</v>
      </c>
      <c r="BY1" s="295" t="s">
        <v>21314</v>
      </c>
      <c r="BZ1" s="294" t="s">
        <v>21315</v>
      </c>
      <c r="CA1" s="294" t="s">
        <v>21316</v>
      </c>
      <c r="CB1" s="294" t="s">
        <v>21317</v>
      </c>
      <c r="CC1" s="294" t="s">
        <v>21318</v>
      </c>
      <c r="CD1" s="294" t="s">
        <v>21319</v>
      </c>
      <c r="CE1" s="294" t="s">
        <v>21320</v>
      </c>
      <c r="CF1" s="295" t="s">
        <v>21321</v>
      </c>
      <c r="CG1" s="294" t="s">
        <v>21322</v>
      </c>
      <c r="CH1" s="294" t="s">
        <v>21323</v>
      </c>
      <c r="CI1" s="294" t="s">
        <v>21324</v>
      </c>
      <c r="CJ1" s="294" t="s">
        <v>21325</v>
      </c>
      <c r="CK1" s="294" t="s">
        <v>21326</v>
      </c>
      <c r="CL1" s="294" t="s">
        <v>21327</v>
      </c>
      <c r="CM1" s="295" t="s">
        <v>21328</v>
      </c>
      <c r="CN1" s="294" t="s">
        <v>21329</v>
      </c>
      <c r="CO1" s="294" t="s">
        <v>21330</v>
      </c>
      <c r="CP1" s="294" t="s">
        <v>21331</v>
      </c>
      <c r="CQ1" s="294" t="s">
        <v>21332</v>
      </c>
      <c r="CR1" s="294" t="s">
        <v>21333</v>
      </c>
      <c r="CS1" s="294" t="s">
        <v>21334</v>
      </c>
      <c r="CT1" s="295" t="s">
        <v>21335</v>
      </c>
      <c r="CU1" s="294" t="s">
        <v>21336</v>
      </c>
      <c r="CV1" s="294" t="s">
        <v>21337</v>
      </c>
      <c r="CW1" s="294" t="s">
        <v>21338</v>
      </c>
      <c r="CX1" s="294" t="s">
        <v>21339</v>
      </c>
      <c r="CY1" s="294" t="s">
        <v>21340</v>
      </c>
      <c r="CZ1" s="294" t="s">
        <v>21341</v>
      </c>
      <c r="DA1" s="295" t="s">
        <v>21342</v>
      </c>
      <c r="DB1" s="294" t="s">
        <v>21343</v>
      </c>
      <c r="DC1" s="294" t="s">
        <v>21344</v>
      </c>
      <c r="DD1" s="294" t="s">
        <v>21345</v>
      </c>
      <c r="DE1" s="294" t="s">
        <v>21346</v>
      </c>
      <c r="DF1" s="294" t="s">
        <v>21347</v>
      </c>
      <c r="DG1" s="294" t="s">
        <v>21348</v>
      </c>
      <c r="DH1" s="295" t="s">
        <v>21349</v>
      </c>
      <c r="DI1" s="294" t="s">
        <v>21350</v>
      </c>
      <c r="DJ1" s="294" t="s">
        <v>21351</v>
      </c>
      <c r="DK1" s="294" t="s">
        <v>21352</v>
      </c>
      <c r="DL1" s="294" t="s">
        <v>21353</v>
      </c>
      <c r="DM1" s="294" t="s">
        <v>21354</v>
      </c>
      <c r="DN1" s="294" t="s">
        <v>21355</v>
      </c>
      <c r="DO1" s="295" t="s">
        <v>21356</v>
      </c>
      <c r="DP1" s="294" t="s">
        <v>21357</v>
      </c>
      <c r="DQ1" s="294" t="s">
        <v>21358</v>
      </c>
      <c r="DR1" s="294" t="s">
        <v>21359</v>
      </c>
      <c r="DS1" s="294" t="s">
        <v>21360</v>
      </c>
      <c r="DT1" s="294" t="s">
        <v>21361</v>
      </c>
      <c r="DU1" s="294" t="s">
        <v>21362</v>
      </c>
      <c r="DV1" s="296" t="s">
        <v>21363</v>
      </c>
      <c r="DW1" s="296" t="s">
        <v>21364</v>
      </c>
      <c r="DX1" s="295" t="s">
        <v>21365</v>
      </c>
      <c r="DY1" s="294" t="s">
        <v>21366</v>
      </c>
      <c r="DZ1" s="294" t="s">
        <v>21367</v>
      </c>
      <c r="EA1" s="294" t="s">
        <v>21368</v>
      </c>
      <c r="EB1" s="294" t="s">
        <v>21369</v>
      </c>
      <c r="EC1" s="294" t="s">
        <v>21370</v>
      </c>
      <c r="ED1" s="294" t="s">
        <v>21371</v>
      </c>
      <c r="EE1" s="296" t="s">
        <v>21372</v>
      </c>
      <c r="EF1" s="296" t="s">
        <v>21373</v>
      </c>
      <c r="EG1" s="295" t="s">
        <v>21374</v>
      </c>
      <c r="EH1" s="294" t="s">
        <v>21375</v>
      </c>
      <c r="EI1" s="294" t="s">
        <v>21376</v>
      </c>
      <c r="EJ1" s="294" t="s">
        <v>21377</v>
      </c>
      <c r="EK1" s="294" t="s">
        <v>21378</v>
      </c>
      <c r="EL1" s="294" t="s">
        <v>21379</v>
      </c>
      <c r="EM1" s="294" t="s">
        <v>21380</v>
      </c>
      <c r="EN1" s="296" t="s">
        <v>21381</v>
      </c>
      <c r="EO1" s="296" t="s">
        <v>21382</v>
      </c>
      <c r="EP1" s="295" t="s">
        <v>21383</v>
      </c>
      <c r="EQ1" s="294" t="s">
        <v>21384</v>
      </c>
      <c r="ER1" s="294" t="s">
        <v>21385</v>
      </c>
      <c r="ES1" s="294" t="s">
        <v>21386</v>
      </c>
      <c r="ET1" s="294" t="s">
        <v>21387</v>
      </c>
      <c r="EU1" s="294" t="s">
        <v>21388</v>
      </c>
      <c r="EV1" s="294" t="s">
        <v>21389</v>
      </c>
      <c r="EW1" s="296" t="s">
        <v>21390</v>
      </c>
      <c r="EX1" s="296" t="s">
        <v>21391</v>
      </c>
      <c r="EY1" s="295" t="s">
        <v>21392</v>
      </c>
      <c r="EZ1" s="294" t="s">
        <v>21393</v>
      </c>
      <c r="FA1" s="294" t="s">
        <v>21394</v>
      </c>
      <c r="FB1" s="294" t="s">
        <v>21395</v>
      </c>
      <c r="FC1" s="294" t="s">
        <v>21396</v>
      </c>
      <c r="FD1" s="294" t="s">
        <v>21397</v>
      </c>
      <c r="FE1" s="294" t="s">
        <v>21398</v>
      </c>
      <c r="FF1" s="296" t="s">
        <v>21399</v>
      </c>
      <c r="FG1" s="296" t="s">
        <v>21400</v>
      </c>
      <c r="FH1" s="295" t="s">
        <v>21401</v>
      </c>
      <c r="FI1" s="294" t="s">
        <v>21402</v>
      </c>
      <c r="FJ1" s="294" t="s">
        <v>21403</v>
      </c>
      <c r="FK1" s="294" t="s">
        <v>21404</v>
      </c>
      <c r="FL1" s="294" t="s">
        <v>21405</v>
      </c>
      <c r="FM1" s="294" t="s">
        <v>21406</v>
      </c>
      <c r="FN1" s="294" t="s">
        <v>21407</v>
      </c>
      <c r="FO1" s="296" t="s">
        <v>21408</v>
      </c>
      <c r="FP1" s="296" t="s">
        <v>21409</v>
      </c>
      <c r="FQ1" s="296" t="s">
        <v>21410</v>
      </c>
      <c r="FR1" s="297" t="s">
        <v>21411</v>
      </c>
      <c r="FS1" s="297" t="s">
        <v>21412</v>
      </c>
      <c r="FT1" s="297" t="s">
        <v>21413</v>
      </c>
      <c r="FU1" s="297" t="s">
        <v>21414</v>
      </c>
      <c r="FV1" s="297" t="s">
        <v>21415</v>
      </c>
      <c r="FW1" s="297" t="s">
        <v>21416</v>
      </c>
      <c r="FX1" s="295" t="s">
        <v>21417</v>
      </c>
      <c r="FY1" s="294" t="s">
        <v>21418</v>
      </c>
      <c r="FZ1" s="294" t="s">
        <v>21419</v>
      </c>
      <c r="GA1" s="294" t="s">
        <v>21420</v>
      </c>
      <c r="GB1" s="294" t="s">
        <v>21421</v>
      </c>
      <c r="GC1" s="294" t="s">
        <v>21422</v>
      </c>
      <c r="GD1" s="294" t="s">
        <v>21423</v>
      </c>
      <c r="GE1" s="296" t="s">
        <v>21424</v>
      </c>
      <c r="GF1" s="295" t="s">
        <v>21425</v>
      </c>
      <c r="GG1" s="294" t="s">
        <v>21426</v>
      </c>
      <c r="GH1" s="294" t="s">
        <v>21427</v>
      </c>
      <c r="GI1" s="294" t="s">
        <v>21428</v>
      </c>
      <c r="GJ1" s="294" t="s">
        <v>21429</v>
      </c>
      <c r="GK1" s="294" t="s">
        <v>21430</v>
      </c>
      <c r="GL1" s="294" t="s">
        <v>21431</v>
      </c>
      <c r="GM1" s="296" t="s">
        <v>21432</v>
      </c>
      <c r="GN1" s="295" t="s">
        <v>21433</v>
      </c>
      <c r="GO1" s="294" t="s">
        <v>21434</v>
      </c>
      <c r="GP1" s="294" t="s">
        <v>21435</v>
      </c>
      <c r="GQ1" s="294" t="s">
        <v>21436</v>
      </c>
      <c r="GR1" s="294" t="s">
        <v>21437</v>
      </c>
      <c r="GS1" s="294" t="s">
        <v>21438</v>
      </c>
      <c r="GT1" s="294" t="s">
        <v>21439</v>
      </c>
      <c r="GU1" s="296" t="s">
        <v>21440</v>
      </c>
      <c r="GV1" s="295" t="s">
        <v>21441</v>
      </c>
      <c r="GW1" s="294" t="s">
        <v>21442</v>
      </c>
      <c r="GX1" s="294" t="s">
        <v>21443</v>
      </c>
      <c r="GY1" s="294" t="s">
        <v>21444</v>
      </c>
      <c r="GZ1" s="294" t="s">
        <v>21445</v>
      </c>
      <c r="HA1" s="294" t="s">
        <v>21446</v>
      </c>
      <c r="HB1" s="294" t="s">
        <v>21447</v>
      </c>
      <c r="HC1" s="296" t="s">
        <v>21448</v>
      </c>
      <c r="HD1" s="295" t="s">
        <v>21449</v>
      </c>
      <c r="HE1" s="294" t="s">
        <v>21450</v>
      </c>
      <c r="HF1" s="294" t="s">
        <v>21451</v>
      </c>
      <c r="HG1" s="294" t="s">
        <v>21452</v>
      </c>
      <c r="HH1" s="294" t="s">
        <v>21453</v>
      </c>
      <c r="HI1" s="294" t="s">
        <v>21454</v>
      </c>
      <c r="HJ1" s="294" t="s">
        <v>21455</v>
      </c>
      <c r="HK1" s="296" t="s">
        <v>21456</v>
      </c>
      <c r="HL1" s="295" t="s">
        <v>21457</v>
      </c>
      <c r="HM1" s="294" t="s">
        <v>21458</v>
      </c>
      <c r="HN1" s="294" t="s">
        <v>21459</v>
      </c>
      <c r="HO1" s="294" t="s">
        <v>21460</v>
      </c>
      <c r="HP1" s="294" t="s">
        <v>21461</v>
      </c>
      <c r="HQ1" s="294" t="s">
        <v>21462</v>
      </c>
      <c r="HR1" s="294" t="s">
        <v>21463</v>
      </c>
      <c r="HS1" s="296" t="s">
        <v>21464</v>
      </c>
      <c r="HT1" s="295" t="s">
        <v>21465</v>
      </c>
      <c r="HU1" s="298" t="s">
        <v>21466</v>
      </c>
      <c r="HV1" s="298" t="s">
        <v>21467</v>
      </c>
      <c r="HW1" s="298" t="s">
        <v>21468</v>
      </c>
      <c r="HX1" s="298" t="s">
        <v>21469</v>
      </c>
      <c r="HY1" s="298" t="s">
        <v>21470</v>
      </c>
      <c r="HZ1" s="298" t="s">
        <v>21471</v>
      </c>
      <c r="IA1" s="299" t="s">
        <v>21472</v>
      </c>
      <c r="IB1" s="300" t="s">
        <v>21473</v>
      </c>
      <c r="IC1" s="380" t="s">
        <v>21474</v>
      </c>
      <c r="ID1" s="302" t="s">
        <v>21475</v>
      </c>
      <c r="IE1" s="303" t="s">
        <v>21476</v>
      </c>
      <c r="IF1" s="302" t="s">
        <v>21477</v>
      </c>
      <c r="IG1" s="381" t="s">
        <v>21478</v>
      </c>
      <c r="IH1" s="381" t="s">
        <v>21479</v>
      </c>
      <c r="II1" s="301" t="s">
        <v>21480</v>
      </c>
    </row>
    <row r="2" ht="79.2">
      <c r="A2" s="427" t="str">
        <f>Input!A2</f>
        <v>Stt</v>
      </c>
      <c r="B2" s="428" t="s">
        <v>21481</v>
      </c>
      <c r="C2" s="428" t="s">
        <v>21482</v>
      </c>
      <c r="D2" s="427" t="str">
        <f>Input!B2</f>
        <v>Mã trạm BTS</v>
      </c>
      <c r="E2" s="427" t="str">
        <f>Input!C2</f>
        <v>Địa chỉ</v>
      </c>
      <c r="F2" s="427" t="str">
        <f>Input!D2</f>
        <v>Tỉnh/Thành phố</v>
      </c>
      <c r="G2" s="427" t="str">
        <f>Input!E2</f>
        <v>Kinh độ</v>
      </c>
      <c r="H2" s="427" t="str">
        <f>Input!F2</f>
        <v>Vĩ độ</v>
      </c>
      <c r="I2" s="427" t="str">
        <f>Input!G2</f>
        <v>Trường hợp kiểm định</v>
      </c>
      <c r="J2" s="427" t="str">
        <f>Input!H2</f>
        <v>Số lượng trạm BTS</v>
      </c>
      <c r="K2" s="427" t="str">
        <f>Input!I2</f>
        <v>Tên nhà mạng của các trạm BTS</v>
      </c>
      <c r="L2" s="427" t="str">
        <f>Input!J2</f>
        <v>Mã trạm BTS của các BTS</v>
      </c>
      <c r="M2" s="427" t="str">
        <f>Input!K2</f>
        <v>Tên thiết bị của các BTS</v>
      </c>
      <c r="N2" s="427" t="str">
        <f>Input!L2</f>
        <v>Số Anten phát của các BTS</v>
      </c>
      <c r="O2" s="427" t="str">
        <f>Input!M2</f>
        <v>Cấu hình các máy phát của các BTS</v>
      </c>
      <c r="P2" s="427" t="str">
        <f>Input!N2</f>
        <v>Công suất tối đa các máy phát của các BTS</v>
      </c>
      <c r="Q2" s="427" t="str">
        <f>Input!O2</f>
        <v> Băng tần phát của các BTS</v>
      </c>
      <c r="R2" s="427" t="str">
        <f>Input!P2</f>
        <v>Độ cao các Anten phát của các BTS</v>
      </c>
      <c r="S2" s="427" t="str">
        <f>Input!Q2</f>
        <v>Trạm BTS có được cấp Giấy CNKĐ hay không?</v>
      </c>
      <c r="T2" s="427" t="str">
        <f>Input!R2</f>
        <v>Số Giấy Chứng nhận được cấp</v>
      </c>
      <c r="U2" s="427" t="str">
        <f>Input!S2</f>
        <v>Lý do trạm BTS không được cấp Giấy CNKĐ</v>
      </c>
      <c r="V2" s="427" t="str">
        <f>Input!T2</f>
        <v>Mã đơn vị đo kiểm định</v>
      </c>
      <c r="W2" s="427" t="str">
        <f>Input!U2</f>
        <v>Số Kết quả đo kiểm định</v>
      </c>
      <c r="X2" s="427" t="str">
        <f>Input!V2</f>
        <v>Ngày ban hành Kết quả đo kiểm định</v>
      </c>
      <c r="Y2" s="427" t="str">
        <f>Input!W2</f>
        <v>Trạm BTS có cột Anten đặt dưới đất phải không?</v>
      </c>
      <c r="Z2" s="427" t="str">
        <f>Input!X2</f>
        <v>Trạm BTS có giới hạn an toàn không?</v>
      </c>
      <c r="AA2" s="427" t="e">
        <f>Input!#REF!</f>
        <v>#REF!</v>
      </c>
      <c r="AB2" s="427" t="str">
        <f>Input!Y2</f>
        <v>Trong 100m có công trình người dân sinh sống, làm việc không?</v>
      </c>
      <c r="AC2" s="427" t="str">
        <f>Input!Z2</f>
        <v> Độ cao (m) công trình cao nhất trong 100m</v>
      </c>
      <c r="AD2" s="427" t="str">
        <f>Input!AA2</f>
        <v>Trạm BTS có phải đo Phơi nhiễm trường điện từ không?</v>
      </c>
      <c r="AE2" s="427" t="str">
        <f>Input!AB2</f>
        <v>Chuyên viên kiểm định 1</v>
      </c>
      <c r="AF2" s="427" t="str">
        <f>Input!AC2</f>
        <v>Chuyên viên kiểm định 2</v>
      </c>
      <c r="AG2" s="428" t="s">
        <v>21483</v>
      </c>
      <c r="AH2" s="428" t="s">
        <v>21484</v>
      </c>
      <c r="AI2" s="428" t="s">
        <v>21485</v>
      </c>
      <c r="AJ2" s="428" t="s">
        <v>21486</v>
      </c>
      <c r="AK2" s="428" t="s">
        <v>21487</v>
      </c>
      <c r="AL2" s="427"/>
      <c r="AM2" s="427" t="s">
        <v>21488</v>
      </c>
      <c r="AN2" s="427" t="s">
        <v>21489</v>
      </c>
      <c r="AO2" s="427" t="s">
        <v>21490</v>
      </c>
      <c r="AP2" s="427" t="s">
        <v>21491</v>
      </c>
      <c r="AQ2" s="427" t="s">
        <v>21492</v>
      </c>
      <c r="AR2" s="427" t="s">
        <v>21493</v>
      </c>
      <c r="AS2" s="427" t="s">
        <v>21494</v>
      </c>
      <c r="AT2" s="427" t="s">
        <v>21495</v>
      </c>
      <c r="AU2" s="427" t="s">
        <v>21496</v>
      </c>
      <c r="AV2" s="427" t="s">
        <v>21497</v>
      </c>
      <c r="AW2" s="427" t="s">
        <v>21498</v>
      </c>
      <c r="AX2" s="427" t="s">
        <v>21499</v>
      </c>
      <c r="AY2" s="427" t="s">
        <v>21500</v>
      </c>
      <c r="AZ2" s="427" t="s">
        <v>21501</v>
      </c>
      <c r="BA2" s="427" t="s">
        <v>21502</v>
      </c>
      <c r="BB2" s="427" t="s">
        <v>21503</v>
      </c>
      <c r="BC2" s="427" t="s">
        <v>21504</v>
      </c>
      <c r="BD2" s="427" t="s">
        <v>21505</v>
      </c>
      <c r="BE2" s="427" t="s">
        <v>21506</v>
      </c>
      <c r="BF2" s="427" t="s">
        <v>21507</v>
      </c>
      <c r="BG2" s="427" t="s">
        <v>21501</v>
      </c>
      <c r="BH2" s="427" t="s">
        <v>21502</v>
      </c>
      <c r="BI2" s="427" t="s">
        <v>21503</v>
      </c>
      <c r="BJ2" s="427" t="s">
        <v>21504</v>
      </c>
      <c r="BK2" s="427" t="s">
        <v>21505</v>
      </c>
      <c r="BL2" s="427" t="s">
        <v>21506</v>
      </c>
      <c r="BM2" s="427" t="s">
        <v>21508</v>
      </c>
      <c r="BN2" s="427" t="s">
        <v>21509</v>
      </c>
      <c r="BO2" s="427" t="s">
        <v>21510</v>
      </c>
      <c r="BP2" s="427" t="s">
        <v>21511</v>
      </c>
      <c r="BQ2" s="427" t="s">
        <v>21512</v>
      </c>
      <c r="BR2" s="427" t="s">
        <v>21513</v>
      </c>
      <c r="BS2" s="427" t="s">
        <v>21514</v>
      </c>
      <c r="BT2" s="427" t="s">
        <v>21515</v>
      </c>
      <c r="BU2" s="427" t="s">
        <v>21516</v>
      </c>
      <c r="BV2" s="427" t="s">
        <v>21517</v>
      </c>
      <c r="BW2" s="427" t="s">
        <v>21518</v>
      </c>
      <c r="BX2" s="427" t="s">
        <v>21519</v>
      </c>
      <c r="BY2" s="427" t="s">
        <v>21520</v>
      </c>
      <c r="BZ2" s="427" t="s">
        <v>21521</v>
      </c>
      <c r="CA2" s="427" t="s">
        <v>21522</v>
      </c>
      <c r="CB2" s="427" t="s">
        <v>21523</v>
      </c>
      <c r="CC2" s="427" t="s">
        <v>21524</v>
      </c>
      <c r="CD2" s="427" t="s">
        <v>21525</v>
      </c>
      <c r="CE2" s="427" t="s">
        <v>21526</v>
      </c>
      <c r="CF2" s="427" t="s">
        <v>21527</v>
      </c>
      <c r="CG2" s="427" t="s">
        <v>21528</v>
      </c>
      <c r="CH2" s="427" t="s">
        <v>21529</v>
      </c>
      <c r="CI2" s="427" t="s">
        <v>21530</v>
      </c>
      <c r="CJ2" s="427" t="s">
        <v>21531</v>
      </c>
      <c r="CK2" s="427" t="s">
        <v>21532</v>
      </c>
      <c r="CL2" s="427" t="s">
        <v>21533</v>
      </c>
      <c r="CM2" s="427" t="s">
        <v>21534</v>
      </c>
      <c r="CN2" s="427" t="s">
        <v>21535</v>
      </c>
      <c r="CO2" s="427" t="s">
        <v>21536</v>
      </c>
      <c r="CP2" s="427" t="s">
        <v>21537</v>
      </c>
      <c r="CQ2" s="427" t="s">
        <v>21538</v>
      </c>
      <c r="CR2" s="427" t="s">
        <v>21539</v>
      </c>
      <c r="CS2" s="427" t="s">
        <v>21540</v>
      </c>
      <c r="CT2" s="427" t="s">
        <v>21541</v>
      </c>
      <c r="CU2" s="427" t="s">
        <v>21542</v>
      </c>
      <c r="CV2" s="427" t="s">
        <v>21543</v>
      </c>
      <c r="CW2" s="427" t="s">
        <v>21544</v>
      </c>
      <c r="CX2" s="427" t="s">
        <v>21545</v>
      </c>
      <c r="CY2" s="427" t="s">
        <v>21546</v>
      </c>
      <c r="CZ2" s="427" t="s">
        <v>21547</v>
      </c>
      <c r="DA2" s="427" t="s">
        <v>21548</v>
      </c>
      <c r="DB2" s="427" t="s">
        <v>21549</v>
      </c>
      <c r="DC2" s="427" t="s">
        <v>21550</v>
      </c>
      <c r="DD2" s="427" t="s">
        <v>21551</v>
      </c>
      <c r="DE2" s="427" t="s">
        <v>21552</v>
      </c>
      <c r="DF2" s="427" t="s">
        <v>21553</v>
      </c>
      <c r="DG2" s="427" t="s">
        <v>21554</v>
      </c>
      <c r="DH2" s="427" t="s">
        <v>21555</v>
      </c>
      <c r="DI2" s="427" t="s">
        <v>21556</v>
      </c>
      <c r="DJ2" s="427" t="s">
        <v>21557</v>
      </c>
      <c r="DK2" s="427" t="s">
        <v>21558</v>
      </c>
      <c r="DL2" s="427" t="s">
        <v>21559</v>
      </c>
      <c r="DM2" s="427" t="s">
        <v>21560</v>
      </c>
      <c r="DN2" s="427" t="s">
        <v>21561</v>
      </c>
      <c r="DO2" s="427" t="s">
        <v>21562</v>
      </c>
      <c r="DP2" s="427" t="s">
        <v>21563</v>
      </c>
      <c r="DQ2" s="427" t="s">
        <v>21564</v>
      </c>
      <c r="DR2" s="427" t="s">
        <v>21565</v>
      </c>
      <c r="DS2" s="427" t="s">
        <v>21566</v>
      </c>
      <c r="DT2" s="427" t="s">
        <v>21567</v>
      </c>
      <c r="DU2" s="427" t="s">
        <v>21568</v>
      </c>
      <c r="DV2" s="427" t="s">
        <v>21562</v>
      </c>
      <c r="DW2" s="427" t="s">
        <v>21569</v>
      </c>
      <c r="DX2" s="427" t="s">
        <v>21570</v>
      </c>
      <c r="DY2" s="427" t="s">
        <v>21571</v>
      </c>
      <c r="DZ2" s="427" t="s">
        <v>21572</v>
      </c>
      <c r="EA2" s="427" t="s">
        <v>21573</v>
      </c>
      <c r="EB2" s="427" t="s">
        <v>21574</v>
      </c>
      <c r="EC2" s="427" t="s">
        <v>21575</v>
      </c>
      <c r="ED2" s="427" t="s">
        <v>21576</v>
      </c>
      <c r="EE2" s="427" t="s">
        <v>21570</v>
      </c>
      <c r="EF2" s="427" t="s">
        <v>21577</v>
      </c>
      <c r="EG2" s="427" t="s">
        <v>21578</v>
      </c>
      <c r="EH2" s="427" t="s">
        <v>21579</v>
      </c>
      <c r="EI2" s="427" t="s">
        <v>21580</v>
      </c>
      <c r="EJ2" s="427" t="s">
        <v>21581</v>
      </c>
      <c r="EK2" s="427" t="s">
        <v>21582</v>
      </c>
      <c r="EL2" s="427" t="s">
        <v>21583</v>
      </c>
      <c r="EM2" s="427" t="s">
        <v>21584</v>
      </c>
      <c r="EN2" s="427" t="s">
        <v>21578</v>
      </c>
      <c r="EO2" s="427" t="s">
        <v>21585</v>
      </c>
      <c r="EP2" s="427" t="s">
        <v>21586</v>
      </c>
      <c r="EQ2" s="427" t="s">
        <v>21587</v>
      </c>
      <c r="ER2" s="427" t="s">
        <v>21588</v>
      </c>
      <c r="ES2" s="427" t="s">
        <v>21589</v>
      </c>
      <c r="ET2" s="427" t="s">
        <v>21590</v>
      </c>
      <c r="EU2" s="427" t="s">
        <v>21591</v>
      </c>
      <c r="EV2" s="427" t="s">
        <v>21592</v>
      </c>
      <c r="EW2" s="427" t="s">
        <v>21586</v>
      </c>
      <c r="EX2" s="427" t="s">
        <v>21593</v>
      </c>
      <c r="EY2" s="427" t="s">
        <v>21594</v>
      </c>
      <c r="EZ2" s="427" t="s">
        <v>21595</v>
      </c>
      <c r="FA2" s="427" t="s">
        <v>21596</v>
      </c>
      <c r="FB2" s="427" t="s">
        <v>21597</v>
      </c>
      <c r="FC2" s="427" t="s">
        <v>21598</v>
      </c>
      <c r="FD2" s="427" t="s">
        <v>21599</v>
      </c>
      <c r="FE2" s="427" t="s">
        <v>21600</v>
      </c>
      <c r="FF2" s="427" t="s">
        <v>21594</v>
      </c>
      <c r="FG2" s="427" t="s">
        <v>21601</v>
      </c>
      <c r="FH2" s="427" t="s">
        <v>21602</v>
      </c>
      <c r="FI2" s="427" t="s">
        <v>21603</v>
      </c>
      <c r="FJ2" s="427" t="s">
        <v>21604</v>
      </c>
      <c r="FK2" s="427" t="s">
        <v>21605</v>
      </c>
      <c r="FL2" s="427" t="s">
        <v>21606</v>
      </c>
      <c r="FM2" s="427" t="s">
        <v>21607</v>
      </c>
      <c r="FN2" s="427" t="s">
        <v>21608</v>
      </c>
      <c r="FO2" s="427" t="s">
        <v>21602</v>
      </c>
      <c r="FP2" s="427" t="s">
        <v>21609</v>
      </c>
      <c r="FQ2" s="427" t="s">
        <v>21610</v>
      </c>
      <c r="FR2" s="427" t="s">
        <v>21611</v>
      </c>
      <c r="FS2" s="427" t="s">
        <v>21612</v>
      </c>
      <c r="FT2" s="427" t="s">
        <v>21613</v>
      </c>
      <c r="FU2" s="427" t="s">
        <v>21614</v>
      </c>
      <c r="FV2" s="427" t="s">
        <v>21615</v>
      </c>
      <c r="FW2" s="427" t="s">
        <v>21616</v>
      </c>
      <c r="FX2" s="427" t="s">
        <v>21617</v>
      </c>
      <c r="FY2" s="427" t="s">
        <v>21618</v>
      </c>
      <c r="FZ2" s="427" t="s">
        <v>21619</v>
      </c>
      <c r="GA2" s="427" t="s">
        <v>21620</v>
      </c>
      <c r="GB2" s="427" t="s">
        <v>21621</v>
      </c>
      <c r="GC2" s="427" t="s">
        <v>21622</v>
      </c>
      <c r="GD2" s="427" t="s">
        <v>21623</v>
      </c>
      <c r="GE2" s="427" t="s">
        <v>21617</v>
      </c>
      <c r="GF2" s="427" t="s">
        <v>21624</v>
      </c>
      <c r="GG2" s="427" t="s">
        <v>21625</v>
      </c>
      <c r="GH2" s="427" t="s">
        <v>21626</v>
      </c>
      <c r="GI2" s="427" t="s">
        <v>21627</v>
      </c>
      <c r="GJ2" s="427" t="s">
        <v>21628</v>
      </c>
      <c r="GK2" s="427" t="s">
        <v>21629</v>
      </c>
      <c r="GL2" s="427" t="s">
        <v>21630</v>
      </c>
      <c r="GM2" s="427" t="s">
        <v>21624</v>
      </c>
      <c r="GN2" s="427" t="s">
        <v>21631</v>
      </c>
      <c r="GO2" s="427" t="s">
        <v>21632</v>
      </c>
      <c r="GP2" s="427" t="s">
        <v>21633</v>
      </c>
      <c r="GQ2" s="427" t="s">
        <v>21634</v>
      </c>
      <c r="GR2" s="427" t="s">
        <v>21635</v>
      </c>
      <c r="GS2" s="427" t="s">
        <v>21636</v>
      </c>
      <c r="GT2" s="427" t="s">
        <v>21637</v>
      </c>
      <c r="GU2" s="427" t="s">
        <v>21631</v>
      </c>
      <c r="GV2" s="427" t="s">
        <v>21638</v>
      </c>
      <c r="GW2" s="427" t="s">
        <v>21639</v>
      </c>
      <c r="GX2" s="427" t="s">
        <v>21640</v>
      </c>
      <c r="GY2" s="427" t="s">
        <v>21641</v>
      </c>
      <c r="GZ2" s="427" t="s">
        <v>21642</v>
      </c>
      <c r="HA2" s="427" t="s">
        <v>21643</v>
      </c>
      <c r="HB2" s="427" t="s">
        <v>21644</v>
      </c>
      <c r="HC2" s="427" t="s">
        <v>21638</v>
      </c>
      <c r="HD2" s="427" t="s">
        <v>21645</v>
      </c>
      <c r="HE2" s="427" t="s">
        <v>21646</v>
      </c>
      <c r="HF2" s="427" t="s">
        <v>21647</v>
      </c>
      <c r="HG2" s="427" t="s">
        <v>21648</v>
      </c>
      <c r="HH2" s="427" t="s">
        <v>21649</v>
      </c>
      <c r="HI2" s="427" t="s">
        <v>21650</v>
      </c>
      <c r="HJ2" s="427" t="s">
        <v>21651</v>
      </c>
      <c r="HK2" s="427" t="s">
        <v>21645</v>
      </c>
      <c r="HL2" s="427" t="s">
        <v>21652</v>
      </c>
      <c r="HM2" s="427" t="s">
        <v>21653</v>
      </c>
      <c r="HN2" s="427" t="s">
        <v>21654</v>
      </c>
      <c r="HO2" s="427" t="s">
        <v>21655</v>
      </c>
      <c r="HP2" s="427" t="s">
        <v>21656</v>
      </c>
      <c r="HQ2" s="427" t="s">
        <v>21657</v>
      </c>
      <c r="HR2" s="427" t="s">
        <v>21658</v>
      </c>
      <c r="HS2" s="427" t="s">
        <v>21652</v>
      </c>
      <c r="HT2" s="427" t="s">
        <v>21659</v>
      </c>
      <c r="HU2" s="427" t="s">
        <v>21660</v>
      </c>
      <c r="HV2" s="427" t="s">
        <v>21661</v>
      </c>
      <c r="HW2" s="427" t="s">
        <v>21662</v>
      </c>
      <c r="HX2" s="427" t="s">
        <v>21663</v>
      </c>
      <c r="HY2" s="427" t="s">
        <v>21664</v>
      </c>
      <c r="HZ2" s="427" t="s">
        <v>21665</v>
      </c>
      <c r="IA2" s="427" t="s">
        <v>21666</v>
      </c>
      <c r="IB2" s="427" t="s">
        <v>21667</v>
      </c>
      <c r="IC2" s="428" t="s">
        <v>21668</v>
      </c>
      <c r="ID2" s="428" t="s">
        <v>21669</v>
      </c>
      <c r="IE2" s="428" t="s">
        <v>21670</v>
      </c>
      <c r="IF2" s="428" t="s">
        <v>21671</v>
      </c>
      <c r="IG2" s="428" t="s">
        <v>21672</v>
      </c>
      <c r="IH2" s="428" t="s">
        <v>21673</v>
      </c>
      <c r="II2" s="427">
        <v>4</v>
      </c>
    </row>
    <row r="3" ht="118.8">
      <c r="A3" s="207">
        <f>Input!A3</f>
        <v>1</v>
      </c>
      <c r="B3" s="342" t="str">
        <f> Profile!$A$3</f>
        <v>VNM</v>
      </c>
      <c r="C3" s="342" t="str">
        <f> Profile!$L$3</f>
        <v>VNMOBILE</v>
      </c>
      <c r="D3" s="207">
        <f>Input!B3</f>
        <v>209089</v>
      </c>
      <c r="E3" s="317" t="str">
        <f>Input!C3</f>
        <v>Thôn Chánh Lợi, xã Cát Khánh, huyện Phù Cát, tỉnh Bình Định</v>
      </c>
      <c r="F3" s="207" t="str">
        <f>Input!D3</f>
        <v>Bình Định</v>
      </c>
      <c r="G3" s="207">
        <f>Input!E3</f>
        <v>14.10187</v>
      </c>
      <c r="H3" s="207">
        <f>Input!F3</f>
        <v>109.19875</v>
      </c>
      <c r="I3" s="207">
        <f>Input!G3</f>
        <v>1</v>
      </c>
      <c r="J3" s="207">
        <f>Input!H3</f>
        <v>1</v>
      </c>
      <c r="K3" s="207" t="str">
        <f>ConcateMultiple(AT3:AY3,";",J3)</f>
        <v>CÔNG TY CỔ PHẦN VIỄN THÔNG DI ĐỘNG VIETNAMOBILE</v>
      </c>
      <c r="L3" s="207" t="str">
        <f>Input!J3</f>
        <v>209089_1</v>
      </c>
      <c r="M3" s="207" t="str">
        <f>Input!K3</f>
        <v>HUAWEI BTS 3900</v>
      </c>
      <c r="N3" s="207">
        <f>Input!L3</f>
        <v>3</v>
      </c>
      <c r="O3" s="207" t="str">
        <f>Input!M3</f>
        <v>1/1/1</v>
      </c>
      <c r="P3" s="207" t="str">
        <f>Input!N3</f>
        <v>90/90/90</v>
      </c>
      <c r="Q3" s="207">
        <f>Input!O3</f>
        <v>900</v>
      </c>
      <c r="R3" s="207" t="str">
        <f>Input!P3</f>
        <v>42/42/42</v>
      </c>
      <c r="S3" s="363" t="b">
        <f>Input!Q3</f>
        <v>1</v>
      </c>
      <c r="T3" s="207" t="str">
        <f>Input!R3</f>
        <v>C01994111119TG05</v>
      </c>
      <c r="U3" s="207">
        <f>Input!S3</f>
        <v>0</v>
      </c>
      <c r="V3" s="207" t="str">
        <f>Input!T3</f>
        <v>VCC3</v>
      </c>
      <c r="W3" s="207" t="str">
        <f>Input!U3</f>
        <v>1900416/19/TG/TT3</v>
      </c>
      <c r="X3" s="209" t="str">
        <f>TEXT(Input!V3,"dd/mm/yyyy")</f>
        <v>19/06/2019</v>
      </c>
      <c r="Y3" s="207" t="b">
        <f>Input!W3</f>
        <v>1</v>
      </c>
      <c r="Z3" s="363" t="b">
        <f>Input!X3</f>
        <v>0</v>
      </c>
      <c r="AA3" s="207">
        <f>IA3</f>
        <v>42</v>
      </c>
      <c r="AB3" s="363" t="b">
        <f>Input!Y3</f>
        <v>1</v>
      </c>
      <c r="AC3" s="207">
        <f>VALUE(Input!Z3)</f>
        <v>4</v>
      </c>
      <c r="AD3" s="207" t="b">
        <f>Input!AA3</f>
        <v>0</v>
      </c>
      <c r="AE3" s="207" t="str">
        <f>Input!AB3</f>
        <v>Cao Minh Mẫn</v>
      </c>
      <c r="AF3" s="207" t="str">
        <f>Input!AC3</f>
        <v>Trần Tiến</v>
      </c>
      <c r="AG3" s="342" t="str">
        <f> Options!$J$25</f>
        <v>TRUNG TÂM KIỂM ĐỊNH VÀ CHỨNG NHẬN 3</v>
      </c>
      <c r="AH3" s="342" t="str">
        <f> Options!$J$26</f>
        <v>TP. Đà Nẵng</v>
      </c>
      <c r="AI3" s="342" t="str">
        <f> Options!$J$29</f>
        <v>KT. GIÁM ĐỐC</v>
      </c>
      <c r="AJ3" s="342" t="str">
        <f> Options!$J$30</f>
        <v>PHÓ GIÁM ĐỐC</v>
      </c>
      <c r="AK3" s="342" t="str">
        <f> Options!$J$31</f>
        <v>Vũ Long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3</v>
      </c>
      <c r="AP3" s="287" t="str">
        <f>TRIM(IF(AO3&gt;=2,MID(E3,FIND("~",SUBSTITUTE(E3,",","~", AO3))+1,IFERROR(FIND("~",SUBSTITUTE(E3,",","~", AO3+1))-1,LEN(E3))- FIND("~",SUBSTITUTE(E3,",","~", AO3))),""))</f>
        <v>tỉnh Bình Định</v>
      </c>
      <c r="AQ3" s="446" t="str">
        <f>TRIM(IF(AO3&gt;=2,MID(E3,FIND("~",SUBSTITUTE(E3,",","~", AO3-1))+1,IFERROR(FIND("~",SUBSTITUTE(E3,",","~", AO3-0))-1,LEN(E3))- FIND("~",SUBSTITUTE(E3,",","~", AO3-1))),""))</f>
        <v>huyện Phù Cát</v>
      </c>
      <c r="AR3" s="446" t="str">
        <f>TRIM(IF(AO3&gt;=3,MID(E3,FIND("~",SUBSTITUTE(E3,",","~", AO3-2))+1,IFERROR(FIND("~",SUBSTITUTE(E3,",","~", AO3-1))-1,LEN(E3))- FIND("~",SUBSTITUTE(E3,",","~", AO3-2))),""))</f>
        <v>xã Cát Khánh</v>
      </c>
      <c r="AS3" s="447" t="str">
        <f>INDEX(CityIDList,MATCH(F3,CityNameList,0))</f>
        <v>BDH</v>
      </c>
      <c r="AT3" s="208" t="str">
        <f>IF(J3&gt;=1,INDEX(OperatorNameList,MATCH(AZ3,OperatorIDList,0)),"")</f>
        <v>CÔNG TY CỔ PHẦN VIỄN THÔNG DI ĐỘNG VIETNAMOBILE</v>
      </c>
      <c r="AU3" s="208" t="str">
        <f>IF(J3&gt;=2,INDEX(OperatorNameList,MATCH(BA3,OperatorIDList,0)),"")</f>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
      </c>
      <c r="BG3" s="208" t="str">
        <f>IF(J3&gt;=1,MID(L3,1,IFERROR(FIND("~",SUBSTITUTE(L3,";","~",1))-1,LEN(L3))),"")</f>
        <v>209089_1</v>
      </c>
      <c r="BH3" s="208" t="str">
        <f>IF(J3&gt;=2,MID(L3,FIND("~",SUBSTITUTE(L3,";","~",1))+1,IFERROR(FIND("~",SUBSTITUTE(L3,";","~",2))-1,LEN(L3))- FIND("~",SUBSTITUTE(L3,";","~",1))),"")</f>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HUAWEI BTS 3900</v>
      </c>
      <c r="BN3" s="208" t="str">
        <f>IF(J3&gt;=2,MID(M3,FIND("~",SUBSTITUTE(M3,";","~",1))+1,IFERROR(FIND("~",SUBSTITUTE(M3,";","~",2))-1,LEN(M3))- FIND("~",SUBSTITUTE(M3,";","~",1))),"")</f>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0</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c>
      <c r="CG3" s="208">
        <f>IF(BT3&gt;=1,MID(CF3,1,IFERROR(FIND("~",SUBSTITUTE(CF3,"/","~",1))-1,LEN(CF3))),"0")*1</f>
        <v>0</v>
      </c>
      <c r="CH3" s="208">
        <f>IF(BT3&gt;=2,MID(CF3,FIND("~",SUBSTITUTE(CF3,"/","~",1))+1,IFERROR(FIND("~",SUBSTITUTE(CF3,"/","~",2))-1,LEN(CF3))- FIND("~",SUBSTITUTE(CF3,"/","~",1))),"0")*1</f>
        <v>0</v>
      </c>
      <c r="CI3" s="208">
        <f>IF(BT3&gt;=3,MID(CF3,FIND("~",SUBSTITUTE(CF3,"/","~",2))+1,IFERROR(FIND("~",SUBSTITUTE(CF3,"/","~",3))-1,LEN(CF3))- FIND("~",SUBSTITUTE(CF3,"/","~",2))),"0")*1</f>
        <v>0</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90/90/90</v>
      </c>
      <c r="DP3" s="208">
        <f>SUBSTITUTE(IF(BS3&gt;=1,MID(DO3,1,IFERROR(FIND("~",SUBSTITUTE(DO3,"/","~",1))-1,LEN(DO3))),"0"),"W","")*1</f>
        <v>90</v>
      </c>
      <c r="DQ3" s="208">
        <f>SUBSTITUTE(IF(BS3&gt;=2,MID(DO3,FIND("~",SUBSTITUTE(DO3,"/","~",1))+1,IFERROR(FIND("~",SUBSTITUTE(DO3,"/","~",2))-1,LEN(DO3))- FIND("~",SUBSTITUTE(DO3,"/","~",1))),"0"),"W","")*1</f>
        <v>90</v>
      </c>
      <c r="DR3" s="208">
        <f>SUBSTITUTE(IF(BS3&gt;=3,MID(DO3,FIND("~",SUBSTITUTE(DO3,"/","~",2))+1,IFERROR(FIND("~",SUBSTITUTE(DO3,"/","~",3))-1,LEN(DO3))- FIND("~",SUBSTITUTE(DO3,"/","~",2))),"0"),"W","")*1</f>
        <v>90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90W/ 90W/ 90W</v>
      </c>
      <c r="DW3" s="208">
        <f>MAX(DP3:DS3)</f>
        <v>90</v>
      </c>
      <c r="DX3" s="208" t="str">
        <f>IF(J3&gt;=2,MID(P3,FIND("~",SUBSTITUTE(P3,";","~",1))+1,IFERROR(FIND("~",SUBSTITUTE(P3,";","~",2))-1,LEN(P3))- FIND("~",SUBSTITUTE(P3,";","~",1))),"")</f>
      </c>
      <c r="DY3" s="208">
        <f>SUBSTITUTE(IF(BT3&gt;=1,MID(DX3,1,IFERROR(FIND("~",SUBSTITUTE(DX3,"/","~",1))-1,LEN(DX3))),"0"),"W","")*1</f>
        <v>0</v>
      </c>
      <c r="DZ3" s="208">
        <f>SUBSTITUTE(IF(BT3&gt;=2,MID(DX3,FIND("~",SUBSTITUTE(DX3,"/","~",1))+1,IFERROR(FIND("~",SUBSTITUTE(DX3,"/","~",2))-1,LEN(DX3))- FIND("~",SUBSTITUTE(DX3,"/","~",1))),"0"),"W","")*1</f>
        <v>0</v>
      </c>
      <c r="EA3" s="208">
        <f>SUBSTITUTE(IF(BT3&gt;=3,MID(DX3,FIND("~",SUBSTITUTE(DX3,"/","~",2))+1,IFERROR(FIND("~",SUBSTITUTE(DX3,"/","~",3))-1,LEN(DX3))- FIND("~",SUBSTITUTE(DX3,"/","~",2))),"0"),"W","")*1</f>
        <v>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c>
      <c r="EF3" s="208">
        <f>MAX(DY3:EB3)</f>
        <v>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90</v>
      </c>
      <c r="FR3" s="208" t="str">
        <f>TRIM(IF(J3&gt;=1,MID(Q3,1,IFERROR(FIND("~",SUBSTITUTE(Q3,";","~",1))-1,LEN(Q3))),""))</f>
        <v>900</v>
      </c>
      <c r="FS3" s="208" t="str">
        <f>TRIM(IF(J3&gt;=2,MID(Q3,FIND("~",SUBSTITUTE(Q3,";","~",1))+1,IFERROR(FIND("~",SUBSTITUTE(Q3,";","~",2))-1,LEN(Q3))- FIND("~",SUBSTITUTE(Q3,";","~",1))),""))</f>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42/42/42</v>
      </c>
      <c r="FY3" s="208">
        <f>SUBSTITUTE(IF(BS3&gt;=1,MID(FX3,1,IFERROR(FIND("~",SUBSTITUTE(FX3,"/","~",1))-1,LEN(FX3))),"0"),"m","")*1</f>
        <v>42</v>
      </c>
      <c r="FZ3" s="208">
        <f>SUBSTITUTE(TRIM(IF(BS3&gt;=2,MID(FX3,FIND("~",SUBSTITUTE(FX3,"/","~",1))+1,IFERROR(FIND("~",SUBSTITUTE(FX3,"/","~",2))-1,LEN(FX3))- FIND("~",SUBSTITUTE(FX3,"/","~",1))),"0")),"m","")*1</f>
        <v>42</v>
      </c>
      <c r="GA3" s="208">
        <f>SUBSTITUTE(TRIM(IF(BS3&gt;=3,MID(FX3,FIND("~",SUBSTITUTE(FX3,"/","~",2))+1,IFERROR(FIND("~",SUBSTITUTE(FX3,"/","~",3))-1,LEN(FX3))- FIND("~",SUBSTITUTE(FX3,"/","~",2))),"0")),"m","")*1</f>
        <v>42</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42m/ 42m/ 42m</v>
      </c>
      <c r="GF3" s="208" t="str">
        <f>TRIM(IF(J3&gt;=2,MID(R3,FIND("~",SUBSTITUTE(R3,";","~",1))+1,IFERROR(FIND("~",SUBSTITUTE(R3,";","~",2))-1,LEN(R3))- FIND("~",SUBSTITUTE(R3,";","~",1))),""))</f>
      </c>
      <c r="GG3" s="208">
        <f>SUBSTITUTE(IF(BT3&gt;=1,MID(GF3,1,IFERROR(FIND("~",SUBSTITUTE(GF3,"/","~",1))-1,LEN(GF3))),"0"),"m","")*1</f>
        <v>0</v>
      </c>
      <c r="GH3" s="208">
        <f>SUBSTITUTE(TRIM(IF(BT3&gt;=2,MID(GF3,FIND("~",SUBSTITUTE(GF3,"/","~",1))+1,IFERROR(FIND("~",SUBSTITUTE(GF3,"/","~",2))-1,LEN(GF3))- FIND("~",SUBSTITUTE(GF3,"/","~",1))),"0")),"m","")*1</f>
        <v>0</v>
      </c>
      <c r="GI3" s="208">
        <f>SUBSTITUTE(TRIM(IF(BT3&gt;=3,MID(GF3,FIND("~",SUBSTITUTE(GF3,"/","~",2))+1,IFERROR(FIND("~",SUBSTITUTE(GF3,"/","~",3))-1,LEN(GF3))- FIND("~",SUBSTITUTE(GF3,"/","~",2))),"0")),"m","")*1</f>
        <v>0</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3</v>
      </c>
      <c r="HU3" s="208">
        <f>MinMultiple(FY3:GB3,BS3)</f>
        <v>42</v>
      </c>
      <c r="HV3" s="208">
        <f>MinMultiple(GG3:GJ3,BT3)</f>
        <v>0</v>
      </c>
      <c r="HW3" s="208">
        <f>MinMultiple(GO3:GR3,BU3)</f>
        <v>0</v>
      </c>
      <c r="HX3" s="208">
        <f>MinMultiple(GW3:GZ3,BV3)</f>
        <v>0</v>
      </c>
      <c r="HY3" s="208">
        <f>MinMultiple(HE3:HH3,BW3)</f>
        <v>0</v>
      </c>
      <c r="HZ3" s="208">
        <f>MinMultiple(HM3:HP3,BX3)</f>
        <v>0</v>
      </c>
      <c r="IA3" s="207">
        <f>MinMultiple(HU3:HZ3,J3)</f>
        <v>42</v>
      </c>
      <c r="IB3" s="207">
        <f>IA3-AC3</f>
        <v>38</v>
      </c>
      <c r="IC3" s="342" t="str">
        <f>IF(S3=TRUE,MID(T3,1,1),"")</f>
        <v>C</v>
      </c>
      <c r="ID3" s="342" t="str">
        <f>MID(T3,2,5)</f>
        <v>01994</v>
      </c>
      <c r="IE3" s="342" t="str">
        <f>MID(T3,7,6)</f>
        <v>111119</v>
      </c>
      <c r="IF3" s="342" t="str">
        <f>MID(T3,13,4)</f>
        <v>TG05</v>
      </c>
      <c r="IG3" s="382">
        <f>IF(S3=TRUE,DATE(2000+MID(IE3,5,2),MID(IE3,3,2),MID(IE3,1,2)),"")</f>
        <v>43780</v>
      </c>
      <c r="IH3" s="382">
        <f>IF(S3=TRUE,DATE(YEAR(IG3) + 5,MONTH(IG3),DAY(IG3)),"")</f>
        <v>45607</v>
      </c>
      <c r="II3" s="208">
        <v>7</v>
      </c>
    </row>
    <row r="4" ht="118.8">
      <c r="A4" s="207">
        <f>Input!A4</f>
        <v>2</v>
      </c>
      <c r="B4" s="342" t="str">
        <f> Profile!$A$3</f>
        <v>VNM</v>
      </c>
      <c r="C4" s="342" t="str">
        <f> Profile!$L$3</f>
        <v>VNMOBILE</v>
      </c>
      <c r="D4" s="207">
        <f>Input!B4</f>
        <v>216115</v>
      </c>
      <c r="E4" s="317" t="str">
        <f>Input!C4</f>
        <v>Thôn 4, xã Quảng Điền, huyện Krông Ana, tỉnh Đắk Lắk</v>
      </c>
      <c r="F4" s="207" t="str">
        <f>Input!D4</f>
        <v>Đắk Lắk</v>
      </c>
      <c r="G4" s="207">
        <f>Input!E4</f>
        <v>12.45295</v>
      </c>
      <c r="H4" s="207">
        <f>Input!F4</f>
        <v>108.04336</v>
      </c>
      <c r="I4" s="207">
        <f>Input!G4</f>
        <v>1</v>
      </c>
      <c r="J4" s="207">
        <f>Input!H4</f>
        <v>1</v>
      </c>
      <c r="K4" s="207" t="str">
        <f ref="K4:K9" t="shared" si="0">ConcateMultiple(AT4:AY4,";",J4)</f>
        <v>CÔNG TY CỔ PHẦN VIỄN THÔNG DI ĐỘNG VIETNAMOBILE</v>
      </c>
      <c r="L4" s="207" t="str">
        <f>Input!J4</f>
        <v>216115_1</v>
      </c>
      <c r="M4" s="207" t="str">
        <f>Input!K4</f>
        <v>HUAWEI BTS 3900</v>
      </c>
      <c r="N4" s="207">
        <f>Input!L4</f>
        <v>3</v>
      </c>
      <c r="O4" s="207" t="str">
        <f>Input!M4</f>
        <v>1/1/1</v>
      </c>
      <c r="P4" s="207" t="str">
        <f>Input!N4</f>
        <v>90/90/90</v>
      </c>
      <c r="Q4" s="207">
        <f>Input!O4</f>
        <v>900</v>
      </c>
      <c r="R4" s="207" t="str">
        <f>Input!P4</f>
        <v>42/42/42</v>
      </c>
      <c r="S4" s="363" t="b">
        <f>Input!Q4</f>
        <v>1</v>
      </c>
      <c r="T4" s="207" t="str">
        <f>Input!R4</f>
        <v>C01995111119TG05</v>
      </c>
      <c r="U4" s="207">
        <f>Input!S4</f>
        <v>0</v>
      </c>
      <c r="V4" s="207" t="str">
        <f>Input!T4</f>
        <v>VCC3</v>
      </c>
      <c r="W4" s="207" t="str">
        <f>Input!U4</f>
        <v>1900417/19/TG/TT3</v>
      </c>
      <c r="X4" s="209" t="str">
        <f>TEXT(Input!V4,"dd/mm/yyyy")</f>
        <v>19/06/2019</v>
      </c>
      <c r="Y4" s="207" t="b">
        <f>Input!W4</f>
        <v>1</v>
      </c>
      <c r="Z4" s="363" t="b">
        <f>Input!X4</f>
        <v>0</v>
      </c>
      <c r="AA4" s="207">
        <f ref="AA4:AA9" t="shared" si="1">IA4</f>
        <v>42</v>
      </c>
      <c r="AB4" s="363" t="b">
        <f>Input!Y4</f>
        <v>1</v>
      </c>
      <c r="AC4" s="207">
        <f>VALUE(Input!Z4)</f>
        <v>4</v>
      </c>
      <c r="AD4" s="207" t="b">
        <f>Input!AA4</f>
        <v>0</v>
      </c>
      <c r="AE4" s="207" t="str">
        <f>Input!AB4</f>
        <v>Cao Minh Mẫn</v>
      </c>
      <c r="AF4" s="207" t="str">
        <f>Input!AC4</f>
        <v>Trần Tiến</v>
      </c>
      <c r="AG4" s="342" t="str">
        <f> Options!$J$25</f>
        <v>TRUNG TÂM KIỂM ĐỊNH VÀ CHỨNG NHẬN 3</v>
      </c>
      <c r="AH4" s="342" t="str">
        <f> Options!$J$26</f>
        <v>TP. Đà Nẵng</v>
      </c>
      <c r="AI4" s="342" t="str">
        <f> Options!$J$29</f>
        <v>KT. GIÁM ĐỐC</v>
      </c>
      <c r="AJ4" s="342" t="str">
        <f> Options!$J$30</f>
        <v>PHÓ GIÁM ĐỐC</v>
      </c>
      <c r="AK4" s="342" t="str">
        <f> Options!$J$31</f>
        <v>Vũ Long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9" t="shared" si="2">LEN(E4)-LEN(SUBSTITUTE(E4,",",""))</f>
        <v>3</v>
      </c>
      <c r="AP4" s="287" t="str">
        <f ref="AP4:AP9" t="shared" si="3">TRIM(IF(AO4&gt;=2,MID(E4,FIND("~",SUBSTITUTE(E4,",","~", AO4))+1,IFERROR(FIND("~",SUBSTITUTE(E4,",","~", AO4+1))-1,LEN(E4))- FIND("~",SUBSTITUTE(E4,",","~", AO4))),""))</f>
        <v>tỉnh Đắk Lắk</v>
      </c>
      <c r="AQ4" s="446" t="str">
        <f ref="AQ4:AQ9" t="shared" si="4">TRIM(IF(AO4&gt;=2,MID(E4,FIND("~",SUBSTITUTE(E4,",","~", AO4-1))+1,IFERROR(FIND("~",SUBSTITUTE(E4,",","~", AO4-0))-1,LEN(E4))- FIND("~",SUBSTITUTE(E4,",","~", AO4-1))),""))</f>
        <v>huyện Krông Ana</v>
      </c>
      <c r="AR4" s="446" t="str">
        <f ref="AR4:AR9" t="shared" si="5">TRIM(IF(AO4&gt;=3,MID(E4,FIND("~",SUBSTITUTE(E4,",","~", AO4-2))+1,IFERROR(FIND("~",SUBSTITUTE(E4,",","~", AO4-1))-1,LEN(E4))- FIND("~",SUBSTITUTE(E4,",","~", AO4-2))),""))</f>
        <v>xã Quảng Điền</v>
      </c>
      <c r="AS4" s="447" t="str">
        <f>INDEX(CityIDList,MATCH(F4,CityNameList,0))</f>
        <v>DLK</v>
      </c>
      <c r="AT4" s="208" t="str">
        <f>IF(J4&gt;=1,INDEX(OperatorNameList,MATCH(AZ4,OperatorIDList,0)),"")</f>
        <v>CÔNG TY CỔ PHẦN VIỄN THÔNG DI ĐỘNG VIETNAMOBILE</v>
      </c>
      <c r="AU4" s="208" t="str">
        <f>IF(J4&gt;=2,INDEX(OperatorNameList,MATCH(BA4,OperatorIDList,0)),"")</f>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9" t="shared" si="6">TRIM(IF(J4&gt;=1,MID(BF4,1,IFERROR(FIND("~",SUBSTITUTE(BF4,";","~",1))-1,LEN(BF4))),""))</f>
        <v>VNMOBILE</v>
      </c>
      <c r="BA4" s="208" t="str">
        <f ref="BA4:BA9" t="shared" si="7">TRIM(IF(J4&gt;=2,MID(BF4,FIND("~",SUBSTITUTE(BF4,";","~",1))+1,IFERROR(FIND("~",SUBSTITUTE(BF4,";","~",2))-1,LEN(BF4))- FIND("~",SUBSTITUTE(BF4,";","~",1))),""))</f>
      </c>
      <c r="BB4" s="208" t="str">
        <f ref="BB4:BB9" t="shared" si="8">TRIM(IF(J4&gt;=3,MID(BF4,FIND("~",SUBSTITUTE(BF4,";","~",2))+1,IFERROR(FIND("~",SUBSTITUTE(BF4,";","~",3))-1,LEN(BF4))- FIND("~",SUBSTITUTE(BF4,";","~",2))),""))</f>
      </c>
      <c r="BC4" s="208" t="str">
        <f ref="BC4:BC9" t="shared" si="9">TRIM(IF(J4&gt;=4,MID(BF4,FIND("~",SUBSTITUTE(BF4,";","~",3))+1,IFERROR(FIND("~",SUBSTITUTE(BF4,";","~",4))-1,LEN(BF4))- FIND("~",SUBSTITUTE(BF4,";","~",3))),""))</f>
      </c>
      <c r="BD4" s="208" t="str">
        <f ref="BD4:BD9" t="shared" si="10">TRIM(IF(J4&gt;=5,MID(BF4,FIND("~",SUBSTITUTE(BF4,";","~",4))+1,IFERROR(FIND("~",SUBSTITUTE(BF4,";","~",5))-1,LEN(BF4))- FIND("~",SUBSTITUTE(BF4,";","~",4))),""))</f>
      </c>
      <c r="BE4" s="208" t="str">
        <f ref="BE4:BE9" t="shared" si="11">TRIM(IF(J4&gt;=6,MID(BF4,FIND("~",SUBSTITUTE(BF4,";","~",5))+1,IFERROR(FIND("~",SUBSTITUTE(BF4,";","~",6))-1,LEN(BF4))- FIND("~",SUBSTITUTE(BF4,";","~",5))),""))</f>
      </c>
      <c r="BF4" s="208" t="str">
        <f>Input!I4</f>
        <v>VNMOBILE</v>
      </c>
      <c r="BG4" s="208" t="str">
        <f ref="BG4:BG9" t="shared" si="12">IF(J4&gt;=1,MID(L4,1,IFERROR(FIND("~",SUBSTITUTE(L4,";","~",1))-1,LEN(L4))),"")</f>
        <v>216115_1</v>
      </c>
      <c r="BH4" s="208" t="str">
        <f ref="BH4:BH9" t="shared" si="13">IF(J4&gt;=2,MID(L4,FIND("~",SUBSTITUTE(L4,";","~",1))+1,IFERROR(FIND("~",SUBSTITUTE(L4,";","~",2))-1,LEN(L4))- FIND("~",SUBSTITUTE(L4,";","~",1))),"")</f>
      </c>
      <c r="BI4" s="208" t="str">
        <f ref="BI4:BI9" t="shared" si="14">IF(J4&gt;=3,MID(L4,FIND("~",SUBSTITUTE(L4,";","~",2))+1,IFERROR(FIND("~",SUBSTITUTE(L4,";","~",3))-1,LEN(L4))- FIND("~",SUBSTITUTE(L4,";","~",2))),"")</f>
      </c>
      <c r="BJ4" s="208" t="str">
        <f ref="BJ4:BJ9" t="shared" si="15">IF(J4&gt;=4,MID(L4,FIND("~",SUBSTITUTE(L4,";","~",3))+1,IFERROR(FIND("~",SUBSTITUTE(L4,";","~",4))-1,LEN(L4))- FIND("~",SUBSTITUTE(L4,";","~",3))),"")</f>
      </c>
      <c r="BK4" s="208" t="str">
        <f ref="BK4:BK9" t="shared" si="16">IF(J4&gt;=5,MID(L4,FIND("~",SUBSTITUTE(L4,";","~",4))+1,IFERROR(FIND("~",SUBSTITUTE(L4,";","~",5))-1,LEN(L4))- FIND("~",SUBSTITUTE(L4,";","~",4))),"")</f>
      </c>
      <c r="BL4" s="208" t="str">
        <f ref="BL4:BL9" t="shared" si="17">IF(J4&gt;=6,MID(L4,FIND("~",SUBSTITUTE(L4,";","~",5))+1,IFERROR(FIND("~",SUBSTITUTE(L4,";","~",6))-1,LEN(L4))- FIND("~",SUBSTITUTE(L4,";","~",5))),"")</f>
      </c>
      <c r="BM4" s="208" t="str">
        <f ref="BM4:BM9" t="shared" si="18">IF(J4&gt;=1,MID(M4,1,IFERROR(FIND("~",SUBSTITUTE(M4,";","~",1))-1,LEN(M4))),"")</f>
        <v>HUAWEI BTS 3900</v>
      </c>
      <c r="BN4" s="208" t="str">
        <f ref="BN4:BN9" t="shared" si="19">IF(J4&gt;=2,MID(M4,FIND("~",SUBSTITUTE(M4,";","~",1))+1,IFERROR(FIND("~",SUBSTITUTE(M4,";","~",2))-1,LEN(M4))- FIND("~",SUBSTITUTE(M4,";","~",1))),"")</f>
      </c>
      <c r="BO4" s="208" t="str">
        <f ref="BO4:BO9" t="shared" si="20">IF(J4&gt;=3,MID(M4,FIND("~",SUBSTITUTE(M4,";","~",2))+1,IFERROR(FIND("~",SUBSTITUTE(M4,";","~",3))-1,LEN(M4))- FIND("~",SUBSTITUTE(M4,";","~",2))),"")</f>
      </c>
      <c r="BP4" s="208" t="str">
        <f ref="BP4:BP9" t="shared" si="21">IF(J4&gt;=4,MID(M4,FIND("~",SUBSTITUTE(M4,";","~",3))+1,IFERROR(FIND("~",SUBSTITUTE(M4,";","~",4))-1,LEN(M4))- FIND("~",SUBSTITUTE(M4,";","~",3))),"")</f>
      </c>
      <c r="BQ4" s="208" t="str">
        <f ref="BQ4:BQ9" t="shared" si="22">IF(J4&gt;=5,MID(M4,FIND("~",SUBSTITUTE(M4,";","~",4))+1,IFERROR(FIND("~",SUBSTITUTE(M4,";","~",5))-1,LEN(M4))- FIND("~",SUBSTITUTE(M4,";","~",4))),"")</f>
      </c>
      <c r="BR4" s="208" t="str">
        <f ref="BR4:BR9" t="shared" si="23">IF(J4&gt;=6,MID(M4,FIND("~",SUBSTITUTE(M4,";","~",5))+1,IFERROR(FIND("~",SUBSTITUTE(M4,";","~",6))-1,LEN(M4))- FIND("~",SUBSTITUTE(M4,";","~",5))),"")</f>
      </c>
      <c r="BS4" s="208">
        <f ref="BS4:BS9" t="shared" si="24">IF(J4&gt;=1,MID(N4,1,IFERROR(FIND("~",SUBSTITUTE(N4,";","~",1))-1,LEN(N4))),"0")*1</f>
        <v>3</v>
      </c>
      <c r="BT4" s="208">
        <f ref="BT4:BT9" t="shared" si="25">IF(J4&gt;=2,MID(N4,FIND("~",SUBSTITUTE(N4,";","~",1))+1,IFERROR(FIND("~",SUBSTITUTE(N4,";","~",2))-1,LEN(N4))- FIND("~",SUBSTITUTE(N4,";","~",1))),"0")*1</f>
        <v>0</v>
      </c>
      <c r="BU4" s="208">
        <f ref="BU4:BU9" t="shared" si="26">IF(J4&gt;=3,MID(N4,FIND("~",SUBSTITUTE(N4,";","~",2))+1,IFERROR(FIND("~",SUBSTITUTE(N4,";","~",3))-1,LEN(N4))- FIND("~",SUBSTITUTE(N4,";","~",2))),"0")*1</f>
        <v>0</v>
      </c>
      <c r="BV4" s="208">
        <f ref="BV4:BV9" t="shared" si="27">IF(J4&gt;=4,MID(N4,FIND("~",SUBSTITUTE(N4,";","~",3))+1,IFERROR(FIND("~",SUBSTITUTE(N4,";","~",4))-1,LEN(N4))- FIND("~",SUBSTITUTE(N4,";","~",3))),"0")*1</f>
        <v>0</v>
      </c>
      <c r="BW4" s="208">
        <f ref="BW4:BW9" t="shared" si="28">IF(J4&gt;=5,MID(N4,FIND("~",SUBSTITUTE(N4,";","~",4))+1,IFERROR(FIND("~",SUBSTITUTE(N4,";","~",5))-1,LEN(N4))- FIND("~",SUBSTITUTE(N4,";","~",4))),"0")*1</f>
        <v>0</v>
      </c>
      <c r="BX4" s="208">
        <f ref="BX4:BX9" t="shared" si="29">IF(J4&gt;=6,MID(N4,FIND("~",SUBSTITUTE(N4,";","~",5))+1,IFERROR(FIND("~",SUBSTITUTE(N4,";","~",6))-1,LEN(N4))- FIND("~",SUBSTITUTE(N4,";","~",5))),"0")*1</f>
        <v>0</v>
      </c>
      <c r="BY4" s="208" t="str">
        <f ref="BY4:BY9" t="shared" si="30">IF(J4&gt;=1,MID(O4,1,IFERROR(FIND("~",SUBSTITUTE(O4,";","~",1))-1,LEN(O4))),"")</f>
        <v>1/1/1</v>
      </c>
      <c r="BZ4" s="208">
        <f ref="BZ4:BZ9" t="shared" si="31">IF(BS4&gt;=1,MID(BY4,1,IFERROR(FIND("~",SUBSTITUTE(BY4,"/","~",1))-1,LEN(BY4))),"0")*1</f>
        <v>1</v>
      </c>
      <c r="CA4" s="208">
        <f ref="CA4:CA9" t="shared" si="32">IF(BS4&gt;=2,MID(BY4,FIND("~",SUBSTITUTE(BY4,"/","~",1))+1,IFERROR(FIND("~",SUBSTITUTE(BY4,"/","~",2))-1,LEN(BY4))- FIND("~",SUBSTITUTE(BY4,"/","~",1))),"0")*1</f>
        <v>1</v>
      </c>
      <c r="CB4" s="208">
        <f ref="CB4:CB9" t="shared" si="33">IF(BS4&gt;=3,MID(BY4,FIND("~",SUBSTITUTE(BY4,"/","~",2))+1,IFERROR(FIND("~",SUBSTITUTE(BY4,"/","~",3))-1,LEN(BY4))- FIND("~",SUBSTITUTE(BY4,"/","~",2))),"0")*1</f>
        <v>1</v>
      </c>
      <c r="CC4" s="208">
        <f ref="CC4:CC9" t="shared" si="34">IF(BS4&gt;=4,MID(BY4,FIND("~",SUBSTITUTE(BY4,"/","~",3))+1,IFERROR(FIND("~",SUBSTITUTE(BY4,"/","~",4))-1,LEN(BY4))- FIND("~",SUBSTITUTE(BY4,"/","~",3))),"0")*1</f>
        <v>0</v>
      </c>
      <c r="CD4" s="208">
        <f ref="CD4:CD9" t="shared" si="35">IF(BS4&gt;=5,MID(BY4,FIND("~",SUBSTITUTE(BY4,"/","~",4))+1,IFERROR(FIND("~",SUBSTITUTE(BY4,"/","~",5))-1,LEN(BY4))- FIND("~",SUBSTITUTE(BY4,"/","~",4))),"0")*1</f>
        <v>0</v>
      </c>
      <c r="CE4" s="208">
        <f ref="CE4:CE9" t="shared" si="36">IF(BS4&gt;=6,MID(BY4,FIND("~",SUBSTITUTE(BY4,"/","~",5))+1,IFERROR(FIND("~",SUBSTITUTE(BY4,"/","~",6))-1,LEN(BY4))- FIND("~",SUBSTITUTE(BY4,"/","~",5))),"0")*1</f>
        <v>0</v>
      </c>
      <c r="CF4" s="208" t="str">
        <f ref="CF4:CF9" t="shared" si="37">IF(J4&gt;=2,MID(O4,FIND("~",SUBSTITUTE(O4,";","~",1))+1,IFERROR(FIND("~",SUBSTITUTE(O4,";","~",2))-1,LEN(O4))- FIND("~",SUBSTITUTE(O4,";","~",1))),"")</f>
      </c>
      <c r="CG4" s="208">
        <f ref="CG4:CG9" t="shared" si="38">IF(BT4&gt;=1,MID(CF4,1,IFERROR(FIND("~",SUBSTITUTE(CF4,"/","~",1))-1,LEN(CF4))),"0")*1</f>
        <v>0</v>
      </c>
      <c r="CH4" s="208">
        <f ref="CH4:CH9" t="shared" si="39">IF(BT4&gt;=2,MID(CF4,FIND("~",SUBSTITUTE(CF4,"/","~",1))+1,IFERROR(FIND("~",SUBSTITUTE(CF4,"/","~",2))-1,LEN(CF4))- FIND("~",SUBSTITUTE(CF4,"/","~",1))),"0")*1</f>
        <v>0</v>
      </c>
      <c r="CI4" s="208">
        <f ref="CI4:CI9" t="shared" si="40">IF(BT4&gt;=3,MID(CF4,FIND("~",SUBSTITUTE(CF4,"/","~",2))+1,IFERROR(FIND("~",SUBSTITUTE(CF4,"/","~",3))-1,LEN(CF4))- FIND("~",SUBSTITUTE(CF4,"/","~",2))),"0")*1</f>
        <v>0</v>
      </c>
      <c r="CJ4" s="208">
        <f ref="CJ4:CJ9" t="shared" si="41">IF(BT4&gt;=4,MID(CF4,FIND("~",SUBSTITUTE(CF4,"/","~",3))+1,IFERROR(FIND("~",SUBSTITUTE(CF4,"/","~",4))-1,LEN(CF4))- FIND("~",SUBSTITUTE(CF4,"/","~",3))),"0")*1</f>
        <v>0</v>
      </c>
      <c r="CK4" s="208">
        <f ref="CK4:CK9" t="shared" si="42">IF(BT4&gt;=5,MID(CF4,FIND("~",SUBSTITUTE(CF4,"/","~",4))+1,IFERROR(FIND("~",SUBSTITUTE(CF4,"/","~",5))-1,LEN(CF4))- FIND("~",SUBSTITUTE(CF4,"/","~",4))),"0")*1</f>
        <v>0</v>
      </c>
      <c r="CL4" s="208">
        <f ref="CL4:CL9" t="shared" si="43">IF(BT4&gt;=6,MID(CF4,FIND("~",SUBSTITUTE(CF4,"/","~",5))+1,IFERROR(FIND("~",SUBSTITUTE(CF4,"/","~",6))-1,LEN(CF4))- FIND("~",SUBSTITUTE(CF4,"/","~",5))),"0")*1</f>
        <v>0</v>
      </c>
      <c r="CM4" s="208" t="str">
        <f ref="CM4:CM9" t="shared" si="44">IF(J4&gt;=3,MID(O4,FIND("~",SUBSTITUTE(O4,";","~",2))+1,IFERROR(FIND("~",SUBSTITUTE(O4,";","~",3))-1,LEN(O4))- FIND("~",SUBSTITUTE(O4,";","~",2))),"")</f>
      </c>
      <c r="CN4" s="208">
        <f ref="CN4:CN9" t="shared" si="45">IF(BU4&gt;=1,MID(CM4,1,IFERROR(FIND("~",SUBSTITUTE(CM4,"/","~",1))-1,LEN(CM4))),"0")*1</f>
        <v>0</v>
      </c>
      <c r="CO4" s="208">
        <f ref="CO4:CO9" t="shared" si="46">IF(BU4&gt;=2,MID(CM4,FIND("~",SUBSTITUTE(CM4,"/","~",1))+1,IFERROR(FIND("~",SUBSTITUTE(CM4,"/","~",2))-1,LEN(CM4))- FIND("~",SUBSTITUTE(CM4,"/","~",1))),"0")*1</f>
        <v>0</v>
      </c>
      <c r="CP4" s="208">
        <f ref="CP4:CP9" t="shared" si="47">IF(BU4&gt;=3,MID(CM4,FIND("~",SUBSTITUTE(CM4,"/","~",2))+1,IFERROR(FIND("~",SUBSTITUTE(CM4,"/","~",3))-1,LEN(CM4))- FIND("~",SUBSTITUTE(CM4,"/","~",2))),"0")*1</f>
        <v>0</v>
      </c>
      <c r="CQ4" s="208">
        <f ref="CQ4:CQ9" t="shared" si="48">IF(BU4&gt;=4,MID(CM4,FIND("~",SUBSTITUTE(CM4,"/","~",3))+1,IFERROR(FIND("~",SUBSTITUTE(CM4,"/","~",4))-1,LEN(CM4))- FIND("~",SUBSTITUTE(CM4,"/","~",3))),"0")*1</f>
        <v>0</v>
      </c>
      <c r="CR4" s="208">
        <f ref="CR4:CR9" t="shared" si="49">IF(BU4&gt;=5,MID(CM4,FIND("~",SUBSTITUTE(CM4,"/","~",4))+1,IFERROR(FIND("~",SUBSTITUTE(CM4,"/","~",5))-1,LEN(CM4))- FIND("~",SUBSTITUTE(CM4,"/","~",4))),"0")*1</f>
        <v>0</v>
      </c>
      <c r="CS4" s="208">
        <f ref="CS4:CS9" t="shared" si="50">IF(BU4&gt;=6,MID(CM4,FIND("~",SUBSTITUTE(CM4,"/","~",5))+1,IFERROR(FIND("~",SUBSTITUTE(CM4,"/","~",6))-1,LEN(CM4))- FIND("~",SUBSTITUTE(CM4,"/","~",5))),"0")*1</f>
        <v>0</v>
      </c>
      <c r="CT4" s="208" t="str">
        <f ref="CT4:CT9" t="shared" si="51">IF(J4&gt;=4,MID(O4,FIND("~",SUBSTITUTE(O4,";","~",3))+1,IFERROR(FIND("~",SUBSTITUTE(O4,";","~",4))-1,LEN(O4))- FIND("~",SUBSTITUTE(O4,";","~",3))),"")</f>
      </c>
      <c r="CU4" s="208">
        <f ref="CU4:CU9" t="shared" si="52">IF(BV4&gt;=1,MID(CT4,1,IFERROR(FIND("~",SUBSTITUTE(CT4,"/","~",1))-1,LEN(CT4))),"0")*1</f>
        <v>0</v>
      </c>
      <c r="CV4" s="208">
        <f ref="CV4:CV9" t="shared" si="53">IF(BV4&gt;=2,MID(CT4,FIND("~",SUBSTITUTE(CT4,"/","~",1))+1,IFERROR(FIND("~",SUBSTITUTE(CT4,"/","~",2))-1,LEN(CT4))- FIND("~",SUBSTITUTE(CT4,"/","~",1))),"0")*1</f>
        <v>0</v>
      </c>
      <c r="CW4" s="208">
        <f ref="CW4:CW9" t="shared" si="54">IF(BV4&gt;=3,MID(CT4,FIND("~",SUBSTITUTE(CT4,"/","~",2))+1,IFERROR(FIND("~",SUBSTITUTE(CT4,"/","~",3))-1,LEN(CT4))- FIND("~",SUBSTITUTE(CT4,"/","~",2))),"0")*1</f>
        <v>0</v>
      </c>
      <c r="CX4" s="208">
        <f ref="CX4:CX9" t="shared" si="55">IF(BV4&gt;=4,MID(CT4,FIND("~",SUBSTITUTE(CT4,"/","~",3))+1,IFERROR(FIND("~",SUBSTITUTE(CT4,"/","~",4))-1,LEN(CT4))- FIND("~",SUBSTITUTE(CT4,"/","~",3))),"0")*1</f>
        <v>0</v>
      </c>
      <c r="CY4" s="208">
        <f ref="CY4:CY9" t="shared" si="56">IF(BV4&gt;=5,MID(CT4,FIND("~",SUBSTITUTE(CT4,"/","~",4))+1,IFERROR(FIND("~",SUBSTITUTE(CT4,"/","~",5))-1,LEN(CT4))- FIND("~",SUBSTITUTE(CT4,"/","~",4))),"0")*1</f>
        <v>0</v>
      </c>
      <c r="CZ4" s="208">
        <f ref="CZ4:CZ9" t="shared" si="57">IF(BV4&gt;=6,MID(CT4,FIND("~",SUBSTITUTE(CT4,"/","~",5))+1,IFERROR(FIND("~",SUBSTITUTE(CT4,"/","~",6))-1,LEN(CT4))- FIND("~",SUBSTITUTE(CT4,"/","~",5))),"0")*1</f>
        <v>0</v>
      </c>
      <c r="DA4" s="208" t="str">
        <f ref="DA4:DA9" t="shared" si="58">IF(J4&gt;=5,MID(O4,FIND("~",SUBSTITUTE(O4,";","~",4))+1,IFERROR(FIND("~",SUBSTITUTE(O4,";","~",5))-1,LEN(O4))- FIND("~",SUBSTITUTE(O4,";","~",4))),"")</f>
      </c>
      <c r="DB4" s="208">
        <f ref="DB4:DB9" t="shared" si="59">IF(BW4&gt;=1,MID(DA4,1,IFERROR(FIND("~",SUBSTITUTE(DA4,"/","~",1))-1,LEN(DA4))),"0")*1</f>
        <v>0</v>
      </c>
      <c r="DC4" s="208">
        <f ref="DC4:DC9" t="shared" si="60">IF(BW4&gt;=2,MID(DA4,FIND("~",SUBSTITUTE(DA4,"/","~",1))+1,IFERROR(FIND("~",SUBSTITUTE(DA4,"/","~",2))-1,LEN(DA4))- FIND("~",SUBSTITUTE(DA4,"/","~",1))),"0")*1</f>
        <v>0</v>
      </c>
      <c r="DD4" s="208">
        <f ref="DD4:DD9" t="shared" si="61">IF(BW4&gt;=3,MID(DA4,FIND("~",SUBSTITUTE(DA4,"/","~",2))+1,IFERROR(FIND("~",SUBSTITUTE(DA4,"/","~",3))-1,LEN(DA4))- FIND("~",SUBSTITUTE(DA4,"/","~",2))),"0")*1</f>
        <v>0</v>
      </c>
      <c r="DE4" s="208">
        <f ref="DE4:DE9" t="shared" si="62">IF(BW4&gt;=4,MID(DA4,FIND("~",SUBSTITUTE(DA4,"/","~",3))+1,IFERROR(FIND("~",SUBSTITUTE(DA4,"/","~",4))-1,LEN(DA4))- FIND("~",SUBSTITUTE(DA4,"/","~",3))),"0")*1</f>
        <v>0</v>
      </c>
      <c r="DF4" s="208">
        <f ref="DF4:DF9" t="shared" si="63">IF(BW4&gt;=5,MID(DA4,FIND("~",SUBSTITUTE(DA4,"/","~",4))+1,IFERROR(FIND("~",SUBSTITUTE(DA4,"/","~",5))-1,LEN(DA4))- FIND("~",SUBSTITUTE(DA4,"/","~",4))),"0")*1</f>
        <v>0</v>
      </c>
      <c r="DG4" s="208">
        <f ref="DG4:DG9" t="shared" si="64">IF(BW4&gt;=6,MID(DA4,FIND("~",SUBSTITUTE(DA4,"/","~",5))+1,IFERROR(FIND("~",SUBSTITUTE(DA4,"/","~",6))-1,LEN(DA4))- FIND("~",SUBSTITUTE(DA4,"/","~",5))),"0")*1</f>
        <v>0</v>
      </c>
      <c r="DH4" s="208" t="str">
        <f ref="DH4:DH9" t="shared" si="65">IF(J4&gt;=6,MID(O4,FIND("~",SUBSTITUTE(O4,";","~",5))+1,IFERROR(FIND("~",SUBSTITUTE(O4,";","~",6))-1,LEN(O4))- FIND("~",SUBSTITUTE(O4,";","~",5))),"")</f>
      </c>
      <c r="DI4" s="208">
        <f ref="DI4:DI9" t="shared" si="66">IF(BX4&gt;=1,MID(DH4,1,IFERROR(FIND("~",SUBSTITUTE(DH4,"/","~",1))-1,LEN(DH4))),"0")*1</f>
        <v>0</v>
      </c>
      <c r="DJ4" s="208">
        <f ref="DJ4:DJ9" t="shared" si="67">IF(BX4&gt;=2,MID(DH4,FIND("~",SUBSTITUTE(DH4,"/","~",1))+1,IFERROR(FIND("~",SUBSTITUTE(DH4,"/","~",2))-1,LEN(DH4))- FIND("~",SUBSTITUTE(DH4,"/","~",1))),"0")*1</f>
        <v>0</v>
      </c>
      <c r="DK4" s="208">
        <f ref="DK4:DK9" t="shared" si="68">IF(BX4&gt;=3,MID(DH4,FIND("~",SUBSTITUTE(DH4,"/","~",2))+1,IFERROR(FIND("~",SUBSTITUTE(DH4,"/","~",3))-1,LEN(DH4))- FIND("~",SUBSTITUTE(DH4,"/","~",2))),"0")*1</f>
        <v>0</v>
      </c>
      <c r="DL4" s="208">
        <f ref="DL4:DL9" t="shared" si="69">IF(BX4&gt;=4,MID(DH4,FIND("~",SUBSTITUTE(DH4,"/","~",3))+1,IFERROR(FIND("~",SUBSTITUTE(DH4,"/","~",4))-1,LEN(DH4))- FIND("~",SUBSTITUTE(DH4,"/","~",3))),"0")*1</f>
        <v>0</v>
      </c>
      <c r="DM4" s="208">
        <f ref="DM4:DM9" t="shared" si="70">IF(BX4&gt;=5,MID(DH4,FIND("~",SUBSTITUTE(DH4,"/","~",4))+1,IFERROR(FIND("~",SUBSTITUTE(DH4,"/","~",5))-1,LEN(DH4))- FIND("~",SUBSTITUTE(DH4,"/","~",4))),"0")*1</f>
        <v>0</v>
      </c>
      <c r="DN4" s="208">
        <f ref="DN4:DN9" t="shared" si="71">IF(BX4&gt;=6,MID(DH4,FIND("~",SUBSTITUTE(DH4,"/","~",5))+1,IFERROR(FIND("~",SUBSTITUTE(DH4,"/","~",6))-1,LEN(DH4))- FIND("~",SUBSTITUTE(DH4,"/","~",5))),"0")*1</f>
        <v>0</v>
      </c>
      <c r="DO4" s="208" t="str">
        <f ref="DO4:DO9" t="shared" si="72">IF(J4&gt;=1,MID(P4,1,IFERROR(FIND("~",SUBSTITUTE(P4,";","~",1))-1,LEN(P4))),"")</f>
        <v>90/90/90</v>
      </c>
      <c r="DP4" s="208">
        <f ref="DP4:DP9" t="shared" si="73">SUBSTITUTE(IF(BS4&gt;=1,MID(DO4,1,IFERROR(FIND("~",SUBSTITUTE(DO4,"/","~",1))-1,LEN(DO4))),"0"),"W","")*1</f>
        <v>90</v>
      </c>
      <c r="DQ4" s="208">
        <f ref="DQ4:DQ9" t="shared" si="74">SUBSTITUTE(IF(BS4&gt;=2,MID(DO4,FIND("~",SUBSTITUTE(DO4,"/","~",1))+1,IFERROR(FIND("~",SUBSTITUTE(DO4,"/","~",2))-1,LEN(DO4))- FIND("~",SUBSTITUTE(DO4,"/","~",1))),"0"),"W","")*1</f>
        <v>90</v>
      </c>
      <c r="DR4" s="208">
        <f ref="DR4:DR9" t="shared" si="75">SUBSTITUTE(IF(BS4&gt;=3,MID(DO4,FIND("~",SUBSTITUTE(DO4,"/","~",2))+1,IFERROR(FIND("~",SUBSTITUTE(DO4,"/","~",3))-1,LEN(DO4))- FIND("~",SUBSTITUTE(DO4,"/","~",2))),"0"),"W","")*1</f>
        <v>90</v>
      </c>
      <c r="DS4" s="208">
        <f ref="DS4:DS9" t="shared" si="76">SUBSTITUTE(IF(BS4&gt;=4,MID(DO4,FIND("~",SUBSTITUTE(DO4,"/","~",3))+1,IFERROR(FIND("~",SUBSTITUTE(DO4,"/","~",4))-1,LEN(DO4))- FIND("~",SUBSTITUTE(DO4,"/","~",3))),"0"),"W","")*1</f>
        <v>0</v>
      </c>
      <c r="DT4" s="208">
        <f ref="DT4:DT9" t="shared" si="77">SUBSTITUTE(IF(BS4&gt;=5,MID(DO4,FIND("~",SUBSTITUTE(DO4,"/","~",4))+1,IFERROR(FIND("~",SUBSTITUTE(DO4,"/","~",5))-1,LEN(DO4))- FIND("~",SUBSTITUTE(DO4,"/","~",4))),"0"),"W","")*1</f>
        <v>0</v>
      </c>
      <c r="DU4" s="208">
        <f ref="DU4:DU9" t="shared" si="78">SUBSTITUTE(IF(BS4&gt;=6,MID(DO4,FIND("~",SUBSTITUTE(DO4,"/","~",5))+1,IFERROR(FIND("~",SUBSTITUTE(DO4,"/","~",6))-1,LEN(DO4))- FIND("~",SUBSTITUTE(DO4,"/","~",5))),"0"),"W","")*1</f>
        <v>0</v>
      </c>
      <c r="DV4" s="208" t="str">
        <f ref="DV4:DV9" t="shared" si="79">ConcateMultiple(DP4:DU4,"W/ ",BS4)</f>
        <v>90W/ 90W/ 90W</v>
      </c>
      <c r="DW4" s="208">
        <f ref="DW4:DW9" t="shared" si="80">MAX(DP4:DS4)</f>
        <v>90</v>
      </c>
      <c r="DX4" s="208" t="str">
        <f ref="DX4:DX9" t="shared" si="81">IF(J4&gt;=2,MID(P4,FIND("~",SUBSTITUTE(P4,";","~",1))+1,IFERROR(FIND("~",SUBSTITUTE(P4,";","~",2))-1,LEN(P4))- FIND("~",SUBSTITUTE(P4,";","~",1))),"")</f>
      </c>
      <c r="DY4" s="208">
        <f ref="DY4:DY9" t="shared" si="82">SUBSTITUTE(IF(BT4&gt;=1,MID(DX4,1,IFERROR(FIND("~",SUBSTITUTE(DX4,"/","~",1))-1,LEN(DX4))),"0"),"W","")*1</f>
        <v>0</v>
      </c>
      <c r="DZ4" s="208">
        <f ref="DZ4:DZ9" t="shared" si="83">SUBSTITUTE(IF(BT4&gt;=2,MID(DX4,FIND("~",SUBSTITUTE(DX4,"/","~",1))+1,IFERROR(FIND("~",SUBSTITUTE(DX4,"/","~",2))-1,LEN(DX4))- FIND("~",SUBSTITUTE(DX4,"/","~",1))),"0"),"W","")*1</f>
        <v>0</v>
      </c>
      <c r="EA4" s="208">
        <f ref="EA4:EA9" t="shared" si="84">SUBSTITUTE(IF(BT4&gt;=3,MID(DX4,FIND("~",SUBSTITUTE(DX4,"/","~",2))+1,IFERROR(FIND("~",SUBSTITUTE(DX4,"/","~",3))-1,LEN(DX4))- FIND("~",SUBSTITUTE(DX4,"/","~",2))),"0"),"W","")*1</f>
        <v>0</v>
      </c>
      <c r="EB4" s="208">
        <f ref="EB4:EB9" t="shared" si="85">SUBSTITUTE(IF(BT4&gt;=4,MID(DX4,FIND("~",SUBSTITUTE(DX4,"/","~",3))+1,IFERROR(FIND("~",SUBSTITUTE(DX4,"/","~",4))-1,LEN(DX4))- FIND("~",SUBSTITUTE(DX4,"/","~",3))),"0"),"W","")*1</f>
        <v>0</v>
      </c>
      <c r="EC4" s="208">
        <f ref="EC4:EC9" t="shared" si="86">SUBSTITUTE(IF(BT4&gt;=5,MID(DX4,FIND("~",SUBSTITUTE(DX4,"/","~",4))+1,IFERROR(FIND("~",SUBSTITUTE(DX4,"/","~",5))-1,LEN(DX4))- FIND("~",SUBSTITUTE(DX4,"/","~",4))),"0"),"W","")*1</f>
        <v>0</v>
      </c>
      <c r="ED4" s="208">
        <f ref="ED4:ED9" t="shared" si="87">SUBSTITUTE(IF(BT4&gt;=6,MID(DX4,FIND("~",SUBSTITUTE(DX4,"/","~",5))+1,IFERROR(FIND("~",SUBSTITUTE(DX4,"/","~",6))-1,LEN(DX4))- FIND("~",SUBSTITUTE(DX4,"/","~",5))),"0"),"W","")*1</f>
        <v>0</v>
      </c>
      <c r="EE4" s="208" t="str">
        <f ref="EE4:EE9" t="shared" si="88">ConcateMultiple(DY4:ED4,"W/ ",BT4)</f>
      </c>
      <c r="EF4" s="208">
        <f ref="EF4:EF9" t="shared" si="89">MAX(DY4:EB4)</f>
        <v>0</v>
      </c>
      <c r="EG4" s="208" t="str">
        <f ref="EG4:EG9" t="shared" si="90">IF(J4&gt;=3,MID(P4,FIND("~",SUBSTITUTE(P4,";","~",2))+1,IFERROR(FIND("~",SUBSTITUTE(P4,";","~",3))-1,LEN(P4))- FIND("~",SUBSTITUTE(P4,";","~",2))),"")</f>
      </c>
      <c r="EH4" s="208">
        <f ref="EH4:EH9" t="shared" si="91">SUBSTITUTE(IF(BU4&gt;=1,MID(EG4,1,IFERROR(FIND("~",SUBSTITUTE(EG4,"/","~",1))-1,LEN(EG4))),"0"),"W","")*1</f>
        <v>0</v>
      </c>
      <c r="EI4" s="208">
        <f ref="EI4:EI9" t="shared" si="92">SUBSTITUTE(IF(BU4&gt;=2,MID(EG4,FIND("~",SUBSTITUTE(EG4,"/","~",1))+1,IFERROR(FIND("~",SUBSTITUTE(EG4,"/","~",2))-1,LEN(EG4))- FIND("~",SUBSTITUTE(EG4,"/","~",1))),"0"),"W","")*1</f>
        <v>0</v>
      </c>
      <c r="EJ4" s="208">
        <f ref="EJ4:EJ9" t="shared" si="93">SUBSTITUTE(IF(BU4&gt;=3,MID(EG4,FIND("~",SUBSTITUTE(EG4,"/","~",2))+1,IFERROR(FIND("~",SUBSTITUTE(EG4,"/","~",3))-1,LEN(EG4))- FIND("~",SUBSTITUTE(EG4,"/","~",2))),"0"),"W","")*1</f>
        <v>0</v>
      </c>
      <c r="EK4" s="208">
        <f ref="EK4:EK9" t="shared" si="94">SUBSTITUTE(IF(BU4&gt;=4,MID(EG4,FIND("~",SUBSTITUTE(EG4,"/","~",3))+1,IFERROR(FIND("~",SUBSTITUTE(EG4,"/","~",4))-1,LEN(EG4))- FIND("~",SUBSTITUTE(EG4,"/","~",3))),"0"),"W","")*1</f>
        <v>0</v>
      </c>
      <c r="EL4" s="208">
        <f ref="EL4:EL9" t="shared" si="95">SUBSTITUTE(IF(BU4&gt;=5,MID(EG4,FIND("~",SUBSTITUTE(EG4,"/","~",4))+1,IFERROR(FIND("~",SUBSTITUTE(EG4,"/","~",5))-1,LEN(EG4))- FIND("~",SUBSTITUTE(EG4,"/","~",4))),"0"),"W","")*1</f>
        <v>0</v>
      </c>
      <c r="EM4" s="208">
        <f ref="EM4:EM9" t="shared" si="96">SUBSTITUTE(IF(BU4&gt;=6,MID(EG4,FIND("~",SUBSTITUTE(EG4,"/","~",5))+1,IFERROR(FIND("~",SUBSTITUTE(EG4,"/","~",6))-1,LEN(EG4))- FIND("~",SUBSTITUTE(EG4,"/","~",5))),"0"),"W","")*1</f>
        <v>0</v>
      </c>
      <c r="EN4" s="208" t="str">
        <f ref="EN4:EN9" t="shared" si="97">ConcateMultiple(EH4:EM4,"W/ ",BU4)</f>
      </c>
      <c r="EO4" s="208">
        <f ref="EO4:EO9" t="shared" si="98">MAX(EH4:EK4)</f>
        <v>0</v>
      </c>
      <c r="EP4" s="208" t="str">
        <f ref="EP4:EP9" t="shared" si="99">IF(J4&gt;=4,MID(P4,FIND("~",SUBSTITUTE(P4,";","~",3))+1,IFERROR(FIND("~",SUBSTITUTE(P4,";","~",4))-1,LEN(P4))- FIND("~",SUBSTITUTE(P4,";","~",3))),"")</f>
      </c>
      <c r="EQ4" s="208">
        <f ref="EQ4:EQ9" t="shared" si="100">SUBSTITUTE(IF(BV4&gt;=1,MID(EP4,1,IFERROR(FIND("~",SUBSTITUTE(EP4,"/","~",1))-1,LEN(EP4))),"0"),"W","")*1</f>
        <v>0</v>
      </c>
      <c r="ER4" s="208">
        <f ref="ER4:ER9" t="shared" si="101">SUBSTITUTE(IF(BV4&gt;=2,MID(EP4,FIND("~",SUBSTITUTE(EP4,"/","~",1))+1,IFERROR(FIND("~",SUBSTITUTE(EP4,"/","~",2))-1,LEN(EP4))- FIND("~",SUBSTITUTE(EP4,"/","~",1))),"0"),"W","")*1</f>
        <v>0</v>
      </c>
      <c r="ES4" s="208">
        <f ref="ES4:ES9" t="shared" si="102">SUBSTITUTE(IF(BV4&gt;=3,MID(EP4,FIND("~",SUBSTITUTE(EP4,"/","~",2))+1,IFERROR(FIND("~",SUBSTITUTE(EP4,"/","~",3))-1,LEN(EP4))- FIND("~",SUBSTITUTE(EP4,"/","~",2))),"0"),"W","")*1</f>
        <v>0</v>
      </c>
      <c r="ET4" s="208">
        <f ref="ET4:ET9" t="shared" si="103">SUBSTITUTE(IF(BV4&gt;=4,MID(EP4,FIND("~",SUBSTITUTE(EP4,"/","~",3))+1,IFERROR(FIND("~",SUBSTITUTE(EP4,"/","~",4))-1,LEN(EP4))- FIND("~",SUBSTITUTE(EP4,"/","~",3))),"0"),"W","")*1</f>
        <v>0</v>
      </c>
      <c r="EU4" s="208">
        <f ref="EU4:EU9" t="shared" si="104">SUBSTITUTE(IF(BV4&gt;=5,MID(EP4,FIND("~",SUBSTITUTE(EP4,"/","~",4))+1,IFERROR(FIND("~",SUBSTITUTE(EP4,"/","~",5))-1,LEN(EP4))- FIND("~",SUBSTITUTE(EP4,"/","~",4))),"0"),"W","")*1</f>
        <v>0</v>
      </c>
      <c r="EV4" s="208">
        <f ref="EV4:EV9" t="shared" si="105">SUBSTITUTE(IF(BV4&gt;=6,MID(EP4,FIND("~",SUBSTITUTE(EP4,"/","~",5))+1,IFERROR(FIND("~",SUBSTITUTE(EP4,"/","~",6))-1,LEN(EP4))- FIND("~",SUBSTITUTE(EP4,"/","~",5))),"0"),"W","")*1</f>
        <v>0</v>
      </c>
      <c r="EW4" s="208" t="str">
        <f ref="EW4:EW9" t="shared" si="106">ConcateMultiple(EQ4:EV4,"W/ ",BV4)</f>
      </c>
      <c r="EX4" s="208">
        <f ref="EX4:EX9" t="shared" si="107">MAX(EQ4:ET4)</f>
        <v>0</v>
      </c>
      <c r="EY4" s="208" t="str">
        <f ref="EY4:EY9" t="shared" si="108">IF(J4&gt;=5,MID(P4,FIND("~",SUBSTITUTE(P4,";","~",4))+1,IFERROR(FIND("~",SUBSTITUTE(P4,";","~",5))-1,LEN(P4))- FIND("~",SUBSTITUTE(P4,";","~",4))),"")</f>
      </c>
      <c r="EZ4" s="208">
        <f ref="EZ4:EZ9" t="shared" si="109">SUBSTITUTE(IF(BW4&gt;=1,MID(EY4,1,IFERROR(FIND("~",SUBSTITUTE(EY4,"/","~",1))-1,LEN(EY4))),"0"),"W","")*1</f>
        <v>0</v>
      </c>
      <c r="FA4" s="208">
        <f ref="FA4:FA9" t="shared" si="110">SUBSTITUTE(IF(BW4&gt;=2,MID(EY4,FIND("~",SUBSTITUTE(EY4,"/","~",1))+1,IFERROR(FIND("~",SUBSTITUTE(EY4,"/","~",2))-1,LEN(EY4))- FIND("~",SUBSTITUTE(EY4,"/","~",1))),"0"),"W","")*1</f>
        <v>0</v>
      </c>
      <c r="FB4" s="208">
        <f ref="FB4:FB9" t="shared" si="111">SUBSTITUTE(IF(BW4&gt;=3,MID(EY4,FIND("~",SUBSTITUTE(EY4,"/","~",2))+1,IFERROR(FIND("~",SUBSTITUTE(EY4,"/","~",3))-1,LEN(EY4))- FIND("~",SUBSTITUTE(EY4,"/","~",2))),"0"),"W","")*1</f>
        <v>0</v>
      </c>
      <c r="FC4" s="208">
        <f ref="FC4:FC9" t="shared" si="112">SUBSTITUTE(IF(BW4&gt;=4,MID(EY4,FIND("~",SUBSTITUTE(EY4,"/","~",3))+1,IFERROR(FIND("~",SUBSTITUTE(EY4,"/","~",4))-1,LEN(EY4))- FIND("~",SUBSTITUTE(EY4,"/","~",3))),"0"),"W","")*1</f>
        <v>0</v>
      </c>
      <c r="FD4" s="208">
        <f ref="FD4:FD9" t="shared" si="113">SUBSTITUTE(IF(BW4&gt;=5,MID(EY4,FIND("~",SUBSTITUTE(EY4,"/","~",4))+1,IFERROR(FIND("~",SUBSTITUTE(EY4,"/","~",5))-1,LEN(EY4))- FIND("~",SUBSTITUTE(EY4,"/","~",4))),"0"),"W","")*1</f>
        <v>0</v>
      </c>
      <c r="FE4" s="208">
        <f ref="FE4:FE9" t="shared" si="114">SUBSTITUTE(IF(BW4&gt;=6,MID(EY4,FIND("~",SUBSTITUTE(EY4,"/","~",5))+1,IFERROR(FIND("~",SUBSTITUTE(EY4,"/","~",6))-1,LEN(EY4))- FIND("~",SUBSTITUTE(EY4,"/","~",5))),"0"),"W","")*1</f>
        <v>0</v>
      </c>
      <c r="FF4" s="208" t="str">
        <f ref="FF4:FF9" t="shared" si="115">ConcateMultiple(EZ4:FE4,"W/ ",BW4)</f>
      </c>
      <c r="FG4" s="208">
        <f ref="FG4:FG9" t="shared" si="116">MAX(EZ4:FC4)</f>
        <v>0</v>
      </c>
      <c r="FH4" s="208" t="str">
        <f ref="FH4:FH9" t="shared" si="117">IF(J4&gt;=6,MID(P4,FIND("~",SUBSTITUTE(P4,";","~",5))+1,IFERROR(FIND("~",SUBSTITUTE(P4,";","~",6))-1,LEN(P4))- FIND("~",SUBSTITUTE(P4,";","~",5))),"")</f>
      </c>
      <c r="FI4" s="208">
        <f ref="FI4:FI9" t="shared" si="118">SUBSTITUTE(IF(BX4&gt;=1,MID(FH4,1,IFERROR(FIND("~",SUBSTITUTE(FH4,"/","~",1))-1,LEN(FH4))),"0"),"W","")*1</f>
        <v>0</v>
      </c>
      <c r="FJ4" s="208">
        <f ref="FJ4:FJ9" t="shared" si="119">SUBSTITUTE(IF(BX4&gt;=2,MID(FH4,FIND("~",SUBSTITUTE(FH4,"/","~",1))+1,IFERROR(FIND("~",SUBSTITUTE(FH4,"/","~",2))-1,LEN(FH4))- FIND("~",SUBSTITUTE(FH4,"/","~",1))),"0"),"W","")*1</f>
        <v>0</v>
      </c>
      <c r="FK4" s="208">
        <f ref="FK4:FK9" t="shared" si="120">SUBSTITUTE(IF(BX4&gt;=3,MID(FH4,FIND("~",SUBSTITUTE(FH4,"/","~",2))+1,IFERROR(FIND("~",SUBSTITUTE(FH4,"/","~",3))-1,LEN(FH4))- FIND("~",SUBSTITUTE(FH4,"/","~",2))),"0"),"W","")*1</f>
        <v>0</v>
      </c>
      <c r="FL4" s="208">
        <f ref="FL4:FL9" t="shared" si="121">SUBSTITUTE(IF(BX4&gt;=4,MID(FH4,FIND("~",SUBSTITUTE(FH4,"/","~",3))+1,IFERROR(FIND("~",SUBSTITUTE(FH4,"/","~",4))-1,LEN(FH4))- FIND("~",SUBSTITUTE(FH4,"/","~",3))),"0"),"W","")*1</f>
        <v>0</v>
      </c>
      <c r="FM4" s="208">
        <f ref="FM4:FM9" t="shared" si="122">SUBSTITUTE(IF(BX4&gt;=5,MID(FH4,FIND("~",SUBSTITUTE(FH4,"/","~",4))+1,IFERROR(FIND("~",SUBSTITUTE(FH4,"/","~",5))-1,LEN(FH4))- FIND("~",SUBSTITUTE(FH4,"/","~",4))),"0"),"W","")*1</f>
        <v>0</v>
      </c>
      <c r="FN4" s="208">
        <f ref="FN4:FN9" t="shared" si="123">SUBSTITUTE(IF(BX4&gt;=6,MID(FH4,FIND("~",SUBSTITUTE(FH4,"/","~",5))+1,IFERROR(FIND("~",SUBSTITUTE(FH4,"/","~",6))-1,LEN(FH4))- FIND("~",SUBSTITUTE(FH4,"/","~",5))),"0"),"W","")*1</f>
        <v>0</v>
      </c>
      <c r="FO4" s="208" t="str">
        <f ref="FO4:FO9" t="shared" si="124">ConcateMultiple(FI4:FN4,"W/ ",BX4)</f>
      </c>
      <c r="FP4" s="208">
        <f ref="FP4:FP9" t="shared" si="125">MAX(FI4:FL4)</f>
        <v>0</v>
      </c>
      <c r="FQ4" s="208">
        <f ref="FQ4:FQ9" t="shared" si="126">MAX(DW4,EF4,EO4,EX4,FG4,FP4)</f>
        <v>90</v>
      </c>
      <c r="FR4" s="208" t="str">
        <f ref="FR4:FR9" t="shared" si="127">TRIM(IF(J4&gt;=1,MID(Q4,1,IFERROR(FIND("~",SUBSTITUTE(Q4,";","~",1))-1,LEN(Q4))),""))</f>
        <v>900</v>
      </c>
      <c r="FS4" s="208" t="str">
        <f ref="FS4:FS9" t="shared" si="128">TRIM(IF(J4&gt;=2,MID(Q4,FIND("~",SUBSTITUTE(Q4,";","~",1))+1,IFERROR(FIND("~",SUBSTITUTE(Q4,";","~",2))-1,LEN(Q4))- FIND("~",SUBSTITUTE(Q4,";","~",1))),""))</f>
      </c>
      <c r="FT4" s="208" t="str">
        <f ref="FT4:FT9" t="shared" si="129">TRIM(IF(J4&gt;=3,MID(Q4,FIND("~",SUBSTITUTE(Q4,";","~",2))+1,IFERROR(FIND("~",SUBSTITUTE(Q4,";","~",3))-1,LEN(Q4))- FIND("~",SUBSTITUTE(Q4,";","~",2))),""))</f>
      </c>
      <c r="FU4" s="208" t="str">
        <f ref="FU4:FU9" t="shared" si="130">TRIM(IF(J4&gt;=4,MID(Q4,FIND("~",SUBSTITUTE(Q4,";","~",3))+1,IFERROR(FIND("~",SUBSTITUTE(Q4,";","~",4))-1,LEN(Q4))- FIND("~",SUBSTITUTE(Q4,";","~",3))),""))</f>
      </c>
      <c r="FV4" s="208" t="str">
        <f ref="FV4:FV9" t="shared" si="131">TRIM(IF(J4&gt;=5,MID(Q4,FIND("~",SUBSTITUTE(Q4,";","~",4))+1,IFERROR(FIND("~",SUBSTITUTE(Q4,";","~",5))-1,LEN(Q4))- FIND("~",SUBSTITUTE(Q4,";","~",4))),""))</f>
      </c>
      <c r="FW4" s="208" t="str">
        <f ref="FW4:FW9" t="shared" si="132">TRIM(IF(J4&gt;=6,MID(Q4,FIND("~",SUBSTITUTE(Q4,";","~",5))+1,IFERROR(FIND("~",SUBSTITUTE(Q4,";","~",6))-1,LEN(Q4))- FIND("~",SUBSTITUTE(Q4,";","~",5))),""))</f>
      </c>
      <c r="FX4" s="208" t="str">
        <f ref="FX4:FX9" t="shared" si="133">TRIM(IF(J4&gt;=1,MID(R4,1,IFERROR(FIND("~",SUBSTITUTE(R4,";","~",1))-1,LEN(R4))),""))</f>
        <v>42/42/42</v>
      </c>
      <c r="FY4" s="208">
        <f ref="FY4:FY9" t="shared" si="134">SUBSTITUTE(IF(BS4&gt;=1,MID(FX4,1,IFERROR(FIND("~",SUBSTITUTE(FX4,"/","~",1))-1,LEN(FX4))),"0"),"m","")*1</f>
        <v>42</v>
      </c>
      <c r="FZ4" s="208">
        <f ref="FZ4:FZ9" t="shared" si="135">SUBSTITUTE(TRIM(IF(BS4&gt;=2,MID(FX4,FIND("~",SUBSTITUTE(FX4,"/","~",1))+1,IFERROR(FIND("~",SUBSTITUTE(FX4,"/","~",2))-1,LEN(FX4))- FIND("~",SUBSTITUTE(FX4,"/","~",1))),"0")),"m","")*1</f>
        <v>42</v>
      </c>
      <c r="GA4" s="208">
        <f ref="GA4:GA9" t="shared" si="136">SUBSTITUTE(TRIM(IF(BS4&gt;=3,MID(FX4,FIND("~",SUBSTITUTE(FX4,"/","~",2))+1,IFERROR(FIND("~",SUBSTITUTE(FX4,"/","~",3))-1,LEN(FX4))- FIND("~",SUBSTITUTE(FX4,"/","~",2))),"0")),"m","")*1</f>
        <v>42</v>
      </c>
      <c r="GB4" s="208">
        <f ref="GB4:GB9" t="shared" si="137">SUBSTITUTE(TRIM(IF(BS4&gt;=4,MID(FX4,FIND("~",SUBSTITUTE(FX4,"/","~",3))+1,IFERROR(FIND("~",SUBSTITUTE(FX4,"/","~",4))-1,LEN(FX4))- FIND("~",SUBSTITUTE(FX4,"/","~",3))),"0")),"m","")*1</f>
        <v>0</v>
      </c>
      <c r="GC4" s="208">
        <f ref="GC4:GC9" t="shared" si="138">SUBSTITUTE(TRIM(IF(BS4&gt;=5,MID(FX4,FIND("~",SUBSTITUTE(FX4,"/","~",4))+1,IFERROR(FIND("~",SUBSTITUTE(FX4,"/","~",5))-1,LEN(FX4))- FIND("~",SUBSTITUTE(FX4,"/","~",4))),"0")),"m","")*1</f>
        <v>0</v>
      </c>
      <c r="GD4" s="208">
        <f ref="GD4:GD9" t="shared" si="139">SUBSTITUTE(TRIM(IF(BS4&gt;=6,MID(FX4,FIND("~",SUBSTITUTE(FX4,"/","~",5))+1,IFERROR(FIND("~",SUBSTITUTE(FX4,"/","~",6))-1,LEN(FX4))- FIND("~",SUBSTITUTE(FX4,"/","~",5))),"0")),"m","")*1</f>
        <v>0</v>
      </c>
      <c r="GE4" s="208" t="str">
        <f ref="GE4:GE9" t="shared" si="140">ConcateMultiple(FY4:GD4,"m/ ",BS4)</f>
        <v>42m/ 42m/ 42m</v>
      </c>
      <c r="GF4" s="208" t="str">
        <f ref="GF4:GF9" t="shared" si="141">TRIM(IF(J4&gt;=2,MID(R4,FIND("~",SUBSTITUTE(R4,";","~",1))+1,IFERROR(FIND("~",SUBSTITUTE(R4,";","~",2))-1,LEN(R4))- FIND("~",SUBSTITUTE(R4,";","~",1))),""))</f>
      </c>
      <c r="GG4" s="208">
        <f ref="GG4:GG9" t="shared" si="142">SUBSTITUTE(IF(BT4&gt;=1,MID(GF4,1,IFERROR(FIND("~",SUBSTITUTE(GF4,"/","~",1))-1,LEN(GF4))),"0"),"m","")*1</f>
        <v>0</v>
      </c>
      <c r="GH4" s="208">
        <f ref="GH4:GH9" t="shared" si="143">SUBSTITUTE(TRIM(IF(BT4&gt;=2,MID(GF4,FIND("~",SUBSTITUTE(GF4,"/","~",1))+1,IFERROR(FIND("~",SUBSTITUTE(GF4,"/","~",2))-1,LEN(GF4))- FIND("~",SUBSTITUTE(GF4,"/","~",1))),"0")),"m","")*1</f>
        <v>0</v>
      </c>
      <c r="GI4" s="208">
        <f ref="GI4:GI9" t="shared" si="144">SUBSTITUTE(TRIM(IF(BT4&gt;=3,MID(GF4,FIND("~",SUBSTITUTE(GF4,"/","~",2))+1,IFERROR(FIND("~",SUBSTITUTE(GF4,"/","~",3))-1,LEN(GF4))- FIND("~",SUBSTITUTE(GF4,"/","~",2))),"0")),"m","")*1</f>
        <v>0</v>
      </c>
      <c r="GJ4" s="208">
        <f ref="GJ4:GJ9" t="shared" si="145">SUBSTITUTE(TRIM(IF(BT4&gt;=4,MID(GF4,FIND("~",SUBSTITUTE(GF4,"/","~",3))+1,IFERROR(FIND("~",SUBSTITUTE(GF4,"/","~",4))-1,LEN(GF4))- FIND("~",SUBSTITUTE(GF4,"/","~",3))),"0")),"m","")*1</f>
        <v>0</v>
      </c>
      <c r="GK4" s="208">
        <f ref="GK4:GK9" t="shared" si="146">SUBSTITUTE(TRIM(IF(BT4&gt;=5,MID(GF4,FIND("~",SUBSTITUTE(GF4,"/","~",4))+1,IFERROR(FIND("~",SUBSTITUTE(GF4,"/","~",5))-1,LEN(GF4))- FIND("~",SUBSTITUTE(GF4,"/","~",4))),"0")),"m","")*1</f>
        <v>0</v>
      </c>
      <c r="GL4" s="208">
        <f ref="GL4:GL9" t="shared" si="147">SUBSTITUTE(TRIM(IF(BT4&gt;=6,MID(GF4,FIND("~",SUBSTITUTE(GF4,"/","~",5))+1,IFERROR(FIND("~",SUBSTITUTE(GF4,"/","~",6))-1,LEN(GF4))- FIND("~",SUBSTITUTE(GF4,"/","~",5))),"0")),"m","")*1</f>
        <v>0</v>
      </c>
      <c r="GM4" s="208" t="str">
        <f ref="GM4:GM9" t="shared" si="148">ConcateMultiple(GG4:GL4,"m/ ",BT4)</f>
      </c>
      <c r="GN4" s="208" t="str">
        <f ref="GN4:GN9" t="shared" si="149">TRIM(IF(J4&gt;=3,MID(R4,FIND("~",SUBSTITUTE(R4,";","~",2))+1,IFERROR(FIND("~",SUBSTITUTE(R4,";","~",3))-1,LEN(R4))- FIND("~",SUBSTITUTE(R4,";","~",2))),""))</f>
      </c>
      <c r="GO4" s="208">
        <f ref="GO4:GO9" t="shared" si="150">SUBSTITUTE(IF(BU4&gt;=1,MID(GN4,1,IFERROR(FIND("~",SUBSTITUTE(GN4,"/","~",1))-1,LEN(GN4))),"0"),"m","")*1</f>
        <v>0</v>
      </c>
      <c r="GP4" s="208">
        <f ref="GP4:GP9" t="shared" si="151">SUBSTITUTE(TRIM(IF(BU4&gt;=2,MID(GN4,FIND("~",SUBSTITUTE(GN4,"/","~",1))+1,IFERROR(FIND("~",SUBSTITUTE(GN4,"/","~",2))-1,LEN(GN4))- FIND("~",SUBSTITUTE(GN4,"/","~",1))),"0")),"m","")*1</f>
        <v>0</v>
      </c>
      <c r="GQ4" s="208">
        <f ref="GQ4:GQ9" t="shared" si="152">SUBSTITUTE(TRIM(IF(BU4&gt;=3,MID(GN4,FIND("~",SUBSTITUTE(GN4,"/","~",2))+1,IFERROR(FIND("~",SUBSTITUTE(GN4,"/","~",3))-1,LEN(GN4))- FIND("~",SUBSTITUTE(GN4,"/","~",2))),"0")),"m","")*1</f>
        <v>0</v>
      </c>
      <c r="GR4" s="208">
        <f ref="GR4:GR9" t="shared" si="153">SUBSTITUTE(TRIM(IF(BU4&gt;=4,MID(GN4,FIND("~",SUBSTITUTE(GN4,"/","~",3))+1,IFERROR(FIND("~",SUBSTITUTE(GN4,"/","~",4))-1,LEN(GN4))- FIND("~",SUBSTITUTE(GN4,"/","~",3))),"0")),"m","")*1</f>
        <v>0</v>
      </c>
      <c r="GS4" s="208">
        <f ref="GS4:GS9" t="shared" si="154">SUBSTITUTE(TRIM(IF(BU4&gt;=5,MID(GN4,FIND("~",SUBSTITUTE(GN4,"/","~",4))+1,IFERROR(FIND("~",SUBSTITUTE(GN4,"/","~",5))-1,LEN(GN4))- FIND("~",SUBSTITUTE(GN4,"/","~",4))),"0")),"m","")*1</f>
        <v>0</v>
      </c>
      <c r="GT4" s="208">
        <f ref="GT4:GT9" t="shared" si="155">SUBSTITUTE(TRIM(IF(BU4&gt;=6,MID(GN4,FIND("~",SUBSTITUTE(GN4,"/","~",5))+1,IFERROR(FIND("~",SUBSTITUTE(GN4,"/","~",6))-1,LEN(GN4))- FIND("~",SUBSTITUTE(GN4,"/","~",5))),"0")),"m","")*1</f>
        <v>0</v>
      </c>
      <c r="GU4" s="208" t="str">
        <f ref="GU4:GU9" t="shared" si="156">ConcateMultiple(GO4:GT4,"m/ ",BU4)</f>
      </c>
      <c r="GV4" s="208" t="str">
        <f ref="GV4:GV9" t="shared" si="157">TRIM(IF(J4&gt;=4,MID(R4,FIND("~",SUBSTITUTE(R4,";","~",3))+1,IFERROR(FIND("~",SUBSTITUTE(R4,";","~",4))-1,LEN(R4))- FIND("~",SUBSTITUTE(R4,";","~",3))),""))</f>
      </c>
      <c r="GW4" s="208">
        <f ref="GW4:GW9" t="shared" si="158">SUBSTITUTE(IF(BV4&gt;=1,MID(GV4,1,IFERROR(FIND("~",SUBSTITUTE(GV4,"/","~",1))-1,LEN(GV4))),"0"),"m","")*1</f>
        <v>0</v>
      </c>
      <c r="GX4" s="208">
        <f ref="GX4:GX9" t="shared" si="159">SUBSTITUTE(TRIM(IF(BV4&gt;=2,MID(GV4,FIND("~",SUBSTITUTE(GV4,"/","~",1))+1,IFERROR(FIND("~",SUBSTITUTE(GV4,"/","~",2))-1,LEN(GV4))- FIND("~",SUBSTITUTE(GV4,"/","~",1))),"0")),"m","")*1</f>
        <v>0</v>
      </c>
      <c r="GY4" s="208">
        <f ref="GY4:GY9" t="shared" si="160">SUBSTITUTE(TRIM(IF(BV4&gt;=3,MID(GV4,FIND("~",SUBSTITUTE(GV4,"/","~",2))+1,IFERROR(FIND("~",SUBSTITUTE(GV4,"/","~",3))-1,LEN(GV4))- FIND("~",SUBSTITUTE(GV4,"/","~",2))),"0")),"m","")*1</f>
        <v>0</v>
      </c>
      <c r="GZ4" s="208">
        <f ref="GZ4:GZ9" t="shared" si="161">SUBSTITUTE(TRIM(IF(BV4&gt;=4,MID(GV4,FIND("~",SUBSTITUTE(GV4,"/","~",3))+1,IFERROR(FIND("~",SUBSTITUTE(GV4,"/","~",4))-1,LEN(GV4))- FIND("~",SUBSTITUTE(GV4,"/","~",3))),"0")),"m","")*1</f>
        <v>0</v>
      </c>
      <c r="HA4" s="208">
        <f ref="HA4:HA9" t="shared" si="162">SUBSTITUTE(TRIM(IF(BV4&gt;=5,MID(GV4,FIND("~",SUBSTITUTE(GV4,"/","~",4))+1,IFERROR(FIND("~",SUBSTITUTE(GV4,"/","~",5))-1,LEN(GV4))- FIND("~",SUBSTITUTE(GV4,"/","~",4))),"0")),"m","")*1</f>
        <v>0</v>
      </c>
      <c r="HB4" s="208">
        <f ref="HB4:HB9" t="shared" si="163">SUBSTITUTE(TRIM(IF(BV4&gt;=6,MID(GV4,FIND("~",SUBSTITUTE(GV4,"/","~",5))+1,IFERROR(FIND("~",SUBSTITUTE(GV4,"/","~",6))-1,LEN(GV4))- FIND("~",SUBSTITUTE(GV4,"/","~",5))),"0")),"m","")*1</f>
        <v>0</v>
      </c>
      <c r="HC4" s="208" t="str">
        <f ref="HC4:HC9" t="shared" si="164">ConcateMultiple(GW4:HB4,"m/ ",BV4)</f>
      </c>
      <c r="HD4" s="208" t="str">
        <f ref="HD4:HD9" t="shared" si="165">TRIM(IF(J4&gt;=5,MID(R4,FIND("~",SUBSTITUTE(R4,";","~",4))+1,IFERROR(FIND("~",SUBSTITUTE(R4,";","~",5))-1,LEN(R4))- FIND("~",SUBSTITUTE(R4,";","~",4))),""))</f>
      </c>
      <c r="HE4" s="208">
        <f ref="HE4:HE9" t="shared" si="166">SUBSTITUTE(IF(BW4&gt;=1,MID(HD4,1,IFERROR(FIND("~",SUBSTITUTE(HD4,"/","~",1))-1,LEN(HD4))),"0"),"m","")*1</f>
        <v>0</v>
      </c>
      <c r="HF4" s="208">
        <f ref="HF4:HF9" t="shared" si="167">SUBSTITUTE(TRIM(IF(BW4&gt;=2,MID(HD4,FIND("~",SUBSTITUTE(HD4,"/","~",1))+1,IFERROR(FIND("~",SUBSTITUTE(HD4,"/","~",2))-1,LEN(HD4))- FIND("~",SUBSTITUTE(HD4,"/","~",1))),"0")),"m","")*1</f>
        <v>0</v>
      </c>
      <c r="HG4" s="208">
        <f ref="HG4:HG9" t="shared" si="168">SUBSTITUTE(TRIM(IF(BW4&gt;=3,MID(HD4,FIND("~",SUBSTITUTE(HD4,"/","~",2))+1,IFERROR(FIND("~",SUBSTITUTE(HD4,"/","~",3))-1,LEN(HD4))- FIND("~",SUBSTITUTE(HD4,"/","~",2))),"0")),"m","")*1</f>
        <v>0</v>
      </c>
      <c r="HH4" s="208">
        <f ref="HH4:HH9" t="shared" si="169">SUBSTITUTE(TRIM(IF(BW4&gt;=4,MID(HD4,FIND("~",SUBSTITUTE(HD4,"/","~",3))+1,IFERROR(FIND("~",SUBSTITUTE(HD4,"/","~",4))-1,LEN(HD4))- FIND("~",SUBSTITUTE(HD4,"/","~",3))),"0")),"m","")*1</f>
        <v>0</v>
      </c>
      <c r="HI4" s="208">
        <f ref="HI4:HI9" t="shared" si="170">SUBSTITUTE(TRIM(IF(BW4&gt;=5,MID(HD4,FIND("~",SUBSTITUTE(HD4,"/","~",4))+1,IFERROR(FIND("~",SUBSTITUTE(HD4,"/","~",5))-1,LEN(HD4))- FIND("~",SUBSTITUTE(HD4,"/","~",4))),"0")),"m","")*1</f>
        <v>0</v>
      </c>
      <c r="HJ4" s="208">
        <f ref="HJ4:HJ9" t="shared" si="171">SUBSTITUTE(TRIM(IF(BW4&gt;=6,MID(HD4,FIND("~",SUBSTITUTE(HD4,"/","~",5))+1,IFERROR(FIND("~",SUBSTITUTE(HD4,"/","~",6))-1,LEN(HD4))- FIND("~",SUBSTITUTE(HD4,"/","~",5))),"0")),"m","")*1</f>
        <v>0</v>
      </c>
      <c r="HK4" s="208" t="str">
        <f ref="HK4:HK9" t="shared" si="172">ConcateMultiple(HE4:HJ4,"m/ ",BW4)</f>
      </c>
      <c r="HL4" s="208" t="str">
        <f ref="HL4:HL9" t="shared" si="173">TRIM(IF(J4&gt;=6,MID(R4,FIND("~",SUBSTITUTE(R4,";","~",5))+1,IFERROR(FIND("~",SUBSTITUTE(R4,";","~",6))-1,LEN(R4))- FIND("~",SUBSTITUTE(R4,";","~",5))),""))</f>
      </c>
      <c r="HM4" s="208">
        <f ref="HM4:HM9" t="shared" si="174">SUBSTITUTE(IF(BX4&gt;=1,MID(HL4,1,IFERROR(FIND("~",SUBSTITUTE(HL4,"/","~",1))-1,LEN(HL4))),"0"),"m","")*1</f>
        <v>0</v>
      </c>
      <c r="HN4" s="208">
        <f ref="HN4:HN9" t="shared" si="175">SUBSTITUTE(TRIM(IF(BX4&gt;=2,MID(HL4,FIND("~",SUBSTITUTE(HL4,"/","~",1))+1,IFERROR(FIND("~",SUBSTITUTE(HL4,"/","~",2))-1,LEN(HL4))- FIND("~",SUBSTITUTE(HL4,"/","~",1))),"0")),"m","")*1</f>
        <v>0</v>
      </c>
      <c r="HO4" s="208">
        <f ref="HO4:HO9" t="shared" si="176">SUBSTITUTE(TRIM(IF(BX4&gt;=3,MID(HL4,FIND("~",SUBSTITUTE(HL4,"/","~",2))+1,IFERROR(FIND("~",SUBSTITUTE(HL4,"/","~",3))-1,LEN(HL4))- FIND("~",SUBSTITUTE(HL4,"/","~",2))),"0")),"m","")*1</f>
        <v>0</v>
      </c>
      <c r="HP4" s="208">
        <f ref="HP4:HP9" t="shared" si="177">SUBSTITUTE(TRIM(IF(BX4&gt;=4,MID(HL4,FIND("~",SUBSTITUTE(HL4,"/","~",3))+1,IFERROR(FIND("~",SUBSTITUTE(HL4,"/","~",4))-1,LEN(HL4))- FIND("~",SUBSTITUTE(HL4,"/","~",3))),"0")),"m","")*1</f>
        <v>0</v>
      </c>
      <c r="HQ4" s="208">
        <f ref="HQ4:HQ9" t="shared" si="178">SUBSTITUTE(TRIM(IF(BX4&gt;=5,MID(HL4,FIND("~",SUBSTITUTE(HL4,"/","~",4))+1,IFERROR(FIND("~",SUBSTITUTE(HL4,"/","~",5))-1,LEN(HL4))- FIND("~",SUBSTITUTE(HL4,"/","~",4))),"0")),"m","")*1</f>
        <v>0</v>
      </c>
      <c r="HR4" s="208">
        <f ref="HR4:HR9" t="shared" si="179">SUBSTITUTE(TRIM(IF(BX4&gt;=6,MID(HL4,FIND("~",SUBSTITUTE(HL4,"/","~",5))+1,IFERROR(FIND("~",SUBSTITUTE(HL4,"/","~",6))-1,LEN(HL4))- FIND("~",SUBSTITUTE(HL4,"/","~",5))),"0")),"m","")*1</f>
        <v>0</v>
      </c>
      <c r="HS4" s="208" t="str">
        <f ref="HS4:HS9" t="shared" si="180">ConcateMultiple(HM4:HR4,"m/ ",BX4)</f>
      </c>
      <c r="HT4" s="208" t="str">
        <f>INDEX(LabNameList,MATCH(V4,LabIDList,0))</f>
        <v>Trung tâm Kiểm định và Chứng nhận 3</v>
      </c>
      <c r="HU4" s="208">
        <f ref="HU4:HU9" t="shared" si="181">MinMultiple(FY4:GB4,BS4)</f>
        <v>42</v>
      </c>
      <c r="HV4" s="208">
        <f ref="HV4:HV9" t="shared" si="182">MinMultiple(GG4:GJ4,BT4)</f>
        <v>0</v>
      </c>
      <c r="HW4" s="208">
        <f ref="HW4:HW9" t="shared" si="183">MinMultiple(GO4:GR4,BU4)</f>
        <v>0</v>
      </c>
      <c r="HX4" s="208">
        <f ref="HX4:HX9" t="shared" si="184">MinMultiple(GW4:GZ4,BV4)</f>
        <v>0</v>
      </c>
      <c r="HY4" s="208">
        <f ref="HY4:HY9" t="shared" si="185">MinMultiple(HE4:HH4,BW4)</f>
        <v>0</v>
      </c>
      <c r="HZ4" s="208">
        <f ref="HZ4:HZ9" t="shared" si="186">MinMultiple(HM4:HP4,BX4)</f>
        <v>0</v>
      </c>
      <c r="IA4" s="207">
        <f ref="IA4:IA9" t="shared" si="187">MinMultiple(HU4:HZ4,J4)</f>
        <v>42</v>
      </c>
      <c r="IB4" s="207">
        <f ref="IB4:IB9" t="shared" si="188">IA4-AC4</f>
        <v>38</v>
      </c>
      <c r="IC4" s="342" t="str">
        <f ref="IC4:IC9" t="shared" si="189">IF(S4=TRUE,MID(T4,1,1),"")</f>
        <v>C</v>
      </c>
      <c r="ID4" s="342" t="str">
        <f ref="ID4:ID9" t="shared" si="190">MID(T4,2,5)</f>
        <v>01995</v>
      </c>
      <c r="IE4" s="342" t="str">
        <f ref="IE4:IE9" t="shared" si="191">MID(T4,7,6)</f>
        <v>111119</v>
      </c>
      <c r="IF4" s="342" t="str">
        <f ref="IF4:IF9" t="shared" si="192">MID(T4,13,4)</f>
        <v>TG05</v>
      </c>
      <c r="IG4" s="382">
        <f ref="IG4:IG9" t="shared" si="193">IF(S4=TRUE,DATE(2000+MID(IE4,5,2),MID(IE4,3,2),MID(IE4,1,2)),"")</f>
        <v>43780</v>
      </c>
      <c r="IH4" s="382">
        <f ref="IH4:IH9" t="shared" si="194">IF(S4=TRUE,DATE(YEAR(IG4) + 5,MONTH(IG4),DAY(IG4)),"")</f>
        <v>45607</v>
      </c>
      <c r="II4" s="208">
        <v>7</v>
      </c>
    </row>
    <row r="5" ht="118.8">
      <c r="A5" s="207">
        <f>Input!A5</f>
        <v>3</v>
      </c>
      <c r="B5" s="342" t="str">
        <f> Profile!$A$3</f>
        <v>VNM</v>
      </c>
      <c r="C5" s="342" t="str">
        <f> Profile!$L$3</f>
        <v>VNMOBILE</v>
      </c>
      <c r="D5" s="207">
        <f>Input!B5</f>
        <v>216501</v>
      </c>
      <c r="E5" s="317" t="str">
        <f>Input!C5</f>
        <v>Thôn 5, xã Ea Kiết, huyện Cư M'Gar, tỉnh Đắk Lắk</v>
      </c>
      <c r="F5" s="207" t="str">
        <f>Input!D5</f>
        <v>Đắk Lắk</v>
      </c>
      <c r="G5" s="207">
        <f>Input!E5</f>
        <v>12.93722</v>
      </c>
      <c r="H5" s="207">
        <f>Input!F5</f>
        <v>108.02293</v>
      </c>
      <c r="I5" s="207">
        <f>Input!G5</f>
        <v>1</v>
      </c>
      <c r="J5" s="207">
        <f>Input!H5</f>
        <v>1</v>
      </c>
      <c r="K5" s="207" t="str">
        <f t="shared" si="0"/>
        <v>CÔNG TY CỔ PHẦN VIỄN THÔNG DI ĐỘNG VIETNAMOBILE</v>
      </c>
      <c r="L5" s="207" t="str">
        <f>Input!J5</f>
        <v>216501_1</v>
      </c>
      <c r="M5" s="207" t="str">
        <f>Input!K5</f>
        <v>HUAWEI BTS 3900</v>
      </c>
      <c r="N5" s="207">
        <f>Input!L5</f>
        <v>3</v>
      </c>
      <c r="O5" s="207" t="str">
        <f>Input!M5</f>
        <v>1/1/1</v>
      </c>
      <c r="P5" s="207" t="str">
        <f>Input!N5</f>
        <v>90/90/90</v>
      </c>
      <c r="Q5" s="207">
        <f>Input!O5</f>
        <v>900</v>
      </c>
      <c r="R5" s="207" t="str">
        <f>Input!P5</f>
        <v>42/42/42</v>
      </c>
      <c r="S5" s="363" t="b">
        <f>Input!Q5</f>
        <v>1</v>
      </c>
      <c r="T5" s="207" t="str">
        <f>Input!R5</f>
        <v>C01996111119TG05</v>
      </c>
      <c r="U5" s="207">
        <f>Input!S5</f>
        <v>0</v>
      </c>
      <c r="V5" s="207" t="str">
        <f>Input!T5</f>
        <v>VCC3</v>
      </c>
      <c r="W5" s="207" t="str">
        <f>Input!U5</f>
        <v>1900418/19/TG/TT3</v>
      </c>
      <c r="X5" s="209" t="str">
        <f>TEXT(Input!V5,"dd/mm/yyyy")</f>
        <v>19/06/2019</v>
      </c>
      <c r="Y5" s="207" t="b">
        <f>Input!W5</f>
        <v>1</v>
      </c>
      <c r="Z5" s="363" t="b">
        <f>Input!X5</f>
        <v>0</v>
      </c>
      <c r="AA5" s="207">
        <f t="shared" si="1"/>
        <v>42</v>
      </c>
      <c r="AB5" s="363" t="b">
        <f>Input!Y5</f>
        <v>1</v>
      </c>
      <c r="AC5" s="207">
        <f>VALUE(Input!Z5)</f>
        <v>4</v>
      </c>
      <c r="AD5" s="207" t="b">
        <f>Input!AA5</f>
        <v>0</v>
      </c>
      <c r="AE5" s="207" t="str">
        <f>Input!AB5</f>
        <v>Cao Minh Mẫn</v>
      </c>
      <c r="AF5" s="207" t="str">
        <f>Input!AC5</f>
        <v>Trần Tiến</v>
      </c>
      <c r="AG5" s="342" t="str">
        <f> Options!$J$25</f>
        <v>TRUNG TÂM KIỂM ĐỊNH VÀ CHỨNG NHẬN 3</v>
      </c>
      <c r="AH5" s="342" t="str">
        <f> Options!$J$26</f>
        <v>TP. Đà Nẵng</v>
      </c>
      <c r="AI5" s="342" t="str">
        <f> Options!$J$29</f>
        <v>KT. GIÁM ĐỐC</v>
      </c>
      <c r="AJ5" s="342" t="str">
        <f> Options!$J$30</f>
        <v>PHÓ GIÁM ĐỐC</v>
      </c>
      <c r="AK5" s="342" t="str">
        <f> Options!$J$31</f>
        <v>Vũ Long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3</v>
      </c>
      <c r="AP5" s="287" t="str">
        <f t="shared" si="3"/>
        <v>tỉnh Đắk Lắk</v>
      </c>
      <c r="AQ5" s="446" t="str">
        <f t="shared" si="4"/>
        <v>huyện Cư M'Gar</v>
      </c>
      <c r="AR5" s="446" t="str">
        <f t="shared" si="5"/>
        <v>xã Ea Kiết</v>
      </c>
      <c r="AS5" s="447" t="str">
        <f>INDEX(CityIDList,MATCH(F5,CityNameList,0))</f>
        <v>DLK</v>
      </c>
      <c r="AT5" s="208" t="str">
        <f>IF(J5&gt;=1,INDEX(OperatorNameList,MATCH(AZ5,OperatorIDList,0)),"")</f>
        <v>CÔNG TY CỔ PHẦN VIỄN THÔNG DI ĐỘNG VIETNAMOBILE</v>
      </c>
      <c r="AU5" s="208" t="str">
        <f>IF(J5&gt;=2,INDEX(OperatorNameList,MATCH(BA5,OperatorIDList,0)),"")</f>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c>
      <c r="BB5" s="208" t="str">
        <f t="shared" si="8"/>
      </c>
      <c r="BC5" s="208" t="str">
        <f t="shared" si="9"/>
      </c>
      <c r="BD5" s="208" t="str">
        <f t="shared" si="10"/>
      </c>
      <c r="BE5" s="208" t="str">
        <f t="shared" si="11"/>
      </c>
      <c r="BF5" s="208" t="str">
        <f>Input!I5</f>
        <v>VNMOBILE</v>
      </c>
      <c r="BG5" s="208" t="str">
        <f t="shared" si="12"/>
        <v>216501_1</v>
      </c>
      <c r="BH5" s="208" t="str">
        <f t="shared" si="13"/>
      </c>
      <c r="BI5" s="208" t="str">
        <f t="shared" si="14"/>
      </c>
      <c r="BJ5" s="208" t="str">
        <f t="shared" si="15"/>
      </c>
      <c r="BK5" s="208" t="str">
        <f t="shared" si="16"/>
      </c>
      <c r="BL5" s="208" t="str">
        <f t="shared" si="17"/>
      </c>
      <c r="BM5" s="208" t="str">
        <f t="shared" si="18"/>
        <v>HUAWEI BTS 3900</v>
      </c>
      <c r="BN5" s="208" t="str">
        <f t="shared" si="19"/>
      </c>
      <c r="BO5" s="208" t="str">
        <f t="shared" si="20"/>
      </c>
      <c r="BP5" s="208" t="str">
        <f t="shared" si="21"/>
      </c>
      <c r="BQ5" s="208" t="str">
        <f t="shared" si="22"/>
      </c>
      <c r="BR5" s="208" t="str">
        <f t="shared" si="23"/>
      </c>
      <c r="BS5" s="208">
        <f t="shared" si="24"/>
        <v>3</v>
      </c>
      <c r="BT5" s="208">
        <f t="shared" si="25"/>
        <v>0</v>
      </c>
      <c r="BU5" s="208">
        <f t="shared" si="26"/>
        <v>0</v>
      </c>
      <c r="BV5" s="208">
        <f t="shared" si="27"/>
        <v>0</v>
      </c>
      <c r="BW5" s="208">
        <f t="shared" si="28"/>
        <v>0</v>
      </c>
      <c r="BX5" s="208">
        <f t="shared" si="29"/>
        <v>0</v>
      </c>
      <c r="BY5" s="208" t="str">
        <f t="shared" si="30"/>
        <v>1/1/1</v>
      </c>
      <c r="BZ5" s="208">
        <f t="shared" si="31"/>
        <v>1</v>
      </c>
      <c r="CA5" s="208">
        <f t="shared" si="32"/>
        <v>1</v>
      </c>
      <c r="CB5" s="208">
        <f t="shared" si="33"/>
        <v>1</v>
      </c>
      <c r="CC5" s="208">
        <f t="shared" si="34"/>
        <v>0</v>
      </c>
      <c r="CD5" s="208">
        <f t="shared" si="35"/>
        <v>0</v>
      </c>
      <c r="CE5" s="208">
        <f t="shared" si="36"/>
        <v>0</v>
      </c>
      <c r="CF5" s="208" t="str">
        <f t="shared" si="37"/>
      </c>
      <c r="CG5" s="208">
        <f t="shared" si="38"/>
        <v>0</v>
      </c>
      <c r="CH5" s="208">
        <f t="shared" si="39"/>
        <v>0</v>
      </c>
      <c r="CI5" s="208">
        <f t="shared" si="40"/>
        <v>0</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90/90/90</v>
      </c>
      <c r="DP5" s="208">
        <f t="shared" si="73"/>
        <v>90</v>
      </c>
      <c r="DQ5" s="208">
        <f t="shared" si="74"/>
        <v>90</v>
      </c>
      <c r="DR5" s="208">
        <f t="shared" si="75"/>
        <v>90</v>
      </c>
      <c r="DS5" s="208">
        <f t="shared" si="76"/>
        <v>0</v>
      </c>
      <c r="DT5" s="208">
        <f t="shared" si="77"/>
        <v>0</v>
      </c>
      <c r="DU5" s="208">
        <f t="shared" si="78"/>
        <v>0</v>
      </c>
      <c r="DV5" s="208" t="str">
        <f t="shared" si="79"/>
        <v>90W/ 90W/ 90W</v>
      </c>
      <c r="DW5" s="208">
        <f t="shared" si="80"/>
        <v>90</v>
      </c>
      <c r="DX5" s="208" t="str">
        <f t="shared" si="81"/>
      </c>
      <c r="DY5" s="208">
        <f t="shared" si="82"/>
        <v>0</v>
      </c>
      <c r="DZ5" s="208">
        <f t="shared" si="83"/>
        <v>0</v>
      </c>
      <c r="EA5" s="208">
        <f t="shared" si="84"/>
        <v>0</v>
      </c>
      <c r="EB5" s="208">
        <f t="shared" si="85"/>
        <v>0</v>
      </c>
      <c r="EC5" s="208">
        <f t="shared" si="86"/>
        <v>0</v>
      </c>
      <c r="ED5" s="208">
        <f t="shared" si="87"/>
        <v>0</v>
      </c>
      <c r="EE5" s="208" t="str">
        <f t="shared" si="88"/>
      </c>
      <c r="EF5" s="208">
        <f t="shared" si="89"/>
        <v>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90</v>
      </c>
      <c r="FR5" s="208" t="str">
        <f t="shared" si="127"/>
        <v>900</v>
      </c>
      <c r="FS5" s="208" t="str">
        <f t="shared" si="128"/>
      </c>
      <c r="FT5" s="208" t="str">
        <f t="shared" si="129"/>
      </c>
      <c r="FU5" s="208" t="str">
        <f t="shared" si="130"/>
      </c>
      <c r="FV5" s="208" t="str">
        <f t="shared" si="131"/>
      </c>
      <c r="FW5" s="208" t="str">
        <f t="shared" si="132"/>
      </c>
      <c r="FX5" s="208" t="str">
        <f t="shared" si="133"/>
        <v>42/42/42</v>
      </c>
      <c r="FY5" s="208">
        <f t="shared" si="134"/>
        <v>42</v>
      </c>
      <c r="FZ5" s="208">
        <f t="shared" si="135"/>
        <v>42</v>
      </c>
      <c r="GA5" s="208">
        <f t="shared" si="136"/>
        <v>42</v>
      </c>
      <c r="GB5" s="208">
        <f t="shared" si="137"/>
        <v>0</v>
      </c>
      <c r="GC5" s="208">
        <f t="shared" si="138"/>
        <v>0</v>
      </c>
      <c r="GD5" s="208">
        <f t="shared" si="139"/>
        <v>0</v>
      </c>
      <c r="GE5" s="208" t="str">
        <f t="shared" si="140"/>
        <v>42m/ 42m/ 42m</v>
      </c>
      <c r="GF5" s="208" t="str">
        <f t="shared" si="141"/>
      </c>
      <c r="GG5" s="208">
        <f t="shared" si="142"/>
        <v>0</v>
      </c>
      <c r="GH5" s="208">
        <f t="shared" si="143"/>
        <v>0</v>
      </c>
      <c r="GI5" s="208">
        <f t="shared" si="144"/>
        <v>0</v>
      </c>
      <c r="GJ5" s="208">
        <f t="shared" si="145"/>
        <v>0</v>
      </c>
      <c r="GK5" s="208">
        <f t="shared" si="146"/>
        <v>0</v>
      </c>
      <c r="GL5" s="208">
        <f t="shared" si="147"/>
        <v>0</v>
      </c>
      <c r="GM5" s="208" t="str">
        <f t="shared" si="148"/>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3</v>
      </c>
      <c r="HU5" s="208">
        <f t="shared" si="181"/>
        <v>42</v>
      </c>
      <c r="HV5" s="208">
        <f t="shared" si="182"/>
        <v>0</v>
      </c>
      <c r="HW5" s="208">
        <f t="shared" si="183"/>
        <v>0</v>
      </c>
      <c r="HX5" s="208">
        <f t="shared" si="184"/>
        <v>0</v>
      </c>
      <c r="HY5" s="208">
        <f t="shared" si="185"/>
        <v>0</v>
      </c>
      <c r="HZ5" s="208">
        <f t="shared" si="186"/>
        <v>0</v>
      </c>
      <c r="IA5" s="207">
        <f t="shared" si="187"/>
        <v>42</v>
      </c>
      <c r="IB5" s="207">
        <f t="shared" si="188"/>
        <v>38</v>
      </c>
      <c r="IC5" s="342" t="str">
        <f t="shared" si="189"/>
        <v>C</v>
      </c>
      <c r="ID5" s="342" t="str">
        <f t="shared" si="190"/>
        <v>01996</v>
      </c>
      <c r="IE5" s="342" t="str">
        <f t="shared" si="191"/>
        <v>111119</v>
      </c>
      <c r="IF5" s="342" t="str">
        <f t="shared" si="192"/>
        <v>TG05</v>
      </c>
      <c r="IG5" s="382">
        <f t="shared" si="193"/>
        <v>43780</v>
      </c>
      <c r="IH5" s="382">
        <f t="shared" si="194"/>
        <v>45607</v>
      </c>
      <c r="II5" s="208">
        <v>7</v>
      </c>
    </row>
    <row r="6" ht="118.8">
      <c r="A6" s="207">
        <f>Input!A6</f>
        <v>4</v>
      </c>
      <c r="B6" s="342" t="str">
        <f> Profile!$A$3</f>
        <v>VNM</v>
      </c>
      <c r="C6" s="342" t="str">
        <f> Profile!$L$3</f>
        <v>VNMOBILE</v>
      </c>
      <c r="D6" s="207">
        <f>Input!B6</f>
        <v>216502</v>
      </c>
      <c r="E6" s="317" t="str">
        <f>Input!C6</f>
        <v>Thôn Đoàn Kết 1, xã Buôn Triết, huyện Lắk, tỉnh Đắk Lắk</v>
      </c>
      <c r="F6" s="207" t="str">
        <f>Input!D6</f>
        <v>Đắk Lắk</v>
      </c>
      <c r="G6" s="207">
        <f>Input!E6</f>
        <v>12.39463</v>
      </c>
      <c r="H6" s="207">
        <f>Input!F6</f>
        <v>108.08707</v>
      </c>
      <c r="I6" s="207">
        <f>Input!G6</f>
        <v>1</v>
      </c>
      <c r="J6" s="207">
        <f>Input!H6</f>
        <v>1</v>
      </c>
      <c r="K6" s="207" t="str">
        <f t="shared" si="0"/>
        <v>CÔNG TY CỔ PHẦN VIỄN THÔNG DI ĐỘNG VIETNAMOBILE</v>
      </c>
      <c r="L6" s="207" t="str">
        <f>Input!J6</f>
        <v>216502_1</v>
      </c>
      <c r="M6" s="207" t="str">
        <f>Input!K6</f>
        <v>HUAWEI BTS 3900</v>
      </c>
      <c r="N6" s="207">
        <f>Input!L6</f>
        <v>3</v>
      </c>
      <c r="O6" s="207" t="str">
        <f>Input!M6</f>
        <v>1/1/1</v>
      </c>
      <c r="P6" s="207" t="str">
        <f>Input!N6</f>
        <v>90/90/90</v>
      </c>
      <c r="Q6" s="207">
        <f>Input!O6</f>
        <v>900</v>
      </c>
      <c r="R6" s="207" t="str">
        <f>Input!P6</f>
        <v>42/42/42</v>
      </c>
      <c r="S6" s="363" t="b">
        <f>Input!Q6</f>
        <v>1</v>
      </c>
      <c r="T6" s="207" t="str">
        <f>Input!R6</f>
        <v>C01997111119TG05</v>
      </c>
      <c r="U6" s="207">
        <f>Input!S6</f>
        <v>0</v>
      </c>
      <c r="V6" s="207" t="str">
        <f>Input!T6</f>
        <v>VCC3</v>
      </c>
      <c r="W6" s="207" t="str">
        <f>Input!U6</f>
        <v>1900419/19/TG/TT3</v>
      </c>
      <c r="X6" s="209" t="str">
        <f>TEXT(Input!V6,"dd/mm/yyyy")</f>
        <v>19/06/2019</v>
      </c>
      <c r="Y6" s="207" t="b">
        <f>Input!W6</f>
        <v>1</v>
      </c>
      <c r="Z6" s="363" t="b">
        <f>Input!X6</f>
        <v>0</v>
      </c>
      <c r="AA6" s="207">
        <f t="shared" si="1"/>
        <v>42</v>
      </c>
      <c r="AB6" s="363" t="b">
        <f>Input!Y6</f>
        <v>1</v>
      </c>
      <c r="AC6" s="207">
        <f>VALUE(Input!Z6)</f>
        <v>4</v>
      </c>
      <c r="AD6" s="207" t="b">
        <f>Input!AA6</f>
        <v>0</v>
      </c>
      <c r="AE6" s="207" t="str">
        <f>Input!AB6</f>
        <v>Cao Minh Mẫn</v>
      </c>
      <c r="AF6" s="207" t="str">
        <f>Input!AC6</f>
        <v>Trần Tiến</v>
      </c>
      <c r="AG6" s="342" t="str">
        <f> Options!$J$25</f>
        <v>TRUNG TÂM KIỂM ĐỊNH VÀ CHỨNG NHẬN 3</v>
      </c>
      <c r="AH6" s="342" t="str">
        <f> Options!$J$26</f>
        <v>TP. Đà Nẵng</v>
      </c>
      <c r="AI6" s="342" t="str">
        <f> Options!$J$29</f>
        <v>KT. GIÁM ĐỐC</v>
      </c>
      <c r="AJ6" s="342" t="str">
        <f> Options!$J$30</f>
        <v>PHÓ GIÁM ĐỐC</v>
      </c>
      <c r="AK6" s="342" t="str">
        <f> Options!$J$31</f>
        <v>Vũ Long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3</v>
      </c>
      <c r="AP6" s="287" t="str">
        <f t="shared" si="3"/>
        <v>tỉnh Đắk Lắk</v>
      </c>
      <c r="AQ6" s="446" t="str">
        <f t="shared" si="4"/>
        <v>huyện Lắk</v>
      </c>
      <c r="AR6" s="446" t="str">
        <f t="shared" si="5"/>
        <v>xã Buôn Triết</v>
      </c>
      <c r="AS6" s="447" t="str">
        <f>INDEX(CityIDList,MATCH(F6,CityNameList,0))</f>
        <v>DLK</v>
      </c>
      <c r="AT6" s="208" t="str">
        <f>IF(J6&gt;=1,INDEX(OperatorNameList,MATCH(AZ6,OperatorIDList,0)),"")</f>
        <v>CÔNG TY CỔ PHẦN VIỄN THÔNG DI ĐỘNG VIETNAMOBILE</v>
      </c>
      <c r="AU6" s="208" t="str">
        <f>IF(J6&gt;=2,INDEX(OperatorNameList,MATCH(BA6,OperatorIDList,0)),"")</f>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c>
      <c r="BB6" s="208" t="str">
        <f t="shared" si="8"/>
      </c>
      <c r="BC6" s="208" t="str">
        <f t="shared" si="9"/>
      </c>
      <c r="BD6" s="208" t="str">
        <f t="shared" si="10"/>
      </c>
      <c r="BE6" s="208" t="str">
        <f t="shared" si="11"/>
      </c>
      <c r="BF6" s="208" t="str">
        <f>Input!I6</f>
        <v>VNMOBILE</v>
      </c>
      <c r="BG6" s="208" t="str">
        <f t="shared" si="12"/>
        <v>216502_1</v>
      </c>
      <c r="BH6" s="208" t="str">
        <f t="shared" si="13"/>
      </c>
      <c r="BI6" s="208" t="str">
        <f t="shared" si="14"/>
      </c>
      <c r="BJ6" s="208" t="str">
        <f t="shared" si="15"/>
      </c>
      <c r="BK6" s="208" t="str">
        <f t="shared" si="16"/>
      </c>
      <c r="BL6" s="208" t="str">
        <f t="shared" si="17"/>
      </c>
      <c r="BM6" s="208" t="str">
        <f t="shared" si="18"/>
        <v>HUAWEI BTS 3900</v>
      </c>
      <c r="BN6" s="208" t="str">
        <f t="shared" si="19"/>
      </c>
      <c r="BO6" s="208" t="str">
        <f t="shared" si="20"/>
      </c>
      <c r="BP6" s="208" t="str">
        <f t="shared" si="21"/>
      </c>
      <c r="BQ6" s="208" t="str">
        <f t="shared" si="22"/>
      </c>
      <c r="BR6" s="208" t="str">
        <f t="shared" si="23"/>
      </c>
      <c r="BS6" s="208">
        <f t="shared" si="24"/>
        <v>3</v>
      </c>
      <c r="BT6" s="208">
        <f t="shared" si="25"/>
        <v>0</v>
      </c>
      <c r="BU6" s="208">
        <f t="shared" si="26"/>
        <v>0</v>
      </c>
      <c r="BV6" s="208">
        <f t="shared" si="27"/>
        <v>0</v>
      </c>
      <c r="BW6" s="208">
        <f t="shared" si="28"/>
        <v>0</v>
      </c>
      <c r="BX6" s="208">
        <f t="shared" si="29"/>
        <v>0</v>
      </c>
      <c r="BY6" s="208" t="str">
        <f t="shared" si="30"/>
        <v>1/1/1</v>
      </c>
      <c r="BZ6" s="208">
        <f t="shared" si="31"/>
        <v>1</v>
      </c>
      <c r="CA6" s="208">
        <f t="shared" si="32"/>
        <v>1</v>
      </c>
      <c r="CB6" s="208">
        <f t="shared" si="33"/>
        <v>1</v>
      </c>
      <c r="CC6" s="208">
        <f t="shared" si="34"/>
        <v>0</v>
      </c>
      <c r="CD6" s="208">
        <f t="shared" si="35"/>
        <v>0</v>
      </c>
      <c r="CE6" s="208">
        <f t="shared" si="36"/>
        <v>0</v>
      </c>
      <c r="CF6" s="208" t="str">
        <f t="shared" si="37"/>
      </c>
      <c r="CG6" s="208">
        <f t="shared" si="38"/>
        <v>0</v>
      </c>
      <c r="CH6" s="208">
        <f t="shared" si="39"/>
        <v>0</v>
      </c>
      <c r="CI6" s="208">
        <f t="shared" si="40"/>
        <v>0</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90/90/90</v>
      </c>
      <c r="DP6" s="208">
        <f t="shared" si="73"/>
        <v>90</v>
      </c>
      <c r="DQ6" s="208">
        <f t="shared" si="74"/>
        <v>90</v>
      </c>
      <c r="DR6" s="208">
        <f t="shared" si="75"/>
        <v>90</v>
      </c>
      <c r="DS6" s="208">
        <f t="shared" si="76"/>
        <v>0</v>
      </c>
      <c r="DT6" s="208">
        <f t="shared" si="77"/>
        <v>0</v>
      </c>
      <c r="DU6" s="208">
        <f t="shared" si="78"/>
        <v>0</v>
      </c>
      <c r="DV6" s="208" t="str">
        <f t="shared" si="79"/>
        <v>90W/ 90W/ 90W</v>
      </c>
      <c r="DW6" s="208">
        <f t="shared" si="80"/>
        <v>90</v>
      </c>
      <c r="DX6" s="208" t="str">
        <f t="shared" si="81"/>
      </c>
      <c r="DY6" s="208">
        <f t="shared" si="82"/>
        <v>0</v>
      </c>
      <c r="DZ6" s="208">
        <f t="shared" si="83"/>
        <v>0</v>
      </c>
      <c r="EA6" s="208">
        <f t="shared" si="84"/>
        <v>0</v>
      </c>
      <c r="EB6" s="208">
        <f t="shared" si="85"/>
        <v>0</v>
      </c>
      <c r="EC6" s="208">
        <f t="shared" si="86"/>
        <v>0</v>
      </c>
      <c r="ED6" s="208">
        <f t="shared" si="87"/>
        <v>0</v>
      </c>
      <c r="EE6" s="208" t="str">
        <f t="shared" si="88"/>
      </c>
      <c r="EF6" s="208">
        <f t="shared" si="89"/>
        <v>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90</v>
      </c>
      <c r="FR6" s="208" t="str">
        <f t="shared" si="127"/>
        <v>900</v>
      </c>
      <c r="FS6" s="208" t="str">
        <f t="shared" si="128"/>
      </c>
      <c r="FT6" s="208" t="str">
        <f t="shared" si="129"/>
      </c>
      <c r="FU6" s="208" t="str">
        <f t="shared" si="130"/>
      </c>
      <c r="FV6" s="208" t="str">
        <f t="shared" si="131"/>
      </c>
      <c r="FW6" s="208" t="str">
        <f t="shared" si="132"/>
      </c>
      <c r="FX6" s="208" t="str">
        <f t="shared" si="133"/>
        <v>42/42/42</v>
      </c>
      <c r="FY6" s="208">
        <f t="shared" si="134"/>
        <v>42</v>
      </c>
      <c r="FZ6" s="208">
        <f t="shared" si="135"/>
        <v>42</v>
      </c>
      <c r="GA6" s="208">
        <f t="shared" si="136"/>
        <v>42</v>
      </c>
      <c r="GB6" s="208">
        <f t="shared" si="137"/>
        <v>0</v>
      </c>
      <c r="GC6" s="208">
        <f t="shared" si="138"/>
        <v>0</v>
      </c>
      <c r="GD6" s="208">
        <f t="shared" si="139"/>
        <v>0</v>
      </c>
      <c r="GE6" s="208" t="str">
        <f t="shared" si="140"/>
        <v>42m/ 42m/ 42m</v>
      </c>
      <c r="GF6" s="208" t="str">
        <f t="shared" si="141"/>
      </c>
      <c r="GG6" s="208">
        <f t="shared" si="142"/>
        <v>0</v>
      </c>
      <c r="GH6" s="208">
        <f t="shared" si="143"/>
        <v>0</v>
      </c>
      <c r="GI6" s="208">
        <f t="shared" si="144"/>
        <v>0</v>
      </c>
      <c r="GJ6" s="208">
        <f t="shared" si="145"/>
        <v>0</v>
      </c>
      <c r="GK6" s="208">
        <f t="shared" si="146"/>
        <v>0</v>
      </c>
      <c r="GL6" s="208">
        <f t="shared" si="147"/>
        <v>0</v>
      </c>
      <c r="GM6" s="208" t="str">
        <f t="shared" si="148"/>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3</v>
      </c>
      <c r="HU6" s="208">
        <f t="shared" si="181"/>
        <v>42</v>
      </c>
      <c r="HV6" s="208">
        <f t="shared" si="182"/>
        <v>0</v>
      </c>
      <c r="HW6" s="208">
        <f t="shared" si="183"/>
        <v>0</v>
      </c>
      <c r="HX6" s="208">
        <f t="shared" si="184"/>
        <v>0</v>
      </c>
      <c r="HY6" s="208">
        <f t="shared" si="185"/>
        <v>0</v>
      </c>
      <c r="HZ6" s="208">
        <f t="shared" si="186"/>
        <v>0</v>
      </c>
      <c r="IA6" s="207">
        <f t="shared" si="187"/>
        <v>42</v>
      </c>
      <c r="IB6" s="207">
        <f t="shared" si="188"/>
        <v>38</v>
      </c>
      <c r="IC6" s="342" t="str">
        <f t="shared" si="189"/>
        <v>C</v>
      </c>
      <c r="ID6" s="342" t="str">
        <f t="shared" si="190"/>
        <v>01997</v>
      </c>
      <c r="IE6" s="342" t="str">
        <f t="shared" si="191"/>
        <v>111119</v>
      </c>
      <c r="IF6" s="342" t="str">
        <f t="shared" si="192"/>
        <v>TG05</v>
      </c>
      <c r="IG6" s="382">
        <f t="shared" si="193"/>
        <v>43780</v>
      </c>
      <c r="IH6" s="382">
        <f t="shared" si="194"/>
        <v>45607</v>
      </c>
      <c r="II6" s="208">
        <v>7</v>
      </c>
    </row>
    <row r="7" ht="118.8">
      <c r="A7" s="207">
        <f>Input!A7</f>
        <v>5</v>
      </c>
      <c r="B7" s="342" t="str">
        <f> Profile!$A$3</f>
        <v>VNM</v>
      </c>
      <c r="C7" s="342" t="str">
        <f> Profile!$L$3</f>
        <v>VNMOBILE</v>
      </c>
      <c r="D7" s="207">
        <f>Input!B7</f>
        <v>217501</v>
      </c>
      <c r="E7" s="317" t="str">
        <f>Input!C7</f>
        <v>Tổ dân phố 4, thị trấn Ea T'Ling, huyện Cư Jút, tỉnh Đắk Nông</v>
      </c>
      <c r="F7" s="207" t="str">
        <f>Input!D7</f>
        <v>Đắk Nông</v>
      </c>
      <c r="G7" s="207">
        <f>Input!E7</f>
        <v>12.55385</v>
      </c>
      <c r="H7" s="207">
        <f>Input!F7</f>
        <v>107.88986</v>
      </c>
      <c r="I7" s="207">
        <f>Input!G7</f>
        <v>1</v>
      </c>
      <c r="J7" s="207">
        <f>Input!H7</f>
        <v>1</v>
      </c>
      <c r="K7" s="207" t="str">
        <f t="shared" si="0"/>
        <v>CÔNG TY CỔ PHẦN VIỄN THÔNG DI ĐỘNG VIETNAMOBILE</v>
      </c>
      <c r="L7" s="207" t="str">
        <f>Input!J7</f>
        <v>217501_1</v>
      </c>
      <c r="M7" s="207" t="str">
        <f>Input!K7</f>
        <v>HUAWEI BTS 3900</v>
      </c>
      <c r="N7" s="207">
        <f>Input!L7</f>
        <v>3</v>
      </c>
      <c r="O7" s="207" t="str">
        <f>Input!M7</f>
        <v>1/1/1</v>
      </c>
      <c r="P7" s="207" t="str">
        <f>Input!N7</f>
        <v>90/90/90</v>
      </c>
      <c r="Q7" s="207">
        <f>Input!O7</f>
        <v>900</v>
      </c>
      <c r="R7" s="207" t="str">
        <f>Input!P7</f>
        <v>42/42/42</v>
      </c>
      <c r="S7" s="363" t="b">
        <f>Input!Q7</f>
        <v>1</v>
      </c>
      <c r="T7" s="207" t="str">
        <f>Input!R7</f>
        <v>C01998111119TG05</v>
      </c>
      <c r="U7" s="207">
        <f>Input!S7</f>
        <v>0</v>
      </c>
      <c r="V7" s="207" t="str">
        <f>Input!T7</f>
        <v>VCC3</v>
      </c>
      <c r="W7" s="207" t="str">
        <f>Input!U7</f>
        <v>1900420/19/TG/TT3</v>
      </c>
      <c r="X7" s="209" t="str">
        <f>TEXT(Input!V7,"dd/mm/yyyy")</f>
        <v>19/06/2019</v>
      </c>
      <c r="Y7" s="207" t="b">
        <f>Input!W7</f>
        <v>1</v>
      </c>
      <c r="Z7" s="363" t="b">
        <f>Input!X7</f>
        <v>0</v>
      </c>
      <c r="AA7" s="207">
        <f t="shared" si="1"/>
        <v>42</v>
      </c>
      <c r="AB7" s="363" t="b">
        <f>Input!Y7</f>
        <v>1</v>
      </c>
      <c r="AC7" s="207">
        <f>VALUE(Input!Z7)</f>
        <v>4</v>
      </c>
      <c r="AD7" s="207" t="b">
        <f>Input!AA7</f>
        <v>0</v>
      </c>
      <c r="AE7" s="207" t="str">
        <f>Input!AB7</f>
        <v>Cao Minh Mẫn</v>
      </c>
      <c r="AF7" s="207" t="str">
        <f>Input!AC7</f>
        <v>Trần Tiến</v>
      </c>
      <c r="AG7" s="342" t="str">
        <f> Options!$J$25</f>
        <v>TRUNG TÂM KIỂM ĐỊNH VÀ CHỨNG NHẬN 3</v>
      </c>
      <c r="AH7" s="342" t="str">
        <f> Options!$J$26</f>
        <v>TP. Đà Nẵng</v>
      </c>
      <c r="AI7" s="342" t="str">
        <f> Options!$J$29</f>
        <v>KT. GIÁM ĐỐC</v>
      </c>
      <c r="AJ7" s="342" t="str">
        <f> Options!$J$30</f>
        <v>PHÓ GIÁM ĐỐC</v>
      </c>
      <c r="AK7" s="342" t="str">
        <f> Options!$J$31</f>
        <v>Vũ Long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tỉnh Đắk Nông</v>
      </c>
      <c r="AQ7" s="446" t="str">
        <f t="shared" si="4"/>
        <v>huyện Cư Jút</v>
      </c>
      <c r="AR7" s="446" t="str">
        <f t="shared" si="5"/>
        <v>thị trấn Ea T'Ling</v>
      </c>
      <c r="AS7" s="447" t="str">
        <f>INDEX(CityIDList,MATCH(F7,CityNameList,0))</f>
        <v>DNO</v>
      </c>
      <c r="AT7" s="208" t="str">
        <f>IF(J7&gt;=1,INDEX(OperatorNameList,MATCH(AZ7,OperatorIDList,0)),"")</f>
        <v>CÔNG TY CỔ PHẦN VIỄN THÔNG DI ĐỘNG VIETNAMOBILE</v>
      </c>
      <c r="AU7" s="208" t="str">
        <f>IF(J7&gt;=2,INDEX(OperatorNameList,MATCH(BA7,OperatorIDList,0)),"")</f>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c>
      <c r="BB7" s="208" t="str">
        <f t="shared" si="8"/>
      </c>
      <c r="BC7" s="208" t="str">
        <f t="shared" si="9"/>
      </c>
      <c r="BD7" s="208" t="str">
        <f t="shared" si="10"/>
      </c>
      <c r="BE7" s="208" t="str">
        <f t="shared" si="11"/>
      </c>
      <c r="BF7" s="208" t="str">
        <f>Input!I7</f>
        <v>VNMOBILE</v>
      </c>
      <c r="BG7" s="208" t="str">
        <f t="shared" si="12"/>
        <v>217501_1</v>
      </c>
      <c r="BH7" s="208" t="str">
        <f t="shared" si="13"/>
      </c>
      <c r="BI7" s="208" t="str">
        <f t="shared" si="14"/>
      </c>
      <c r="BJ7" s="208" t="str">
        <f t="shared" si="15"/>
      </c>
      <c r="BK7" s="208" t="str">
        <f t="shared" si="16"/>
      </c>
      <c r="BL7" s="208" t="str">
        <f t="shared" si="17"/>
      </c>
      <c r="BM7" s="208" t="str">
        <f t="shared" si="18"/>
        <v>HUAWEI BTS 3900</v>
      </c>
      <c r="BN7" s="208" t="str">
        <f t="shared" si="19"/>
      </c>
      <c r="BO7" s="208" t="str">
        <f t="shared" si="20"/>
      </c>
      <c r="BP7" s="208" t="str">
        <f t="shared" si="21"/>
      </c>
      <c r="BQ7" s="208" t="str">
        <f t="shared" si="22"/>
      </c>
      <c r="BR7" s="208" t="str">
        <f t="shared" si="23"/>
      </c>
      <c r="BS7" s="208">
        <f t="shared" si="24"/>
        <v>3</v>
      </c>
      <c r="BT7" s="208">
        <f t="shared" si="25"/>
        <v>0</v>
      </c>
      <c r="BU7" s="208">
        <f t="shared" si="26"/>
        <v>0</v>
      </c>
      <c r="BV7" s="208">
        <f t="shared" si="27"/>
        <v>0</v>
      </c>
      <c r="BW7" s="208">
        <f t="shared" si="28"/>
        <v>0</v>
      </c>
      <c r="BX7" s="208">
        <f t="shared" si="29"/>
        <v>0</v>
      </c>
      <c r="BY7" s="208" t="str">
        <f t="shared" si="30"/>
        <v>1/1/1</v>
      </c>
      <c r="BZ7" s="208">
        <f t="shared" si="31"/>
        <v>1</v>
      </c>
      <c r="CA7" s="208">
        <f t="shared" si="32"/>
        <v>1</v>
      </c>
      <c r="CB7" s="208">
        <f t="shared" si="33"/>
        <v>1</v>
      </c>
      <c r="CC7" s="208">
        <f t="shared" si="34"/>
        <v>0</v>
      </c>
      <c r="CD7" s="208">
        <f t="shared" si="35"/>
        <v>0</v>
      </c>
      <c r="CE7" s="208">
        <f t="shared" si="36"/>
        <v>0</v>
      </c>
      <c r="CF7" s="208" t="str">
        <f t="shared" si="37"/>
      </c>
      <c r="CG7" s="208">
        <f t="shared" si="38"/>
        <v>0</v>
      </c>
      <c r="CH7" s="208">
        <f t="shared" si="39"/>
        <v>0</v>
      </c>
      <c r="CI7" s="208">
        <f t="shared" si="40"/>
        <v>0</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90/90/90</v>
      </c>
      <c r="DP7" s="208">
        <f t="shared" si="73"/>
        <v>90</v>
      </c>
      <c r="DQ7" s="208">
        <f t="shared" si="74"/>
        <v>90</v>
      </c>
      <c r="DR7" s="208">
        <f t="shared" si="75"/>
        <v>90</v>
      </c>
      <c r="DS7" s="208">
        <f t="shared" si="76"/>
        <v>0</v>
      </c>
      <c r="DT7" s="208">
        <f t="shared" si="77"/>
        <v>0</v>
      </c>
      <c r="DU7" s="208">
        <f t="shared" si="78"/>
        <v>0</v>
      </c>
      <c r="DV7" s="208" t="str">
        <f t="shared" si="79"/>
        <v>90W/ 90W/ 90W</v>
      </c>
      <c r="DW7" s="208">
        <f t="shared" si="80"/>
        <v>90</v>
      </c>
      <c r="DX7" s="208" t="str">
        <f t="shared" si="81"/>
      </c>
      <c r="DY7" s="208">
        <f t="shared" si="82"/>
        <v>0</v>
      </c>
      <c r="DZ7" s="208">
        <f t="shared" si="83"/>
        <v>0</v>
      </c>
      <c r="EA7" s="208">
        <f t="shared" si="84"/>
        <v>0</v>
      </c>
      <c r="EB7" s="208">
        <f t="shared" si="85"/>
        <v>0</v>
      </c>
      <c r="EC7" s="208">
        <f t="shared" si="86"/>
        <v>0</v>
      </c>
      <c r="ED7" s="208">
        <f t="shared" si="87"/>
        <v>0</v>
      </c>
      <c r="EE7" s="208" t="str">
        <f t="shared" si="88"/>
      </c>
      <c r="EF7" s="208">
        <f t="shared" si="89"/>
        <v>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90</v>
      </c>
      <c r="FR7" s="208" t="str">
        <f t="shared" si="127"/>
        <v>900</v>
      </c>
      <c r="FS7" s="208" t="str">
        <f t="shared" si="128"/>
      </c>
      <c r="FT7" s="208" t="str">
        <f t="shared" si="129"/>
      </c>
      <c r="FU7" s="208" t="str">
        <f t="shared" si="130"/>
      </c>
      <c r="FV7" s="208" t="str">
        <f t="shared" si="131"/>
      </c>
      <c r="FW7" s="208" t="str">
        <f t="shared" si="132"/>
      </c>
      <c r="FX7" s="208" t="str">
        <f t="shared" si="133"/>
        <v>42/42/42</v>
      </c>
      <c r="FY7" s="208">
        <f t="shared" si="134"/>
        <v>42</v>
      </c>
      <c r="FZ7" s="208">
        <f t="shared" si="135"/>
        <v>42</v>
      </c>
      <c r="GA7" s="208">
        <f t="shared" si="136"/>
        <v>42</v>
      </c>
      <c r="GB7" s="208">
        <f t="shared" si="137"/>
        <v>0</v>
      </c>
      <c r="GC7" s="208">
        <f t="shared" si="138"/>
        <v>0</v>
      </c>
      <c r="GD7" s="208">
        <f t="shared" si="139"/>
        <v>0</v>
      </c>
      <c r="GE7" s="208" t="str">
        <f t="shared" si="140"/>
        <v>42m/ 42m/ 42m</v>
      </c>
      <c r="GF7" s="208" t="str">
        <f t="shared" si="141"/>
      </c>
      <c r="GG7" s="208">
        <f t="shared" si="142"/>
        <v>0</v>
      </c>
      <c r="GH7" s="208">
        <f t="shared" si="143"/>
        <v>0</v>
      </c>
      <c r="GI7" s="208">
        <f t="shared" si="144"/>
        <v>0</v>
      </c>
      <c r="GJ7" s="208">
        <f t="shared" si="145"/>
        <v>0</v>
      </c>
      <c r="GK7" s="208">
        <f t="shared" si="146"/>
        <v>0</v>
      </c>
      <c r="GL7" s="208">
        <f t="shared" si="147"/>
        <v>0</v>
      </c>
      <c r="GM7" s="208" t="str">
        <f t="shared" si="148"/>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3</v>
      </c>
      <c r="HU7" s="208">
        <f t="shared" si="181"/>
        <v>42</v>
      </c>
      <c r="HV7" s="208">
        <f t="shared" si="182"/>
        <v>0</v>
      </c>
      <c r="HW7" s="208">
        <f t="shared" si="183"/>
        <v>0</v>
      </c>
      <c r="HX7" s="208">
        <f t="shared" si="184"/>
        <v>0</v>
      </c>
      <c r="HY7" s="208">
        <f t="shared" si="185"/>
        <v>0</v>
      </c>
      <c r="HZ7" s="208">
        <f t="shared" si="186"/>
        <v>0</v>
      </c>
      <c r="IA7" s="207">
        <f t="shared" si="187"/>
        <v>42</v>
      </c>
      <c r="IB7" s="207">
        <f t="shared" si="188"/>
        <v>38</v>
      </c>
      <c r="IC7" s="342" t="str">
        <f t="shared" si="189"/>
        <v>C</v>
      </c>
      <c r="ID7" s="342" t="str">
        <f t="shared" si="190"/>
        <v>01998</v>
      </c>
      <c r="IE7" s="342" t="str">
        <f t="shared" si="191"/>
        <v>111119</v>
      </c>
      <c r="IF7" s="342" t="str">
        <f t="shared" si="192"/>
        <v>TG05</v>
      </c>
      <c r="IG7" s="382">
        <f t="shared" si="193"/>
        <v>43780</v>
      </c>
      <c r="IH7" s="382">
        <f t="shared" si="194"/>
        <v>45607</v>
      </c>
      <c r="II7" s="208">
        <v>7</v>
      </c>
    </row>
    <row r="8" ht="118.8">
      <c r="A8" s="207">
        <f>Input!A8</f>
        <v>6</v>
      </c>
      <c r="B8" s="342" t="str">
        <f> Profile!$A$3</f>
        <v>VNM</v>
      </c>
      <c r="C8" s="342" t="str">
        <f> Profile!$L$3</f>
        <v>VNMOBILE</v>
      </c>
      <c r="D8" s="207">
        <f>Input!B8</f>
        <v>221501</v>
      </c>
      <c r="E8" s="317" t="str">
        <f>Input!C8</f>
        <v>Thôn Đại An II, xã Ia Khươl, huyện Chư Păh, tỉnh Gia Lai</v>
      </c>
      <c r="F8" s="207" t="str">
        <f>Input!D8</f>
        <v>Gia Lai</v>
      </c>
      <c r="G8" s="207">
        <f>Input!E8</f>
        <v>14.22198</v>
      </c>
      <c r="H8" s="207">
        <f>Input!F8</f>
        <v>107.9852</v>
      </c>
      <c r="I8" s="207">
        <f>Input!G8</f>
        <v>1</v>
      </c>
      <c r="J8" s="207">
        <f>Input!H8</f>
        <v>1</v>
      </c>
      <c r="K8" s="207" t="str">
        <f t="shared" si="0"/>
        <v>CÔNG TY CỔ PHẦN VIỄN THÔNG DI ĐỘNG VIETNAMOBILE</v>
      </c>
      <c r="L8" s="207" t="str">
        <f>Input!J8</f>
        <v>221501_1</v>
      </c>
      <c r="M8" s="207" t="str">
        <f>Input!K8</f>
        <v>HUAWEI BTS 3900</v>
      </c>
      <c r="N8" s="207">
        <f>Input!L8</f>
        <v>2</v>
      </c>
      <c r="O8" s="207" t="str">
        <f>Input!M8</f>
        <v>1/1</v>
      </c>
      <c r="P8" s="207" t="str">
        <f>Input!N8</f>
        <v>90/90</v>
      </c>
      <c r="Q8" s="207">
        <f>Input!O8</f>
        <v>900</v>
      </c>
      <c r="R8" s="207" t="str">
        <f>Input!P8</f>
        <v>42/42</v>
      </c>
      <c r="S8" s="363" t="b">
        <f>Input!Q8</f>
        <v>1</v>
      </c>
      <c r="T8" s="207" t="str">
        <f>Input!R8</f>
        <v>C01999111119TG05</v>
      </c>
      <c r="U8" s="207">
        <f>Input!S8</f>
        <v>0</v>
      </c>
      <c r="V8" s="207" t="str">
        <f>Input!T8</f>
        <v>VCC3</v>
      </c>
      <c r="W8" s="207" t="str">
        <f>Input!U8</f>
        <v>1900421/19/TG/TT3</v>
      </c>
      <c r="X8" s="209" t="str">
        <f>TEXT(Input!V8,"dd/mm/yyyy")</f>
        <v>19/06/2019</v>
      </c>
      <c r="Y8" s="207" t="b">
        <f>Input!W8</f>
        <v>1</v>
      </c>
      <c r="Z8" s="363" t="b">
        <f>Input!X8</f>
        <v>0</v>
      </c>
      <c r="AA8" s="207">
        <f t="shared" si="1"/>
        <v>42</v>
      </c>
      <c r="AB8" s="363" t="b">
        <f>Input!Y8</f>
        <v>1</v>
      </c>
      <c r="AC8" s="207">
        <f>VALUE(Input!Z8)</f>
        <v>4</v>
      </c>
      <c r="AD8" s="207" t="b">
        <f>Input!AA8</f>
        <v>0</v>
      </c>
      <c r="AE8" s="207" t="str">
        <f>Input!AB8</f>
        <v>Cao Minh Mẫn</v>
      </c>
      <c r="AF8" s="207" t="str">
        <f>Input!AC8</f>
        <v>Trần Tiến</v>
      </c>
      <c r="AG8" s="342" t="str">
        <f> Options!$J$25</f>
        <v>TRUNG TÂM KIỂM ĐỊNH VÀ CHỨNG NHẬN 3</v>
      </c>
      <c r="AH8" s="342" t="str">
        <f> Options!$J$26</f>
        <v>TP. Đà Nẵng</v>
      </c>
      <c r="AI8" s="342" t="str">
        <f> Options!$J$29</f>
        <v>KT. GIÁM ĐỐC</v>
      </c>
      <c r="AJ8" s="342" t="str">
        <f> Options!$J$30</f>
        <v>PHÓ GIÁM ĐỐC</v>
      </c>
      <c r="AK8" s="342" t="str">
        <f> Options!$J$31</f>
        <v>Vũ Long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3</v>
      </c>
      <c r="AP8" s="287" t="str">
        <f t="shared" si="3"/>
        <v>tỉnh Gia Lai</v>
      </c>
      <c r="AQ8" s="446" t="str">
        <f t="shared" si="4"/>
        <v>huyện Chư Păh</v>
      </c>
      <c r="AR8" s="446" t="str">
        <f t="shared" si="5"/>
        <v>xã Ia Khươl</v>
      </c>
      <c r="AS8" s="447" t="str">
        <f>INDEX(CityIDList,MATCH(F8,CityNameList,0))</f>
        <v>GLI</v>
      </c>
      <c r="AT8" s="208" t="str">
        <f>IF(J8&gt;=1,INDEX(OperatorNameList,MATCH(AZ8,OperatorIDList,0)),"")</f>
        <v>CÔNG TY CỔ PHẦN VIỄN THÔNG DI ĐỘNG VIETNAMOBILE</v>
      </c>
      <c r="AU8" s="208" t="str">
        <f>IF(J8&gt;=2,INDEX(OperatorNameList,MATCH(BA8,OperatorIDList,0)),"")</f>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c>
      <c r="BB8" s="208" t="str">
        <f t="shared" si="8"/>
      </c>
      <c r="BC8" s="208" t="str">
        <f t="shared" si="9"/>
      </c>
      <c r="BD8" s="208" t="str">
        <f t="shared" si="10"/>
      </c>
      <c r="BE8" s="208" t="str">
        <f t="shared" si="11"/>
      </c>
      <c r="BF8" s="208" t="str">
        <f>Input!I8</f>
        <v>VNMOBILE</v>
      </c>
      <c r="BG8" s="208" t="str">
        <f t="shared" si="12"/>
        <v>221501_1</v>
      </c>
      <c r="BH8" s="208" t="str">
        <f t="shared" si="13"/>
      </c>
      <c r="BI8" s="208" t="str">
        <f t="shared" si="14"/>
      </c>
      <c r="BJ8" s="208" t="str">
        <f t="shared" si="15"/>
      </c>
      <c r="BK8" s="208" t="str">
        <f t="shared" si="16"/>
      </c>
      <c r="BL8" s="208" t="str">
        <f t="shared" si="17"/>
      </c>
      <c r="BM8" s="208" t="str">
        <f t="shared" si="18"/>
        <v>HUAWEI BTS 3900</v>
      </c>
      <c r="BN8" s="208" t="str">
        <f t="shared" si="19"/>
      </c>
      <c r="BO8" s="208" t="str">
        <f t="shared" si="20"/>
      </c>
      <c r="BP8" s="208" t="str">
        <f t="shared" si="21"/>
      </c>
      <c r="BQ8" s="208" t="str">
        <f t="shared" si="22"/>
      </c>
      <c r="BR8" s="208" t="str">
        <f t="shared" si="23"/>
      </c>
      <c r="BS8" s="208">
        <f t="shared" si="24"/>
        <v>2</v>
      </c>
      <c r="BT8" s="208">
        <f t="shared" si="25"/>
        <v>0</v>
      </c>
      <c r="BU8" s="208">
        <f t="shared" si="26"/>
        <v>0</v>
      </c>
      <c r="BV8" s="208">
        <f t="shared" si="27"/>
        <v>0</v>
      </c>
      <c r="BW8" s="208">
        <f t="shared" si="28"/>
        <v>0</v>
      </c>
      <c r="BX8" s="208">
        <f t="shared" si="29"/>
        <v>0</v>
      </c>
      <c r="BY8" s="208" t="str">
        <f t="shared" si="30"/>
        <v>1/1</v>
      </c>
      <c r="BZ8" s="208">
        <f t="shared" si="31"/>
        <v>1</v>
      </c>
      <c r="CA8" s="208">
        <f t="shared" si="32"/>
        <v>1</v>
      </c>
      <c r="CB8" s="208">
        <f t="shared" si="33"/>
        <v>0</v>
      </c>
      <c r="CC8" s="208">
        <f t="shared" si="34"/>
        <v>0</v>
      </c>
      <c r="CD8" s="208">
        <f t="shared" si="35"/>
        <v>0</v>
      </c>
      <c r="CE8" s="208">
        <f t="shared" si="36"/>
        <v>0</v>
      </c>
      <c r="CF8" s="208" t="str">
        <f t="shared" si="37"/>
      </c>
      <c r="CG8" s="208">
        <f t="shared" si="38"/>
        <v>0</v>
      </c>
      <c r="CH8" s="208">
        <f t="shared" si="39"/>
        <v>0</v>
      </c>
      <c r="CI8" s="208">
        <f t="shared" si="40"/>
        <v>0</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90/90</v>
      </c>
      <c r="DP8" s="208">
        <f t="shared" si="73"/>
        <v>90</v>
      </c>
      <c r="DQ8" s="208">
        <f t="shared" si="74"/>
        <v>90</v>
      </c>
      <c r="DR8" s="208">
        <f t="shared" si="75"/>
        <v>0</v>
      </c>
      <c r="DS8" s="208">
        <f t="shared" si="76"/>
        <v>0</v>
      </c>
      <c r="DT8" s="208">
        <f t="shared" si="77"/>
        <v>0</v>
      </c>
      <c r="DU8" s="208">
        <f t="shared" si="78"/>
        <v>0</v>
      </c>
      <c r="DV8" s="208" t="str">
        <f t="shared" si="79"/>
        <v>90W/ 90W</v>
      </c>
      <c r="DW8" s="208">
        <f t="shared" si="80"/>
        <v>90</v>
      </c>
      <c r="DX8" s="208" t="str">
        <f t="shared" si="81"/>
      </c>
      <c r="DY8" s="208">
        <f t="shared" si="82"/>
        <v>0</v>
      </c>
      <c r="DZ8" s="208">
        <f t="shared" si="83"/>
        <v>0</v>
      </c>
      <c r="EA8" s="208">
        <f t="shared" si="84"/>
        <v>0</v>
      </c>
      <c r="EB8" s="208">
        <f t="shared" si="85"/>
        <v>0</v>
      </c>
      <c r="EC8" s="208">
        <f t="shared" si="86"/>
        <v>0</v>
      </c>
      <c r="ED8" s="208">
        <f t="shared" si="87"/>
        <v>0</v>
      </c>
      <c r="EE8" s="208" t="str">
        <f t="shared" si="88"/>
      </c>
      <c r="EF8" s="208">
        <f t="shared" si="89"/>
        <v>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90</v>
      </c>
      <c r="FR8" s="208" t="str">
        <f t="shared" si="127"/>
        <v>900</v>
      </c>
      <c r="FS8" s="208" t="str">
        <f t="shared" si="128"/>
      </c>
      <c r="FT8" s="208" t="str">
        <f t="shared" si="129"/>
      </c>
      <c r="FU8" s="208" t="str">
        <f t="shared" si="130"/>
      </c>
      <c r="FV8" s="208" t="str">
        <f t="shared" si="131"/>
      </c>
      <c r="FW8" s="208" t="str">
        <f t="shared" si="132"/>
      </c>
      <c r="FX8" s="208" t="str">
        <f t="shared" si="133"/>
        <v>42/42</v>
      </c>
      <c r="FY8" s="208">
        <f t="shared" si="134"/>
        <v>42</v>
      </c>
      <c r="FZ8" s="208">
        <f t="shared" si="135"/>
        <v>42</v>
      </c>
      <c r="GA8" s="208">
        <f t="shared" si="136"/>
        <v>0</v>
      </c>
      <c r="GB8" s="208">
        <f t="shared" si="137"/>
        <v>0</v>
      </c>
      <c r="GC8" s="208">
        <f t="shared" si="138"/>
        <v>0</v>
      </c>
      <c r="GD8" s="208">
        <f t="shared" si="139"/>
        <v>0</v>
      </c>
      <c r="GE8" s="208" t="str">
        <f t="shared" si="140"/>
        <v>42m/ 42m</v>
      </c>
      <c r="GF8" s="208" t="str">
        <f t="shared" si="141"/>
      </c>
      <c r="GG8" s="208">
        <f t="shared" si="142"/>
        <v>0</v>
      </c>
      <c r="GH8" s="208">
        <f t="shared" si="143"/>
        <v>0</v>
      </c>
      <c r="GI8" s="208">
        <f t="shared" si="144"/>
        <v>0</v>
      </c>
      <c r="GJ8" s="208">
        <f t="shared" si="145"/>
        <v>0</v>
      </c>
      <c r="GK8" s="208">
        <f t="shared" si="146"/>
        <v>0</v>
      </c>
      <c r="GL8" s="208">
        <f t="shared" si="147"/>
        <v>0</v>
      </c>
      <c r="GM8" s="208" t="str">
        <f t="shared" si="148"/>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3</v>
      </c>
      <c r="HU8" s="208">
        <f t="shared" si="181"/>
        <v>42</v>
      </c>
      <c r="HV8" s="208">
        <f t="shared" si="182"/>
        <v>0</v>
      </c>
      <c r="HW8" s="208">
        <f t="shared" si="183"/>
        <v>0</v>
      </c>
      <c r="HX8" s="208">
        <f t="shared" si="184"/>
        <v>0</v>
      </c>
      <c r="HY8" s="208">
        <f t="shared" si="185"/>
        <v>0</v>
      </c>
      <c r="HZ8" s="208">
        <f t="shared" si="186"/>
        <v>0</v>
      </c>
      <c r="IA8" s="207">
        <f t="shared" si="187"/>
        <v>42</v>
      </c>
      <c r="IB8" s="207">
        <f t="shared" si="188"/>
        <v>38</v>
      </c>
      <c r="IC8" s="342" t="str">
        <f t="shared" si="189"/>
        <v>C</v>
      </c>
      <c r="ID8" s="342" t="str">
        <f t="shared" si="190"/>
        <v>01999</v>
      </c>
      <c r="IE8" s="342" t="str">
        <f t="shared" si="191"/>
        <v>111119</v>
      </c>
      <c r="IF8" s="342" t="str">
        <f t="shared" si="192"/>
        <v>TG05</v>
      </c>
      <c r="IG8" s="382">
        <f t="shared" si="193"/>
        <v>43780</v>
      </c>
      <c r="IH8" s="382">
        <f t="shared" si="194"/>
        <v>45607</v>
      </c>
      <c r="II8" s="208">
        <v>7</v>
      </c>
    </row>
    <row r="9" ht="118.8">
      <c r="A9" s="207">
        <f>Input!A9</f>
        <v>7</v>
      </c>
      <c r="B9" s="342" t="str">
        <f> Profile!$A$3</f>
        <v>VNM</v>
      </c>
      <c r="C9" s="342" t="str">
        <f> Profile!$L$3</f>
        <v>VNMOBILE</v>
      </c>
      <c r="D9" s="207">
        <f>Input!B9</f>
        <v>209050</v>
      </c>
      <c r="E9" s="317" t="str">
        <f>Input!C9</f>
        <v>Số 277/1, đường Âu Cơ, phường Bùi Thị Xuân, thành phố Quy Nhơn, tỉnh Bình Định</v>
      </c>
      <c r="F9" s="207" t="str">
        <f>Input!D9</f>
        <v>Bình Định</v>
      </c>
      <c r="G9" s="207">
        <f>Input!E9</f>
        <v>13.7644</v>
      </c>
      <c r="H9" s="207">
        <f>Input!F9</f>
        <v>109.1499</v>
      </c>
      <c r="I9" s="207">
        <f>Input!G9</f>
        <v>1</v>
      </c>
      <c r="J9" s="207">
        <f>Input!H9</f>
        <v>2</v>
      </c>
      <c r="K9" s="207" t="str">
        <f t="shared" si="0"/>
        <v>CÔNG TY CỔ PHẦN VIỄN THÔNG DI ĐỘNG VIETNAMOBILE;CÔNG TY CỔ PHẦN VIỄN THÔNG DI ĐỘNG VIETNAMOBILE</v>
      </c>
      <c r="L9" s="207" t="str">
        <f>Input!J9</f>
        <v>209050_1;209050_2</v>
      </c>
      <c r="M9" s="207" t="str">
        <f>Input!K9</f>
        <v>HUAWEI BTS 3900;ZTE ZXSDR BS8700</v>
      </c>
      <c r="N9" s="207" t="str">
        <f>Input!L9</f>
        <v>3;3</v>
      </c>
      <c r="O9" s="207" t="str">
        <f>Input!M9</f>
        <v>2/2/2;1/1/1</v>
      </c>
      <c r="P9" s="207" t="str">
        <f>Input!N9</f>
        <v>90/90/90;20/20/20</v>
      </c>
      <c r="Q9" s="207" t="str">
        <f>Input!O9</f>
        <v>900;2100</v>
      </c>
      <c r="R9" s="207" t="str">
        <f>Input!P9</f>
        <v>21/21/21;21/21/21</v>
      </c>
      <c r="S9" s="363" t="b">
        <f>Input!Q9</f>
        <v>1</v>
      </c>
      <c r="T9" s="207" t="str">
        <f>Input!R9</f>
        <v>C01936111119TG05</v>
      </c>
      <c r="U9" s="207">
        <f>Input!S9</f>
        <v>0</v>
      </c>
      <c r="V9" s="207" t="str">
        <f>Input!T9</f>
        <v>VCC3</v>
      </c>
      <c r="W9" s="207" t="str">
        <f>Input!U9</f>
        <v>1900001/19/TG/TT3</v>
      </c>
      <c r="X9" s="209" t="str">
        <f>TEXT(Input!V9,"dd/mm/yyyy")</f>
        <v>19/06/2019</v>
      </c>
      <c r="Y9" s="207" t="b">
        <f>Input!W9</f>
        <v>0</v>
      </c>
      <c r="Z9" s="363" t="b">
        <f>Input!X9</f>
        <v>0</v>
      </c>
      <c r="AA9" s="207">
        <f t="shared" si="1"/>
        <v>21</v>
      </c>
      <c r="AB9" s="363" t="b">
        <f>Input!Y9</f>
        <v>1</v>
      </c>
      <c r="AC9" s="207">
        <f>VALUE(Input!Z9)</f>
        <v>8</v>
      </c>
      <c r="AD9" s="207" t="b">
        <f>Input!AA9</f>
        <v>0</v>
      </c>
      <c r="AE9" s="207" t="str">
        <f>Input!AB9</f>
        <v>Cao Minh Mẫn</v>
      </c>
      <c r="AF9" s="207" t="str">
        <f>Input!AC9</f>
        <v>Trần Tiến</v>
      </c>
      <c r="AG9" s="342" t="str">
        <f> Options!$J$25</f>
        <v>TRUNG TÂM KIỂM ĐỊNH VÀ CHỨNG NHẬN 3</v>
      </c>
      <c r="AH9" s="342" t="str">
        <f> Options!$J$26</f>
        <v>TP. Đà Nẵng</v>
      </c>
      <c r="AI9" s="342" t="str">
        <f> Options!$J$29</f>
        <v>KT. GIÁM ĐỐC</v>
      </c>
      <c r="AJ9" s="342" t="str">
        <f> Options!$J$30</f>
        <v>PHÓ GIÁM ĐỐC</v>
      </c>
      <c r="AK9" s="342" t="str">
        <f> Options!$J$31</f>
        <v>Vũ Long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4</v>
      </c>
      <c r="AP9" s="287" t="str">
        <f t="shared" si="3"/>
        <v>tỉnh Bình Định</v>
      </c>
      <c r="AQ9" s="446" t="str">
        <f t="shared" si="4"/>
        <v>thành phố Quy Nhơn</v>
      </c>
      <c r="AR9" s="446" t="str">
        <f t="shared" si="5"/>
        <v>phường Bùi Thị Xuân</v>
      </c>
      <c r="AS9" s="447" t="str">
        <f>INDEX(CityIDList,MATCH(F9,CityNameList,0))</f>
        <v>BDH</v>
      </c>
      <c r="AT9" s="208" t="str">
        <f>IF(J9&gt;=1,INDEX(OperatorNameList,MATCH(AZ9,OperatorIDList,0)),"")</f>
        <v>CÔNG TY CỔ PHẦN VIỄN THÔNG DI ĐỘNG VIETNAMOBILE</v>
      </c>
      <c r="AU9" s="208" t="str">
        <f>IF(J9&gt;=2,INDEX(OperatorNameList,MATCH(BA9,OperatorIDList,0)),"")</f>
        <v>CÔNG TY CỔ PHẦN VIỄN THÔNG DI ĐỘNG VIETNAMOBILE</v>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v>VNMOBILE</v>
      </c>
      <c r="BB9" s="208" t="str">
        <f t="shared" si="8"/>
      </c>
      <c r="BC9" s="208" t="str">
        <f t="shared" si="9"/>
      </c>
      <c r="BD9" s="208" t="str">
        <f t="shared" si="10"/>
      </c>
      <c r="BE9" s="208" t="str">
        <f t="shared" si="11"/>
      </c>
      <c r="BF9" s="208" t="str">
        <f>Input!I9</f>
        <v>VNMOBILE;VNMOBILE</v>
      </c>
      <c r="BG9" s="208" t="str">
        <f t="shared" si="12"/>
        <v>209050_1</v>
      </c>
      <c r="BH9" s="208" t="str">
        <f t="shared" si="13"/>
        <v>209050_2</v>
      </c>
      <c r="BI9" s="208" t="str">
        <f t="shared" si="14"/>
      </c>
      <c r="BJ9" s="208" t="str">
        <f t="shared" si="15"/>
      </c>
      <c r="BK9" s="208" t="str">
        <f t="shared" si="16"/>
      </c>
      <c r="BL9" s="208" t="str">
        <f t="shared" si="17"/>
      </c>
      <c r="BM9" s="208" t="str">
        <f t="shared" si="18"/>
        <v>HUAWEI BTS 3900</v>
      </c>
      <c r="BN9" s="208" t="str">
        <f t="shared" si="19"/>
        <v>ZTE ZXSDR BS8700</v>
      </c>
      <c r="BO9" s="208" t="str">
        <f t="shared" si="20"/>
      </c>
      <c r="BP9" s="208" t="str">
        <f t="shared" si="21"/>
      </c>
      <c r="BQ9" s="208" t="str">
        <f t="shared" si="22"/>
      </c>
      <c r="BR9" s="208" t="str">
        <f t="shared" si="23"/>
      </c>
      <c r="BS9" s="208">
        <f t="shared" si="24"/>
        <v>3</v>
      </c>
      <c r="BT9" s="208">
        <f t="shared" si="25"/>
        <v>3</v>
      </c>
      <c r="BU9" s="208">
        <f t="shared" si="26"/>
        <v>0</v>
      </c>
      <c r="BV9" s="208">
        <f t="shared" si="27"/>
        <v>0</v>
      </c>
      <c r="BW9" s="208">
        <f t="shared" si="28"/>
        <v>0</v>
      </c>
      <c r="BX9" s="208">
        <f t="shared" si="29"/>
        <v>0</v>
      </c>
      <c r="BY9" s="208" t="str">
        <f t="shared" si="30"/>
        <v>2/2/2</v>
      </c>
      <c r="BZ9" s="208">
        <f t="shared" si="31"/>
        <v>2</v>
      </c>
      <c r="CA9" s="208">
        <f t="shared" si="32"/>
        <v>2</v>
      </c>
      <c r="CB9" s="208">
        <f t="shared" si="33"/>
        <v>2</v>
      </c>
      <c r="CC9" s="208">
        <f t="shared" si="34"/>
        <v>0</v>
      </c>
      <c r="CD9" s="208">
        <f t="shared" si="35"/>
        <v>0</v>
      </c>
      <c r="CE9" s="208">
        <f t="shared" si="36"/>
        <v>0</v>
      </c>
      <c r="CF9" s="208" t="str">
        <f t="shared" si="37"/>
        <v>1/1/1</v>
      </c>
      <c r="CG9" s="208">
        <f t="shared" si="38"/>
        <v>1</v>
      </c>
      <c r="CH9" s="208">
        <f t="shared" si="39"/>
        <v>1</v>
      </c>
      <c r="CI9" s="208">
        <f t="shared" si="40"/>
        <v>1</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90/90/90</v>
      </c>
      <c r="DP9" s="208">
        <f t="shared" si="73"/>
        <v>90</v>
      </c>
      <c r="DQ9" s="208">
        <f t="shared" si="74"/>
        <v>90</v>
      </c>
      <c r="DR9" s="208">
        <f t="shared" si="75"/>
        <v>90</v>
      </c>
      <c r="DS9" s="208">
        <f t="shared" si="76"/>
        <v>0</v>
      </c>
      <c r="DT9" s="208">
        <f t="shared" si="77"/>
        <v>0</v>
      </c>
      <c r="DU9" s="208">
        <f t="shared" si="78"/>
        <v>0</v>
      </c>
      <c r="DV9" s="208" t="str">
        <f t="shared" si="79"/>
        <v>90W/ 90W/ 90W</v>
      </c>
      <c r="DW9" s="208">
        <f t="shared" si="80"/>
        <v>90</v>
      </c>
      <c r="DX9" s="208" t="str">
        <f t="shared" si="81"/>
        <v>20/20/20</v>
      </c>
      <c r="DY9" s="208">
        <f t="shared" si="82"/>
        <v>20</v>
      </c>
      <c r="DZ9" s="208">
        <f t="shared" si="83"/>
        <v>20</v>
      </c>
      <c r="EA9" s="208">
        <f t="shared" si="84"/>
        <v>20</v>
      </c>
      <c r="EB9" s="208">
        <f t="shared" si="85"/>
        <v>0</v>
      </c>
      <c r="EC9" s="208">
        <f t="shared" si="86"/>
        <v>0</v>
      </c>
      <c r="ED9" s="208">
        <f t="shared" si="87"/>
        <v>0</v>
      </c>
      <c r="EE9" s="208" t="str">
        <f t="shared" si="88"/>
        <v>20W/ 20W/ 20W</v>
      </c>
      <c r="EF9" s="208">
        <f t="shared" si="89"/>
        <v>20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90</v>
      </c>
      <c r="FR9" s="208" t="str">
        <f t="shared" si="127"/>
        <v>900</v>
      </c>
      <c r="FS9" s="208" t="str">
        <f t="shared" si="128"/>
        <v>2100</v>
      </c>
      <c r="FT9" s="208" t="str">
        <f t="shared" si="129"/>
      </c>
      <c r="FU9" s="208" t="str">
        <f t="shared" si="130"/>
      </c>
      <c r="FV9" s="208" t="str">
        <f t="shared" si="131"/>
      </c>
      <c r="FW9" s="208" t="str">
        <f t="shared" si="132"/>
      </c>
      <c r="FX9" s="208" t="str">
        <f t="shared" si="133"/>
        <v>21/21/21</v>
      </c>
      <c r="FY9" s="208">
        <f t="shared" si="134"/>
        <v>21</v>
      </c>
      <c r="FZ9" s="208">
        <f t="shared" si="135"/>
        <v>21</v>
      </c>
      <c r="GA9" s="208">
        <f t="shared" si="136"/>
        <v>21</v>
      </c>
      <c r="GB9" s="208">
        <f t="shared" si="137"/>
        <v>0</v>
      </c>
      <c r="GC9" s="208">
        <f t="shared" si="138"/>
        <v>0</v>
      </c>
      <c r="GD9" s="208">
        <f t="shared" si="139"/>
        <v>0</v>
      </c>
      <c r="GE9" s="208" t="str">
        <f t="shared" si="140"/>
        <v>21m/ 21m/ 21m</v>
      </c>
      <c r="GF9" s="208" t="str">
        <f t="shared" si="141"/>
        <v>21/21/21</v>
      </c>
      <c r="GG9" s="208">
        <f t="shared" si="142"/>
        <v>21</v>
      </c>
      <c r="GH9" s="208">
        <f t="shared" si="143"/>
        <v>21</v>
      </c>
      <c r="GI9" s="208">
        <f t="shared" si="144"/>
        <v>21</v>
      </c>
      <c r="GJ9" s="208">
        <f t="shared" si="145"/>
        <v>0</v>
      </c>
      <c r="GK9" s="208">
        <f t="shared" si="146"/>
        <v>0</v>
      </c>
      <c r="GL9" s="208">
        <f t="shared" si="147"/>
        <v>0</v>
      </c>
      <c r="GM9" s="208" t="str">
        <f t="shared" si="148"/>
        <v>21m/ 21m/ 21m</v>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3</v>
      </c>
      <c r="HU9" s="208">
        <f t="shared" si="181"/>
        <v>21</v>
      </c>
      <c r="HV9" s="208">
        <f t="shared" si="182"/>
        <v>21</v>
      </c>
      <c r="HW9" s="208">
        <f t="shared" si="183"/>
        <v>0</v>
      </c>
      <c r="HX9" s="208">
        <f t="shared" si="184"/>
        <v>0</v>
      </c>
      <c r="HY9" s="208">
        <f t="shared" si="185"/>
        <v>0</v>
      </c>
      <c r="HZ9" s="208">
        <f t="shared" si="186"/>
        <v>0</v>
      </c>
      <c r="IA9" s="207">
        <f t="shared" si="187"/>
        <v>21</v>
      </c>
      <c r="IB9" s="207">
        <f t="shared" si="188"/>
        <v>13</v>
      </c>
      <c r="IC9" s="342" t="str">
        <f t="shared" si="189"/>
        <v>C</v>
      </c>
      <c r="ID9" s="342" t="str">
        <f t="shared" si="190"/>
        <v>01936</v>
      </c>
      <c r="IE9" s="342" t="str">
        <f t="shared" si="191"/>
        <v>111119</v>
      </c>
      <c r="IF9" s="342" t="str">
        <f t="shared" si="192"/>
        <v>TG05</v>
      </c>
      <c r="IG9" s="382">
        <f t="shared" si="193"/>
        <v>43780</v>
      </c>
      <c r="IH9" s="382">
        <f t="shared" si="194"/>
        <v>45607</v>
      </c>
      <c r="II9" s="208">
        <v>7</v>
      </c>
    </row>
  </sheetData>
  <sheetProtection sheet="1" objects="1" scenarios="1" formatCells="0" formatColumns="0" formatRows="0" sort="0" autoFilter="0" pivotTables="0"/>
  <autoFilter ref="A1:II2"/>
  <conditionalFormatting sqref="F3">
    <cfRule type="expression" dxfId="72" priority="15163">
      <formula>F3&lt;&gt;RIGHT(SUBSTITUTE(TRIM(E3),".",""),LEN(F3))</formula>
    </cfRule>
  </conditionalFormatting>
  <conditionalFormatting sqref="BS3">
    <cfRule type="expression" dxfId="72" priority="14989">
      <formula>AND(J3&gt;=1,BS3&lt;1)</formula>
    </cfRule>
  </conditionalFormatting>
  <conditionalFormatting sqref="BT3">
    <cfRule type="expression" dxfId="72" priority="11346">
      <formula>AND(J3&gt;=2,BT3&lt;1)</formula>
    </cfRule>
  </conditionalFormatting>
  <conditionalFormatting sqref="BU3">
    <cfRule type="expression" dxfId="72" priority="11344">
      <formula>AND(J3&gt;=3,BU3&lt;1)</formula>
    </cfRule>
  </conditionalFormatting>
  <conditionalFormatting sqref="BV3">
    <cfRule type="expression" dxfId="72" priority="11343">
      <formula>AND(J3&gt;=4,BV3&lt;1)</formula>
    </cfRule>
  </conditionalFormatting>
  <conditionalFormatting sqref="BW3">
    <cfRule type="expression" dxfId="72" priority="11345">
      <formula>AND(J3&gt;=5,BW3&lt;1)</formula>
    </cfRule>
  </conditionalFormatting>
  <conditionalFormatting sqref="BX3">
    <cfRule type="expression" dxfId="72" priority="11341">
      <formula>AND(J3&gt;=6,BX3&lt;1)</formula>
    </cfRule>
  </conditionalFormatting>
  <conditionalFormatting sqref="IC3">
    <cfRule type="expression" dxfId="72" priority="15556">
      <formula>AND($S3 = TRUE, $IC3&lt;&gt;OptionsUnitCode)</formula>
    </cfRule>
  </conditionalFormatting>
  <conditionalFormatting sqref="A3:II3">
    <cfRule type="containsErrors" dxfId="72" priority="5672">
      <formula>ISERROR(A3)</formula>
    </cfRule>
  </conditionalFormatting>
  <conditionalFormatting sqref="DP3">
    <cfRule type="expression" dxfId="1" priority="15473">
      <formula>AND(BS3&gt;=1,DP3&lt;&gt;0, GetEquPower(AZ3,BM3, BZ3, FR3)=0)</formula>
    </cfRule>
    <cfRule type="expression" dxfId="0" priority="15474">
      <formula>AND(BS3&gt;=1,DP3&lt;&gt;GetEquPower(AZ3,BM3, BZ3, FR3))</formula>
    </cfRule>
  </conditionalFormatting>
  <conditionalFormatting sqref="DQ3">
    <cfRule type="expression" dxfId="1" priority="15475">
      <formula>AND(BS3&gt;=2,DQ3&lt;&gt;0, GetEquPower(AZ3,BM3, CA3, FR3)=0)</formula>
    </cfRule>
    <cfRule type="expression" dxfId="0" priority="15476">
      <formula>AND(BS3&gt;=2,DQ3&lt;&gt;GetEquPower(AZ3,BM3, CA3, FR3))</formula>
    </cfRule>
  </conditionalFormatting>
  <conditionalFormatting sqref="DR3">
    <cfRule type="expression" dxfId="1" priority="15477">
      <formula>AND(BS3&gt;=3,DR3&lt;&gt;0, GetEquPower(AZ3,BM3, CB3, FR3)=0)</formula>
    </cfRule>
    <cfRule type="expression" dxfId="0" priority="15478">
      <formula>AND(BS3&gt;=3,DR3&lt;&gt;GetEquPower(AZ3,BM3, CB3, FR3))</formula>
    </cfRule>
  </conditionalFormatting>
  <conditionalFormatting sqref="DS3">
    <cfRule type="expression" dxfId="1" priority="15509">
      <formula>AND(BS3&gt;=4,DS3&lt;&gt;0, GetEquPower(AZ3,BM3, CC3, FR3)=0)</formula>
    </cfRule>
    <cfRule type="expression" dxfId="0" priority="15510">
      <formula>AND(BS3&gt;=4, DS3&lt;&gt;GetEquPower(AZ3,BM3, CC3, FR3))</formula>
    </cfRule>
  </conditionalFormatting>
  <conditionalFormatting sqref="DT3">
    <cfRule type="expression" dxfId="1" priority="15521">
      <formula>AND(BS3&gt;=5,DT3&lt;&gt;0, GetEquPower(AZ3,BM3, CD3, FR3)=0)</formula>
    </cfRule>
    <cfRule type="expression" dxfId="0" priority="15522">
      <formula>AND(BS3&gt;=5, DT3&lt;&gt;GetEquPower(AZ3,BM3, CD3, FR3))</formula>
    </cfRule>
  </conditionalFormatting>
  <conditionalFormatting sqref="DU3">
    <cfRule type="expression" dxfId="1" priority="15523">
      <formula>AND(BS3&gt;=6,DU3&lt;&gt;0, GetEquPower(AZ3,BM3, CE3, FR3)=0)</formula>
    </cfRule>
    <cfRule type="expression" dxfId="0" priority="15524">
      <formula>AND(BS3&gt;=6, DU3&lt;&gt;GetEquPower(AZ3,BM3, CE3, FR3))</formula>
    </cfRule>
  </conditionalFormatting>
  <conditionalFormatting sqref="DY3">
    <cfRule type="expression" dxfId="1" priority="15479">
      <formula>AND(BT3&gt;=1,DY3&lt;&gt;0, GetEquPower(BA3,BN3, CG3, FS3)=0)</formula>
    </cfRule>
    <cfRule type="expression" dxfId="0" priority="15480">
      <formula>AND(BT3&gt;=1,DY3&lt;&gt;GetEquPower(BA3,BN3, CG3, FS3))</formula>
    </cfRule>
  </conditionalFormatting>
  <conditionalFormatting sqref="DZ3">
    <cfRule type="expression" dxfId="1" priority="15481">
      <formula>AND(BT3&gt;=2,DZ3&lt;&gt;0, GetEquPower(BA3,BN3, CH3, FS3)=0)</formula>
    </cfRule>
    <cfRule type="expression" dxfId="0" priority="15482">
      <formula>AND(BT3&gt;=2,DZ3&lt;&gt;GetEquPower(BA3,BN3, CH3, FS3))</formula>
    </cfRule>
  </conditionalFormatting>
  <conditionalFormatting sqref="EA3">
    <cfRule type="expression" dxfId="1" priority="15483">
      <formula>AND(BT3&gt;=3,EA3&lt;&gt;0, GetEquPower(BA3,BN3, CI3, FS3)=0)</formula>
    </cfRule>
    <cfRule type="expression" dxfId="0" priority="15484">
      <formula>AND(BT3&gt;=3,EA3&lt;&gt;GetEquPower(BA3,BN3, CI3, FS3))</formula>
    </cfRule>
  </conditionalFormatting>
  <conditionalFormatting sqref="EB3">
    <cfRule type="expression" dxfId="1" priority="15511">
      <formula>AND(BT3&gt;=4,EB3&lt;&gt;0, GetEquPower(BA3,BN3, CJ3, FS3)=0)</formula>
    </cfRule>
    <cfRule type="expression" dxfId="0" priority="15512">
      <formula>AND(BT3&gt;=4,EB3&lt;&gt;GetEquPower(BA3,BN3, CJ3, FS3))</formula>
    </cfRule>
  </conditionalFormatting>
  <conditionalFormatting sqref="EC3">
    <cfRule type="expression" dxfId="1" priority="15525">
      <formula>AND(BT3&gt;=5,EC3&lt;&gt;0, GetEquPower(BA3,BN3, CK3, FS3)=0)</formula>
    </cfRule>
    <cfRule type="expression" dxfId="0" priority="15526">
      <formula>AND(BT3&gt;=5,EC3&lt;&gt;GetEquPower(BA3,BN3, CK3, FS3))</formula>
    </cfRule>
  </conditionalFormatting>
  <conditionalFormatting sqref="ED3">
    <cfRule type="expression" dxfId="1" priority="15527">
      <formula>AND(BT3&gt;=6,ED3&lt;&gt;0, GetEquPower(BA3,BN3, CL3, FS3)=0)</formula>
    </cfRule>
    <cfRule type="expression" dxfId="0" priority="15528">
      <formula>AND(BT3&gt;=6,ED3&lt;&gt;GetEquPower(BA3,BN3, CL3, FS3))</formula>
    </cfRule>
  </conditionalFormatting>
  <conditionalFormatting sqref="EH3">
    <cfRule type="expression" dxfId="1" priority="15485">
      <formula>AND(BU3&gt;=1,EH3&lt;&gt;0, GetEquPower(BB3,BO3, CN3, FT3)=0)</formula>
    </cfRule>
    <cfRule type="expression" dxfId="0" priority="15486">
      <formula>AND(BU3&gt;=1,EH3&lt;&gt;GetEquPower(BB3,BO3, CN3, FT3))</formula>
    </cfRule>
  </conditionalFormatting>
  <conditionalFormatting sqref="EI3">
    <cfRule type="expression" dxfId="1" priority="15487">
      <formula>AND(BU3&gt;=2,EI3&lt;&gt;0, GetEquPower(BB3,BO3, CO3, FT3)=0)</formula>
    </cfRule>
    <cfRule type="expression" dxfId="0" priority="15488">
      <formula xml:space="preserve"> AND(BU3&gt;=2,EI3&lt;&gt;GetEquPower(BB3,BO3, CO3, FT3))</formula>
    </cfRule>
  </conditionalFormatting>
  <conditionalFormatting sqref="EJ3">
    <cfRule type="expression" dxfId="1" priority="15489">
      <formula>AND(BU3&gt;=3,EJ3&lt;&gt;0, GetEquPower(BB3,BO3, CP3, FT3)=0)</formula>
    </cfRule>
    <cfRule type="expression" dxfId="0" priority="15490">
      <formula xml:space="preserve"> AND(BU3&gt;=3,EJ3&lt;&gt;GetEquPower(BB3,BO3, CP3, FT3))</formula>
    </cfRule>
  </conditionalFormatting>
  <conditionalFormatting sqref="EK3">
    <cfRule type="expression" dxfId="1" priority="15513">
      <formula>AND(BU3&gt;=4,EK3&lt;&gt;0, GetEquPower(BB3,BO3, CQ3, FT3)=0)</formula>
    </cfRule>
    <cfRule type="expression" dxfId="0" priority="15514">
      <formula xml:space="preserve"> AND(BU3&gt;=4,EK3&lt;&gt;GetEquPower(BB3,BO3, CQ3, FT3))</formula>
    </cfRule>
  </conditionalFormatting>
  <conditionalFormatting sqref="EL3">
    <cfRule type="expression" dxfId="1" priority="15529">
      <formula>AND(BU3&gt;=5,EL3&lt;&gt;0, GetEquPower(BB3,BO3, CR3, FT3)=0)</formula>
    </cfRule>
    <cfRule type="expression" dxfId="0" priority="15530">
      <formula xml:space="preserve"> AND(BU3&gt;=5,EL3&lt;&gt;GetEquPower(BB3,BO3, CR3, FT3))</formula>
    </cfRule>
  </conditionalFormatting>
  <conditionalFormatting sqref="EM3">
    <cfRule type="expression" dxfId="1" priority="15531">
      <formula>AND(BU3&gt;=6,EM3&lt;&gt;0, GetEquPower(BB3,BO3, CS3, FT3)=0)</formula>
    </cfRule>
    <cfRule type="expression" dxfId="0" priority="15532">
      <formula xml:space="preserve"> AND(BU3&gt;=6,EM3&lt;&gt;GetEquPower(BB3,BO3, CS3, FT3))</formula>
    </cfRule>
  </conditionalFormatting>
  <conditionalFormatting sqref="EQ3">
    <cfRule type="expression" dxfId="1" priority="15491">
      <formula>AND(BV3&gt;=1,EQ3&lt;&gt;0, GetEquPower(BC3,BP3, CU3, FU3)=0)</formula>
    </cfRule>
    <cfRule type="expression" dxfId="0" priority="15492">
      <formula>AND(BV3&gt;=1,EQ3&lt;&gt;GetEquPower(BC3,BP3, CU3, FU3))</formula>
    </cfRule>
  </conditionalFormatting>
  <conditionalFormatting sqref="ER3">
    <cfRule type="expression" dxfId="1" priority="15493">
      <formula>AND(BV3&gt;=2,ER3&lt;&gt;0, GetEquPower(BC3,BP3, CV3, FU3)=0)</formula>
    </cfRule>
    <cfRule type="expression" dxfId="0" priority="15494">
      <formula>AND(BV3&gt;=2,ER3&lt;&gt;GetEquPower(BC3,BP3, CV3, FU3))</formula>
    </cfRule>
  </conditionalFormatting>
  <conditionalFormatting sqref="ES3">
    <cfRule type="expression" dxfId="1" priority="15495">
      <formula>AND(BV3&gt;=3,ES3&lt;&gt;0, GetEquPower(BC3,BP3, CW3, FU3)=0)</formula>
    </cfRule>
    <cfRule type="expression" dxfId="0" priority="15496">
      <formula>AND(BV3&gt;=3,ES3&lt;&gt;GetEquPower(BC3,BP3, CW3, FU3))</formula>
    </cfRule>
  </conditionalFormatting>
  <conditionalFormatting sqref="ET3">
    <cfRule type="expression" dxfId="1" priority="15515">
      <formula>AND(BV3&gt;=4,ET3&lt;&gt;0, GetEquPower(BC3,BP3, CX3, FU3)=0)</formula>
    </cfRule>
    <cfRule type="expression" dxfId="0" priority="15516">
      <formula>AND(BV3&gt;=4,ET3&lt;&gt;GetEquPower(BC3,BP3, CX3, FU3))</formula>
    </cfRule>
  </conditionalFormatting>
  <conditionalFormatting sqref="EU3">
    <cfRule type="expression" dxfId="1" priority="15533">
      <formula>AND(BV3&gt;=5,EU3&lt;&gt;0, GetEquPower(BC3,BP3, CY3, FU3)=0)</formula>
    </cfRule>
    <cfRule type="expression" dxfId="0" priority="15534">
      <formula>AND(BV3&gt;=5,EU3&lt;&gt;GetEquPower(BC3,BP3, CY3, FU3))</formula>
    </cfRule>
  </conditionalFormatting>
  <conditionalFormatting sqref="EV3">
    <cfRule type="expression" dxfId="1" priority="15535">
      <formula>AND(BV3&gt;=6,EV3&lt;&gt;0, GetEquPower(BC3,BP3, CZ3, FU3)=0)</formula>
    </cfRule>
    <cfRule type="expression" dxfId="0" priority="15536">
      <formula>AND(BV3&gt;=6,EV3&lt;&gt;GetEquPower(BC3,BP3, CZ3, FU3))</formula>
    </cfRule>
  </conditionalFormatting>
  <conditionalFormatting sqref="EZ3">
    <cfRule type="expression" dxfId="1" priority="15497">
      <formula>AND(BW3&gt;=1,EZ3&lt;&gt;0, GetEquPower(BD3,BQ3, DB3, FV3)=0)</formula>
    </cfRule>
    <cfRule type="expression" dxfId="0" priority="15498">
      <formula>AND(BW3&gt;=1,EZ3&lt;&gt;GetEquPower(BD3,BQ3, DB3, FV3))</formula>
    </cfRule>
  </conditionalFormatting>
  <conditionalFormatting sqref="FA3">
    <cfRule type="expression" dxfId="1" priority="15499">
      <formula>AND(BW3&gt;=2,FA3&lt;&gt;0, GetEquPower(BD3,BQ3, DC3, FV3)=0)</formula>
    </cfRule>
    <cfRule type="expression" dxfId="0" priority="15500">
      <formula>AND(BW3&gt;=2,FA3&lt;&gt;GetEquPower(BD3,BQ3, DC3, FV3))</formula>
    </cfRule>
  </conditionalFormatting>
  <conditionalFormatting sqref="FB3">
    <cfRule type="expression" dxfId="1" priority="15501">
      <formula>AND(BW3&gt;=3,FB3&lt;&gt;0, GetEquPower(BD3,BQ3, DD3, FV3)=0)</formula>
    </cfRule>
    <cfRule type="expression" dxfId="0" priority="15502">
      <formula>AND(BW3&gt;=3,FB3&lt;&gt;GetEquPower(BD3,BQ3, DD3, FV3))</formula>
    </cfRule>
  </conditionalFormatting>
  <conditionalFormatting sqref="FC3">
    <cfRule type="expression" dxfId="1" priority="15517">
      <formula>AND(BW3&gt;=4,FC3&lt;&gt;0, GetEquPower(BD3,BQ3, DE3, FV3)=0)</formula>
    </cfRule>
    <cfRule type="expression" dxfId="0" priority="15518">
      <formula>AND(BW3&gt;=4,FC3&lt;&gt;GetEquPower(BD3,BQ3, DE3, FV3))</formula>
    </cfRule>
  </conditionalFormatting>
  <conditionalFormatting sqref="FD3">
    <cfRule type="expression" dxfId="1" priority="15537">
      <formula>AND(BW3&gt;=5,FD3&lt;&gt;0, GetEquPower(BD3,BQ3, DF3, FV3)=0)</formula>
    </cfRule>
    <cfRule type="expression" dxfId="0" priority="15538">
      <formula>AND(BW3&gt;=5,FD3&lt;&gt;GetEquPower(BD3,BQ3, DF3, FV3))</formula>
    </cfRule>
  </conditionalFormatting>
  <conditionalFormatting sqref="FE3">
    <cfRule type="expression" dxfId="1" priority="15539">
      <formula>AND(BW3&gt;=6,FE3&lt;&gt;0, GetEquPower(BD3,BQ3, DG3, FV3)=0)</formula>
    </cfRule>
    <cfRule type="expression" dxfId="0" priority="15540">
      <formula>AND(BW3&gt;=6,FE3&lt;&gt;GetEquPower(BD3,BQ3, DG3, FV3))</formula>
    </cfRule>
  </conditionalFormatting>
  <conditionalFormatting sqref="FI3">
    <cfRule type="expression" dxfId="1" priority="15503">
      <formula>AND(BX3&gt;=1,FI3&lt;&gt;0, GetEquPower(BE3,BR3, DI3, FW3)=0)</formula>
    </cfRule>
    <cfRule type="expression" dxfId="0" priority="15504">
      <formula>AND(BX3&gt;=1,FI3&lt;&gt;GetEquPower(BE3,BR3, DI3, FW3))</formula>
    </cfRule>
  </conditionalFormatting>
  <conditionalFormatting sqref="FJ3">
    <cfRule type="expression" dxfId="1" priority="15505">
      <formula>AND(BX3&gt;=2,FJ3&lt;&gt;0, GetEquPower(BE3,BR3, DJ3, FW3)=0)</formula>
    </cfRule>
    <cfRule type="expression" dxfId="0" priority="15506">
      <formula>AND(BX3&gt;=2,FJ3&lt;&gt;GetEquPower(BE3,BR3, DJ3, FW3))</formula>
    </cfRule>
  </conditionalFormatting>
  <conditionalFormatting sqref="FK3">
    <cfRule type="expression" dxfId="1" priority="15507">
      <formula>AND(BX3&gt;=3,FK3&lt;&gt;0, GetEquPower(BE3,BR3, DK3, FW3)=0)</formula>
    </cfRule>
    <cfRule type="expression" dxfId="0" priority="15508">
      <formula>AND(BX3&gt;=3,FK3&lt;&gt;GetEquPower(BE3,BR3, DK3, FW3))</formula>
    </cfRule>
  </conditionalFormatting>
  <conditionalFormatting sqref="FL3">
    <cfRule type="expression" dxfId="1" priority="15519">
      <formula>AND(BX3&gt;=4,FL3&lt;&gt;0, GetEquPower(BE3,BR3, DL3, FW3)=0)</formula>
    </cfRule>
    <cfRule type="expression" dxfId="0" priority="15520">
      <formula>AND(BX3&gt;=4,FL3&lt;&gt;GetEquPower(BE3,BR3, DL3, FW3))</formula>
    </cfRule>
  </conditionalFormatting>
  <conditionalFormatting sqref="FM3">
    <cfRule type="expression" dxfId="1" priority="15541">
      <formula>AND(BX3&gt;=5,FM3&lt;&gt;0, GetEquPower(BE3,BR3, DM3, FW3)=0)</formula>
    </cfRule>
    <cfRule type="expression" dxfId="0" priority="15542">
      <formula>AND(BX3&gt;=5,FM3&lt;&gt;GetEquPower(BE3,BR3, DM3, FW3))</formula>
    </cfRule>
  </conditionalFormatting>
  <conditionalFormatting sqref="FN3">
    <cfRule type="expression" dxfId="1" priority="15543">
      <formula>AND(BX3&gt;=6,FN3&lt;&gt;0, GetEquPower(BE3,BR3, DN3, FW3)=0)</formula>
    </cfRule>
    <cfRule type="expression" dxfId="0" priority="15544">
      <formula>AND(BX3&gt;=6,FN3&lt;&gt;GetEquPower(BE3,BR3, DN3, FW3))</formula>
    </cfRule>
  </conditionalFormatting>
  <conditionalFormatting sqref="F4:F9">
    <cfRule type="expression" dxfId="72" priority="8">
      <formula>F4&lt;&gt;RIGHT(SUBSTITUTE(TRIM(E4),".",""),LEN(F4))</formula>
    </cfRule>
  </conditionalFormatting>
  <conditionalFormatting sqref="BS4:BS9">
    <cfRule type="expression" dxfId="72" priority="7">
      <formula>AND(J4&gt;=1,BS4&lt;1)</formula>
    </cfRule>
  </conditionalFormatting>
  <conditionalFormatting sqref="BT4:BT9">
    <cfRule type="expression" dxfId="72" priority="6">
      <formula>AND(J4&gt;=2,BT4&lt;1)</formula>
    </cfRule>
  </conditionalFormatting>
  <conditionalFormatting sqref="BU4:BU9">
    <cfRule type="expression" dxfId="72" priority="4">
      <formula>AND(J4&gt;=3,BU4&lt;1)</formula>
    </cfRule>
  </conditionalFormatting>
  <conditionalFormatting sqref="BV4:BV9">
    <cfRule type="expression" dxfId="72" priority="3">
      <formula>AND(J4&gt;=4,BV4&lt;1)</formula>
    </cfRule>
  </conditionalFormatting>
  <conditionalFormatting sqref="BW4:BW9">
    <cfRule type="expression" dxfId="72" priority="5">
      <formula>AND(J4&gt;=5,BW4&lt;1)</formula>
    </cfRule>
  </conditionalFormatting>
  <conditionalFormatting sqref="BX4:BX9">
    <cfRule type="expression" dxfId="72" priority="2">
      <formula>AND(J4&gt;=6,BX4&lt;1)</formula>
    </cfRule>
  </conditionalFormatting>
  <conditionalFormatting sqref="IC4:IC9">
    <cfRule type="expression" dxfId="72" priority="81">
      <formula>AND($S4 = TRUE, $IC4&lt;&gt;OptionsUnitCode)</formula>
    </cfRule>
  </conditionalFormatting>
  <conditionalFormatting sqref="A4:II9">
    <cfRule type="containsErrors" dxfId="72" priority="1">
      <formula>ISERROR(A4)</formula>
    </cfRule>
  </conditionalFormatting>
  <conditionalFormatting sqref="DP4:DP9">
    <cfRule type="expression" dxfId="1" priority="9">
      <formula>AND(BS4&gt;=1,DP4&lt;&gt;0, GetEquPower(AZ4,BM4, BZ4, FR4)=0)</formula>
    </cfRule>
    <cfRule type="expression" dxfId="0" priority="10">
      <formula>AND(BS4&gt;=1,DP4&lt;&gt;GetEquPower(AZ4,BM4, BZ4, FR4))</formula>
    </cfRule>
  </conditionalFormatting>
  <conditionalFormatting sqref="DQ4:DQ9">
    <cfRule type="expression" dxfId="1" priority="11">
      <formula>AND(BS4&gt;=2,DQ4&lt;&gt;0, GetEquPower(AZ4,BM4, CA4, FR4)=0)</formula>
    </cfRule>
    <cfRule type="expression" dxfId="0" priority="12">
      <formula>AND(BS4&gt;=2,DQ4&lt;&gt;GetEquPower(AZ4,BM4, CA4, FR4))</formula>
    </cfRule>
  </conditionalFormatting>
  <conditionalFormatting sqref="DR4:DR9">
    <cfRule type="expression" dxfId="1" priority="13">
      <formula>AND(BS4&gt;=3,DR4&lt;&gt;0, GetEquPower(AZ4,BM4, CB4, FR4)=0)</formula>
    </cfRule>
    <cfRule type="expression" dxfId="0" priority="14">
      <formula>AND(BS4&gt;=3,DR4&lt;&gt;GetEquPower(AZ4,BM4, CB4, FR4))</formula>
    </cfRule>
  </conditionalFormatting>
  <conditionalFormatting sqref="DS4:DS9">
    <cfRule type="expression" dxfId="1" priority="45">
      <formula>AND(BS4&gt;=4,DS4&lt;&gt;0, GetEquPower(AZ4,BM4, CC4, FR4)=0)</formula>
    </cfRule>
    <cfRule type="expression" dxfId="0" priority="46">
      <formula>AND(BS4&gt;=4, DS4&lt;&gt;GetEquPower(AZ4,BM4, CC4, FR4))</formula>
    </cfRule>
  </conditionalFormatting>
  <conditionalFormatting sqref="DT4:DT9">
    <cfRule type="expression" dxfId="1" priority="57">
      <formula>AND(BS4&gt;=5,DT4&lt;&gt;0, GetEquPower(AZ4,BM4, CD4, FR4)=0)</formula>
    </cfRule>
    <cfRule type="expression" dxfId="0" priority="58">
      <formula>AND(BS4&gt;=5, DT4&lt;&gt;GetEquPower(AZ4,BM4, CD4, FR4))</formula>
    </cfRule>
  </conditionalFormatting>
  <conditionalFormatting sqref="DU4:DU9">
    <cfRule type="expression" dxfId="1" priority="59">
      <formula>AND(BS4&gt;=6,DU4&lt;&gt;0, GetEquPower(AZ4,BM4, CE4, FR4)=0)</formula>
    </cfRule>
    <cfRule type="expression" dxfId="0" priority="60">
      <formula>AND(BS4&gt;=6, DU4&lt;&gt;GetEquPower(AZ4,BM4, CE4, FR4))</formula>
    </cfRule>
  </conditionalFormatting>
  <conditionalFormatting sqref="DY4:DY9">
    <cfRule type="expression" dxfId="1" priority="15">
      <formula>AND(BT4&gt;=1,DY4&lt;&gt;0, GetEquPower(BA4,BN4, CG4, FS4)=0)</formula>
    </cfRule>
    <cfRule type="expression" dxfId="0" priority="16">
      <formula>AND(BT4&gt;=1,DY4&lt;&gt;GetEquPower(BA4,BN4, CG4, FS4))</formula>
    </cfRule>
  </conditionalFormatting>
  <conditionalFormatting sqref="DZ4:DZ9">
    <cfRule type="expression" dxfId="1" priority="17">
      <formula>AND(BT4&gt;=2,DZ4&lt;&gt;0, GetEquPower(BA4,BN4, CH4, FS4)=0)</formula>
    </cfRule>
    <cfRule type="expression" dxfId="0" priority="18">
      <formula>AND(BT4&gt;=2,DZ4&lt;&gt;GetEquPower(BA4,BN4, CH4, FS4))</formula>
    </cfRule>
  </conditionalFormatting>
  <conditionalFormatting sqref="EA4:EA9">
    <cfRule type="expression" dxfId="1" priority="19">
      <formula>AND(BT4&gt;=3,EA4&lt;&gt;0, GetEquPower(BA4,BN4, CI4, FS4)=0)</formula>
    </cfRule>
    <cfRule type="expression" dxfId="0" priority="20">
      <formula>AND(BT4&gt;=3,EA4&lt;&gt;GetEquPower(BA4,BN4, CI4, FS4))</formula>
    </cfRule>
  </conditionalFormatting>
  <conditionalFormatting sqref="EB4:EB9">
    <cfRule type="expression" dxfId="1" priority="47">
      <formula>AND(BT4&gt;=4,EB4&lt;&gt;0, GetEquPower(BA4,BN4, CJ4, FS4)=0)</formula>
    </cfRule>
    <cfRule type="expression" dxfId="0" priority="48">
      <formula>AND(BT4&gt;=4,EB4&lt;&gt;GetEquPower(BA4,BN4, CJ4, FS4))</formula>
    </cfRule>
  </conditionalFormatting>
  <conditionalFormatting sqref="EC4:EC9">
    <cfRule type="expression" dxfId="1" priority="61">
      <formula>AND(BT4&gt;=5,EC4&lt;&gt;0, GetEquPower(BA4,BN4, CK4, FS4)=0)</formula>
    </cfRule>
    <cfRule type="expression" dxfId="0" priority="62">
      <formula>AND(BT4&gt;=5,EC4&lt;&gt;GetEquPower(BA4,BN4, CK4, FS4))</formula>
    </cfRule>
  </conditionalFormatting>
  <conditionalFormatting sqref="ED4:ED9">
    <cfRule type="expression" dxfId="1" priority="63">
      <formula>AND(BT4&gt;=6,ED4&lt;&gt;0, GetEquPower(BA4,BN4, CL4, FS4)=0)</formula>
    </cfRule>
    <cfRule type="expression" dxfId="0" priority="64">
      <formula>AND(BT4&gt;=6,ED4&lt;&gt;GetEquPower(BA4,BN4, CL4, FS4))</formula>
    </cfRule>
  </conditionalFormatting>
  <conditionalFormatting sqref="EH4:EH9">
    <cfRule type="expression" dxfId="1" priority="21">
      <formula>AND(BU4&gt;=1,EH4&lt;&gt;0, GetEquPower(BB4,BO4, CN4, FT4)=0)</formula>
    </cfRule>
    <cfRule type="expression" dxfId="0" priority="22">
      <formula>AND(BU4&gt;=1,EH4&lt;&gt;GetEquPower(BB4,BO4, CN4, FT4))</formula>
    </cfRule>
  </conditionalFormatting>
  <conditionalFormatting sqref="EI4:EI9">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9">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9">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9">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9">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9">
    <cfRule type="expression" dxfId="1" priority="27">
      <formula>AND(BV4&gt;=1,EQ4&lt;&gt;0, GetEquPower(BC4,BP4, CU4, FU4)=0)</formula>
    </cfRule>
    <cfRule type="expression" dxfId="0" priority="28">
      <formula>AND(BV4&gt;=1,EQ4&lt;&gt;GetEquPower(BC4,BP4, CU4, FU4))</formula>
    </cfRule>
  </conditionalFormatting>
  <conditionalFormatting sqref="ER4:ER9">
    <cfRule type="expression" dxfId="1" priority="29">
      <formula>AND(BV4&gt;=2,ER4&lt;&gt;0, GetEquPower(BC4,BP4, CV4, FU4)=0)</formula>
    </cfRule>
    <cfRule type="expression" dxfId="0" priority="30">
      <formula>AND(BV4&gt;=2,ER4&lt;&gt;GetEquPower(BC4,BP4, CV4, FU4))</formula>
    </cfRule>
  </conditionalFormatting>
  <conditionalFormatting sqref="ES4:ES9">
    <cfRule type="expression" dxfId="1" priority="31">
      <formula>AND(BV4&gt;=3,ES4&lt;&gt;0, GetEquPower(BC4,BP4, CW4, FU4)=0)</formula>
    </cfRule>
    <cfRule type="expression" dxfId="0" priority="32">
      <formula>AND(BV4&gt;=3,ES4&lt;&gt;GetEquPower(BC4,BP4, CW4, FU4))</formula>
    </cfRule>
  </conditionalFormatting>
  <conditionalFormatting sqref="ET4:ET9">
    <cfRule type="expression" dxfId="1" priority="51">
      <formula>AND(BV4&gt;=4,ET4&lt;&gt;0, GetEquPower(BC4,BP4, CX4, FU4)=0)</formula>
    </cfRule>
    <cfRule type="expression" dxfId="0" priority="52">
      <formula>AND(BV4&gt;=4,ET4&lt;&gt;GetEquPower(BC4,BP4, CX4, FU4))</formula>
    </cfRule>
  </conditionalFormatting>
  <conditionalFormatting sqref="EU4:EU9">
    <cfRule type="expression" dxfId="1" priority="69">
      <formula>AND(BV4&gt;=5,EU4&lt;&gt;0, GetEquPower(BC4,BP4, CY4, FU4)=0)</formula>
    </cfRule>
    <cfRule type="expression" dxfId="0" priority="70">
      <formula>AND(BV4&gt;=5,EU4&lt;&gt;GetEquPower(BC4,BP4, CY4, FU4))</formula>
    </cfRule>
  </conditionalFormatting>
  <conditionalFormatting sqref="EV4:EV9">
    <cfRule type="expression" dxfId="1" priority="71">
      <formula>AND(BV4&gt;=6,EV4&lt;&gt;0, GetEquPower(BC4,BP4, CZ4, FU4)=0)</formula>
    </cfRule>
    <cfRule type="expression" dxfId="0" priority="72">
      <formula>AND(BV4&gt;=6,EV4&lt;&gt;GetEquPower(BC4,BP4, CZ4, FU4))</formula>
    </cfRule>
  </conditionalFormatting>
  <conditionalFormatting sqref="EZ4:EZ9">
    <cfRule type="expression" dxfId="1" priority="33">
      <formula>AND(BW4&gt;=1,EZ4&lt;&gt;0, GetEquPower(BD4,BQ4, DB4, FV4)=0)</formula>
    </cfRule>
    <cfRule type="expression" dxfId="0" priority="34">
      <formula>AND(BW4&gt;=1,EZ4&lt;&gt;GetEquPower(BD4,BQ4, DB4, FV4))</formula>
    </cfRule>
  </conditionalFormatting>
  <conditionalFormatting sqref="FA4:FA9">
    <cfRule type="expression" dxfId="1" priority="35">
      <formula>AND(BW4&gt;=2,FA4&lt;&gt;0, GetEquPower(BD4,BQ4, DC4, FV4)=0)</formula>
    </cfRule>
    <cfRule type="expression" dxfId="0" priority="36">
      <formula>AND(BW4&gt;=2,FA4&lt;&gt;GetEquPower(BD4,BQ4, DC4, FV4))</formula>
    </cfRule>
  </conditionalFormatting>
  <conditionalFormatting sqref="FB4:FB9">
    <cfRule type="expression" dxfId="1" priority="37">
      <formula>AND(BW4&gt;=3,FB4&lt;&gt;0, GetEquPower(BD4,BQ4, DD4, FV4)=0)</formula>
    </cfRule>
    <cfRule type="expression" dxfId="0" priority="38">
      <formula>AND(BW4&gt;=3,FB4&lt;&gt;GetEquPower(BD4,BQ4, DD4, FV4))</formula>
    </cfRule>
  </conditionalFormatting>
  <conditionalFormatting sqref="FC4:FC9">
    <cfRule type="expression" dxfId="1" priority="53">
      <formula>AND(BW4&gt;=4,FC4&lt;&gt;0, GetEquPower(BD4,BQ4, DE4, FV4)=0)</formula>
    </cfRule>
    <cfRule type="expression" dxfId="0" priority="54">
      <formula>AND(BW4&gt;=4,FC4&lt;&gt;GetEquPower(BD4,BQ4, DE4, FV4))</formula>
    </cfRule>
  </conditionalFormatting>
  <conditionalFormatting sqref="FD4:FD9">
    <cfRule type="expression" dxfId="1" priority="73">
      <formula>AND(BW4&gt;=5,FD4&lt;&gt;0, GetEquPower(BD4,BQ4, DF4, FV4)=0)</formula>
    </cfRule>
    <cfRule type="expression" dxfId="0" priority="74">
      <formula>AND(BW4&gt;=5,FD4&lt;&gt;GetEquPower(BD4,BQ4, DF4, FV4))</formula>
    </cfRule>
  </conditionalFormatting>
  <conditionalFormatting sqref="FE4:FE9">
    <cfRule type="expression" dxfId="1" priority="75">
      <formula>AND(BW4&gt;=6,FE4&lt;&gt;0, GetEquPower(BD4,BQ4, DG4, FV4)=0)</formula>
    </cfRule>
    <cfRule type="expression" dxfId="0" priority="76">
      <formula>AND(BW4&gt;=6,FE4&lt;&gt;GetEquPower(BD4,BQ4, DG4, FV4))</formula>
    </cfRule>
  </conditionalFormatting>
  <conditionalFormatting sqref="FI4:FI9">
    <cfRule type="expression" dxfId="1" priority="39">
      <formula>AND(BX4&gt;=1,FI4&lt;&gt;0, GetEquPower(BE4,BR4, DI4, FW4)=0)</formula>
    </cfRule>
    <cfRule type="expression" dxfId="0" priority="40">
      <formula>AND(BX4&gt;=1,FI4&lt;&gt;GetEquPower(BE4,BR4, DI4, FW4))</formula>
    </cfRule>
  </conditionalFormatting>
  <conditionalFormatting sqref="FJ4:FJ9">
    <cfRule type="expression" dxfId="1" priority="41">
      <formula>AND(BX4&gt;=2,FJ4&lt;&gt;0, GetEquPower(BE4,BR4, DJ4, FW4)=0)</formula>
    </cfRule>
    <cfRule type="expression" dxfId="0" priority="42">
      <formula>AND(BX4&gt;=2,FJ4&lt;&gt;GetEquPower(BE4,BR4, DJ4, FW4))</formula>
    </cfRule>
  </conditionalFormatting>
  <conditionalFormatting sqref="FK4:FK9">
    <cfRule type="expression" dxfId="1" priority="43">
      <formula>AND(BX4&gt;=3,FK4&lt;&gt;0, GetEquPower(BE4,BR4, DK4, FW4)=0)</formula>
    </cfRule>
    <cfRule type="expression" dxfId="0" priority="44">
      <formula>AND(BX4&gt;=3,FK4&lt;&gt;GetEquPower(BE4,BR4, DK4, FW4))</formula>
    </cfRule>
  </conditionalFormatting>
  <conditionalFormatting sqref="FL4:FL9">
    <cfRule type="expression" dxfId="1" priority="55">
      <formula>AND(BX4&gt;=4,FL4&lt;&gt;0, GetEquPower(BE4,BR4, DL4, FW4)=0)</formula>
    </cfRule>
    <cfRule type="expression" dxfId="0" priority="56">
      <formula>AND(BX4&gt;=4,FL4&lt;&gt;GetEquPower(BE4,BR4, DL4, FW4))</formula>
    </cfRule>
  </conditionalFormatting>
  <conditionalFormatting sqref="FM4:FM9">
    <cfRule type="expression" dxfId="1" priority="77">
      <formula>AND(BX4&gt;=5,FM4&lt;&gt;0, GetEquPower(BE4,BR4, DM4, FW4)=0)</formula>
    </cfRule>
    <cfRule type="expression" dxfId="0" priority="78">
      <formula>AND(BX4&gt;=5,FM4&lt;&gt;GetEquPower(BE4,BR4, DM4, FW4))</formula>
    </cfRule>
  </conditionalFormatting>
  <conditionalFormatting sqref="FN4:FN9">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8"/>
  <sheetViews>
    <sheetView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09375" defaultRowHeight="13.2"/>
  <cols>
    <col min="1" max="1" bestFit="1" width="5" customWidth="1" style="313"/>
    <col min="2" max="2" width="12.44140625" customWidth="1" style="313"/>
    <col min="3" max="3" width="12.44140625" customWidth="1" style="313"/>
    <col min="4" max="4" width="9.109375" customWidth="1" style="598"/>
    <col min="5" max="5" width="32.6640625" customWidth="1" style="318"/>
    <col min="6" max="6" width="16.5546875" customWidth="1" style="313"/>
    <col min="7" max="7" bestFit="1" width="9.109375" customWidth="1" style="598"/>
    <col min="8" max="8" bestFit="1" width="9.109375" customWidth="1" style="316"/>
    <col min="9" max="9" width="7.6640625" customWidth="1" style="283"/>
    <col min="10" max="10" width="10.5546875" customWidth="1" style="313"/>
    <col min="11" max="11" width="33.33203125" customWidth="1" style="283"/>
    <col min="12" max="13" width="15.33203125" customWidth="1" style="283"/>
    <col min="14" max="14" width="9.109375" customWidth="1" style="283"/>
    <col min="15" max="15" bestFit="1" width="15.44140625" customWidth="1" style="283"/>
    <col min="16" max="16" width="42.109375" customWidth="1" style="283"/>
    <col min="17" max="17" width="27.33203125" customWidth="1" style="283"/>
    <col min="18" max="18" width="14.33203125" customWidth="1" style="283"/>
    <col min="19" max="19" width="13" customWidth="1" style="283"/>
    <col min="20" max="20" width="32.33203125" customWidth="1" style="283"/>
    <col min="21" max="21" width="24.6640625" customWidth="1" style="283"/>
    <col min="22" max="22" width="10.6640625" customWidth="1" style="283"/>
    <col min="23" max="23" width="23.109375" customWidth="1" style="283"/>
    <col min="24" max="24" width="15.5546875" customWidth="1" style="316"/>
    <col min="25" max="26" width="10.5546875" customWidth="1" style="283"/>
    <col min="27" max="27" width="9.109375" customWidth="1" style="316"/>
    <col min="28" max="28" width="13" customWidth="1" style="283"/>
    <col min="29" max="29" width="9.109375" customWidth="1" style="316"/>
    <col min="30" max="37" width="13" customWidth="1" style="283"/>
    <col min="38" max="38" width="4.6640625" customWidth="1" style="283"/>
    <col min="39" max="39" bestFit="1" width="15.44140625" customWidth="1" style="283"/>
    <col min="40" max="44" width="15.88671875" customWidth="1" style="283"/>
    <col min="45" max="45" width="9.109375" customWidth="1" style="313"/>
    <col min="46" max="191" width="9.109375" customWidth="1" style="283"/>
    <col min="192" max="192" bestFit="1" width="9.5546875" customWidth="1" style="283"/>
    <col min="193" max="198" width="9.109375" customWidth="1" style="283"/>
    <col min="199" max="200" width="13" customWidth="1" style="283"/>
    <col min="201" max="234" width="9.109375" customWidth="1" style="283"/>
    <col min="235" max="235" width="9.109375" customWidth="1" style="316"/>
    <col min="236" max="236" width="9.109375" customWidth="1" style="316"/>
    <col min="237" max="240" width="9.109375" customWidth="1" style="283"/>
    <col min="241" max="241" bestFit="1" width="13.5546875" customWidth="1" style="283"/>
    <col min="242" max="242" bestFit="1" width="13.33203125" customWidth="1" style="283"/>
    <col min="243" max="255" width="9.109375" customWidth="1" style="283"/>
    <col min="256" max="16384" width="9.109375" customWidth="1" style="283"/>
  </cols>
  <sheetData>
    <row r="1" ht="55.2" s="313" customFormat="1">
      <c r="A1" s="375" t="str">
        <f>Check!A1</f>
        <v>No</v>
      </c>
      <c r="B1" s="343" t="s">
        <v>21166</v>
      </c>
      <c r="C1" s="343" t="s">
        <v>21167</v>
      </c>
      <c r="D1" s="599" t="str">
        <f>Check!D1</f>
        <v>BtsCode</v>
      </c>
      <c r="E1" s="377" t="str">
        <f>Check!E1</f>
        <v>Address</v>
      </c>
      <c r="F1" s="373" t="str">
        <f>Check!F1</f>
        <v>CityName</v>
      </c>
      <c r="G1" s="599" t="str">
        <f>Check!G1</f>
        <v>Longtitude</v>
      </c>
      <c r="H1" s="599" t="str">
        <f>Check!H1</f>
        <v>Latitude</v>
      </c>
      <c r="I1" s="374" t="str">
        <f>Check!I1</f>
        <v>InCaseOfID</v>
      </c>
      <c r="J1" s="374" t="str">
        <f>Check!J1</f>
        <v>SubBTSQuantity</v>
      </c>
      <c r="K1" s="374" t="str">
        <f>Check!K1</f>
        <v>SubBtsOperatorNames</v>
      </c>
      <c r="L1" s="374" t="str">
        <f>Check!L1</f>
        <v>SubBtsCodes</v>
      </c>
      <c r="M1" s="374" t="str">
        <f>Check!M1</f>
        <v>SubBtsEquipments</v>
      </c>
      <c r="N1" s="374" t="str">
        <f>Check!N1</f>
        <v>SubBtsAntenNums</v>
      </c>
      <c r="O1" s="374" t="str">
        <f>Check!O1</f>
        <v>SubBtsConfigurations</v>
      </c>
      <c r="P1" s="374" t="str">
        <f>Check!P1</f>
        <v>SubBtsPowerSums</v>
      </c>
      <c r="Q1" s="374" t="str">
        <f>Check!Q1</f>
        <v>SubBtsBands</v>
      </c>
      <c r="R1" s="374" t="str">
        <f>Check!R1</f>
        <v>SubBtsAntenHeights</v>
      </c>
      <c r="S1" s="371" t="str">
        <f>Check!S1</f>
        <v>IssueCertificate</v>
      </c>
      <c r="T1" s="373" t="s">
        <v>21168</v>
      </c>
      <c r="U1" s="373" t="str">
        <f>Check!U1</f>
        <v>ReasonNoCertificate</v>
      </c>
      <c r="V1" s="373" t="str">
        <f>Check!V1</f>
        <v>LabID</v>
      </c>
      <c r="W1" s="294" t="str">
        <f>Check!W1</f>
        <v>TestReportNo</v>
      </c>
      <c r="X1" s="338" t="str">
        <f>Check!X1</f>
        <v>TestReportDate</v>
      </c>
      <c r="Y1" s="336" t="str">
        <f>Check!Y1</f>
        <v>IsPoleOnGround</v>
      </c>
      <c r="Z1" s="336" t="str">
        <f>Check!Z1</f>
        <v>IsSafeLimit</v>
      </c>
      <c r="AA1" s="601" t="str">
        <f>Check!AA1</f>
        <v>SafeLimitHeight</v>
      </c>
      <c r="AB1" s="336" t="str">
        <f>Check!AB1</f>
        <v>IsHouseIn100m</v>
      </c>
      <c r="AC1" s="601" t="str">
        <f>Check!AC1</f>
        <v>MaxHeightIn100m</v>
      </c>
      <c r="AD1" s="336" t="str">
        <f>Check!AD1</f>
        <v>IsMeasuringExposure</v>
      </c>
      <c r="AE1" s="336" t="str">
        <f>Check!AE1</f>
        <v>Verifier1</v>
      </c>
      <c r="AF1" s="336" t="str">
        <f>Check!AF1</f>
        <v>Verifier2</v>
      </c>
      <c r="AG1" s="336" t="str">
        <f>Check!AG1</f>
        <v>VerifyUnit</v>
      </c>
      <c r="AH1" s="336" t="str">
        <f>Check!AH1</f>
        <v>IssuedPlace</v>
      </c>
      <c r="AI1" s="336" t="str">
        <f>Check!AI1</f>
        <v>SignerRole</v>
      </c>
      <c r="AJ1" s="336" t="str">
        <f>Check!AJ1</f>
        <v>SignerSubRole</v>
      </c>
      <c r="AK1" s="336" t="str">
        <f>Check!AK1</f>
        <v>Signer</v>
      </c>
      <c r="AL1" s="364"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602" t="str">
        <f>Check!IA1</f>
        <v>MinAntenHeight</v>
      </c>
      <c r="IB1" s="602"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6" t="s">
        <v>21170</v>
      </c>
    </row>
    <row r="2" ht="118.8">
      <c r="A2" s="207">
        <v>1</v>
      </c>
      <c r="B2" s="342" t="s">
        <v>21171</v>
      </c>
      <c r="C2" s="342" t="s">
        <v>21172</v>
      </c>
      <c r="D2" s="600">
        <v>209089</v>
      </c>
      <c r="E2" s="317" t="s">
        <v>21097</v>
      </c>
      <c r="F2" s="207" t="s">
        <v>20942</v>
      </c>
      <c r="G2" s="600">
        <v>14.10187</v>
      </c>
      <c r="H2" s="600">
        <v>109.19875</v>
      </c>
      <c r="I2" s="207">
        <v>1</v>
      </c>
      <c r="J2" s="207">
        <v>1</v>
      </c>
      <c r="K2" s="207" t="s">
        <v>21173</v>
      </c>
      <c r="L2" s="207" t="s">
        <v>21174</v>
      </c>
      <c r="M2" s="207" t="s">
        <v>21175</v>
      </c>
      <c r="N2" s="207">
        <v>3</v>
      </c>
      <c r="O2" s="207" t="s">
        <v>21176</v>
      </c>
      <c r="P2" s="207" t="s">
        <v>21177</v>
      </c>
      <c r="Q2" s="207">
        <v>900</v>
      </c>
      <c r="R2" s="207" t="s">
        <v>21178</v>
      </c>
      <c r="S2" s="363" t="b">
        <v>1</v>
      </c>
      <c r="T2" s="207" t="s">
        <v>21098</v>
      </c>
      <c r="U2" s="207">
        <v>0</v>
      </c>
      <c r="V2" s="207" t="s">
        <v>21179</v>
      </c>
      <c r="W2" s="207" t="s">
        <v>21099</v>
      </c>
      <c r="X2" s="209" t="s">
        <v>21180</v>
      </c>
      <c r="Y2" s="207" t="b">
        <v>1</v>
      </c>
      <c r="Z2" s="363" t="b">
        <v>0</v>
      </c>
      <c r="AA2" s="600">
        <v>42</v>
      </c>
      <c r="AB2" s="363" t="b">
        <v>1</v>
      </c>
      <c r="AC2" s="600">
        <v>4</v>
      </c>
      <c r="AD2" s="207" t="b">
        <v>0</v>
      </c>
      <c r="AE2" s="207" t="s">
        <v>21181</v>
      </c>
      <c r="AF2" s="207" t="s">
        <v>21182</v>
      </c>
      <c r="AG2" s="342" t="s">
        <v>21183</v>
      </c>
      <c r="AH2" s="342" t="s">
        <v>21184</v>
      </c>
      <c r="AI2" s="342" t="s">
        <v>21055</v>
      </c>
      <c r="AJ2" s="342" t="s">
        <v>21060</v>
      </c>
      <c r="AK2" s="342" t="s">
        <v>21185</v>
      </c>
      <c r="AL2" s="208"/>
      <c r="AM2" s="208" t="s">
        <v>21186</v>
      </c>
      <c r="AN2" s="208" t="s">
        <v>21173</v>
      </c>
      <c r="AO2" s="207">
        <v>3</v>
      </c>
      <c r="AP2" s="287" t="s">
        <v>21187</v>
      </c>
      <c r="AQ2" s="446" t="s">
        <v>21188</v>
      </c>
      <c r="AR2" s="446" t="s">
        <v>21189</v>
      </c>
      <c r="AS2" s="447" t="s">
        <v>20941</v>
      </c>
      <c r="AT2" s="208" t="s">
        <v>21173</v>
      </c>
      <c r="AU2" s="208" t="s">
        <v>21190</v>
      </c>
      <c r="AV2" s="208" t="s">
        <v>21190</v>
      </c>
      <c r="AW2" s="208" t="s">
        <v>21190</v>
      </c>
      <c r="AX2" s="208" t="s">
        <v>21190</v>
      </c>
      <c r="AY2" s="208" t="s">
        <v>21190</v>
      </c>
      <c r="AZ2" s="208" t="s">
        <v>21172</v>
      </c>
      <c r="BA2" s="208" t="s">
        <v>21190</v>
      </c>
      <c r="BB2" s="208" t="s">
        <v>21190</v>
      </c>
      <c r="BC2" s="208" t="s">
        <v>21190</v>
      </c>
      <c r="BD2" s="208" t="s">
        <v>21190</v>
      </c>
      <c r="BE2" s="208" t="s">
        <v>21190</v>
      </c>
      <c r="BF2" s="208" t="s">
        <v>21172</v>
      </c>
      <c r="BG2" s="208" t="s">
        <v>21174</v>
      </c>
      <c r="BH2" s="208" t="s">
        <v>21190</v>
      </c>
      <c r="BI2" s="208" t="s">
        <v>21190</v>
      </c>
      <c r="BJ2" s="208" t="s">
        <v>21190</v>
      </c>
      <c r="BK2" s="208" t="s">
        <v>21190</v>
      </c>
      <c r="BL2" s="208" t="s">
        <v>21190</v>
      </c>
      <c r="BM2" s="208" t="s">
        <v>21175</v>
      </c>
      <c r="BN2" s="208" t="s">
        <v>21190</v>
      </c>
      <c r="BO2" s="208" t="s">
        <v>21190</v>
      </c>
      <c r="BP2" s="208" t="s">
        <v>21190</v>
      </c>
      <c r="BQ2" s="208" t="s">
        <v>21190</v>
      </c>
      <c r="BR2" s="208" t="s">
        <v>21190</v>
      </c>
      <c r="BS2" s="208">
        <v>3</v>
      </c>
      <c r="BT2" s="208">
        <v>0</v>
      </c>
      <c r="BU2" s="208">
        <v>0</v>
      </c>
      <c r="BV2" s="208">
        <v>0</v>
      </c>
      <c r="BW2" s="208">
        <v>0</v>
      </c>
      <c r="BX2" s="208">
        <v>0</v>
      </c>
      <c r="BY2" s="208" t="s">
        <v>21176</v>
      </c>
      <c r="BZ2" s="208">
        <v>1</v>
      </c>
      <c r="CA2" s="208">
        <v>1</v>
      </c>
      <c r="CB2" s="208">
        <v>1</v>
      </c>
      <c r="CC2" s="208">
        <v>0</v>
      </c>
      <c r="CD2" s="208">
        <v>0</v>
      </c>
      <c r="CE2" s="208">
        <v>0</v>
      </c>
      <c r="CF2" s="208" t="s">
        <v>21190</v>
      </c>
      <c r="CG2" s="208">
        <v>0</v>
      </c>
      <c r="CH2" s="208">
        <v>0</v>
      </c>
      <c r="CI2" s="208">
        <v>0</v>
      </c>
      <c r="CJ2" s="208">
        <v>0</v>
      </c>
      <c r="CK2" s="208">
        <v>0</v>
      </c>
      <c r="CL2" s="208">
        <v>0</v>
      </c>
      <c r="CM2" s="208" t="s">
        <v>21190</v>
      </c>
      <c r="CN2" s="208">
        <v>0</v>
      </c>
      <c r="CO2" s="208">
        <v>0</v>
      </c>
      <c r="CP2" s="208">
        <v>0</v>
      </c>
      <c r="CQ2" s="208">
        <v>0</v>
      </c>
      <c r="CR2" s="208">
        <v>0</v>
      </c>
      <c r="CS2" s="208">
        <v>0</v>
      </c>
      <c r="CT2" s="208" t="s">
        <v>21190</v>
      </c>
      <c r="CU2" s="208">
        <v>0</v>
      </c>
      <c r="CV2" s="208">
        <v>0</v>
      </c>
      <c r="CW2" s="208">
        <v>0</v>
      </c>
      <c r="CX2" s="208">
        <v>0</v>
      </c>
      <c r="CY2" s="208">
        <v>0</v>
      </c>
      <c r="CZ2" s="208">
        <v>0</v>
      </c>
      <c r="DA2" s="208" t="s">
        <v>21190</v>
      </c>
      <c r="DB2" s="208">
        <v>0</v>
      </c>
      <c r="DC2" s="208">
        <v>0</v>
      </c>
      <c r="DD2" s="208">
        <v>0</v>
      </c>
      <c r="DE2" s="208">
        <v>0</v>
      </c>
      <c r="DF2" s="208">
        <v>0</v>
      </c>
      <c r="DG2" s="208">
        <v>0</v>
      </c>
      <c r="DH2" s="208" t="s">
        <v>21190</v>
      </c>
      <c r="DI2" s="208">
        <v>0</v>
      </c>
      <c r="DJ2" s="208">
        <v>0</v>
      </c>
      <c r="DK2" s="208">
        <v>0</v>
      </c>
      <c r="DL2" s="208">
        <v>0</v>
      </c>
      <c r="DM2" s="208">
        <v>0</v>
      </c>
      <c r="DN2" s="208">
        <v>0</v>
      </c>
      <c r="DO2" s="208" t="s">
        <v>21177</v>
      </c>
      <c r="DP2" s="208">
        <v>90</v>
      </c>
      <c r="DQ2" s="208">
        <v>90</v>
      </c>
      <c r="DR2" s="208">
        <v>90</v>
      </c>
      <c r="DS2" s="208">
        <v>0</v>
      </c>
      <c r="DT2" s="208">
        <v>0</v>
      </c>
      <c r="DU2" s="208">
        <v>0</v>
      </c>
      <c r="DV2" s="208" t="s">
        <v>21191</v>
      </c>
      <c r="DW2" s="208">
        <v>90</v>
      </c>
      <c r="DX2" s="208" t="s">
        <v>21190</v>
      </c>
      <c r="DY2" s="208">
        <v>0</v>
      </c>
      <c r="DZ2" s="208">
        <v>0</v>
      </c>
      <c r="EA2" s="208">
        <v>0</v>
      </c>
      <c r="EB2" s="208">
        <v>0</v>
      </c>
      <c r="EC2" s="208">
        <v>0</v>
      </c>
      <c r="ED2" s="208">
        <v>0</v>
      </c>
      <c r="EE2" s="208" t="s">
        <v>21190</v>
      </c>
      <c r="EF2" s="208">
        <v>0</v>
      </c>
      <c r="EG2" s="208" t="s">
        <v>21190</v>
      </c>
      <c r="EH2" s="208">
        <v>0</v>
      </c>
      <c r="EI2" s="208">
        <v>0</v>
      </c>
      <c r="EJ2" s="208">
        <v>0</v>
      </c>
      <c r="EK2" s="208">
        <v>0</v>
      </c>
      <c r="EL2" s="208">
        <v>0</v>
      </c>
      <c r="EM2" s="208">
        <v>0</v>
      </c>
      <c r="EN2" s="208" t="s">
        <v>21190</v>
      </c>
      <c r="EO2" s="208">
        <v>0</v>
      </c>
      <c r="EP2" s="208" t="s">
        <v>21190</v>
      </c>
      <c r="EQ2" s="208">
        <v>0</v>
      </c>
      <c r="ER2" s="208">
        <v>0</v>
      </c>
      <c r="ES2" s="208">
        <v>0</v>
      </c>
      <c r="ET2" s="208">
        <v>0</v>
      </c>
      <c r="EU2" s="208">
        <v>0</v>
      </c>
      <c r="EV2" s="208">
        <v>0</v>
      </c>
      <c r="EW2" s="208" t="s">
        <v>21190</v>
      </c>
      <c r="EX2" s="208">
        <v>0</v>
      </c>
      <c r="EY2" s="208" t="s">
        <v>21190</v>
      </c>
      <c r="EZ2" s="208">
        <v>0</v>
      </c>
      <c r="FA2" s="208">
        <v>0</v>
      </c>
      <c r="FB2" s="208">
        <v>0</v>
      </c>
      <c r="FC2" s="208">
        <v>0</v>
      </c>
      <c r="FD2" s="208">
        <v>0</v>
      </c>
      <c r="FE2" s="208">
        <v>0</v>
      </c>
      <c r="FF2" s="208" t="s">
        <v>21190</v>
      </c>
      <c r="FG2" s="208">
        <v>0</v>
      </c>
      <c r="FH2" s="208" t="s">
        <v>21190</v>
      </c>
      <c r="FI2" s="208">
        <v>0</v>
      </c>
      <c r="FJ2" s="208">
        <v>0</v>
      </c>
      <c r="FK2" s="208">
        <v>0</v>
      </c>
      <c r="FL2" s="208">
        <v>0</v>
      </c>
      <c r="FM2" s="208">
        <v>0</v>
      </c>
      <c r="FN2" s="208">
        <v>0</v>
      </c>
      <c r="FO2" s="208" t="s">
        <v>21190</v>
      </c>
      <c r="FP2" s="208">
        <v>0</v>
      </c>
      <c r="FQ2" s="208">
        <v>90</v>
      </c>
      <c r="FR2" s="208" t="s">
        <v>19816</v>
      </c>
      <c r="FS2" s="208" t="s">
        <v>21190</v>
      </c>
      <c r="FT2" s="208" t="s">
        <v>21190</v>
      </c>
      <c r="FU2" s="208" t="s">
        <v>21190</v>
      </c>
      <c r="FV2" s="208" t="s">
        <v>21190</v>
      </c>
      <c r="FW2" s="208" t="s">
        <v>21190</v>
      </c>
      <c r="FX2" s="208" t="s">
        <v>21178</v>
      </c>
      <c r="FY2" s="208">
        <v>42</v>
      </c>
      <c r="FZ2" s="208">
        <v>42</v>
      </c>
      <c r="GA2" s="208">
        <v>42</v>
      </c>
      <c r="GB2" s="208">
        <v>0</v>
      </c>
      <c r="GC2" s="208">
        <v>0</v>
      </c>
      <c r="GD2" s="208">
        <v>0</v>
      </c>
      <c r="GE2" s="208" t="s">
        <v>21192</v>
      </c>
      <c r="GF2" s="208" t="s">
        <v>21190</v>
      </c>
      <c r="GG2" s="208">
        <v>0</v>
      </c>
      <c r="GH2" s="208">
        <v>0</v>
      </c>
      <c r="GI2" s="208">
        <v>0</v>
      </c>
      <c r="GJ2" s="208">
        <v>0</v>
      </c>
      <c r="GK2" s="208">
        <v>0</v>
      </c>
      <c r="GL2" s="208">
        <v>0</v>
      </c>
      <c r="GM2" s="208" t="s">
        <v>21190</v>
      </c>
      <c r="GN2" s="208" t="s">
        <v>21190</v>
      </c>
      <c r="GO2" s="208">
        <v>0</v>
      </c>
      <c r="GP2" s="208">
        <v>0</v>
      </c>
      <c r="GQ2" s="208">
        <v>0</v>
      </c>
      <c r="GR2" s="208">
        <v>0</v>
      </c>
      <c r="GS2" s="208">
        <v>0</v>
      </c>
      <c r="GT2" s="208">
        <v>0</v>
      </c>
      <c r="GU2" s="208" t="s">
        <v>21190</v>
      </c>
      <c r="GV2" s="208" t="s">
        <v>21190</v>
      </c>
      <c r="GW2" s="208">
        <v>0</v>
      </c>
      <c r="GX2" s="208">
        <v>0</v>
      </c>
      <c r="GY2" s="208">
        <v>0</v>
      </c>
      <c r="GZ2" s="208">
        <v>0</v>
      </c>
      <c r="HA2" s="208">
        <v>0</v>
      </c>
      <c r="HB2" s="208">
        <v>0</v>
      </c>
      <c r="HC2" s="208" t="s">
        <v>21190</v>
      </c>
      <c r="HD2" s="208" t="s">
        <v>21190</v>
      </c>
      <c r="HE2" s="208">
        <v>0</v>
      </c>
      <c r="HF2" s="208">
        <v>0</v>
      </c>
      <c r="HG2" s="208">
        <v>0</v>
      </c>
      <c r="HH2" s="208">
        <v>0</v>
      </c>
      <c r="HI2" s="208">
        <v>0</v>
      </c>
      <c r="HJ2" s="208">
        <v>0</v>
      </c>
      <c r="HK2" s="208" t="s">
        <v>21190</v>
      </c>
      <c r="HL2" s="208" t="s">
        <v>21190</v>
      </c>
      <c r="HM2" s="208">
        <v>0</v>
      </c>
      <c r="HN2" s="208">
        <v>0</v>
      </c>
      <c r="HO2" s="208">
        <v>0</v>
      </c>
      <c r="HP2" s="208">
        <v>0</v>
      </c>
      <c r="HQ2" s="208">
        <v>0</v>
      </c>
      <c r="HR2" s="208">
        <v>0</v>
      </c>
      <c r="HS2" s="208" t="s">
        <v>21190</v>
      </c>
      <c r="HT2" s="208" t="s">
        <v>21193</v>
      </c>
      <c r="HU2" s="208">
        <v>42</v>
      </c>
      <c r="HV2" s="208">
        <v>0</v>
      </c>
      <c r="HW2" s="208">
        <v>0</v>
      </c>
      <c r="HX2" s="208">
        <v>0</v>
      </c>
      <c r="HY2" s="208">
        <v>0</v>
      </c>
      <c r="HZ2" s="208">
        <v>0</v>
      </c>
      <c r="IA2" s="600">
        <v>42</v>
      </c>
      <c r="IB2" s="600">
        <v>38</v>
      </c>
      <c r="IC2" s="342" t="s">
        <v>21037</v>
      </c>
      <c r="ID2" s="342" t="s">
        <v>21194</v>
      </c>
      <c r="IE2" s="342" t="s">
        <v>21195</v>
      </c>
      <c r="IF2" s="342" t="s">
        <v>21196</v>
      </c>
      <c r="IG2" s="382">
        <v>43780</v>
      </c>
      <c r="IH2" s="382">
        <v>45607</v>
      </c>
      <c r="II2" s="208">
        <v>7</v>
      </c>
      <c r="IJ2" s="283">
        <v>7</v>
      </c>
    </row>
    <row r="3" ht="118.8">
      <c r="A3" s="207">
        <v>2</v>
      </c>
      <c r="B3" s="342" t="s">
        <v>21171</v>
      </c>
      <c r="C3" s="342" t="s">
        <v>21172</v>
      </c>
      <c r="D3" s="600">
        <v>216115</v>
      </c>
      <c r="E3" s="317" t="s">
        <v>21100</v>
      </c>
      <c r="F3" s="207" t="s">
        <v>20946</v>
      </c>
      <c r="G3" s="600">
        <v>12.45295</v>
      </c>
      <c r="H3" s="600">
        <v>108.04336</v>
      </c>
      <c r="I3" s="207">
        <v>1</v>
      </c>
      <c r="J3" s="207">
        <v>1</v>
      </c>
      <c r="K3" s="207" t="s">
        <v>21173</v>
      </c>
      <c r="L3" s="207" t="s">
        <v>21197</v>
      </c>
      <c r="M3" s="207" t="s">
        <v>21175</v>
      </c>
      <c r="N3" s="207">
        <v>3</v>
      </c>
      <c r="O3" s="207" t="s">
        <v>21176</v>
      </c>
      <c r="P3" s="207" t="s">
        <v>21177</v>
      </c>
      <c r="Q3" s="207">
        <v>900</v>
      </c>
      <c r="R3" s="207" t="s">
        <v>21178</v>
      </c>
      <c r="S3" s="363" t="b">
        <v>1</v>
      </c>
      <c r="T3" s="207" t="s">
        <v>21101</v>
      </c>
      <c r="U3" s="207">
        <v>0</v>
      </c>
      <c r="V3" s="207" t="s">
        <v>21179</v>
      </c>
      <c r="W3" s="207" t="s">
        <v>21102</v>
      </c>
      <c r="X3" s="209" t="s">
        <v>21180</v>
      </c>
      <c r="Y3" s="207" t="b">
        <v>1</v>
      </c>
      <c r="Z3" s="363" t="b">
        <v>0</v>
      </c>
      <c r="AA3" s="600">
        <v>42</v>
      </c>
      <c r="AB3" s="363" t="b">
        <v>1</v>
      </c>
      <c r="AC3" s="600">
        <v>4</v>
      </c>
      <c r="AD3" s="207" t="b">
        <v>0</v>
      </c>
      <c r="AE3" s="207" t="s">
        <v>21181</v>
      </c>
      <c r="AF3" s="207" t="s">
        <v>21182</v>
      </c>
      <c r="AG3" s="342" t="s">
        <v>21183</v>
      </c>
      <c r="AH3" s="342" t="s">
        <v>21184</v>
      </c>
      <c r="AI3" s="342" t="s">
        <v>21055</v>
      </c>
      <c r="AJ3" s="342" t="s">
        <v>21060</v>
      </c>
      <c r="AK3" s="342" t="s">
        <v>21185</v>
      </c>
      <c r="AL3" s="208"/>
      <c r="AM3" s="208" t="s">
        <v>21186</v>
      </c>
      <c r="AN3" s="208" t="s">
        <v>21173</v>
      </c>
      <c r="AO3" s="207">
        <v>3</v>
      </c>
      <c r="AP3" s="287" t="s">
        <v>21198</v>
      </c>
      <c r="AQ3" s="446" t="s">
        <v>21199</v>
      </c>
      <c r="AR3" s="446" t="s">
        <v>21200</v>
      </c>
      <c r="AS3" s="447" t="s">
        <v>20945</v>
      </c>
      <c r="AT3" s="208" t="s">
        <v>21173</v>
      </c>
      <c r="AU3" s="208" t="s">
        <v>21190</v>
      </c>
      <c r="AV3" s="208" t="s">
        <v>21190</v>
      </c>
      <c r="AW3" s="208" t="s">
        <v>21190</v>
      </c>
      <c r="AX3" s="208" t="s">
        <v>21190</v>
      </c>
      <c r="AY3" s="208" t="s">
        <v>21190</v>
      </c>
      <c r="AZ3" s="208" t="s">
        <v>21172</v>
      </c>
      <c r="BA3" s="208" t="s">
        <v>21190</v>
      </c>
      <c r="BB3" s="208" t="s">
        <v>21190</v>
      </c>
      <c r="BC3" s="208" t="s">
        <v>21190</v>
      </c>
      <c r="BD3" s="208" t="s">
        <v>21190</v>
      </c>
      <c r="BE3" s="208" t="s">
        <v>21190</v>
      </c>
      <c r="BF3" s="208" t="s">
        <v>21172</v>
      </c>
      <c r="BG3" s="208" t="s">
        <v>21197</v>
      </c>
      <c r="BH3" s="208" t="s">
        <v>21190</v>
      </c>
      <c r="BI3" s="208" t="s">
        <v>21190</v>
      </c>
      <c r="BJ3" s="208" t="s">
        <v>21190</v>
      </c>
      <c r="BK3" s="208" t="s">
        <v>21190</v>
      </c>
      <c r="BL3" s="208" t="s">
        <v>21190</v>
      </c>
      <c r="BM3" s="208" t="s">
        <v>21175</v>
      </c>
      <c r="BN3" s="208" t="s">
        <v>21190</v>
      </c>
      <c r="BO3" s="208" t="s">
        <v>21190</v>
      </c>
      <c r="BP3" s="208" t="s">
        <v>21190</v>
      </c>
      <c r="BQ3" s="208" t="s">
        <v>21190</v>
      </c>
      <c r="BR3" s="208" t="s">
        <v>21190</v>
      </c>
      <c r="BS3" s="208">
        <v>3</v>
      </c>
      <c r="BT3" s="208">
        <v>0</v>
      </c>
      <c r="BU3" s="208">
        <v>0</v>
      </c>
      <c r="BV3" s="208">
        <v>0</v>
      </c>
      <c r="BW3" s="208">
        <v>0</v>
      </c>
      <c r="BX3" s="208">
        <v>0</v>
      </c>
      <c r="BY3" s="208" t="s">
        <v>21176</v>
      </c>
      <c r="BZ3" s="208">
        <v>1</v>
      </c>
      <c r="CA3" s="208">
        <v>1</v>
      </c>
      <c r="CB3" s="208">
        <v>1</v>
      </c>
      <c r="CC3" s="208">
        <v>0</v>
      </c>
      <c r="CD3" s="208">
        <v>0</v>
      </c>
      <c r="CE3" s="208">
        <v>0</v>
      </c>
      <c r="CF3" s="208" t="s">
        <v>21190</v>
      </c>
      <c r="CG3" s="208">
        <v>0</v>
      </c>
      <c r="CH3" s="208">
        <v>0</v>
      </c>
      <c r="CI3" s="208">
        <v>0</v>
      </c>
      <c r="CJ3" s="208">
        <v>0</v>
      </c>
      <c r="CK3" s="208">
        <v>0</v>
      </c>
      <c r="CL3" s="208">
        <v>0</v>
      </c>
      <c r="CM3" s="208" t="s">
        <v>21190</v>
      </c>
      <c r="CN3" s="208">
        <v>0</v>
      </c>
      <c r="CO3" s="208">
        <v>0</v>
      </c>
      <c r="CP3" s="208">
        <v>0</v>
      </c>
      <c r="CQ3" s="208">
        <v>0</v>
      </c>
      <c r="CR3" s="208">
        <v>0</v>
      </c>
      <c r="CS3" s="208">
        <v>0</v>
      </c>
      <c r="CT3" s="208" t="s">
        <v>21190</v>
      </c>
      <c r="CU3" s="208">
        <v>0</v>
      </c>
      <c r="CV3" s="208">
        <v>0</v>
      </c>
      <c r="CW3" s="208">
        <v>0</v>
      </c>
      <c r="CX3" s="208">
        <v>0</v>
      </c>
      <c r="CY3" s="208">
        <v>0</v>
      </c>
      <c r="CZ3" s="208">
        <v>0</v>
      </c>
      <c r="DA3" s="208" t="s">
        <v>21190</v>
      </c>
      <c r="DB3" s="208">
        <v>0</v>
      </c>
      <c r="DC3" s="208">
        <v>0</v>
      </c>
      <c r="DD3" s="208">
        <v>0</v>
      </c>
      <c r="DE3" s="208">
        <v>0</v>
      </c>
      <c r="DF3" s="208">
        <v>0</v>
      </c>
      <c r="DG3" s="208">
        <v>0</v>
      </c>
      <c r="DH3" s="208" t="s">
        <v>21190</v>
      </c>
      <c r="DI3" s="208">
        <v>0</v>
      </c>
      <c r="DJ3" s="208">
        <v>0</v>
      </c>
      <c r="DK3" s="208">
        <v>0</v>
      </c>
      <c r="DL3" s="208">
        <v>0</v>
      </c>
      <c r="DM3" s="208">
        <v>0</v>
      </c>
      <c r="DN3" s="208">
        <v>0</v>
      </c>
      <c r="DO3" s="208" t="s">
        <v>21177</v>
      </c>
      <c r="DP3" s="208">
        <v>90</v>
      </c>
      <c r="DQ3" s="208">
        <v>90</v>
      </c>
      <c r="DR3" s="208">
        <v>90</v>
      </c>
      <c r="DS3" s="208">
        <v>0</v>
      </c>
      <c r="DT3" s="208">
        <v>0</v>
      </c>
      <c r="DU3" s="208">
        <v>0</v>
      </c>
      <c r="DV3" s="208" t="s">
        <v>21191</v>
      </c>
      <c r="DW3" s="208">
        <v>90</v>
      </c>
      <c r="DX3" s="208" t="s">
        <v>21190</v>
      </c>
      <c r="DY3" s="208">
        <v>0</v>
      </c>
      <c r="DZ3" s="208">
        <v>0</v>
      </c>
      <c r="EA3" s="208">
        <v>0</v>
      </c>
      <c r="EB3" s="208">
        <v>0</v>
      </c>
      <c r="EC3" s="208">
        <v>0</v>
      </c>
      <c r="ED3" s="208">
        <v>0</v>
      </c>
      <c r="EE3" s="208" t="s">
        <v>21190</v>
      </c>
      <c r="EF3" s="208">
        <v>0</v>
      </c>
      <c r="EG3" s="208" t="s">
        <v>21190</v>
      </c>
      <c r="EH3" s="208">
        <v>0</v>
      </c>
      <c r="EI3" s="208">
        <v>0</v>
      </c>
      <c r="EJ3" s="208">
        <v>0</v>
      </c>
      <c r="EK3" s="208">
        <v>0</v>
      </c>
      <c r="EL3" s="208">
        <v>0</v>
      </c>
      <c r="EM3" s="208">
        <v>0</v>
      </c>
      <c r="EN3" s="208" t="s">
        <v>21190</v>
      </c>
      <c r="EO3" s="208">
        <v>0</v>
      </c>
      <c r="EP3" s="208" t="s">
        <v>21190</v>
      </c>
      <c r="EQ3" s="208">
        <v>0</v>
      </c>
      <c r="ER3" s="208">
        <v>0</v>
      </c>
      <c r="ES3" s="208">
        <v>0</v>
      </c>
      <c r="ET3" s="208">
        <v>0</v>
      </c>
      <c r="EU3" s="208">
        <v>0</v>
      </c>
      <c r="EV3" s="208">
        <v>0</v>
      </c>
      <c r="EW3" s="208" t="s">
        <v>21190</v>
      </c>
      <c r="EX3" s="208">
        <v>0</v>
      </c>
      <c r="EY3" s="208" t="s">
        <v>21190</v>
      </c>
      <c r="EZ3" s="208">
        <v>0</v>
      </c>
      <c r="FA3" s="208">
        <v>0</v>
      </c>
      <c r="FB3" s="208">
        <v>0</v>
      </c>
      <c r="FC3" s="208">
        <v>0</v>
      </c>
      <c r="FD3" s="208">
        <v>0</v>
      </c>
      <c r="FE3" s="208">
        <v>0</v>
      </c>
      <c r="FF3" s="208" t="s">
        <v>21190</v>
      </c>
      <c r="FG3" s="208">
        <v>0</v>
      </c>
      <c r="FH3" s="208" t="s">
        <v>21190</v>
      </c>
      <c r="FI3" s="208">
        <v>0</v>
      </c>
      <c r="FJ3" s="208">
        <v>0</v>
      </c>
      <c r="FK3" s="208">
        <v>0</v>
      </c>
      <c r="FL3" s="208">
        <v>0</v>
      </c>
      <c r="FM3" s="208">
        <v>0</v>
      </c>
      <c r="FN3" s="208">
        <v>0</v>
      </c>
      <c r="FO3" s="208" t="s">
        <v>21190</v>
      </c>
      <c r="FP3" s="208">
        <v>0</v>
      </c>
      <c r="FQ3" s="208">
        <v>90</v>
      </c>
      <c r="FR3" s="208" t="s">
        <v>19816</v>
      </c>
      <c r="FS3" s="208" t="s">
        <v>21190</v>
      </c>
      <c r="FT3" s="208" t="s">
        <v>21190</v>
      </c>
      <c r="FU3" s="208" t="s">
        <v>21190</v>
      </c>
      <c r="FV3" s="208" t="s">
        <v>21190</v>
      </c>
      <c r="FW3" s="208" t="s">
        <v>21190</v>
      </c>
      <c r="FX3" s="208" t="s">
        <v>21178</v>
      </c>
      <c r="FY3" s="208">
        <v>42</v>
      </c>
      <c r="FZ3" s="208">
        <v>42</v>
      </c>
      <c r="GA3" s="208">
        <v>42</v>
      </c>
      <c r="GB3" s="208">
        <v>0</v>
      </c>
      <c r="GC3" s="208">
        <v>0</v>
      </c>
      <c r="GD3" s="208">
        <v>0</v>
      </c>
      <c r="GE3" s="208" t="s">
        <v>21192</v>
      </c>
      <c r="GF3" s="208" t="s">
        <v>21190</v>
      </c>
      <c r="GG3" s="208">
        <v>0</v>
      </c>
      <c r="GH3" s="208">
        <v>0</v>
      </c>
      <c r="GI3" s="208">
        <v>0</v>
      </c>
      <c r="GJ3" s="208">
        <v>0</v>
      </c>
      <c r="GK3" s="208">
        <v>0</v>
      </c>
      <c r="GL3" s="208">
        <v>0</v>
      </c>
      <c r="GM3" s="208" t="s">
        <v>21190</v>
      </c>
      <c r="GN3" s="208" t="s">
        <v>21190</v>
      </c>
      <c r="GO3" s="208">
        <v>0</v>
      </c>
      <c r="GP3" s="208">
        <v>0</v>
      </c>
      <c r="GQ3" s="208">
        <v>0</v>
      </c>
      <c r="GR3" s="208">
        <v>0</v>
      </c>
      <c r="GS3" s="208">
        <v>0</v>
      </c>
      <c r="GT3" s="208">
        <v>0</v>
      </c>
      <c r="GU3" s="208" t="s">
        <v>21190</v>
      </c>
      <c r="GV3" s="208" t="s">
        <v>21190</v>
      </c>
      <c r="GW3" s="208">
        <v>0</v>
      </c>
      <c r="GX3" s="208">
        <v>0</v>
      </c>
      <c r="GY3" s="208">
        <v>0</v>
      </c>
      <c r="GZ3" s="208">
        <v>0</v>
      </c>
      <c r="HA3" s="208">
        <v>0</v>
      </c>
      <c r="HB3" s="208">
        <v>0</v>
      </c>
      <c r="HC3" s="208" t="s">
        <v>21190</v>
      </c>
      <c r="HD3" s="208" t="s">
        <v>21190</v>
      </c>
      <c r="HE3" s="208">
        <v>0</v>
      </c>
      <c r="HF3" s="208">
        <v>0</v>
      </c>
      <c r="HG3" s="208">
        <v>0</v>
      </c>
      <c r="HH3" s="208">
        <v>0</v>
      </c>
      <c r="HI3" s="208">
        <v>0</v>
      </c>
      <c r="HJ3" s="208">
        <v>0</v>
      </c>
      <c r="HK3" s="208" t="s">
        <v>21190</v>
      </c>
      <c r="HL3" s="208" t="s">
        <v>21190</v>
      </c>
      <c r="HM3" s="208">
        <v>0</v>
      </c>
      <c r="HN3" s="208">
        <v>0</v>
      </c>
      <c r="HO3" s="208">
        <v>0</v>
      </c>
      <c r="HP3" s="208">
        <v>0</v>
      </c>
      <c r="HQ3" s="208">
        <v>0</v>
      </c>
      <c r="HR3" s="208">
        <v>0</v>
      </c>
      <c r="HS3" s="208" t="s">
        <v>21190</v>
      </c>
      <c r="HT3" s="208" t="s">
        <v>21193</v>
      </c>
      <c r="HU3" s="208">
        <v>42</v>
      </c>
      <c r="HV3" s="208">
        <v>0</v>
      </c>
      <c r="HW3" s="208">
        <v>0</v>
      </c>
      <c r="HX3" s="208">
        <v>0</v>
      </c>
      <c r="HY3" s="208">
        <v>0</v>
      </c>
      <c r="HZ3" s="208">
        <v>0</v>
      </c>
      <c r="IA3" s="600">
        <v>42</v>
      </c>
      <c r="IB3" s="600">
        <v>38</v>
      </c>
      <c r="IC3" s="342" t="s">
        <v>21037</v>
      </c>
      <c r="ID3" s="342" t="s">
        <v>21201</v>
      </c>
      <c r="IE3" s="342" t="s">
        <v>21195</v>
      </c>
      <c r="IF3" s="342" t="s">
        <v>21196</v>
      </c>
      <c r="IG3" s="382">
        <v>43780</v>
      </c>
      <c r="IH3" s="382">
        <v>45607</v>
      </c>
      <c r="II3" s="208">
        <v>7</v>
      </c>
    </row>
    <row r="4" ht="118.8">
      <c r="A4" s="207">
        <v>3</v>
      </c>
      <c r="B4" s="342" t="s">
        <v>21171</v>
      </c>
      <c r="C4" s="342" t="s">
        <v>21172</v>
      </c>
      <c r="D4" s="600">
        <v>216501</v>
      </c>
      <c r="E4" s="317" t="s">
        <v>21103</v>
      </c>
      <c r="F4" s="207" t="s">
        <v>20946</v>
      </c>
      <c r="G4" s="600">
        <v>12.93722</v>
      </c>
      <c r="H4" s="600">
        <v>108.02293</v>
      </c>
      <c r="I4" s="207">
        <v>1</v>
      </c>
      <c r="J4" s="207">
        <v>1</v>
      </c>
      <c r="K4" s="207" t="s">
        <v>21173</v>
      </c>
      <c r="L4" s="207" t="s">
        <v>21202</v>
      </c>
      <c r="M4" s="207" t="s">
        <v>21175</v>
      </c>
      <c r="N4" s="207">
        <v>3</v>
      </c>
      <c r="O4" s="207" t="s">
        <v>21176</v>
      </c>
      <c r="P4" s="207" t="s">
        <v>21177</v>
      </c>
      <c r="Q4" s="207">
        <v>900</v>
      </c>
      <c r="R4" s="207" t="s">
        <v>21178</v>
      </c>
      <c r="S4" s="363" t="b">
        <v>1</v>
      </c>
      <c r="T4" s="207" t="s">
        <v>21104</v>
      </c>
      <c r="U4" s="207">
        <v>0</v>
      </c>
      <c r="V4" s="207" t="s">
        <v>21179</v>
      </c>
      <c r="W4" s="207" t="s">
        <v>21105</v>
      </c>
      <c r="X4" s="209" t="s">
        <v>21180</v>
      </c>
      <c r="Y4" s="207" t="b">
        <v>1</v>
      </c>
      <c r="Z4" s="363" t="b">
        <v>0</v>
      </c>
      <c r="AA4" s="600">
        <v>42</v>
      </c>
      <c r="AB4" s="363" t="b">
        <v>1</v>
      </c>
      <c r="AC4" s="600">
        <v>4</v>
      </c>
      <c r="AD4" s="207" t="b">
        <v>0</v>
      </c>
      <c r="AE4" s="207" t="s">
        <v>21181</v>
      </c>
      <c r="AF4" s="207" t="s">
        <v>21182</v>
      </c>
      <c r="AG4" s="342" t="s">
        <v>21183</v>
      </c>
      <c r="AH4" s="342" t="s">
        <v>21184</v>
      </c>
      <c r="AI4" s="342" t="s">
        <v>21055</v>
      </c>
      <c r="AJ4" s="342" t="s">
        <v>21060</v>
      </c>
      <c r="AK4" s="342" t="s">
        <v>21185</v>
      </c>
      <c r="AL4" s="208"/>
      <c r="AM4" s="208" t="s">
        <v>21186</v>
      </c>
      <c r="AN4" s="208" t="s">
        <v>21173</v>
      </c>
      <c r="AO4" s="207">
        <v>3</v>
      </c>
      <c r="AP4" s="287" t="s">
        <v>21198</v>
      </c>
      <c r="AQ4" s="446" t="s">
        <v>21203</v>
      </c>
      <c r="AR4" s="446" t="s">
        <v>21204</v>
      </c>
      <c r="AS4" s="447" t="s">
        <v>20945</v>
      </c>
      <c r="AT4" s="208" t="s">
        <v>21173</v>
      </c>
      <c r="AU4" s="208" t="s">
        <v>21190</v>
      </c>
      <c r="AV4" s="208" t="s">
        <v>21190</v>
      </c>
      <c r="AW4" s="208" t="s">
        <v>21190</v>
      </c>
      <c r="AX4" s="208" t="s">
        <v>21190</v>
      </c>
      <c r="AY4" s="208" t="s">
        <v>21190</v>
      </c>
      <c r="AZ4" s="208" t="s">
        <v>21172</v>
      </c>
      <c r="BA4" s="208" t="s">
        <v>21190</v>
      </c>
      <c r="BB4" s="208" t="s">
        <v>21190</v>
      </c>
      <c r="BC4" s="208" t="s">
        <v>21190</v>
      </c>
      <c r="BD4" s="208" t="s">
        <v>21190</v>
      </c>
      <c r="BE4" s="208" t="s">
        <v>21190</v>
      </c>
      <c r="BF4" s="208" t="s">
        <v>21172</v>
      </c>
      <c r="BG4" s="208" t="s">
        <v>21202</v>
      </c>
      <c r="BH4" s="208" t="s">
        <v>21190</v>
      </c>
      <c r="BI4" s="208" t="s">
        <v>21190</v>
      </c>
      <c r="BJ4" s="208" t="s">
        <v>21190</v>
      </c>
      <c r="BK4" s="208" t="s">
        <v>21190</v>
      </c>
      <c r="BL4" s="208" t="s">
        <v>21190</v>
      </c>
      <c r="BM4" s="208" t="s">
        <v>21175</v>
      </c>
      <c r="BN4" s="208" t="s">
        <v>21190</v>
      </c>
      <c r="BO4" s="208" t="s">
        <v>21190</v>
      </c>
      <c r="BP4" s="208" t="s">
        <v>21190</v>
      </c>
      <c r="BQ4" s="208" t="s">
        <v>21190</v>
      </c>
      <c r="BR4" s="208" t="s">
        <v>21190</v>
      </c>
      <c r="BS4" s="208">
        <v>3</v>
      </c>
      <c r="BT4" s="208">
        <v>0</v>
      </c>
      <c r="BU4" s="208">
        <v>0</v>
      </c>
      <c r="BV4" s="208">
        <v>0</v>
      </c>
      <c r="BW4" s="208">
        <v>0</v>
      </c>
      <c r="BX4" s="208">
        <v>0</v>
      </c>
      <c r="BY4" s="208" t="s">
        <v>21176</v>
      </c>
      <c r="BZ4" s="208">
        <v>1</v>
      </c>
      <c r="CA4" s="208">
        <v>1</v>
      </c>
      <c r="CB4" s="208">
        <v>1</v>
      </c>
      <c r="CC4" s="208">
        <v>0</v>
      </c>
      <c r="CD4" s="208">
        <v>0</v>
      </c>
      <c r="CE4" s="208">
        <v>0</v>
      </c>
      <c r="CF4" s="208" t="s">
        <v>21190</v>
      </c>
      <c r="CG4" s="208">
        <v>0</v>
      </c>
      <c r="CH4" s="208">
        <v>0</v>
      </c>
      <c r="CI4" s="208">
        <v>0</v>
      </c>
      <c r="CJ4" s="208">
        <v>0</v>
      </c>
      <c r="CK4" s="208">
        <v>0</v>
      </c>
      <c r="CL4" s="208">
        <v>0</v>
      </c>
      <c r="CM4" s="208" t="s">
        <v>21190</v>
      </c>
      <c r="CN4" s="208">
        <v>0</v>
      </c>
      <c r="CO4" s="208">
        <v>0</v>
      </c>
      <c r="CP4" s="208">
        <v>0</v>
      </c>
      <c r="CQ4" s="208">
        <v>0</v>
      </c>
      <c r="CR4" s="208">
        <v>0</v>
      </c>
      <c r="CS4" s="208">
        <v>0</v>
      </c>
      <c r="CT4" s="208" t="s">
        <v>21190</v>
      </c>
      <c r="CU4" s="208">
        <v>0</v>
      </c>
      <c r="CV4" s="208">
        <v>0</v>
      </c>
      <c r="CW4" s="208">
        <v>0</v>
      </c>
      <c r="CX4" s="208">
        <v>0</v>
      </c>
      <c r="CY4" s="208">
        <v>0</v>
      </c>
      <c r="CZ4" s="208">
        <v>0</v>
      </c>
      <c r="DA4" s="208" t="s">
        <v>21190</v>
      </c>
      <c r="DB4" s="208">
        <v>0</v>
      </c>
      <c r="DC4" s="208">
        <v>0</v>
      </c>
      <c r="DD4" s="208">
        <v>0</v>
      </c>
      <c r="DE4" s="208">
        <v>0</v>
      </c>
      <c r="DF4" s="208">
        <v>0</v>
      </c>
      <c r="DG4" s="208">
        <v>0</v>
      </c>
      <c r="DH4" s="208" t="s">
        <v>21190</v>
      </c>
      <c r="DI4" s="208">
        <v>0</v>
      </c>
      <c r="DJ4" s="208">
        <v>0</v>
      </c>
      <c r="DK4" s="208">
        <v>0</v>
      </c>
      <c r="DL4" s="208">
        <v>0</v>
      </c>
      <c r="DM4" s="208">
        <v>0</v>
      </c>
      <c r="DN4" s="208">
        <v>0</v>
      </c>
      <c r="DO4" s="208" t="s">
        <v>21177</v>
      </c>
      <c r="DP4" s="208">
        <v>90</v>
      </c>
      <c r="DQ4" s="208">
        <v>90</v>
      </c>
      <c r="DR4" s="208">
        <v>90</v>
      </c>
      <c r="DS4" s="208">
        <v>0</v>
      </c>
      <c r="DT4" s="208">
        <v>0</v>
      </c>
      <c r="DU4" s="208">
        <v>0</v>
      </c>
      <c r="DV4" s="208" t="s">
        <v>21191</v>
      </c>
      <c r="DW4" s="208">
        <v>90</v>
      </c>
      <c r="DX4" s="208" t="s">
        <v>21190</v>
      </c>
      <c r="DY4" s="208">
        <v>0</v>
      </c>
      <c r="DZ4" s="208">
        <v>0</v>
      </c>
      <c r="EA4" s="208">
        <v>0</v>
      </c>
      <c r="EB4" s="208">
        <v>0</v>
      </c>
      <c r="EC4" s="208">
        <v>0</v>
      </c>
      <c r="ED4" s="208">
        <v>0</v>
      </c>
      <c r="EE4" s="208" t="s">
        <v>21190</v>
      </c>
      <c r="EF4" s="208">
        <v>0</v>
      </c>
      <c r="EG4" s="208" t="s">
        <v>21190</v>
      </c>
      <c r="EH4" s="208">
        <v>0</v>
      </c>
      <c r="EI4" s="208">
        <v>0</v>
      </c>
      <c r="EJ4" s="208">
        <v>0</v>
      </c>
      <c r="EK4" s="208">
        <v>0</v>
      </c>
      <c r="EL4" s="208">
        <v>0</v>
      </c>
      <c r="EM4" s="208">
        <v>0</v>
      </c>
      <c r="EN4" s="208" t="s">
        <v>21190</v>
      </c>
      <c r="EO4" s="208">
        <v>0</v>
      </c>
      <c r="EP4" s="208" t="s">
        <v>21190</v>
      </c>
      <c r="EQ4" s="208">
        <v>0</v>
      </c>
      <c r="ER4" s="208">
        <v>0</v>
      </c>
      <c r="ES4" s="208">
        <v>0</v>
      </c>
      <c r="ET4" s="208">
        <v>0</v>
      </c>
      <c r="EU4" s="208">
        <v>0</v>
      </c>
      <c r="EV4" s="208">
        <v>0</v>
      </c>
      <c r="EW4" s="208" t="s">
        <v>21190</v>
      </c>
      <c r="EX4" s="208">
        <v>0</v>
      </c>
      <c r="EY4" s="208" t="s">
        <v>21190</v>
      </c>
      <c r="EZ4" s="208">
        <v>0</v>
      </c>
      <c r="FA4" s="208">
        <v>0</v>
      </c>
      <c r="FB4" s="208">
        <v>0</v>
      </c>
      <c r="FC4" s="208">
        <v>0</v>
      </c>
      <c r="FD4" s="208">
        <v>0</v>
      </c>
      <c r="FE4" s="208">
        <v>0</v>
      </c>
      <c r="FF4" s="208" t="s">
        <v>21190</v>
      </c>
      <c r="FG4" s="208">
        <v>0</v>
      </c>
      <c r="FH4" s="208" t="s">
        <v>21190</v>
      </c>
      <c r="FI4" s="208">
        <v>0</v>
      </c>
      <c r="FJ4" s="208">
        <v>0</v>
      </c>
      <c r="FK4" s="208">
        <v>0</v>
      </c>
      <c r="FL4" s="208">
        <v>0</v>
      </c>
      <c r="FM4" s="208">
        <v>0</v>
      </c>
      <c r="FN4" s="208">
        <v>0</v>
      </c>
      <c r="FO4" s="208" t="s">
        <v>21190</v>
      </c>
      <c r="FP4" s="208">
        <v>0</v>
      </c>
      <c r="FQ4" s="208">
        <v>90</v>
      </c>
      <c r="FR4" s="208" t="s">
        <v>19816</v>
      </c>
      <c r="FS4" s="208" t="s">
        <v>21190</v>
      </c>
      <c r="FT4" s="208" t="s">
        <v>21190</v>
      </c>
      <c r="FU4" s="208" t="s">
        <v>21190</v>
      </c>
      <c r="FV4" s="208" t="s">
        <v>21190</v>
      </c>
      <c r="FW4" s="208" t="s">
        <v>21190</v>
      </c>
      <c r="FX4" s="208" t="s">
        <v>21178</v>
      </c>
      <c r="FY4" s="208">
        <v>42</v>
      </c>
      <c r="FZ4" s="208">
        <v>42</v>
      </c>
      <c r="GA4" s="208">
        <v>42</v>
      </c>
      <c r="GB4" s="208">
        <v>0</v>
      </c>
      <c r="GC4" s="208">
        <v>0</v>
      </c>
      <c r="GD4" s="208">
        <v>0</v>
      </c>
      <c r="GE4" s="208" t="s">
        <v>21192</v>
      </c>
      <c r="GF4" s="208" t="s">
        <v>21190</v>
      </c>
      <c r="GG4" s="208">
        <v>0</v>
      </c>
      <c r="GH4" s="208">
        <v>0</v>
      </c>
      <c r="GI4" s="208">
        <v>0</v>
      </c>
      <c r="GJ4" s="208">
        <v>0</v>
      </c>
      <c r="GK4" s="208">
        <v>0</v>
      </c>
      <c r="GL4" s="208">
        <v>0</v>
      </c>
      <c r="GM4" s="208" t="s">
        <v>21190</v>
      </c>
      <c r="GN4" s="208" t="s">
        <v>21190</v>
      </c>
      <c r="GO4" s="208">
        <v>0</v>
      </c>
      <c r="GP4" s="208">
        <v>0</v>
      </c>
      <c r="GQ4" s="208">
        <v>0</v>
      </c>
      <c r="GR4" s="208">
        <v>0</v>
      </c>
      <c r="GS4" s="208">
        <v>0</v>
      </c>
      <c r="GT4" s="208">
        <v>0</v>
      </c>
      <c r="GU4" s="208" t="s">
        <v>21190</v>
      </c>
      <c r="GV4" s="208" t="s">
        <v>21190</v>
      </c>
      <c r="GW4" s="208">
        <v>0</v>
      </c>
      <c r="GX4" s="208">
        <v>0</v>
      </c>
      <c r="GY4" s="208">
        <v>0</v>
      </c>
      <c r="GZ4" s="208">
        <v>0</v>
      </c>
      <c r="HA4" s="208">
        <v>0</v>
      </c>
      <c r="HB4" s="208">
        <v>0</v>
      </c>
      <c r="HC4" s="208" t="s">
        <v>21190</v>
      </c>
      <c r="HD4" s="208" t="s">
        <v>21190</v>
      </c>
      <c r="HE4" s="208">
        <v>0</v>
      </c>
      <c r="HF4" s="208">
        <v>0</v>
      </c>
      <c r="HG4" s="208">
        <v>0</v>
      </c>
      <c r="HH4" s="208">
        <v>0</v>
      </c>
      <c r="HI4" s="208">
        <v>0</v>
      </c>
      <c r="HJ4" s="208">
        <v>0</v>
      </c>
      <c r="HK4" s="208" t="s">
        <v>21190</v>
      </c>
      <c r="HL4" s="208" t="s">
        <v>21190</v>
      </c>
      <c r="HM4" s="208">
        <v>0</v>
      </c>
      <c r="HN4" s="208">
        <v>0</v>
      </c>
      <c r="HO4" s="208">
        <v>0</v>
      </c>
      <c r="HP4" s="208">
        <v>0</v>
      </c>
      <c r="HQ4" s="208">
        <v>0</v>
      </c>
      <c r="HR4" s="208">
        <v>0</v>
      </c>
      <c r="HS4" s="208" t="s">
        <v>21190</v>
      </c>
      <c r="HT4" s="208" t="s">
        <v>21193</v>
      </c>
      <c r="HU4" s="208">
        <v>42</v>
      </c>
      <c r="HV4" s="208">
        <v>0</v>
      </c>
      <c r="HW4" s="208">
        <v>0</v>
      </c>
      <c r="HX4" s="208">
        <v>0</v>
      </c>
      <c r="HY4" s="208">
        <v>0</v>
      </c>
      <c r="HZ4" s="208">
        <v>0</v>
      </c>
      <c r="IA4" s="600">
        <v>42</v>
      </c>
      <c r="IB4" s="600">
        <v>38</v>
      </c>
      <c r="IC4" s="342" t="s">
        <v>21037</v>
      </c>
      <c r="ID4" s="342" t="s">
        <v>2142</v>
      </c>
      <c r="IE4" s="342" t="s">
        <v>21195</v>
      </c>
      <c r="IF4" s="342" t="s">
        <v>21196</v>
      </c>
      <c r="IG4" s="382">
        <v>43780</v>
      </c>
      <c r="IH4" s="382">
        <v>45607</v>
      </c>
      <c r="II4" s="208">
        <v>7</v>
      </c>
    </row>
    <row r="5" ht="118.8">
      <c r="A5" s="207">
        <v>4</v>
      </c>
      <c r="B5" s="342" t="s">
        <v>21171</v>
      </c>
      <c r="C5" s="342" t="s">
        <v>21172</v>
      </c>
      <c r="D5" s="600">
        <v>216502</v>
      </c>
      <c r="E5" s="317" t="s">
        <v>21106</v>
      </c>
      <c r="F5" s="207" t="s">
        <v>20946</v>
      </c>
      <c r="G5" s="600">
        <v>12.39463</v>
      </c>
      <c r="H5" s="600">
        <v>108.08707</v>
      </c>
      <c r="I5" s="207">
        <v>1</v>
      </c>
      <c r="J5" s="207">
        <v>1</v>
      </c>
      <c r="K5" s="207" t="s">
        <v>21173</v>
      </c>
      <c r="L5" s="207" t="s">
        <v>21205</v>
      </c>
      <c r="M5" s="207" t="s">
        <v>21175</v>
      </c>
      <c r="N5" s="207">
        <v>3</v>
      </c>
      <c r="O5" s="207" t="s">
        <v>21176</v>
      </c>
      <c r="P5" s="207" t="s">
        <v>21177</v>
      </c>
      <c r="Q5" s="207">
        <v>900</v>
      </c>
      <c r="R5" s="207" t="s">
        <v>21178</v>
      </c>
      <c r="S5" s="363" t="b">
        <v>1</v>
      </c>
      <c r="T5" s="207" t="s">
        <v>21107</v>
      </c>
      <c r="U5" s="207">
        <v>0</v>
      </c>
      <c r="V5" s="207" t="s">
        <v>21179</v>
      </c>
      <c r="W5" s="207" t="s">
        <v>21108</v>
      </c>
      <c r="X5" s="209" t="s">
        <v>21180</v>
      </c>
      <c r="Y5" s="207" t="b">
        <v>1</v>
      </c>
      <c r="Z5" s="363" t="b">
        <v>0</v>
      </c>
      <c r="AA5" s="600">
        <v>42</v>
      </c>
      <c r="AB5" s="363" t="b">
        <v>1</v>
      </c>
      <c r="AC5" s="600">
        <v>4</v>
      </c>
      <c r="AD5" s="207" t="b">
        <v>0</v>
      </c>
      <c r="AE5" s="207" t="s">
        <v>21181</v>
      </c>
      <c r="AF5" s="207" t="s">
        <v>21182</v>
      </c>
      <c r="AG5" s="342" t="s">
        <v>21183</v>
      </c>
      <c r="AH5" s="342" t="s">
        <v>21184</v>
      </c>
      <c r="AI5" s="342" t="s">
        <v>21055</v>
      </c>
      <c r="AJ5" s="342" t="s">
        <v>21060</v>
      </c>
      <c r="AK5" s="342" t="s">
        <v>21185</v>
      </c>
      <c r="AL5" s="208"/>
      <c r="AM5" s="208" t="s">
        <v>21186</v>
      </c>
      <c r="AN5" s="208" t="s">
        <v>21173</v>
      </c>
      <c r="AO5" s="207">
        <v>3</v>
      </c>
      <c r="AP5" s="287" t="s">
        <v>21198</v>
      </c>
      <c r="AQ5" s="446" t="s">
        <v>21206</v>
      </c>
      <c r="AR5" s="446" t="s">
        <v>21207</v>
      </c>
      <c r="AS5" s="447" t="s">
        <v>20945</v>
      </c>
      <c r="AT5" s="208" t="s">
        <v>21173</v>
      </c>
      <c r="AU5" s="208" t="s">
        <v>21190</v>
      </c>
      <c r="AV5" s="208" t="s">
        <v>21190</v>
      </c>
      <c r="AW5" s="208" t="s">
        <v>21190</v>
      </c>
      <c r="AX5" s="208" t="s">
        <v>21190</v>
      </c>
      <c r="AY5" s="208" t="s">
        <v>21190</v>
      </c>
      <c r="AZ5" s="208" t="s">
        <v>21172</v>
      </c>
      <c r="BA5" s="208" t="s">
        <v>21190</v>
      </c>
      <c r="BB5" s="208" t="s">
        <v>21190</v>
      </c>
      <c r="BC5" s="208" t="s">
        <v>21190</v>
      </c>
      <c r="BD5" s="208" t="s">
        <v>21190</v>
      </c>
      <c r="BE5" s="208" t="s">
        <v>21190</v>
      </c>
      <c r="BF5" s="208" t="s">
        <v>21172</v>
      </c>
      <c r="BG5" s="208" t="s">
        <v>21205</v>
      </c>
      <c r="BH5" s="208" t="s">
        <v>21190</v>
      </c>
      <c r="BI5" s="208" t="s">
        <v>21190</v>
      </c>
      <c r="BJ5" s="208" t="s">
        <v>21190</v>
      </c>
      <c r="BK5" s="208" t="s">
        <v>21190</v>
      </c>
      <c r="BL5" s="208" t="s">
        <v>21190</v>
      </c>
      <c r="BM5" s="208" t="s">
        <v>21175</v>
      </c>
      <c r="BN5" s="208" t="s">
        <v>21190</v>
      </c>
      <c r="BO5" s="208" t="s">
        <v>21190</v>
      </c>
      <c r="BP5" s="208" t="s">
        <v>21190</v>
      </c>
      <c r="BQ5" s="208" t="s">
        <v>21190</v>
      </c>
      <c r="BR5" s="208" t="s">
        <v>21190</v>
      </c>
      <c r="BS5" s="208">
        <v>3</v>
      </c>
      <c r="BT5" s="208">
        <v>0</v>
      </c>
      <c r="BU5" s="208">
        <v>0</v>
      </c>
      <c r="BV5" s="208">
        <v>0</v>
      </c>
      <c r="BW5" s="208">
        <v>0</v>
      </c>
      <c r="BX5" s="208">
        <v>0</v>
      </c>
      <c r="BY5" s="208" t="s">
        <v>21176</v>
      </c>
      <c r="BZ5" s="208">
        <v>1</v>
      </c>
      <c r="CA5" s="208">
        <v>1</v>
      </c>
      <c r="CB5" s="208">
        <v>1</v>
      </c>
      <c r="CC5" s="208">
        <v>0</v>
      </c>
      <c r="CD5" s="208">
        <v>0</v>
      </c>
      <c r="CE5" s="208">
        <v>0</v>
      </c>
      <c r="CF5" s="208" t="s">
        <v>21190</v>
      </c>
      <c r="CG5" s="208">
        <v>0</v>
      </c>
      <c r="CH5" s="208">
        <v>0</v>
      </c>
      <c r="CI5" s="208">
        <v>0</v>
      </c>
      <c r="CJ5" s="208">
        <v>0</v>
      </c>
      <c r="CK5" s="208">
        <v>0</v>
      </c>
      <c r="CL5" s="208">
        <v>0</v>
      </c>
      <c r="CM5" s="208" t="s">
        <v>21190</v>
      </c>
      <c r="CN5" s="208">
        <v>0</v>
      </c>
      <c r="CO5" s="208">
        <v>0</v>
      </c>
      <c r="CP5" s="208">
        <v>0</v>
      </c>
      <c r="CQ5" s="208">
        <v>0</v>
      </c>
      <c r="CR5" s="208">
        <v>0</v>
      </c>
      <c r="CS5" s="208">
        <v>0</v>
      </c>
      <c r="CT5" s="208" t="s">
        <v>21190</v>
      </c>
      <c r="CU5" s="208">
        <v>0</v>
      </c>
      <c r="CV5" s="208">
        <v>0</v>
      </c>
      <c r="CW5" s="208">
        <v>0</v>
      </c>
      <c r="CX5" s="208">
        <v>0</v>
      </c>
      <c r="CY5" s="208">
        <v>0</v>
      </c>
      <c r="CZ5" s="208">
        <v>0</v>
      </c>
      <c r="DA5" s="208" t="s">
        <v>21190</v>
      </c>
      <c r="DB5" s="208">
        <v>0</v>
      </c>
      <c r="DC5" s="208">
        <v>0</v>
      </c>
      <c r="DD5" s="208">
        <v>0</v>
      </c>
      <c r="DE5" s="208">
        <v>0</v>
      </c>
      <c r="DF5" s="208">
        <v>0</v>
      </c>
      <c r="DG5" s="208">
        <v>0</v>
      </c>
      <c r="DH5" s="208" t="s">
        <v>21190</v>
      </c>
      <c r="DI5" s="208">
        <v>0</v>
      </c>
      <c r="DJ5" s="208">
        <v>0</v>
      </c>
      <c r="DK5" s="208">
        <v>0</v>
      </c>
      <c r="DL5" s="208">
        <v>0</v>
      </c>
      <c r="DM5" s="208">
        <v>0</v>
      </c>
      <c r="DN5" s="208">
        <v>0</v>
      </c>
      <c r="DO5" s="208" t="s">
        <v>21177</v>
      </c>
      <c r="DP5" s="208">
        <v>90</v>
      </c>
      <c r="DQ5" s="208">
        <v>90</v>
      </c>
      <c r="DR5" s="208">
        <v>90</v>
      </c>
      <c r="DS5" s="208">
        <v>0</v>
      </c>
      <c r="DT5" s="208">
        <v>0</v>
      </c>
      <c r="DU5" s="208">
        <v>0</v>
      </c>
      <c r="DV5" s="208" t="s">
        <v>21191</v>
      </c>
      <c r="DW5" s="208">
        <v>90</v>
      </c>
      <c r="DX5" s="208" t="s">
        <v>21190</v>
      </c>
      <c r="DY5" s="208">
        <v>0</v>
      </c>
      <c r="DZ5" s="208">
        <v>0</v>
      </c>
      <c r="EA5" s="208">
        <v>0</v>
      </c>
      <c r="EB5" s="208">
        <v>0</v>
      </c>
      <c r="EC5" s="208">
        <v>0</v>
      </c>
      <c r="ED5" s="208">
        <v>0</v>
      </c>
      <c r="EE5" s="208" t="s">
        <v>21190</v>
      </c>
      <c r="EF5" s="208">
        <v>0</v>
      </c>
      <c r="EG5" s="208" t="s">
        <v>21190</v>
      </c>
      <c r="EH5" s="208">
        <v>0</v>
      </c>
      <c r="EI5" s="208">
        <v>0</v>
      </c>
      <c r="EJ5" s="208">
        <v>0</v>
      </c>
      <c r="EK5" s="208">
        <v>0</v>
      </c>
      <c r="EL5" s="208">
        <v>0</v>
      </c>
      <c r="EM5" s="208">
        <v>0</v>
      </c>
      <c r="EN5" s="208" t="s">
        <v>21190</v>
      </c>
      <c r="EO5" s="208">
        <v>0</v>
      </c>
      <c r="EP5" s="208" t="s">
        <v>21190</v>
      </c>
      <c r="EQ5" s="208">
        <v>0</v>
      </c>
      <c r="ER5" s="208">
        <v>0</v>
      </c>
      <c r="ES5" s="208">
        <v>0</v>
      </c>
      <c r="ET5" s="208">
        <v>0</v>
      </c>
      <c r="EU5" s="208">
        <v>0</v>
      </c>
      <c r="EV5" s="208">
        <v>0</v>
      </c>
      <c r="EW5" s="208" t="s">
        <v>21190</v>
      </c>
      <c r="EX5" s="208">
        <v>0</v>
      </c>
      <c r="EY5" s="208" t="s">
        <v>21190</v>
      </c>
      <c r="EZ5" s="208">
        <v>0</v>
      </c>
      <c r="FA5" s="208">
        <v>0</v>
      </c>
      <c r="FB5" s="208">
        <v>0</v>
      </c>
      <c r="FC5" s="208">
        <v>0</v>
      </c>
      <c r="FD5" s="208">
        <v>0</v>
      </c>
      <c r="FE5" s="208">
        <v>0</v>
      </c>
      <c r="FF5" s="208" t="s">
        <v>21190</v>
      </c>
      <c r="FG5" s="208">
        <v>0</v>
      </c>
      <c r="FH5" s="208" t="s">
        <v>21190</v>
      </c>
      <c r="FI5" s="208">
        <v>0</v>
      </c>
      <c r="FJ5" s="208">
        <v>0</v>
      </c>
      <c r="FK5" s="208">
        <v>0</v>
      </c>
      <c r="FL5" s="208">
        <v>0</v>
      </c>
      <c r="FM5" s="208">
        <v>0</v>
      </c>
      <c r="FN5" s="208">
        <v>0</v>
      </c>
      <c r="FO5" s="208" t="s">
        <v>21190</v>
      </c>
      <c r="FP5" s="208">
        <v>0</v>
      </c>
      <c r="FQ5" s="208">
        <v>90</v>
      </c>
      <c r="FR5" s="208" t="s">
        <v>19816</v>
      </c>
      <c r="FS5" s="208" t="s">
        <v>21190</v>
      </c>
      <c r="FT5" s="208" t="s">
        <v>21190</v>
      </c>
      <c r="FU5" s="208" t="s">
        <v>21190</v>
      </c>
      <c r="FV5" s="208" t="s">
        <v>21190</v>
      </c>
      <c r="FW5" s="208" t="s">
        <v>21190</v>
      </c>
      <c r="FX5" s="208" t="s">
        <v>21178</v>
      </c>
      <c r="FY5" s="208">
        <v>42</v>
      </c>
      <c r="FZ5" s="208">
        <v>42</v>
      </c>
      <c r="GA5" s="208">
        <v>42</v>
      </c>
      <c r="GB5" s="208">
        <v>0</v>
      </c>
      <c r="GC5" s="208">
        <v>0</v>
      </c>
      <c r="GD5" s="208">
        <v>0</v>
      </c>
      <c r="GE5" s="208" t="s">
        <v>21192</v>
      </c>
      <c r="GF5" s="208" t="s">
        <v>21190</v>
      </c>
      <c r="GG5" s="208">
        <v>0</v>
      </c>
      <c r="GH5" s="208">
        <v>0</v>
      </c>
      <c r="GI5" s="208">
        <v>0</v>
      </c>
      <c r="GJ5" s="208">
        <v>0</v>
      </c>
      <c r="GK5" s="208">
        <v>0</v>
      </c>
      <c r="GL5" s="208">
        <v>0</v>
      </c>
      <c r="GM5" s="208" t="s">
        <v>21190</v>
      </c>
      <c r="GN5" s="208" t="s">
        <v>21190</v>
      </c>
      <c r="GO5" s="208">
        <v>0</v>
      </c>
      <c r="GP5" s="208">
        <v>0</v>
      </c>
      <c r="GQ5" s="208">
        <v>0</v>
      </c>
      <c r="GR5" s="208">
        <v>0</v>
      </c>
      <c r="GS5" s="208">
        <v>0</v>
      </c>
      <c r="GT5" s="208">
        <v>0</v>
      </c>
      <c r="GU5" s="208" t="s">
        <v>21190</v>
      </c>
      <c r="GV5" s="208" t="s">
        <v>21190</v>
      </c>
      <c r="GW5" s="208">
        <v>0</v>
      </c>
      <c r="GX5" s="208">
        <v>0</v>
      </c>
      <c r="GY5" s="208">
        <v>0</v>
      </c>
      <c r="GZ5" s="208">
        <v>0</v>
      </c>
      <c r="HA5" s="208">
        <v>0</v>
      </c>
      <c r="HB5" s="208">
        <v>0</v>
      </c>
      <c r="HC5" s="208" t="s">
        <v>21190</v>
      </c>
      <c r="HD5" s="208" t="s">
        <v>21190</v>
      </c>
      <c r="HE5" s="208">
        <v>0</v>
      </c>
      <c r="HF5" s="208">
        <v>0</v>
      </c>
      <c r="HG5" s="208">
        <v>0</v>
      </c>
      <c r="HH5" s="208">
        <v>0</v>
      </c>
      <c r="HI5" s="208">
        <v>0</v>
      </c>
      <c r="HJ5" s="208">
        <v>0</v>
      </c>
      <c r="HK5" s="208" t="s">
        <v>21190</v>
      </c>
      <c r="HL5" s="208" t="s">
        <v>21190</v>
      </c>
      <c r="HM5" s="208">
        <v>0</v>
      </c>
      <c r="HN5" s="208">
        <v>0</v>
      </c>
      <c r="HO5" s="208">
        <v>0</v>
      </c>
      <c r="HP5" s="208">
        <v>0</v>
      </c>
      <c r="HQ5" s="208">
        <v>0</v>
      </c>
      <c r="HR5" s="208">
        <v>0</v>
      </c>
      <c r="HS5" s="208" t="s">
        <v>21190</v>
      </c>
      <c r="HT5" s="208" t="s">
        <v>21193</v>
      </c>
      <c r="HU5" s="208">
        <v>42</v>
      </c>
      <c r="HV5" s="208">
        <v>0</v>
      </c>
      <c r="HW5" s="208">
        <v>0</v>
      </c>
      <c r="HX5" s="208">
        <v>0</v>
      </c>
      <c r="HY5" s="208">
        <v>0</v>
      </c>
      <c r="HZ5" s="208">
        <v>0</v>
      </c>
      <c r="IA5" s="600">
        <v>42</v>
      </c>
      <c r="IB5" s="600">
        <v>38</v>
      </c>
      <c r="IC5" s="342" t="s">
        <v>21037</v>
      </c>
      <c r="ID5" s="342" t="s">
        <v>21208</v>
      </c>
      <c r="IE5" s="342" t="s">
        <v>21195</v>
      </c>
      <c r="IF5" s="342" t="s">
        <v>21196</v>
      </c>
      <c r="IG5" s="382">
        <v>43780</v>
      </c>
      <c r="IH5" s="382">
        <v>45607</v>
      </c>
      <c r="II5" s="208">
        <v>7</v>
      </c>
    </row>
    <row r="6" ht="118.8">
      <c r="A6" s="207">
        <v>5</v>
      </c>
      <c r="B6" s="342" t="s">
        <v>21171</v>
      </c>
      <c r="C6" s="342" t="s">
        <v>21172</v>
      </c>
      <c r="D6" s="600">
        <v>217501</v>
      </c>
      <c r="E6" s="317" t="s">
        <v>21109</v>
      </c>
      <c r="F6" s="207" t="s">
        <v>20952</v>
      </c>
      <c r="G6" s="600">
        <v>12.55385</v>
      </c>
      <c r="H6" s="600">
        <v>107.88986</v>
      </c>
      <c r="I6" s="207">
        <v>1</v>
      </c>
      <c r="J6" s="207">
        <v>1</v>
      </c>
      <c r="K6" s="207" t="s">
        <v>21173</v>
      </c>
      <c r="L6" s="207" t="s">
        <v>21209</v>
      </c>
      <c r="M6" s="207" t="s">
        <v>21175</v>
      </c>
      <c r="N6" s="207">
        <v>3</v>
      </c>
      <c r="O6" s="207" t="s">
        <v>21176</v>
      </c>
      <c r="P6" s="207" t="s">
        <v>21177</v>
      </c>
      <c r="Q6" s="207">
        <v>900</v>
      </c>
      <c r="R6" s="207" t="s">
        <v>21178</v>
      </c>
      <c r="S6" s="363" t="b">
        <v>1</v>
      </c>
      <c r="T6" s="207" t="s">
        <v>21110</v>
      </c>
      <c r="U6" s="207">
        <v>0</v>
      </c>
      <c r="V6" s="207" t="s">
        <v>21179</v>
      </c>
      <c r="W6" s="207" t="s">
        <v>21111</v>
      </c>
      <c r="X6" s="209" t="s">
        <v>21180</v>
      </c>
      <c r="Y6" s="207" t="b">
        <v>1</v>
      </c>
      <c r="Z6" s="363" t="b">
        <v>0</v>
      </c>
      <c r="AA6" s="600">
        <v>42</v>
      </c>
      <c r="AB6" s="363" t="b">
        <v>1</v>
      </c>
      <c r="AC6" s="600">
        <v>4</v>
      </c>
      <c r="AD6" s="207" t="b">
        <v>0</v>
      </c>
      <c r="AE6" s="207" t="s">
        <v>21181</v>
      </c>
      <c r="AF6" s="207" t="s">
        <v>21182</v>
      </c>
      <c r="AG6" s="342" t="s">
        <v>21183</v>
      </c>
      <c r="AH6" s="342" t="s">
        <v>21184</v>
      </c>
      <c r="AI6" s="342" t="s">
        <v>21055</v>
      </c>
      <c r="AJ6" s="342" t="s">
        <v>21060</v>
      </c>
      <c r="AK6" s="342" t="s">
        <v>21185</v>
      </c>
      <c r="AL6" s="208"/>
      <c r="AM6" s="208" t="s">
        <v>21186</v>
      </c>
      <c r="AN6" s="208" t="s">
        <v>21173</v>
      </c>
      <c r="AO6" s="207">
        <v>3</v>
      </c>
      <c r="AP6" s="287" t="s">
        <v>21210</v>
      </c>
      <c r="AQ6" s="446" t="s">
        <v>21211</v>
      </c>
      <c r="AR6" s="446" t="s">
        <v>21212</v>
      </c>
      <c r="AS6" s="447" t="s">
        <v>20951</v>
      </c>
      <c r="AT6" s="208" t="s">
        <v>21173</v>
      </c>
      <c r="AU6" s="208" t="s">
        <v>21190</v>
      </c>
      <c r="AV6" s="208" t="s">
        <v>21190</v>
      </c>
      <c r="AW6" s="208" t="s">
        <v>21190</v>
      </c>
      <c r="AX6" s="208" t="s">
        <v>21190</v>
      </c>
      <c r="AY6" s="208" t="s">
        <v>21190</v>
      </c>
      <c r="AZ6" s="208" t="s">
        <v>21172</v>
      </c>
      <c r="BA6" s="208" t="s">
        <v>21190</v>
      </c>
      <c r="BB6" s="208" t="s">
        <v>21190</v>
      </c>
      <c r="BC6" s="208" t="s">
        <v>21190</v>
      </c>
      <c r="BD6" s="208" t="s">
        <v>21190</v>
      </c>
      <c r="BE6" s="208" t="s">
        <v>21190</v>
      </c>
      <c r="BF6" s="208" t="s">
        <v>21172</v>
      </c>
      <c r="BG6" s="208" t="s">
        <v>21209</v>
      </c>
      <c r="BH6" s="208" t="s">
        <v>21190</v>
      </c>
      <c r="BI6" s="208" t="s">
        <v>21190</v>
      </c>
      <c r="BJ6" s="208" t="s">
        <v>21190</v>
      </c>
      <c r="BK6" s="208" t="s">
        <v>21190</v>
      </c>
      <c r="BL6" s="208" t="s">
        <v>21190</v>
      </c>
      <c r="BM6" s="208" t="s">
        <v>21175</v>
      </c>
      <c r="BN6" s="208" t="s">
        <v>21190</v>
      </c>
      <c r="BO6" s="208" t="s">
        <v>21190</v>
      </c>
      <c r="BP6" s="208" t="s">
        <v>21190</v>
      </c>
      <c r="BQ6" s="208" t="s">
        <v>21190</v>
      </c>
      <c r="BR6" s="208" t="s">
        <v>21190</v>
      </c>
      <c r="BS6" s="208">
        <v>3</v>
      </c>
      <c r="BT6" s="208">
        <v>0</v>
      </c>
      <c r="BU6" s="208">
        <v>0</v>
      </c>
      <c r="BV6" s="208">
        <v>0</v>
      </c>
      <c r="BW6" s="208">
        <v>0</v>
      </c>
      <c r="BX6" s="208">
        <v>0</v>
      </c>
      <c r="BY6" s="208" t="s">
        <v>21176</v>
      </c>
      <c r="BZ6" s="208">
        <v>1</v>
      </c>
      <c r="CA6" s="208">
        <v>1</v>
      </c>
      <c r="CB6" s="208">
        <v>1</v>
      </c>
      <c r="CC6" s="208">
        <v>0</v>
      </c>
      <c r="CD6" s="208">
        <v>0</v>
      </c>
      <c r="CE6" s="208">
        <v>0</v>
      </c>
      <c r="CF6" s="208" t="s">
        <v>21190</v>
      </c>
      <c r="CG6" s="208">
        <v>0</v>
      </c>
      <c r="CH6" s="208">
        <v>0</v>
      </c>
      <c r="CI6" s="208">
        <v>0</v>
      </c>
      <c r="CJ6" s="208">
        <v>0</v>
      </c>
      <c r="CK6" s="208">
        <v>0</v>
      </c>
      <c r="CL6" s="208">
        <v>0</v>
      </c>
      <c r="CM6" s="208" t="s">
        <v>21190</v>
      </c>
      <c r="CN6" s="208">
        <v>0</v>
      </c>
      <c r="CO6" s="208">
        <v>0</v>
      </c>
      <c r="CP6" s="208">
        <v>0</v>
      </c>
      <c r="CQ6" s="208">
        <v>0</v>
      </c>
      <c r="CR6" s="208">
        <v>0</v>
      </c>
      <c r="CS6" s="208">
        <v>0</v>
      </c>
      <c r="CT6" s="208" t="s">
        <v>21190</v>
      </c>
      <c r="CU6" s="208">
        <v>0</v>
      </c>
      <c r="CV6" s="208">
        <v>0</v>
      </c>
      <c r="CW6" s="208">
        <v>0</v>
      </c>
      <c r="CX6" s="208">
        <v>0</v>
      </c>
      <c r="CY6" s="208">
        <v>0</v>
      </c>
      <c r="CZ6" s="208">
        <v>0</v>
      </c>
      <c r="DA6" s="208" t="s">
        <v>21190</v>
      </c>
      <c r="DB6" s="208">
        <v>0</v>
      </c>
      <c r="DC6" s="208">
        <v>0</v>
      </c>
      <c r="DD6" s="208">
        <v>0</v>
      </c>
      <c r="DE6" s="208">
        <v>0</v>
      </c>
      <c r="DF6" s="208">
        <v>0</v>
      </c>
      <c r="DG6" s="208">
        <v>0</v>
      </c>
      <c r="DH6" s="208" t="s">
        <v>21190</v>
      </c>
      <c r="DI6" s="208">
        <v>0</v>
      </c>
      <c r="DJ6" s="208">
        <v>0</v>
      </c>
      <c r="DK6" s="208">
        <v>0</v>
      </c>
      <c r="DL6" s="208">
        <v>0</v>
      </c>
      <c r="DM6" s="208">
        <v>0</v>
      </c>
      <c r="DN6" s="208">
        <v>0</v>
      </c>
      <c r="DO6" s="208" t="s">
        <v>21177</v>
      </c>
      <c r="DP6" s="208">
        <v>90</v>
      </c>
      <c r="DQ6" s="208">
        <v>90</v>
      </c>
      <c r="DR6" s="208">
        <v>90</v>
      </c>
      <c r="DS6" s="208">
        <v>0</v>
      </c>
      <c r="DT6" s="208">
        <v>0</v>
      </c>
      <c r="DU6" s="208">
        <v>0</v>
      </c>
      <c r="DV6" s="208" t="s">
        <v>21191</v>
      </c>
      <c r="DW6" s="208">
        <v>90</v>
      </c>
      <c r="DX6" s="208" t="s">
        <v>21190</v>
      </c>
      <c r="DY6" s="208">
        <v>0</v>
      </c>
      <c r="DZ6" s="208">
        <v>0</v>
      </c>
      <c r="EA6" s="208">
        <v>0</v>
      </c>
      <c r="EB6" s="208">
        <v>0</v>
      </c>
      <c r="EC6" s="208">
        <v>0</v>
      </c>
      <c r="ED6" s="208">
        <v>0</v>
      </c>
      <c r="EE6" s="208" t="s">
        <v>21190</v>
      </c>
      <c r="EF6" s="208">
        <v>0</v>
      </c>
      <c r="EG6" s="208" t="s">
        <v>21190</v>
      </c>
      <c r="EH6" s="208">
        <v>0</v>
      </c>
      <c r="EI6" s="208">
        <v>0</v>
      </c>
      <c r="EJ6" s="208">
        <v>0</v>
      </c>
      <c r="EK6" s="208">
        <v>0</v>
      </c>
      <c r="EL6" s="208">
        <v>0</v>
      </c>
      <c r="EM6" s="208">
        <v>0</v>
      </c>
      <c r="EN6" s="208" t="s">
        <v>21190</v>
      </c>
      <c r="EO6" s="208">
        <v>0</v>
      </c>
      <c r="EP6" s="208" t="s">
        <v>21190</v>
      </c>
      <c r="EQ6" s="208">
        <v>0</v>
      </c>
      <c r="ER6" s="208">
        <v>0</v>
      </c>
      <c r="ES6" s="208">
        <v>0</v>
      </c>
      <c r="ET6" s="208">
        <v>0</v>
      </c>
      <c r="EU6" s="208">
        <v>0</v>
      </c>
      <c r="EV6" s="208">
        <v>0</v>
      </c>
      <c r="EW6" s="208" t="s">
        <v>21190</v>
      </c>
      <c r="EX6" s="208">
        <v>0</v>
      </c>
      <c r="EY6" s="208" t="s">
        <v>21190</v>
      </c>
      <c r="EZ6" s="208">
        <v>0</v>
      </c>
      <c r="FA6" s="208">
        <v>0</v>
      </c>
      <c r="FB6" s="208">
        <v>0</v>
      </c>
      <c r="FC6" s="208">
        <v>0</v>
      </c>
      <c r="FD6" s="208">
        <v>0</v>
      </c>
      <c r="FE6" s="208">
        <v>0</v>
      </c>
      <c r="FF6" s="208" t="s">
        <v>21190</v>
      </c>
      <c r="FG6" s="208">
        <v>0</v>
      </c>
      <c r="FH6" s="208" t="s">
        <v>21190</v>
      </c>
      <c r="FI6" s="208">
        <v>0</v>
      </c>
      <c r="FJ6" s="208">
        <v>0</v>
      </c>
      <c r="FK6" s="208">
        <v>0</v>
      </c>
      <c r="FL6" s="208">
        <v>0</v>
      </c>
      <c r="FM6" s="208">
        <v>0</v>
      </c>
      <c r="FN6" s="208">
        <v>0</v>
      </c>
      <c r="FO6" s="208" t="s">
        <v>21190</v>
      </c>
      <c r="FP6" s="208">
        <v>0</v>
      </c>
      <c r="FQ6" s="208">
        <v>90</v>
      </c>
      <c r="FR6" s="208" t="s">
        <v>19816</v>
      </c>
      <c r="FS6" s="208" t="s">
        <v>21190</v>
      </c>
      <c r="FT6" s="208" t="s">
        <v>21190</v>
      </c>
      <c r="FU6" s="208" t="s">
        <v>21190</v>
      </c>
      <c r="FV6" s="208" t="s">
        <v>21190</v>
      </c>
      <c r="FW6" s="208" t="s">
        <v>21190</v>
      </c>
      <c r="FX6" s="208" t="s">
        <v>21178</v>
      </c>
      <c r="FY6" s="208">
        <v>42</v>
      </c>
      <c r="FZ6" s="208">
        <v>42</v>
      </c>
      <c r="GA6" s="208">
        <v>42</v>
      </c>
      <c r="GB6" s="208">
        <v>0</v>
      </c>
      <c r="GC6" s="208">
        <v>0</v>
      </c>
      <c r="GD6" s="208">
        <v>0</v>
      </c>
      <c r="GE6" s="208" t="s">
        <v>21192</v>
      </c>
      <c r="GF6" s="208" t="s">
        <v>21190</v>
      </c>
      <c r="GG6" s="208">
        <v>0</v>
      </c>
      <c r="GH6" s="208">
        <v>0</v>
      </c>
      <c r="GI6" s="208">
        <v>0</v>
      </c>
      <c r="GJ6" s="208">
        <v>0</v>
      </c>
      <c r="GK6" s="208">
        <v>0</v>
      </c>
      <c r="GL6" s="208">
        <v>0</v>
      </c>
      <c r="GM6" s="208" t="s">
        <v>21190</v>
      </c>
      <c r="GN6" s="208" t="s">
        <v>21190</v>
      </c>
      <c r="GO6" s="208">
        <v>0</v>
      </c>
      <c r="GP6" s="208">
        <v>0</v>
      </c>
      <c r="GQ6" s="208">
        <v>0</v>
      </c>
      <c r="GR6" s="208">
        <v>0</v>
      </c>
      <c r="GS6" s="208">
        <v>0</v>
      </c>
      <c r="GT6" s="208">
        <v>0</v>
      </c>
      <c r="GU6" s="208" t="s">
        <v>21190</v>
      </c>
      <c r="GV6" s="208" t="s">
        <v>21190</v>
      </c>
      <c r="GW6" s="208">
        <v>0</v>
      </c>
      <c r="GX6" s="208">
        <v>0</v>
      </c>
      <c r="GY6" s="208">
        <v>0</v>
      </c>
      <c r="GZ6" s="208">
        <v>0</v>
      </c>
      <c r="HA6" s="208">
        <v>0</v>
      </c>
      <c r="HB6" s="208">
        <v>0</v>
      </c>
      <c r="HC6" s="208" t="s">
        <v>21190</v>
      </c>
      <c r="HD6" s="208" t="s">
        <v>21190</v>
      </c>
      <c r="HE6" s="208">
        <v>0</v>
      </c>
      <c r="HF6" s="208">
        <v>0</v>
      </c>
      <c r="HG6" s="208">
        <v>0</v>
      </c>
      <c r="HH6" s="208">
        <v>0</v>
      </c>
      <c r="HI6" s="208">
        <v>0</v>
      </c>
      <c r="HJ6" s="208">
        <v>0</v>
      </c>
      <c r="HK6" s="208" t="s">
        <v>21190</v>
      </c>
      <c r="HL6" s="208" t="s">
        <v>21190</v>
      </c>
      <c r="HM6" s="208">
        <v>0</v>
      </c>
      <c r="HN6" s="208">
        <v>0</v>
      </c>
      <c r="HO6" s="208">
        <v>0</v>
      </c>
      <c r="HP6" s="208">
        <v>0</v>
      </c>
      <c r="HQ6" s="208">
        <v>0</v>
      </c>
      <c r="HR6" s="208">
        <v>0</v>
      </c>
      <c r="HS6" s="208" t="s">
        <v>21190</v>
      </c>
      <c r="HT6" s="208" t="s">
        <v>21193</v>
      </c>
      <c r="HU6" s="208">
        <v>42</v>
      </c>
      <c r="HV6" s="208">
        <v>0</v>
      </c>
      <c r="HW6" s="208">
        <v>0</v>
      </c>
      <c r="HX6" s="208">
        <v>0</v>
      </c>
      <c r="HY6" s="208">
        <v>0</v>
      </c>
      <c r="HZ6" s="208">
        <v>0</v>
      </c>
      <c r="IA6" s="600">
        <v>42</v>
      </c>
      <c r="IB6" s="600">
        <v>38</v>
      </c>
      <c r="IC6" s="342" t="s">
        <v>21037</v>
      </c>
      <c r="ID6" s="342" t="s">
        <v>21213</v>
      </c>
      <c r="IE6" s="342" t="s">
        <v>21195</v>
      </c>
      <c r="IF6" s="342" t="s">
        <v>21196</v>
      </c>
      <c r="IG6" s="382">
        <v>43780</v>
      </c>
      <c r="IH6" s="382">
        <v>45607</v>
      </c>
      <c r="II6" s="208">
        <v>7</v>
      </c>
    </row>
    <row r="7" ht="118.8">
      <c r="A7" s="207">
        <v>6</v>
      </c>
      <c r="B7" s="342" t="s">
        <v>21171</v>
      </c>
      <c r="C7" s="342" t="s">
        <v>21172</v>
      </c>
      <c r="D7" s="600">
        <v>221501</v>
      </c>
      <c r="E7" s="317" t="s">
        <v>21112</v>
      </c>
      <c r="F7" s="207" t="s">
        <v>20954</v>
      </c>
      <c r="G7" s="600">
        <v>14.22198</v>
      </c>
      <c r="H7" s="600">
        <v>107.9852</v>
      </c>
      <c r="I7" s="207">
        <v>1</v>
      </c>
      <c r="J7" s="207">
        <v>1</v>
      </c>
      <c r="K7" s="207" t="s">
        <v>21173</v>
      </c>
      <c r="L7" s="207" t="s">
        <v>21214</v>
      </c>
      <c r="M7" s="207" t="s">
        <v>21175</v>
      </c>
      <c r="N7" s="207">
        <v>2</v>
      </c>
      <c r="O7" s="207" t="s">
        <v>21215</v>
      </c>
      <c r="P7" s="207" t="s">
        <v>21216</v>
      </c>
      <c r="Q7" s="207">
        <v>900</v>
      </c>
      <c r="R7" s="207" t="s">
        <v>21217</v>
      </c>
      <c r="S7" s="363" t="b">
        <v>1</v>
      </c>
      <c r="T7" s="207" t="s">
        <v>21113</v>
      </c>
      <c r="U7" s="207">
        <v>0</v>
      </c>
      <c r="V7" s="207" t="s">
        <v>21179</v>
      </c>
      <c r="W7" s="207" t="s">
        <v>21114</v>
      </c>
      <c r="X7" s="209" t="s">
        <v>21180</v>
      </c>
      <c r="Y7" s="207" t="b">
        <v>1</v>
      </c>
      <c r="Z7" s="363" t="b">
        <v>0</v>
      </c>
      <c r="AA7" s="600">
        <v>42</v>
      </c>
      <c r="AB7" s="363" t="b">
        <v>1</v>
      </c>
      <c r="AC7" s="600">
        <v>4</v>
      </c>
      <c r="AD7" s="207" t="b">
        <v>0</v>
      </c>
      <c r="AE7" s="207" t="s">
        <v>21181</v>
      </c>
      <c r="AF7" s="207" t="s">
        <v>21182</v>
      </c>
      <c r="AG7" s="342" t="s">
        <v>21183</v>
      </c>
      <c r="AH7" s="342" t="s">
        <v>21184</v>
      </c>
      <c r="AI7" s="342" t="s">
        <v>21055</v>
      </c>
      <c r="AJ7" s="342" t="s">
        <v>21060</v>
      </c>
      <c r="AK7" s="342" t="s">
        <v>21185</v>
      </c>
      <c r="AL7" s="208"/>
      <c r="AM7" s="208" t="s">
        <v>21186</v>
      </c>
      <c r="AN7" s="208" t="s">
        <v>21173</v>
      </c>
      <c r="AO7" s="207">
        <v>3</v>
      </c>
      <c r="AP7" s="287" t="s">
        <v>21218</v>
      </c>
      <c r="AQ7" s="446" t="s">
        <v>21219</v>
      </c>
      <c r="AR7" s="446" t="s">
        <v>21220</v>
      </c>
      <c r="AS7" s="447" t="s">
        <v>15327</v>
      </c>
      <c r="AT7" s="208" t="s">
        <v>21173</v>
      </c>
      <c r="AU7" s="208" t="s">
        <v>21190</v>
      </c>
      <c r="AV7" s="208" t="s">
        <v>21190</v>
      </c>
      <c r="AW7" s="208" t="s">
        <v>21190</v>
      </c>
      <c r="AX7" s="208" t="s">
        <v>21190</v>
      </c>
      <c r="AY7" s="208" t="s">
        <v>21190</v>
      </c>
      <c r="AZ7" s="208" t="s">
        <v>21172</v>
      </c>
      <c r="BA7" s="208" t="s">
        <v>21190</v>
      </c>
      <c r="BB7" s="208" t="s">
        <v>21190</v>
      </c>
      <c r="BC7" s="208" t="s">
        <v>21190</v>
      </c>
      <c r="BD7" s="208" t="s">
        <v>21190</v>
      </c>
      <c r="BE7" s="208" t="s">
        <v>21190</v>
      </c>
      <c r="BF7" s="208" t="s">
        <v>21172</v>
      </c>
      <c r="BG7" s="208" t="s">
        <v>21214</v>
      </c>
      <c r="BH7" s="208" t="s">
        <v>21190</v>
      </c>
      <c r="BI7" s="208" t="s">
        <v>21190</v>
      </c>
      <c r="BJ7" s="208" t="s">
        <v>21190</v>
      </c>
      <c r="BK7" s="208" t="s">
        <v>21190</v>
      </c>
      <c r="BL7" s="208" t="s">
        <v>21190</v>
      </c>
      <c r="BM7" s="208" t="s">
        <v>21175</v>
      </c>
      <c r="BN7" s="208" t="s">
        <v>21190</v>
      </c>
      <c r="BO7" s="208" t="s">
        <v>21190</v>
      </c>
      <c r="BP7" s="208" t="s">
        <v>21190</v>
      </c>
      <c r="BQ7" s="208" t="s">
        <v>21190</v>
      </c>
      <c r="BR7" s="208" t="s">
        <v>21190</v>
      </c>
      <c r="BS7" s="208">
        <v>2</v>
      </c>
      <c r="BT7" s="208">
        <v>0</v>
      </c>
      <c r="BU7" s="208">
        <v>0</v>
      </c>
      <c r="BV7" s="208">
        <v>0</v>
      </c>
      <c r="BW7" s="208">
        <v>0</v>
      </c>
      <c r="BX7" s="208">
        <v>0</v>
      </c>
      <c r="BY7" s="208" t="s">
        <v>21215</v>
      </c>
      <c r="BZ7" s="208">
        <v>1</v>
      </c>
      <c r="CA7" s="208">
        <v>1</v>
      </c>
      <c r="CB7" s="208">
        <v>0</v>
      </c>
      <c r="CC7" s="208">
        <v>0</v>
      </c>
      <c r="CD7" s="208">
        <v>0</v>
      </c>
      <c r="CE7" s="208">
        <v>0</v>
      </c>
      <c r="CF7" s="208" t="s">
        <v>21190</v>
      </c>
      <c r="CG7" s="208">
        <v>0</v>
      </c>
      <c r="CH7" s="208">
        <v>0</v>
      </c>
      <c r="CI7" s="208">
        <v>0</v>
      </c>
      <c r="CJ7" s="208">
        <v>0</v>
      </c>
      <c r="CK7" s="208">
        <v>0</v>
      </c>
      <c r="CL7" s="208">
        <v>0</v>
      </c>
      <c r="CM7" s="208" t="s">
        <v>21190</v>
      </c>
      <c r="CN7" s="208">
        <v>0</v>
      </c>
      <c r="CO7" s="208">
        <v>0</v>
      </c>
      <c r="CP7" s="208">
        <v>0</v>
      </c>
      <c r="CQ7" s="208">
        <v>0</v>
      </c>
      <c r="CR7" s="208">
        <v>0</v>
      </c>
      <c r="CS7" s="208">
        <v>0</v>
      </c>
      <c r="CT7" s="208" t="s">
        <v>21190</v>
      </c>
      <c r="CU7" s="208">
        <v>0</v>
      </c>
      <c r="CV7" s="208">
        <v>0</v>
      </c>
      <c r="CW7" s="208">
        <v>0</v>
      </c>
      <c r="CX7" s="208">
        <v>0</v>
      </c>
      <c r="CY7" s="208">
        <v>0</v>
      </c>
      <c r="CZ7" s="208">
        <v>0</v>
      </c>
      <c r="DA7" s="208" t="s">
        <v>21190</v>
      </c>
      <c r="DB7" s="208">
        <v>0</v>
      </c>
      <c r="DC7" s="208">
        <v>0</v>
      </c>
      <c r="DD7" s="208">
        <v>0</v>
      </c>
      <c r="DE7" s="208">
        <v>0</v>
      </c>
      <c r="DF7" s="208">
        <v>0</v>
      </c>
      <c r="DG7" s="208">
        <v>0</v>
      </c>
      <c r="DH7" s="208" t="s">
        <v>21190</v>
      </c>
      <c r="DI7" s="208">
        <v>0</v>
      </c>
      <c r="DJ7" s="208">
        <v>0</v>
      </c>
      <c r="DK7" s="208">
        <v>0</v>
      </c>
      <c r="DL7" s="208">
        <v>0</v>
      </c>
      <c r="DM7" s="208">
        <v>0</v>
      </c>
      <c r="DN7" s="208">
        <v>0</v>
      </c>
      <c r="DO7" s="208" t="s">
        <v>21216</v>
      </c>
      <c r="DP7" s="208">
        <v>90</v>
      </c>
      <c r="DQ7" s="208">
        <v>90</v>
      </c>
      <c r="DR7" s="208">
        <v>0</v>
      </c>
      <c r="DS7" s="208">
        <v>0</v>
      </c>
      <c r="DT7" s="208">
        <v>0</v>
      </c>
      <c r="DU7" s="208">
        <v>0</v>
      </c>
      <c r="DV7" s="208" t="s">
        <v>21221</v>
      </c>
      <c r="DW7" s="208">
        <v>90</v>
      </c>
      <c r="DX7" s="208" t="s">
        <v>21190</v>
      </c>
      <c r="DY7" s="208">
        <v>0</v>
      </c>
      <c r="DZ7" s="208">
        <v>0</v>
      </c>
      <c r="EA7" s="208">
        <v>0</v>
      </c>
      <c r="EB7" s="208">
        <v>0</v>
      </c>
      <c r="EC7" s="208">
        <v>0</v>
      </c>
      <c r="ED7" s="208">
        <v>0</v>
      </c>
      <c r="EE7" s="208" t="s">
        <v>21190</v>
      </c>
      <c r="EF7" s="208">
        <v>0</v>
      </c>
      <c r="EG7" s="208" t="s">
        <v>21190</v>
      </c>
      <c r="EH7" s="208">
        <v>0</v>
      </c>
      <c r="EI7" s="208">
        <v>0</v>
      </c>
      <c r="EJ7" s="208">
        <v>0</v>
      </c>
      <c r="EK7" s="208">
        <v>0</v>
      </c>
      <c r="EL7" s="208">
        <v>0</v>
      </c>
      <c r="EM7" s="208">
        <v>0</v>
      </c>
      <c r="EN7" s="208" t="s">
        <v>21190</v>
      </c>
      <c r="EO7" s="208">
        <v>0</v>
      </c>
      <c r="EP7" s="208" t="s">
        <v>21190</v>
      </c>
      <c r="EQ7" s="208">
        <v>0</v>
      </c>
      <c r="ER7" s="208">
        <v>0</v>
      </c>
      <c r="ES7" s="208">
        <v>0</v>
      </c>
      <c r="ET7" s="208">
        <v>0</v>
      </c>
      <c r="EU7" s="208">
        <v>0</v>
      </c>
      <c r="EV7" s="208">
        <v>0</v>
      </c>
      <c r="EW7" s="208" t="s">
        <v>21190</v>
      </c>
      <c r="EX7" s="208">
        <v>0</v>
      </c>
      <c r="EY7" s="208" t="s">
        <v>21190</v>
      </c>
      <c r="EZ7" s="208">
        <v>0</v>
      </c>
      <c r="FA7" s="208">
        <v>0</v>
      </c>
      <c r="FB7" s="208">
        <v>0</v>
      </c>
      <c r="FC7" s="208">
        <v>0</v>
      </c>
      <c r="FD7" s="208">
        <v>0</v>
      </c>
      <c r="FE7" s="208">
        <v>0</v>
      </c>
      <c r="FF7" s="208" t="s">
        <v>21190</v>
      </c>
      <c r="FG7" s="208">
        <v>0</v>
      </c>
      <c r="FH7" s="208" t="s">
        <v>21190</v>
      </c>
      <c r="FI7" s="208">
        <v>0</v>
      </c>
      <c r="FJ7" s="208">
        <v>0</v>
      </c>
      <c r="FK7" s="208">
        <v>0</v>
      </c>
      <c r="FL7" s="208">
        <v>0</v>
      </c>
      <c r="FM7" s="208">
        <v>0</v>
      </c>
      <c r="FN7" s="208">
        <v>0</v>
      </c>
      <c r="FO7" s="208" t="s">
        <v>21190</v>
      </c>
      <c r="FP7" s="208">
        <v>0</v>
      </c>
      <c r="FQ7" s="208">
        <v>90</v>
      </c>
      <c r="FR7" s="208" t="s">
        <v>19816</v>
      </c>
      <c r="FS7" s="208" t="s">
        <v>21190</v>
      </c>
      <c r="FT7" s="208" t="s">
        <v>21190</v>
      </c>
      <c r="FU7" s="208" t="s">
        <v>21190</v>
      </c>
      <c r="FV7" s="208" t="s">
        <v>21190</v>
      </c>
      <c r="FW7" s="208" t="s">
        <v>21190</v>
      </c>
      <c r="FX7" s="208" t="s">
        <v>21217</v>
      </c>
      <c r="FY7" s="208">
        <v>42</v>
      </c>
      <c r="FZ7" s="208">
        <v>42</v>
      </c>
      <c r="GA7" s="208">
        <v>0</v>
      </c>
      <c r="GB7" s="208">
        <v>0</v>
      </c>
      <c r="GC7" s="208">
        <v>0</v>
      </c>
      <c r="GD7" s="208">
        <v>0</v>
      </c>
      <c r="GE7" s="208" t="s">
        <v>21222</v>
      </c>
      <c r="GF7" s="208" t="s">
        <v>21190</v>
      </c>
      <c r="GG7" s="208">
        <v>0</v>
      </c>
      <c r="GH7" s="208">
        <v>0</v>
      </c>
      <c r="GI7" s="208">
        <v>0</v>
      </c>
      <c r="GJ7" s="208">
        <v>0</v>
      </c>
      <c r="GK7" s="208">
        <v>0</v>
      </c>
      <c r="GL7" s="208">
        <v>0</v>
      </c>
      <c r="GM7" s="208" t="s">
        <v>21190</v>
      </c>
      <c r="GN7" s="208" t="s">
        <v>21190</v>
      </c>
      <c r="GO7" s="208">
        <v>0</v>
      </c>
      <c r="GP7" s="208">
        <v>0</v>
      </c>
      <c r="GQ7" s="208">
        <v>0</v>
      </c>
      <c r="GR7" s="208">
        <v>0</v>
      </c>
      <c r="GS7" s="208">
        <v>0</v>
      </c>
      <c r="GT7" s="208">
        <v>0</v>
      </c>
      <c r="GU7" s="208" t="s">
        <v>21190</v>
      </c>
      <c r="GV7" s="208" t="s">
        <v>21190</v>
      </c>
      <c r="GW7" s="208">
        <v>0</v>
      </c>
      <c r="GX7" s="208">
        <v>0</v>
      </c>
      <c r="GY7" s="208">
        <v>0</v>
      </c>
      <c r="GZ7" s="208">
        <v>0</v>
      </c>
      <c r="HA7" s="208">
        <v>0</v>
      </c>
      <c r="HB7" s="208">
        <v>0</v>
      </c>
      <c r="HC7" s="208" t="s">
        <v>21190</v>
      </c>
      <c r="HD7" s="208" t="s">
        <v>21190</v>
      </c>
      <c r="HE7" s="208">
        <v>0</v>
      </c>
      <c r="HF7" s="208">
        <v>0</v>
      </c>
      <c r="HG7" s="208">
        <v>0</v>
      </c>
      <c r="HH7" s="208">
        <v>0</v>
      </c>
      <c r="HI7" s="208">
        <v>0</v>
      </c>
      <c r="HJ7" s="208">
        <v>0</v>
      </c>
      <c r="HK7" s="208" t="s">
        <v>21190</v>
      </c>
      <c r="HL7" s="208" t="s">
        <v>21190</v>
      </c>
      <c r="HM7" s="208">
        <v>0</v>
      </c>
      <c r="HN7" s="208">
        <v>0</v>
      </c>
      <c r="HO7" s="208">
        <v>0</v>
      </c>
      <c r="HP7" s="208">
        <v>0</v>
      </c>
      <c r="HQ7" s="208">
        <v>0</v>
      </c>
      <c r="HR7" s="208">
        <v>0</v>
      </c>
      <c r="HS7" s="208" t="s">
        <v>21190</v>
      </c>
      <c r="HT7" s="208" t="s">
        <v>21193</v>
      </c>
      <c r="HU7" s="208">
        <v>42</v>
      </c>
      <c r="HV7" s="208">
        <v>0</v>
      </c>
      <c r="HW7" s="208">
        <v>0</v>
      </c>
      <c r="HX7" s="208">
        <v>0</v>
      </c>
      <c r="HY7" s="208">
        <v>0</v>
      </c>
      <c r="HZ7" s="208">
        <v>0</v>
      </c>
      <c r="IA7" s="600">
        <v>42</v>
      </c>
      <c r="IB7" s="600">
        <v>38</v>
      </c>
      <c r="IC7" s="342" t="s">
        <v>21037</v>
      </c>
      <c r="ID7" s="342" t="s">
        <v>2144</v>
      </c>
      <c r="IE7" s="342" t="s">
        <v>21195</v>
      </c>
      <c r="IF7" s="342" t="s">
        <v>21196</v>
      </c>
      <c r="IG7" s="382">
        <v>43780</v>
      </c>
      <c r="IH7" s="382">
        <v>45607</v>
      </c>
      <c r="II7" s="208">
        <v>7</v>
      </c>
    </row>
    <row r="8" ht="118.8">
      <c r="A8" s="207">
        <v>7</v>
      </c>
      <c r="B8" s="342" t="s">
        <v>21171</v>
      </c>
      <c r="C8" s="342" t="s">
        <v>21172</v>
      </c>
      <c r="D8" s="600">
        <v>209050</v>
      </c>
      <c r="E8" s="317" t="s">
        <v>21115</v>
      </c>
      <c r="F8" s="207" t="s">
        <v>20942</v>
      </c>
      <c r="G8" s="600">
        <v>13.7644</v>
      </c>
      <c r="H8" s="600">
        <v>109.1499</v>
      </c>
      <c r="I8" s="207">
        <v>1</v>
      </c>
      <c r="J8" s="207">
        <v>2</v>
      </c>
      <c r="K8" s="207" t="s">
        <v>21223</v>
      </c>
      <c r="L8" s="207" t="s">
        <v>21224</v>
      </c>
      <c r="M8" s="207" t="s">
        <v>21225</v>
      </c>
      <c r="N8" s="207" t="s">
        <v>21226</v>
      </c>
      <c r="O8" s="207" t="s">
        <v>21227</v>
      </c>
      <c r="P8" s="207" t="s">
        <v>21228</v>
      </c>
      <c r="Q8" s="207" t="s">
        <v>21229</v>
      </c>
      <c r="R8" s="207" t="s">
        <v>21230</v>
      </c>
      <c r="S8" s="363" t="b">
        <v>1</v>
      </c>
      <c r="T8" s="207" t="s">
        <v>21116</v>
      </c>
      <c r="U8" s="207">
        <v>0</v>
      </c>
      <c r="V8" s="207" t="s">
        <v>21179</v>
      </c>
      <c r="W8" s="207" t="s">
        <v>21117</v>
      </c>
      <c r="X8" s="209" t="s">
        <v>21180</v>
      </c>
      <c r="Y8" s="207" t="b">
        <v>0</v>
      </c>
      <c r="Z8" s="363" t="b">
        <v>0</v>
      </c>
      <c r="AA8" s="600">
        <v>21</v>
      </c>
      <c r="AB8" s="363" t="b">
        <v>1</v>
      </c>
      <c r="AC8" s="600">
        <v>8</v>
      </c>
      <c r="AD8" s="207" t="b">
        <v>0</v>
      </c>
      <c r="AE8" s="207" t="s">
        <v>21181</v>
      </c>
      <c r="AF8" s="207" t="s">
        <v>21182</v>
      </c>
      <c r="AG8" s="342" t="s">
        <v>21183</v>
      </c>
      <c r="AH8" s="342" t="s">
        <v>21184</v>
      </c>
      <c r="AI8" s="342" t="s">
        <v>21055</v>
      </c>
      <c r="AJ8" s="342" t="s">
        <v>21060</v>
      </c>
      <c r="AK8" s="342" t="s">
        <v>21185</v>
      </c>
      <c r="AL8" s="208"/>
      <c r="AM8" s="208" t="s">
        <v>21186</v>
      </c>
      <c r="AN8" s="208" t="s">
        <v>21173</v>
      </c>
      <c r="AO8" s="207">
        <v>4</v>
      </c>
      <c r="AP8" s="287" t="s">
        <v>21187</v>
      </c>
      <c r="AQ8" s="446" t="s">
        <v>21231</v>
      </c>
      <c r="AR8" s="446" t="s">
        <v>21232</v>
      </c>
      <c r="AS8" s="447" t="s">
        <v>20941</v>
      </c>
      <c r="AT8" s="208" t="s">
        <v>21173</v>
      </c>
      <c r="AU8" s="208" t="s">
        <v>21173</v>
      </c>
      <c r="AV8" s="208" t="s">
        <v>21190</v>
      </c>
      <c r="AW8" s="208" t="s">
        <v>21190</v>
      </c>
      <c r="AX8" s="208" t="s">
        <v>21190</v>
      </c>
      <c r="AY8" s="208" t="s">
        <v>21190</v>
      </c>
      <c r="AZ8" s="208" t="s">
        <v>21172</v>
      </c>
      <c r="BA8" s="208" t="s">
        <v>21172</v>
      </c>
      <c r="BB8" s="208" t="s">
        <v>21190</v>
      </c>
      <c r="BC8" s="208" t="s">
        <v>21190</v>
      </c>
      <c r="BD8" s="208" t="s">
        <v>21190</v>
      </c>
      <c r="BE8" s="208" t="s">
        <v>21190</v>
      </c>
      <c r="BF8" s="208" t="s">
        <v>21233</v>
      </c>
      <c r="BG8" s="208" t="s">
        <v>21234</v>
      </c>
      <c r="BH8" s="208" t="s">
        <v>21235</v>
      </c>
      <c r="BI8" s="208" t="s">
        <v>21190</v>
      </c>
      <c r="BJ8" s="208" t="s">
        <v>21190</v>
      </c>
      <c r="BK8" s="208" t="s">
        <v>21190</v>
      </c>
      <c r="BL8" s="208" t="s">
        <v>21190</v>
      </c>
      <c r="BM8" s="208" t="s">
        <v>21175</v>
      </c>
      <c r="BN8" s="208" t="s">
        <v>21236</v>
      </c>
      <c r="BO8" s="208" t="s">
        <v>21190</v>
      </c>
      <c r="BP8" s="208" t="s">
        <v>21190</v>
      </c>
      <c r="BQ8" s="208" t="s">
        <v>21190</v>
      </c>
      <c r="BR8" s="208" t="s">
        <v>21190</v>
      </c>
      <c r="BS8" s="208">
        <v>3</v>
      </c>
      <c r="BT8" s="208">
        <v>3</v>
      </c>
      <c r="BU8" s="208">
        <v>0</v>
      </c>
      <c r="BV8" s="208">
        <v>0</v>
      </c>
      <c r="BW8" s="208">
        <v>0</v>
      </c>
      <c r="BX8" s="208">
        <v>0</v>
      </c>
      <c r="BY8" s="208" t="s">
        <v>21042</v>
      </c>
      <c r="BZ8" s="208">
        <v>2</v>
      </c>
      <c r="CA8" s="208">
        <v>2</v>
      </c>
      <c r="CB8" s="208">
        <v>2</v>
      </c>
      <c r="CC8" s="208">
        <v>0</v>
      </c>
      <c r="CD8" s="208">
        <v>0</v>
      </c>
      <c r="CE8" s="208">
        <v>0</v>
      </c>
      <c r="CF8" s="208" t="s">
        <v>21176</v>
      </c>
      <c r="CG8" s="208">
        <v>1</v>
      </c>
      <c r="CH8" s="208">
        <v>1</v>
      </c>
      <c r="CI8" s="208">
        <v>1</v>
      </c>
      <c r="CJ8" s="208">
        <v>0</v>
      </c>
      <c r="CK8" s="208">
        <v>0</v>
      </c>
      <c r="CL8" s="208">
        <v>0</v>
      </c>
      <c r="CM8" s="208" t="s">
        <v>21190</v>
      </c>
      <c r="CN8" s="208">
        <v>0</v>
      </c>
      <c r="CO8" s="208">
        <v>0</v>
      </c>
      <c r="CP8" s="208">
        <v>0</v>
      </c>
      <c r="CQ8" s="208">
        <v>0</v>
      </c>
      <c r="CR8" s="208">
        <v>0</v>
      </c>
      <c r="CS8" s="208">
        <v>0</v>
      </c>
      <c r="CT8" s="208" t="s">
        <v>21190</v>
      </c>
      <c r="CU8" s="208">
        <v>0</v>
      </c>
      <c r="CV8" s="208">
        <v>0</v>
      </c>
      <c r="CW8" s="208">
        <v>0</v>
      </c>
      <c r="CX8" s="208">
        <v>0</v>
      </c>
      <c r="CY8" s="208">
        <v>0</v>
      </c>
      <c r="CZ8" s="208">
        <v>0</v>
      </c>
      <c r="DA8" s="208" t="s">
        <v>21190</v>
      </c>
      <c r="DB8" s="208">
        <v>0</v>
      </c>
      <c r="DC8" s="208">
        <v>0</v>
      </c>
      <c r="DD8" s="208">
        <v>0</v>
      </c>
      <c r="DE8" s="208">
        <v>0</v>
      </c>
      <c r="DF8" s="208">
        <v>0</v>
      </c>
      <c r="DG8" s="208">
        <v>0</v>
      </c>
      <c r="DH8" s="208" t="s">
        <v>21190</v>
      </c>
      <c r="DI8" s="208">
        <v>0</v>
      </c>
      <c r="DJ8" s="208">
        <v>0</v>
      </c>
      <c r="DK8" s="208">
        <v>0</v>
      </c>
      <c r="DL8" s="208">
        <v>0</v>
      </c>
      <c r="DM8" s="208">
        <v>0</v>
      </c>
      <c r="DN8" s="208">
        <v>0</v>
      </c>
      <c r="DO8" s="208" t="s">
        <v>21177</v>
      </c>
      <c r="DP8" s="208">
        <v>90</v>
      </c>
      <c r="DQ8" s="208">
        <v>90</v>
      </c>
      <c r="DR8" s="208">
        <v>90</v>
      </c>
      <c r="DS8" s="208">
        <v>0</v>
      </c>
      <c r="DT8" s="208">
        <v>0</v>
      </c>
      <c r="DU8" s="208">
        <v>0</v>
      </c>
      <c r="DV8" s="208" t="s">
        <v>21191</v>
      </c>
      <c r="DW8" s="208">
        <v>90</v>
      </c>
      <c r="DX8" s="208" t="s">
        <v>21237</v>
      </c>
      <c r="DY8" s="208">
        <v>20</v>
      </c>
      <c r="DZ8" s="208">
        <v>20</v>
      </c>
      <c r="EA8" s="208">
        <v>20</v>
      </c>
      <c r="EB8" s="208">
        <v>0</v>
      </c>
      <c r="EC8" s="208">
        <v>0</v>
      </c>
      <c r="ED8" s="208">
        <v>0</v>
      </c>
      <c r="EE8" s="208" t="s">
        <v>21238</v>
      </c>
      <c r="EF8" s="208">
        <v>20</v>
      </c>
      <c r="EG8" s="208" t="s">
        <v>21190</v>
      </c>
      <c r="EH8" s="208">
        <v>0</v>
      </c>
      <c r="EI8" s="208">
        <v>0</v>
      </c>
      <c r="EJ8" s="208">
        <v>0</v>
      </c>
      <c r="EK8" s="208">
        <v>0</v>
      </c>
      <c r="EL8" s="208">
        <v>0</v>
      </c>
      <c r="EM8" s="208">
        <v>0</v>
      </c>
      <c r="EN8" s="208" t="s">
        <v>21190</v>
      </c>
      <c r="EO8" s="208">
        <v>0</v>
      </c>
      <c r="EP8" s="208" t="s">
        <v>21190</v>
      </c>
      <c r="EQ8" s="208">
        <v>0</v>
      </c>
      <c r="ER8" s="208">
        <v>0</v>
      </c>
      <c r="ES8" s="208">
        <v>0</v>
      </c>
      <c r="ET8" s="208">
        <v>0</v>
      </c>
      <c r="EU8" s="208">
        <v>0</v>
      </c>
      <c r="EV8" s="208">
        <v>0</v>
      </c>
      <c r="EW8" s="208" t="s">
        <v>21190</v>
      </c>
      <c r="EX8" s="208">
        <v>0</v>
      </c>
      <c r="EY8" s="208" t="s">
        <v>21190</v>
      </c>
      <c r="EZ8" s="208">
        <v>0</v>
      </c>
      <c r="FA8" s="208">
        <v>0</v>
      </c>
      <c r="FB8" s="208">
        <v>0</v>
      </c>
      <c r="FC8" s="208">
        <v>0</v>
      </c>
      <c r="FD8" s="208">
        <v>0</v>
      </c>
      <c r="FE8" s="208">
        <v>0</v>
      </c>
      <c r="FF8" s="208" t="s">
        <v>21190</v>
      </c>
      <c r="FG8" s="208">
        <v>0</v>
      </c>
      <c r="FH8" s="208" t="s">
        <v>21190</v>
      </c>
      <c r="FI8" s="208">
        <v>0</v>
      </c>
      <c r="FJ8" s="208">
        <v>0</v>
      </c>
      <c r="FK8" s="208">
        <v>0</v>
      </c>
      <c r="FL8" s="208">
        <v>0</v>
      </c>
      <c r="FM8" s="208">
        <v>0</v>
      </c>
      <c r="FN8" s="208">
        <v>0</v>
      </c>
      <c r="FO8" s="208" t="s">
        <v>21190</v>
      </c>
      <c r="FP8" s="208">
        <v>0</v>
      </c>
      <c r="FQ8" s="208">
        <v>90</v>
      </c>
      <c r="FR8" s="208" t="s">
        <v>19816</v>
      </c>
      <c r="FS8" s="208" t="s">
        <v>21239</v>
      </c>
      <c r="FT8" s="208" t="s">
        <v>21190</v>
      </c>
      <c r="FU8" s="208" t="s">
        <v>21190</v>
      </c>
      <c r="FV8" s="208" t="s">
        <v>21190</v>
      </c>
      <c r="FW8" s="208" t="s">
        <v>21190</v>
      </c>
      <c r="FX8" s="208" t="s">
        <v>21240</v>
      </c>
      <c r="FY8" s="208">
        <v>21</v>
      </c>
      <c r="FZ8" s="208">
        <v>21</v>
      </c>
      <c r="GA8" s="208">
        <v>21</v>
      </c>
      <c r="GB8" s="208">
        <v>0</v>
      </c>
      <c r="GC8" s="208">
        <v>0</v>
      </c>
      <c r="GD8" s="208">
        <v>0</v>
      </c>
      <c r="GE8" s="208" t="s">
        <v>21241</v>
      </c>
      <c r="GF8" s="208" t="s">
        <v>21240</v>
      </c>
      <c r="GG8" s="208">
        <v>21</v>
      </c>
      <c r="GH8" s="208">
        <v>21</v>
      </c>
      <c r="GI8" s="208">
        <v>21</v>
      </c>
      <c r="GJ8" s="208">
        <v>0</v>
      </c>
      <c r="GK8" s="208">
        <v>0</v>
      </c>
      <c r="GL8" s="208">
        <v>0</v>
      </c>
      <c r="GM8" s="208" t="s">
        <v>21241</v>
      </c>
      <c r="GN8" s="208" t="s">
        <v>21190</v>
      </c>
      <c r="GO8" s="208">
        <v>0</v>
      </c>
      <c r="GP8" s="208">
        <v>0</v>
      </c>
      <c r="GQ8" s="208">
        <v>0</v>
      </c>
      <c r="GR8" s="208">
        <v>0</v>
      </c>
      <c r="GS8" s="208">
        <v>0</v>
      </c>
      <c r="GT8" s="208">
        <v>0</v>
      </c>
      <c r="GU8" s="208" t="s">
        <v>21190</v>
      </c>
      <c r="GV8" s="208" t="s">
        <v>21190</v>
      </c>
      <c r="GW8" s="208">
        <v>0</v>
      </c>
      <c r="GX8" s="208">
        <v>0</v>
      </c>
      <c r="GY8" s="208">
        <v>0</v>
      </c>
      <c r="GZ8" s="208">
        <v>0</v>
      </c>
      <c r="HA8" s="208">
        <v>0</v>
      </c>
      <c r="HB8" s="208">
        <v>0</v>
      </c>
      <c r="HC8" s="208" t="s">
        <v>21190</v>
      </c>
      <c r="HD8" s="208" t="s">
        <v>21190</v>
      </c>
      <c r="HE8" s="208">
        <v>0</v>
      </c>
      <c r="HF8" s="208">
        <v>0</v>
      </c>
      <c r="HG8" s="208">
        <v>0</v>
      </c>
      <c r="HH8" s="208">
        <v>0</v>
      </c>
      <c r="HI8" s="208">
        <v>0</v>
      </c>
      <c r="HJ8" s="208">
        <v>0</v>
      </c>
      <c r="HK8" s="208" t="s">
        <v>21190</v>
      </c>
      <c r="HL8" s="208" t="s">
        <v>21190</v>
      </c>
      <c r="HM8" s="208">
        <v>0</v>
      </c>
      <c r="HN8" s="208">
        <v>0</v>
      </c>
      <c r="HO8" s="208">
        <v>0</v>
      </c>
      <c r="HP8" s="208">
        <v>0</v>
      </c>
      <c r="HQ8" s="208">
        <v>0</v>
      </c>
      <c r="HR8" s="208">
        <v>0</v>
      </c>
      <c r="HS8" s="208" t="s">
        <v>21190</v>
      </c>
      <c r="HT8" s="208" t="s">
        <v>21193</v>
      </c>
      <c r="HU8" s="208">
        <v>21</v>
      </c>
      <c r="HV8" s="208">
        <v>21</v>
      </c>
      <c r="HW8" s="208">
        <v>0</v>
      </c>
      <c r="HX8" s="208">
        <v>0</v>
      </c>
      <c r="HY8" s="208">
        <v>0</v>
      </c>
      <c r="HZ8" s="208">
        <v>0</v>
      </c>
      <c r="IA8" s="600">
        <v>21</v>
      </c>
      <c r="IB8" s="600">
        <v>13</v>
      </c>
      <c r="IC8" s="342" t="s">
        <v>21037</v>
      </c>
      <c r="ID8" s="342" t="s">
        <v>2100</v>
      </c>
      <c r="IE8" s="342" t="s">
        <v>21195</v>
      </c>
      <c r="IF8" s="342" t="s">
        <v>21196</v>
      </c>
      <c r="IG8" s="382">
        <v>43780</v>
      </c>
      <c r="IH8" s="382">
        <v>45607</v>
      </c>
      <c r="II8" s="208">
        <v>7</v>
      </c>
    </row>
  </sheetData>
  <sheetProtection sheet="1" objects="1" scenarios="1" formatCells="0" formatColumns="0" formatRows="0" sort="0" autoFilter="0" pivotTables="0"/>
  <autoFilter ref="A1:IJ1"/>
  <conditionalFormatting sqref="F2">
    <cfRule type="expression" dxfId="72" priority="494">
      <formula>F2&lt;&gt;RIGHT(SUBSTITUTE(TRIM(E2),".",""),LEN(F2))</formula>
    </cfRule>
  </conditionalFormatting>
  <conditionalFormatting sqref="BS2">
    <cfRule type="expression" dxfId="72" priority="493">
      <formula>AND(J2&gt;=1,BS2&lt;1)</formula>
    </cfRule>
  </conditionalFormatting>
  <conditionalFormatting sqref="BT2">
    <cfRule type="expression" dxfId="72" priority="492">
      <formula>AND(J2&gt;=2,BT2&lt;1)</formula>
    </cfRule>
  </conditionalFormatting>
  <conditionalFormatting sqref="BU2">
    <cfRule type="expression" dxfId="72" priority="490">
      <formula>AND(J2&gt;=3,BU2&lt;1)</formula>
    </cfRule>
  </conditionalFormatting>
  <conditionalFormatting sqref="BV2">
    <cfRule type="expression" dxfId="72" priority="489">
      <formula>AND(J2&gt;=4,BV2&lt;1)</formula>
    </cfRule>
  </conditionalFormatting>
  <conditionalFormatting sqref="BW2">
    <cfRule type="expression" dxfId="72" priority="491">
      <formula>AND(J2&gt;=5,BW2&lt;1)</formula>
    </cfRule>
  </conditionalFormatting>
  <conditionalFormatting sqref="BX2">
    <cfRule type="expression" dxfId="72" priority="488">
      <formula>AND(J2&gt;=6,BX2&lt;1)</formula>
    </cfRule>
  </conditionalFormatting>
  <conditionalFormatting sqref="IC2">
    <cfRule type="expression" dxfId="72" priority="567">
      <formula>AND($S2 = TRUE, $IC2&lt;&gt;OptionsUnitCode)</formula>
    </cfRule>
  </conditionalFormatting>
  <conditionalFormatting sqref="A2:II2 A3:A8">
    <cfRule type="containsErrors" dxfId="72" priority="487">
      <formula>ISERROR(A2)</formula>
    </cfRule>
  </conditionalFormatting>
  <conditionalFormatting sqref="DP2">
    <cfRule type="expression" dxfId="1" priority="495">
      <formula>AND(BS2&gt;=1,DP2&lt;&gt;0, GetEquPower(AZ2,BM2, BZ2, FR2)=0)</formula>
    </cfRule>
    <cfRule type="expression" dxfId="0" priority="496">
      <formula>AND(BS2&gt;=1,DP2&lt;&gt;GetEquPower(AZ2,BM2, BZ2, FR2))</formula>
    </cfRule>
  </conditionalFormatting>
  <conditionalFormatting sqref="DQ2">
    <cfRule type="expression" dxfId="1" priority="497">
      <formula>AND(BS2&gt;=2,DQ2&lt;&gt;0, GetEquPower(AZ2,BM2, CA2, FR2)=0)</formula>
    </cfRule>
    <cfRule type="expression" dxfId="0" priority="498">
      <formula>AND(BS2&gt;=2,DQ2&lt;&gt;GetEquPower(AZ2,BM2, CA2, FR2))</formula>
    </cfRule>
  </conditionalFormatting>
  <conditionalFormatting sqref="DR2">
    <cfRule type="expression" dxfId="1" priority="499">
      <formula>AND(BS2&gt;=3,DR2&lt;&gt;0, GetEquPower(AZ2,BM2, CB2, FR2)=0)</formula>
    </cfRule>
    <cfRule type="expression" dxfId="0" priority="500">
      <formula>AND(BS2&gt;=3,DR2&lt;&gt;GetEquPower(AZ2,BM2, CB2, FR2))</formula>
    </cfRule>
  </conditionalFormatting>
  <conditionalFormatting sqref="DS2">
    <cfRule type="expression" dxfId="1" priority="531">
      <formula>AND(BS2&gt;=4,DS2&lt;&gt;0, GetEquPower(AZ2,BM2, CC2, FR2)=0)</formula>
    </cfRule>
    <cfRule type="expression" dxfId="0" priority="532">
      <formula>AND(BS2&gt;=4, DS2&lt;&gt;GetEquPower(AZ2,BM2, CC2, FR2))</formula>
    </cfRule>
  </conditionalFormatting>
  <conditionalFormatting sqref="DT2">
    <cfRule type="expression" dxfId="1" priority="543">
      <formula>AND(BS2&gt;=5,DT2&lt;&gt;0, GetEquPower(AZ2,BM2, CD2, FR2)=0)</formula>
    </cfRule>
    <cfRule type="expression" dxfId="0" priority="544">
      <formula>AND(BS2&gt;=5, DT2&lt;&gt;GetEquPower(AZ2,BM2, CD2, FR2))</formula>
    </cfRule>
  </conditionalFormatting>
  <conditionalFormatting sqref="DU2">
    <cfRule type="expression" dxfId="1" priority="545">
      <formula>AND(BS2&gt;=6,DU2&lt;&gt;0, GetEquPower(AZ2,BM2, CE2, FR2)=0)</formula>
    </cfRule>
    <cfRule type="expression" dxfId="0" priority="546">
      <formula>AND(BS2&gt;=6, DU2&lt;&gt;GetEquPower(AZ2,BM2, CE2, FR2))</formula>
    </cfRule>
  </conditionalFormatting>
  <conditionalFormatting sqref="DY2">
    <cfRule type="expression" dxfId="1" priority="501">
      <formula>AND(BT2&gt;=1,DY2&lt;&gt;0, GetEquPower(BA2,BN2, CG2, FS2)=0)</formula>
    </cfRule>
    <cfRule type="expression" dxfId="0" priority="502">
      <formula>AND(BT2&gt;=1,DY2&lt;&gt;GetEquPower(BA2,BN2, CG2, FS2))</formula>
    </cfRule>
  </conditionalFormatting>
  <conditionalFormatting sqref="DZ2">
    <cfRule type="expression" dxfId="1" priority="503">
      <formula>AND(BT2&gt;=2,DZ2&lt;&gt;0, GetEquPower(BA2,BN2, CH2, FS2)=0)</formula>
    </cfRule>
    <cfRule type="expression" dxfId="0" priority="504">
      <formula>AND(BT2&gt;=2,DZ2&lt;&gt;GetEquPower(BA2,BN2, CH2, FS2))</formula>
    </cfRule>
  </conditionalFormatting>
  <conditionalFormatting sqref="EA2">
    <cfRule type="expression" dxfId="1" priority="505">
      <formula>AND(BT2&gt;=3,EA2&lt;&gt;0, GetEquPower(BA2,BN2, CI2, FS2)=0)</formula>
    </cfRule>
    <cfRule type="expression" dxfId="0" priority="506">
      <formula>AND(BT2&gt;=3,EA2&lt;&gt;GetEquPower(BA2,BN2, CI2, FS2))</formula>
    </cfRule>
  </conditionalFormatting>
  <conditionalFormatting sqref="EB2">
    <cfRule type="expression" dxfId="1" priority="533">
      <formula>AND(BT2&gt;=4,EB2&lt;&gt;0, GetEquPower(BA2,BN2, CJ2, FS2)=0)</formula>
    </cfRule>
    <cfRule type="expression" dxfId="0" priority="534">
      <formula>AND(BT2&gt;=4,EB2&lt;&gt;GetEquPower(BA2,BN2, CJ2, FS2))</formula>
    </cfRule>
  </conditionalFormatting>
  <conditionalFormatting sqref="EC2">
    <cfRule type="expression" dxfId="1" priority="547">
      <formula>AND(BT2&gt;=5,EC2&lt;&gt;0, GetEquPower(BA2,BN2, CK2, FS2)=0)</formula>
    </cfRule>
    <cfRule type="expression" dxfId="0" priority="548">
      <formula>AND(BT2&gt;=5,EC2&lt;&gt;GetEquPower(BA2,BN2, CK2, FS2))</formula>
    </cfRule>
  </conditionalFormatting>
  <conditionalFormatting sqref="ED2">
    <cfRule type="expression" dxfId="1" priority="549">
      <formula>AND(BT2&gt;=6,ED2&lt;&gt;0, GetEquPower(BA2,BN2, CL2, FS2)=0)</formula>
    </cfRule>
    <cfRule type="expression" dxfId="0" priority="550">
      <formula>AND(BT2&gt;=6,ED2&lt;&gt;GetEquPower(BA2,BN2, CL2, FS2))</formula>
    </cfRule>
  </conditionalFormatting>
  <conditionalFormatting sqref="EH2">
    <cfRule type="expression" dxfId="1" priority="507">
      <formula>AND(BU2&gt;=1,EH2&lt;&gt;0, GetEquPower(BB2,BO2, CN2, FT2)=0)</formula>
    </cfRule>
    <cfRule type="expression" dxfId="0" priority="508">
      <formula>AND(BU2&gt;=1,EH2&lt;&gt;GetEquPower(BB2,BO2, CN2, FT2))</formula>
    </cfRule>
  </conditionalFormatting>
  <conditionalFormatting sqref="EI2">
    <cfRule type="expression" dxfId="1" priority="509">
      <formula>AND(BU2&gt;=2,EI2&lt;&gt;0, GetEquPower(BB2,BO2, CO2, FT2)=0)</formula>
    </cfRule>
    <cfRule type="expression" dxfId="0" priority="510">
      <formula xml:space="preserve"> AND(BU2&gt;=2,EI2&lt;&gt;GetEquPower(BB2,BO2, CO2, FT2))</formula>
    </cfRule>
  </conditionalFormatting>
  <conditionalFormatting sqref="EJ2">
    <cfRule type="expression" dxfId="1" priority="511">
      <formula>AND(BU2&gt;=3,EJ2&lt;&gt;0, GetEquPower(BB2,BO2, CP2, FT2)=0)</formula>
    </cfRule>
    <cfRule type="expression" dxfId="0" priority="512">
      <formula xml:space="preserve"> AND(BU2&gt;=3,EJ2&lt;&gt;GetEquPower(BB2,BO2, CP2, FT2))</formula>
    </cfRule>
  </conditionalFormatting>
  <conditionalFormatting sqref="EK2">
    <cfRule type="expression" dxfId="1" priority="535">
      <formula>AND(BU2&gt;=4,EK2&lt;&gt;0, GetEquPower(BB2,BO2, CQ2, FT2)=0)</formula>
    </cfRule>
    <cfRule type="expression" dxfId="0" priority="536">
      <formula xml:space="preserve"> AND(BU2&gt;=4,EK2&lt;&gt;GetEquPower(BB2,BO2, CQ2, FT2))</formula>
    </cfRule>
  </conditionalFormatting>
  <conditionalFormatting sqref="EL2">
    <cfRule type="expression" dxfId="1" priority="551">
      <formula>AND(BU2&gt;=5,EL2&lt;&gt;0, GetEquPower(BB2,BO2, CR2, FT2)=0)</formula>
    </cfRule>
    <cfRule type="expression" dxfId="0" priority="552">
      <formula xml:space="preserve"> AND(BU2&gt;=5,EL2&lt;&gt;GetEquPower(BB2,BO2, CR2, FT2))</formula>
    </cfRule>
  </conditionalFormatting>
  <conditionalFormatting sqref="EM2">
    <cfRule type="expression" dxfId="1" priority="553">
      <formula>AND(BU2&gt;=6,EM2&lt;&gt;0, GetEquPower(BB2,BO2, CS2, FT2)=0)</formula>
    </cfRule>
    <cfRule type="expression" dxfId="0" priority="554">
      <formula xml:space="preserve"> AND(BU2&gt;=6,EM2&lt;&gt;GetEquPower(BB2,BO2, CS2, FT2))</formula>
    </cfRule>
  </conditionalFormatting>
  <conditionalFormatting sqref="EQ2">
    <cfRule type="expression" dxfId="1" priority="513">
      <formula>AND(BV2&gt;=1,EQ2&lt;&gt;0, GetEquPower(BC2,BP2, CU2, FU2)=0)</formula>
    </cfRule>
    <cfRule type="expression" dxfId="0" priority="514">
      <formula>AND(BV2&gt;=1,EQ2&lt;&gt;GetEquPower(BC2,BP2, CU2, FU2))</formula>
    </cfRule>
  </conditionalFormatting>
  <conditionalFormatting sqref="ER2">
    <cfRule type="expression" dxfId="1" priority="515">
      <formula>AND(BV2&gt;=2,ER2&lt;&gt;0, GetEquPower(BC2,BP2, CV2, FU2)=0)</formula>
    </cfRule>
    <cfRule type="expression" dxfId="0" priority="516">
      <formula>AND(BV2&gt;=2,ER2&lt;&gt;GetEquPower(BC2,BP2, CV2, FU2))</formula>
    </cfRule>
  </conditionalFormatting>
  <conditionalFormatting sqref="ES2">
    <cfRule type="expression" dxfId="1" priority="517">
      <formula>AND(BV2&gt;=3,ES2&lt;&gt;0, GetEquPower(BC2,BP2, CW2, FU2)=0)</formula>
    </cfRule>
    <cfRule type="expression" dxfId="0" priority="518">
      <formula>AND(BV2&gt;=3,ES2&lt;&gt;GetEquPower(BC2,BP2, CW2, FU2))</formula>
    </cfRule>
  </conditionalFormatting>
  <conditionalFormatting sqref="ET2">
    <cfRule type="expression" dxfId="1" priority="537">
      <formula>AND(BV2&gt;=4,ET2&lt;&gt;0, GetEquPower(BC2,BP2, CX2, FU2)=0)</formula>
    </cfRule>
    <cfRule type="expression" dxfId="0" priority="538">
      <formula>AND(BV2&gt;=4,ET2&lt;&gt;GetEquPower(BC2,BP2, CX2, FU2))</formula>
    </cfRule>
  </conditionalFormatting>
  <conditionalFormatting sqref="EU2">
    <cfRule type="expression" dxfId="1" priority="555">
      <formula>AND(BV2&gt;=5,EU2&lt;&gt;0, GetEquPower(BC2,BP2, CY2, FU2)=0)</formula>
    </cfRule>
    <cfRule type="expression" dxfId="0" priority="556">
      <formula>AND(BV2&gt;=5,EU2&lt;&gt;GetEquPower(BC2,BP2, CY2, FU2))</formula>
    </cfRule>
  </conditionalFormatting>
  <conditionalFormatting sqref="EV2">
    <cfRule type="expression" dxfId="1" priority="557">
      <formula>AND(BV2&gt;=6,EV2&lt;&gt;0, GetEquPower(BC2,BP2, CZ2, FU2)=0)</formula>
    </cfRule>
    <cfRule type="expression" dxfId="0" priority="558">
      <formula>AND(BV2&gt;=6,EV2&lt;&gt;GetEquPower(BC2,BP2, CZ2, FU2))</formula>
    </cfRule>
  </conditionalFormatting>
  <conditionalFormatting sqref="EZ2">
    <cfRule type="expression" dxfId="1" priority="519">
      <formula>AND(BW2&gt;=1,EZ2&lt;&gt;0, GetEquPower(BD2,BQ2, DB2, FV2)=0)</formula>
    </cfRule>
    <cfRule type="expression" dxfId="0" priority="520">
      <formula>AND(BW2&gt;=1,EZ2&lt;&gt;GetEquPower(BD2,BQ2, DB2, FV2))</formula>
    </cfRule>
  </conditionalFormatting>
  <conditionalFormatting sqref="FA2">
    <cfRule type="expression" dxfId="1" priority="521">
      <formula>AND(BW2&gt;=2,FA2&lt;&gt;0, GetEquPower(BD2,BQ2, DC2, FV2)=0)</formula>
    </cfRule>
    <cfRule type="expression" dxfId="0" priority="522">
      <formula>AND(BW2&gt;=2,FA2&lt;&gt;GetEquPower(BD2,BQ2, DC2, FV2))</formula>
    </cfRule>
  </conditionalFormatting>
  <conditionalFormatting sqref="FB2">
    <cfRule type="expression" dxfId="1" priority="523">
      <formula>AND(BW2&gt;=3,FB2&lt;&gt;0, GetEquPower(BD2,BQ2, DD2, FV2)=0)</formula>
    </cfRule>
    <cfRule type="expression" dxfId="0" priority="524">
      <formula>AND(BW2&gt;=3,FB2&lt;&gt;GetEquPower(BD2,BQ2, DD2, FV2))</formula>
    </cfRule>
  </conditionalFormatting>
  <conditionalFormatting sqref="FC2">
    <cfRule type="expression" dxfId="1" priority="539">
      <formula>AND(BW2&gt;=4,FC2&lt;&gt;0, GetEquPower(BD2,BQ2, DE2, FV2)=0)</formula>
    </cfRule>
    <cfRule type="expression" dxfId="0" priority="540">
      <formula>AND(BW2&gt;=4,FC2&lt;&gt;GetEquPower(BD2,BQ2, DE2, FV2))</formula>
    </cfRule>
  </conditionalFormatting>
  <conditionalFormatting sqref="FD2">
    <cfRule type="expression" dxfId="1" priority="559">
      <formula>AND(BW2&gt;=5,FD2&lt;&gt;0, GetEquPower(BD2,BQ2, DF2, FV2)=0)</formula>
    </cfRule>
    <cfRule type="expression" dxfId="0" priority="560">
      <formula>AND(BW2&gt;=5,FD2&lt;&gt;GetEquPower(BD2,BQ2, DF2, FV2))</formula>
    </cfRule>
  </conditionalFormatting>
  <conditionalFormatting sqref="FE2">
    <cfRule type="expression" dxfId="1" priority="561">
      <formula>AND(BW2&gt;=6,FE2&lt;&gt;0, GetEquPower(BD2,BQ2, DG2, FV2)=0)</formula>
    </cfRule>
    <cfRule type="expression" dxfId="0" priority="562">
      <formula>AND(BW2&gt;=6,FE2&lt;&gt;GetEquPower(BD2,BQ2, DG2, FV2))</formula>
    </cfRule>
  </conditionalFormatting>
  <conditionalFormatting sqref="FI2">
    <cfRule type="expression" dxfId="1" priority="525">
      <formula>AND(BX2&gt;=1,FI2&lt;&gt;0, GetEquPower(BE2,BR2, DI2, FW2)=0)</formula>
    </cfRule>
    <cfRule type="expression" dxfId="0" priority="526">
      <formula>AND(BX2&gt;=1,FI2&lt;&gt;GetEquPower(BE2,BR2, DI2, FW2))</formula>
    </cfRule>
  </conditionalFormatting>
  <conditionalFormatting sqref="FJ2">
    <cfRule type="expression" dxfId="1" priority="527">
      <formula>AND(BX2&gt;=2,FJ2&lt;&gt;0, GetEquPower(BE2,BR2, DJ2, FW2)=0)</formula>
    </cfRule>
    <cfRule type="expression" dxfId="0" priority="528">
      <formula>AND(BX2&gt;=2,FJ2&lt;&gt;GetEquPower(BE2,BR2, DJ2, FW2))</formula>
    </cfRule>
  </conditionalFormatting>
  <conditionalFormatting sqref="FK2">
    <cfRule type="expression" dxfId="1" priority="529">
      <formula>AND(BX2&gt;=3,FK2&lt;&gt;0, GetEquPower(BE2,BR2, DK2, FW2)=0)</formula>
    </cfRule>
    <cfRule type="expression" dxfId="0" priority="530">
      <formula>AND(BX2&gt;=3,FK2&lt;&gt;GetEquPower(BE2,BR2, DK2, FW2))</formula>
    </cfRule>
  </conditionalFormatting>
  <conditionalFormatting sqref="FL2">
    <cfRule type="expression" dxfId="1" priority="541">
      <formula>AND(BX2&gt;=4,FL2&lt;&gt;0, GetEquPower(BE2,BR2, DL2, FW2)=0)</formula>
    </cfRule>
    <cfRule type="expression" dxfId="0" priority="542">
      <formula>AND(BX2&gt;=4,FL2&lt;&gt;GetEquPower(BE2,BR2, DL2, FW2))</formula>
    </cfRule>
  </conditionalFormatting>
  <conditionalFormatting sqref="FM2">
    <cfRule type="expression" dxfId="1" priority="563">
      <formula>AND(BX2&gt;=5,FM2&lt;&gt;0, GetEquPower(BE2,BR2, DM2, FW2)=0)</formula>
    </cfRule>
    <cfRule type="expression" dxfId="0" priority="564">
      <formula>AND(BX2&gt;=5,FM2&lt;&gt;GetEquPower(BE2,BR2, DM2, FW2))</formula>
    </cfRule>
  </conditionalFormatting>
  <conditionalFormatting sqref="FN2">
    <cfRule type="expression" dxfId="1" priority="565">
      <formula>AND(BX2&gt;=6,FN2&lt;&gt;0, GetEquPower(BE2,BR2, DN2, FW2)=0)</formula>
    </cfRule>
    <cfRule type="expression" dxfId="0" priority="566">
      <formula>AND(BX2&gt;=6,FN2&lt;&gt;GetEquPower(BE2,BR2, DN2, FW2))</formula>
    </cfRule>
  </conditionalFormatting>
  <conditionalFormatting sqref="F3">
    <cfRule type="expression" dxfId="72" priority="413">
      <formula>F3&lt;&gt;RIGHT(SUBSTITUTE(TRIM(E3),".",""),LEN(F3))</formula>
    </cfRule>
  </conditionalFormatting>
  <conditionalFormatting sqref="BS3">
    <cfRule type="expression" dxfId="72" priority="412">
      <formula>AND(J3&gt;=1,BS3&lt;1)</formula>
    </cfRule>
  </conditionalFormatting>
  <conditionalFormatting sqref="BT3">
    <cfRule type="expression" dxfId="72" priority="411">
      <formula>AND(J3&gt;=2,BT3&lt;1)</formula>
    </cfRule>
  </conditionalFormatting>
  <conditionalFormatting sqref="BU3">
    <cfRule type="expression" dxfId="72" priority="409">
      <formula>AND(J3&gt;=3,BU3&lt;1)</formula>
    </cfRule>
  </conditionalFormatting>
  <conditionalFormatting sqref="BV3">
    <cfRule type="expression" dxfId="72" priority="408">
      <formula>AND(J3&gt;=4,BV3&lt;1)</formula>
    </cfRule>
  </conditionalFormatting>
  <conditionalFormatting sqref="BW3">
    <cfRule type="expression" dxfId="72" priority="410">
      <formula>AND(J3&gt;=5,BW3&lt;1)</formula>
    </cfRule>
  </conditionalFormatting>
  <conditionalFormatting sqref="BX3">
    <cfRule type="expression" dxfId="72" priority="407">
      <formula>AND(J3&gt;=6,BX3&lt;1)</formula>
    </cfRule>
  </conditionalFormatting>
  <conditionalFormatting sqref="IC3">
    <cfRule type="expression" dxfId="72" priority="486">
      <formula>AND($S3 = TRUE, $IC3&lt;&gt;OptionsUnitCode)</formula>
    </cfRule>
  </conditionalFormatting>
  <conditionalFormatting sqref="B3:II3">
    <cfRule type="containsErrors" dxfId="72" priority="406">
      <formula>ISERROR(B3)</formula>
    </cfRule>
  </conditionalFormatting>
  <conditionalFormatting sqref="DP3">
    <cfRule type="expression" dxfId="1" priority="414">
      <formula>AND(BS3&gt;=1,DP3&lt;&gt;0, GetEquPower(AZ3,BM3, BZ3, FR3)=0)</formula>
    </cfRule>
    <cfRule type="expression" dxfId="0" priority="415">
      <formula>AND(BS3&gt;=1,DP3&lt;&gt;GetEquPower(AZ3,BM3, BZ3, FR3))</formula>
    </cfRule>
  </conditionalFormatting>
  <conditionalFormatting sqref="DQ3">
    <cfRule type="expression" dxfId="1" priority="416">
      <formula>AND(BS3&gt;=2,DQ3&lt;&gt;0, GetEquPower(AZ3,BM3, CA3, FR3)=0)</formula>
    </cfRule>
    <cfRule type="expression" dxfId="0" priority="417">
      <formula>AND(BS3&gt;=2,DQ3&lt;&gt;GetEquPower(AZ3,BM3, CA3, FR3))</formula>
    </cfRule>
  </conditionalFormatting>
  <conditionalFormatting sqref="DR3">
    <cfRule type="expression" dxfId="1" priority="418">
      <formula>AND(BS3&gt;=3,DR3&lt;&gt;0, GetEquPower(AZ3,BM3, CB3, FR3)=0)</formula>
    </cfRule>
    <cfRule type="expression" dxfId="0" priority="419">
      <formula>AND(BS3&gt;=3,DR3&lt;&gt;GetEquPower(AZ3,BM3, CB3, FR3))</formula>
    </cfRule>
  </conditionalFormatting>
  <conditionalFormatting sqref="DS3">
    <cfRule type="expression" dxfId="1" priority="450">
      <formula>AND(BS3&gt;=4,DS3&lt;&gt;0, GetEquPower(AZ3,BM3, CC3, FR3)=0)</formula>
    </cfRule>
    <cfRule type="expression" dxfId="0" priority="451">
      <formula>AND(BS3&gt;=4, DS3&lt;&gt;GetEquPower(AZ3,BM3, CC3, FR3))</formula>
    </cfRule>
  </conditionalFormatting>
  <conditionalFormatting sqref="DT3">
    <cfRule type="expression" dxfId="1" priority="462">
      <formula>AND(BS3&gt;=5,DT3&lt;&gt;0, GetEquPower(AZ3,BM3, CD3, FR3)=0)</formula>
    </cfRule>
    <cfRule type="expression" dxfId="0" priority="463">
      <formula>AND(BS3&gt;=5, DT3&lt;&gt;GetEquPower(AZ3,BM3, CD3, FR3))</formula>
    </cfRule>
  </conditionalFormatting>
  <conditionalFormatting sqref="DU3">
    <cfRule type="expression" dxfId="1" priority="464">
      <formula>AND(BS3&gt;=6,DU3&lt;&gt;0, GetEquPower(AZ3,BM3, CE3, FR3)=0)</formula>
    </cfRule>
    <cfRule type="expression" dxfId="0" priority="465">
      <formula>AND(BS3&gt;=6, DU3&lt;&gt;GetEquPower(AZ3,BM3, CE3, FR3))</formula>
    </cfRule>
  </conditionalFormatting>
  <conditionalFormatting sqref="DY3">
    <cfRule type="expression" dxfId="1" priority="420">
      <formula>AND(BT3&gt;=1,DY3&lt;&gt;0, GetEquPower(BA3,BN3, CG3, FS3)=0)</formula>
    </cfRule>
    <cfRule type="expression" dxfId="0" priority="421">
      <formula>AND(BT3&gt;=1,DY3&lt;&gt;GetEquPower(BA3,BN3, CG3, FS3))</formula>
    </cfRule>
  </conditionalFormatting>
  <conditionalFormatting sqref="DZ3">
    <cfRule type="expression" dxfId="1" priority="422">
      <formula>AND(BT3&gt;=2,DZ3&lt;&gt;0, GetEquPower(BA3,BN3, CH3, FS3)=0)</formula>
    </cfRule>
    <cfRule type="expression" dxfId="0" priority="423">
      <formula>AND(BT3&gt;=2,DZ3&lt;&gt;GetEquPower(BA3,BN3, CH3, FS3))</formula>
    </cfRule>
  </conditionalFormatting>
  <conditionalFormatting sqref="EA3">
    <cfRule type="expression" dxfId="1" priority="424">
      <formula>AND(BT3&gt;=3,EA3&lt;&gt;0, GetEquPower(BA3,BN3, CI3, FS3)=0)</formula>
    </cfRule>
    <cfRule type="expression" dxfId="0" priority="425">
      <formula>AND(BT3&gt;=3,EA3&lt;&gt;GetEquPower(BA3,BN3, CI3, FS3))</formula>
    </cfRule>
  </conditionalFormatting>
  <conditionalFormatting sqref="EB3">
    <cfRule type="expression" dxfId="1" priority="452">
      <formula>AND(BT3&gt;=4,EB3&lt;&gt;0, GetEquPower(BA3,BN3, CJ3, FS3)=0)</formula>
    </cfRule>
    <cfRule type="expression" dxfId="0" priority="453">
      <formula>AND(BT3&gt;=4,EB3&lt;&gt;GetEquPower(BA3,BN3, CJ3, FS3))</formula>
    </cfRule>
  </conditionalFormatting>
  <conditionalFormatting sqref="EC3">
    <cfRule type="expression" dxfId="1" priority="466">
      <formula>AND(BT3&gt;=5,EC3&lt;&gt;0, GetEquPower(BA3,BN3, CK3, FS3)=0)</formula>
    </cfRule>
    <cfRule type="expression" dxfId="0" priority="467">
      <formula>AND(BT3&gt;=5,EC3&lt;&gt;GetEquPower(BA3,BN3, CK3, FS3))</formula>
    </cfRule>
  </conditionalFormatting>
  <conditionalFormatting sqref="ED3">
    <cfRule type="expression" dxfId="1" priority="468">
      <formula>AND(BT3&gt;=6,ED3&lt;&gt;0, GetEquPower(BA3,BN3, CL3, FS3)=0)</formula>
    </cfRule>
    <cfRule type="expression" dxfId="0" priority="469">
      <formula>AND(BT3&gt;=6,ED3&lt;&gt;GetEquPower(BA3,BN3, CL3, FS3))</formula>
    </cfRule>
  </conditionalFormatting>
  <conditionalFormatting sqref="EH3">
    <cfRule type="expression" dxfId="1" priority="426">
      <formula>AND(BU3&gt;=1,EH3&lt;&gt;0, GetEquPower(BB3,BO3, CN3, FT3)=0)</formula>
    </cfRule>
    <cfRule type="expression" dxfId="0" priority="427">
      <formula>AND(BU3&gt;=1,EH3&lt;&gt;GetEquPower(BB3,BO3, CN3, FT3))</formula>
    </cfRule>
  </conditionalFormatting>
  <conditionalFormatting sqref="EI3">
    <cfRule type="expression" dxfId="1" priority="428">
      <formula>AND(BU3&gt;=2,EI3&lt;&gt;0, GetEquPower(BB3,BO3, CO3, FT3)=0)</formula>
    </cfRule>
    <cfRule type="expression" dxfId="0" priority="429">
      <formula xml:space="preserve"> AND(BU3&gt;=2,EI3&lt;&gt;GetEquPower(BB3,BO3, CO3, FT3))</formula>
    </cfRule>
  </conditionalFormatting>
  <conditionalFormatting sqref="EJ3">
    <cfRule type="expression" dxfId="1" priority="430">
      <formula>AND(BU3&gt;=3,EJ3&lt;&gt;0, GetEquPower(BB3,BO3, CP3, FT3)=0)</formula>
    </cfRule>
    <cfRule type="expression" dxfId="0" priority="431">
      <formula xml:space="preserve"> AND(BU3&gt;=3,EJ3&lt;&gt;GetEquPower(BB3,BO3, CP3, FT3))</formula>
    </cfRule>
  </conditionalFormatting>
  <conditionalFormatting sqref="EK3">
    <cfRule type="expression" dxfId="1" priority="454">
      <formula>AND(BU3&gt;=4,EK3&lt;&gt;0, GetEquPower(BB3,BO3, CQ3, FT3)=0)</formula>
    </cfRule>
    <cfRule type="expression" dxfId="0" priority="455">
      <formula xml:space="preserve"> AND(BU3&gt;=4,EK3&lt;&gt;GetEquPower(BB3,BO3, CQ3, FT3))</formula>
    </cfRule>
  </conditionalFormatting>
  <conditionalFormatting sqref="EL3">
    <cfRule type="expression" dxfId="1" priority="470">
      <formula>AND(BU3&gt;=5,EL3&lt;&gt;0, GetEquPower(BB3,BO3, CR3, FT3)=0)</formula>
    </cfRule>
    <cfRule type="expression" dxfId="0" priority="471">
      <formula xml:space="preserve"> AND(BU3&gt;=5,EL3&lt;&gt;GetEquPower(BB3,BO3, CR3, FT3))</formula>
    </cfRule>
  </conditionalFormatting>
  <conditionalFormatting sqref="EM3">
    <cfRule type="expression" dxfId="1" priority="472">
      <formula>AND(BU3&gt;=6,EM3&lt;&gt;0, GetEquPower(BB3,BO3, CS3, FT3)=0)</formula>
    </cfRule>
    <cfRule type="expression" dxfId="0" priority="473">
      <formula xml:space="preserve"> AND(BU3&gt;=6,EM3&lt;&gt;GetEquPower(BB3,BO3, CS3, FT3))</formula>
    </cfRule>
  </conditionalFormatting>
  <conditionalFormatting sqref="EQ3">
    <cfRule type="expression" dxfId="1" priority="432">
      <formula>AND(BV3&gt;=1,EQ3&lt;&gt;0, GetEquPower(BC3,BP3, CU3, FU3)=0)</formula>
    </cfRule>
    <cfRule type="expression" dxfId="0" priority="433">
      <formula>AND(BV3&gt;=1,EQ3&lt;&gt;GetEquPower(BC3,BP3, CU3, FU3))</formula>
    </cfRule>
  </conditionalFormatting>
  <conditionalFormatting sqref="ER3">
    <cfRule type="expression" dxfId="1" priority="434">
      <formula>AND(BV3&gt;=2,ER3&lt;&gt;0, GetEquPower(BC3,BP3, CV3, FU3)=0)</formula>
    </cfRule>
    <cfRule type="expression" dxfId="0" priority="435">
      <formula>AND(BV3&gt;=2,ER3&lt;&gt;GetEquPower(BC3,BP3, CV3, FU3))</formula>
    </cfRule>
  </conditionalFormatting>
  <conditionalFormatting sqref="ES3">
    <cfRule type="expression" dxfId="1" priority="436">
      <formula>AND(BV3&gt;=3,ES3&lt;&gt;0, GetEquPower(BC3,BP3, CW3, FU3)=0)</formula>
    </cfRule>
    <cfRule type="expression" dxfId="0" priority="437">
      <formula>AND(BV3&gt;=3,ES3&lt;&gt;GetEquPower(BC3,BP3, CW3, FU3))</formula>
    </cfRule>
  </conditionalFormatting>
  <conditionalFormatting sqref="ET3">
    <cfRule type="expression" dxfId="1" priority="456">
      <formula>AND(BV3&gt;=4,ET3&lt;&gt;0, GetEquPower(BC3,BP3, CX3, FU3)=0)</formula>
    </cfRule>
    <cfRule type="expression" dxfId="0" priority="457">
      <formula>AND(BV3&gt;=4,ET3&lt;&gt;GetEquPower(BC3,BP3, CX3, FU3))</formula>
    </cfRule>
  </conditionalFormatting>
  <conditionalFormatting sqref="EU3">
    <cfRule type="expression" dxfId="1" priority="474">
      <formula>AND(BV3&gt;=5,EU3&lt;&gt;0, GetEquPower(BC3,BP3, CY3, FU3)=0)</formula>
    </cfRule>
    <cfRule type="expression" dxfId="0" priority="475">
      <formula>AND(BV3&gt;=5,EU3&lt;&gt;GetEquPower(BC3,BP3, CY3, FU3))</formula>
    </cfRule>
  </conditionalFormatting>
  <conditionalFormatting sqref="EV3">
    <cfRule type="expression" dxfId="1" priority="476">
      <formula>AND(BV3&gt;=6,EV3&lt;&gt;0, GetEquPower(BC3,BP3, CZ3, FU3)=0)</formula>
    </cfRule>
    <cfRule type="expression" dxfId="0" priority="477">
      <formula>AND(BV3&gt;=6,EV3&lt;&gt;GetEquPower(BC3,BP3, CZ3, FU3))</formula>
    </cfRule>
  </conditionalFormatting>
  <conditionalFormatting sqref="EZ3">
    <cfRule type="expression" dxfId="1" priority="438">
      <formula>AND(BW3&gt;=1,EZ3&lt;&gt;0, GetEquPower(BD3,BQ3, DB3, FV3)=0)</formula>
    </cfRule>
    <cfRule type="expression" dxfId="0" priority="439">
      <formula>AND(BW3&gt;=1,EZ3&lt;&gt;GetEquPower(BD3,BQ3, DB3, FV3))</formula>
    </cfRule>
  </conditionalFormatting>
  <conditionalFormatting sqref="FA3">
    <cfRule type="expression" dxfId="1" priority="440">
      <formula>AND(BW3&gt;=2,FA3&lt;&gt;0, GetEquPower(BD3,BQ3, DC3, FV3)=0)</formula>
    </cfRule>
    <cfRule type="expression" dxfId="0" priority="441">
      <formula>AND(BW3&gt;=2,FA3&lt;&gt;GetEquPower(BD3,BQ3, DC3, FV3))</formula>
    </cfRule>
  </conditionalFormatting>
  <conditionalFormatting sqref="FB3">
    <cfRule type="expression" dxfId="1" priority="442">
      <formula>AND(BW3&gt;=3,FB3&lt;&gt;0, GetEquPower(BD3,BQ3, DD3, FV3)=0)</formula>
    </cfRule>
    <cfRule type="expression" dxfId="0" priority="443">
      <formula>AND(BW3&gt;=3,FB3&lt;&gt;GetEquPower(BD3,BQ3, DD3, FV3))</formula>
    </cfRule>
  </conditionalFormatting>
  <conditionalFormatting sqref="FC3">
    <cfRule type="expression" dxfId="1" priority="458">
      <formula>AND(BW3&gt;=4,FC3&lt;&gt;0, GetEquPower(BD3,BQ3, DE3, FV3)=0)</formula>
    </cfRule>
    <cfRule type="expression" dxfId="0" priority="459">
      <formula>AND(BW3&gt;=4,FC3&lt;&gt;GetEquPower(BD3,BQ3, DE3, FV3))</formula>
    </cfRule>
  </conditionalFormatting>
  <conditionalFormatting sqref="FD3">
    <cfRule type="expression" dxfId="1" priority="478">
      <formula>AND(BW3&gt;=5,FD3&lt;&gt;0, GetEquPower(BD3,BQ3, DF3, FV3)=0)</formula>
    </cfRule>
    <cfRule type="expression" dxfId="0" priority="479">
      <formula>AND(BW3&gt;=5,FD3&lt;&gt;GetEquPower(BD3,BQ3, DF3, FV3))</formula>
    </cfRule>
  </conditionalFormatting>
  <conditionalFormatting sqref="FE3">
    <cfRule type="expression" dxfId="1" priority="480">
      <formula>AND(BW3&gt;=6,FE3&lt;&gt;0, GetEquPower(BD3,BQ3, DG3, FV3)=0)</formula>
    </cfRule>
    <cfRule type="expression" dxfId="0" priority="481">
      <formula>AND(BW3&gt;=6,FE3&lt;&gt;GetEquPower(BD3,BQ3, DG3, FV3))</formula>
    </cfRule>
  </conditionalFormatting>
  <conditionalFormatting sqref="FI3">
    <cfRule type="expression" dxfId="1" priority="444">
      <formula>AND(BX3&gt;=1,FI3&lt;&gt;0, GetEquPower(BE3,BR3, DI3, FW3)=0)</formula>
    </cfRule>
    <cfRule type="expression" dxfId="0" priority="445">
      <formula>AND(BX3&gt;=1,FI3&lt;&gt;GetEquPower(BE3,BR3, DI3, FW3))</formula>
    </cfRule>
  </conditionalFormatting>
  <conditionalFormatting sqref="FJ3">
    <cfRule type="expression" dxfId="1" priority="446">
      <formula>AND(BX3&gt;=2,FJ3&lt;&gt;0, GetEquPower(BE3,BR3, DJ3, FW3)=0)</formula>
    </cfRule>
    <cfRule type="expression" dxfId="0" priority="447">
      <formula>AND(BX3&gt;=2,FJ3&lt;&gt;GetEquPower(BE3,BR3, DJ3, FW3))</formula>
    </cfRule>
  </conditionalFormatting>
  <conditionalFormatting sqref="FK3">
    <cfRule type="expression" dxfId="1" priority="448">
      <formula>AND(BX3&gt;=3,FK3&lt;&gt;0, GetEquPower(BE3,BR3, DK3, FW3)=0)</formula>
    </cfRule>
    <cfRule type="expression" dxfId="0" priority="449">
      <formula>AND(BX3&gt;=3,FK3&lt;&gt;GetEquPower(BE3,BR3, DK3, FW3))</formula>
    </cfRule>
  </conditionalFormatting>
  <conditionalFormatting sqref="FL3">
    <cfRule type="expression" dxfId="1" priority="460">
      <formula>AND(BX3&gt;=4,FL3&lt;&gt;0, GetEquPower(BE3,BR3, DL3, FW3)=0)</formula>
    </cfRule>
    <cfRule type="expression" dxfId="0" priority="461">
      <formula>AND(BX3&gt;=4,FL3&lt;&gt;GetEquPower(BE3,BR3, DL3, FW3))</formula>
    </cfRule>
  </conditionalFormatting>
  <conditionalFormatting sqref="FM3">
    <cfRule type="expression" dxfId="1" priority="482">
      <formula>AND(BX3&gt;=5,FM3&lt;&gt;0, GetEquPower(BE3,BR3, DM3, FW3)=0)</formula>
    </cfRule>
    <cfRule type="expression" dxfId="0" priority="483">
      <formula>AND(BX3&gt;=5,FM3&lt;&gt;GetEquPower(BE3,BR3, DM3, FW3))</formula>
    </cfRule>
  </conditionalFormatting>
  <conditionalFormatting sqref="FN3">
    <cfRule type="expression" dxfId="1" priority="484">
      <formula>AND(BX3&gt;=6,FN3&lt;&gt;0, GetEquPower(BE3,BR3, DN3, FW3)=0)</formula>
    </cfRule>
    <cfRule type="expression" dxfId="0" priority="485">
      <formula>AND(BX3&gt;=6,FN3&lt;&gt;GetEquPower(BE3,BR3, DN3, FW3))</formula>
    </cfRule>
  </conditionalFormatting>
  <conditionalFormatting sqref="F4">
    <cfRule type="expression" dxfId="72" priority="332">
      <formula>F4&lt;&gt;RIGHT(SUBSTITUTE(TRIM(E4),".",""),LEN(F4))</formula>
    </cfRule>
  </conditionalFormatting>
  <conditionalFormatting sqref="BS4">
    <cfRule type="expression" dxfId="72" priority="331">
      <formula>AND(J4&gt;=1,BS4&lt;1)</formula>
    </cfRule>
  </conditionalFormatting>
  <conditionalFormatting sqref="BT4">
    <cfRule type="expression" dxfId="72" priority="330">
      <formula>AND(J4&gt;=2,BT4&lt;1)</formula>
    </cfRule>
  </conditionalFormatting>
  <conditionalFormatting sqref="BU4">
    <cfRule type="expression" dxfId="72" priority="328">
      <formula>AND(J4&gt;=3,BU4&lt;1)</formula>
    </cfRule>
  </conditionalFormatting>
  <conditionalFormatting sqref="BV4">
    <cfRule type="expression" dxfId="72" priority="327">
      <formula>AND(J4&gt;=4,BV4&lt;1)</formula>
    </cfRule>
  </conditionalFormatting>
  <conditionalFormatting sqref="BW4">
    <cfRule type="expression" dxfId="72" priority="329">
      <formula>AND(J4&gt;=5,BW4&lt;1)</formula>
    </cfRule>
  </conditionalFormatting>
  <conditionalFormatting sqref="BX4">
    <cfRule type="expression" dxfId="72" priority="326">
      <formula>AND(J4&gt;=6,BX4&lt;1)</formula>
    </cfRule>
  </conditionalFormatting>
  <conditionalFormatting sqref="IC4">
    <cfRule type="expression" dxfId="72" priority="405">
      <formula>AND($S4 = TRUE, $IC4&lt;&gt;OptionsUnitCode)</formula>
    </cfRule>
  </conditionalFormatting>
  <conditionalFormatting sqref="B4:II4">
    <cfRule type="containsErrors" dxfId="72" priority="325">
      <formula>ISERROR(B4)</formula>
    </cfRule>
  </conditionalFormatting>
  <conditionalFormatting sqref="DP4">
    <cfRule type="expression" dxfId="1" priority="333">
      <formula>AND(BS4&gt;=1,DP4&lt;&gt;0, GetEquPower(AZ4,BM4, BZ4, FR4)=0)</formula>
    </cfRule>
    <cfRule type="expression" dxfId="0" priority="334">
      <formula>AND(BS4&gt;=1,DP4&lt;&gt;GetEquPower(AZ4,BM4, BZ4, FR4))</formula>
    </cfRule>
  </conditionalFormatting>
  <conditionalFormatting sqref="DQ4">
    <cfRule type="expression" dxfId="1" priority="335">
      <formula>AND(BS4&gt;=2,DQ4&lt;&gt;0, GetEquPower(AZ4,BM4, CA4, FR4)=0)</formula>
    </cfRule>
    <cfRule type="expression" dxfId="0" priority="336">
      <formula>AND(BS4&gt;=2,DQ4&lt;&gt;GetEquPower(AZ4,BM4, CA4, FR4))</formula>
    </cfRule>
  </conditionalFormatting>
  <conditionalFormatting sqref="DR4">
    <cfRule type="expression" dxfId="1" priority="337">
      <formula>AND(BS4&gt;=3,DR4&lt;&gt;0, GetEquPower(AZ4,BM4, CB4, FR4)=0)</formula>
    </cfRule>
    <cfRule type="expression" dxfId="0" priority="338">
      <formula>AND(BS4&gt;=3,DR4&lt;&gt;GetEquPower(AZ4,BM4, CB4, FR4))</formula>
    </cfRule>
  </conditionalFormatting>
  <conditionalFormatting sqref="DS4">
    <cfRule type="expression" dxfId="1" priority="369">
      <formula>AND(BS4&gt;=4,DS4&lt;&gt;0, GetEquPower(AZ4,BM4, CC4, FR4)=0)</formula>
    </cfRule>
    <cfRule type="expression" dxfId="0" priority="370">
      <formula>AND(BS4&gt;=4, DS4&lt;&gt;GetEquPower(AZ4,BM4, CC4, FR4))</formula>
    </cfRule>
  </conditionalFormatting>
  <conditionalFormatting sqref="DT4">
    <cfRule type="expression" dxfId="1" priority="381">
      <formula>AND(BS4&gt;=5,DT4&lt;&gt;0, GetEquPower(AZ4,BM4, CD4, FR4)=0)</formula>
    </cfRule>
    <cfRule type="expression" dxfId="0" priority="382">
      <formula>AND(BS4&gt;=5, DT4&lt;&gt;GetEquPower(AZ4,BM4, CD4, FR4))</formula>
    </cfRule>
  </conditionalFormatting>
  <conditionalFormatting sqref="DU4">
    <cfRule type="expression" dxfId="1" priority="383">
      <formula>AND(BS4&gt;=6,DU4&lt;&gt;0, GetEquPower(AZ4,BM4, CE4, FR4)=0)</formula>
    </cfRule>
    <cfRule type="expression" dxfId="0" priority="384">
      <formula>AND(BS4&gt;=6, DU4&lt;&gt;GetEquPower(AZ4,BM4, CE4, FR4))</formula>
    </cfRule>
  </conditionalFormatting>
  <conditionalFormatting sqref="DY4">
    <cfRule type="expression" dxfId="1" priority="339">
      <formula>AND(BT4&gt;=1,DY4&lt;&gt;0, GetEquPower(BA4,BN4, CG4, FS4)=0)</formula>
    </cfRule>
    <cfRule type="expression" dxfId="0" priority="340">
      <formula>AND(BT4&gt;=1,DY4&lt;&gt;GetEquPower(BA4,BN4, CG4, FS4))</formula>
    </cfRule>
  </conditionalFormatting>
  <conditionalFormatting sqref="DZ4">
    <cfRule type="expression" dxfId="1" priority="341">
      <formula>AND(BT4&gt;=2,DZ4&lt;&gt;0, GetEquPower(BA4,BN4, CH4, FS4)=0)</formula>
    </cfRule>
    <cfRule type="expression" dxfId="0" priority="342">
      <formula>AND(BT4&gt;=2,DZ4&lt;&gt;GetEquPower(BA4,BN4, CH4, FS4))</formula>
    </cfRule>
  </conditionalFormatting>
  <conditionalFormatting sqref="EA4">
    <cfRule type="expression" dxfId="1" priority="343">
      <formula>AND(BT4&gt;=3,EA4&lt;&gt;0, GetEquPower(BA4,BN4, CI4, FS4)=0)</formula>
    </cfRule>
    <cfRule type="expression" dxfId="0" priority="344">
      <formula>AND(BT4&gt;=3,EA4&lt;&gt;GetEquPower(BA4,BN4, CI4, FS4))</formula>
    </cfRule>
  </conditionalFormatting>
  <conditionalFormatting sqref="EB4">
    <cfRule type="expression" dxfId="1" priority="371">
      <formula>AND(BT4&gt;=4,EB4&lt;&gt;0, GetEquPower(BA4,BN4, CJ4, FS4)=0)</formula>
    </cfRule>
    <cfRule type="expression" dxfId="0" priority="372">
      <formula>AND(BT4&gt;=4,EB4&lt;&gt;GetEquPower(BA4,BN4, CJ4, FS4))</formula>
    </cfRule>
  </conditionalFormatting>
  <conditionalFormatting sqref="EC4">
    <cfRule type="expression" dxfId="1" priority="385">
      <formula>AND(BT4&gt;=5,EC4&lt;&gt;0, GetEquPower(BA4,BN4, CK4, FS4)=0)</formula>
    </cfRule>
    <cfRule type="expression" dxfId="0" priority="386">
      <formula>AND(BT4&gt;=5,EC4&lt;&gt;GetEquPower(BA4,BN4, CK4, FS4))</formula>
    </cfRule>
  </conditionalFormatting>
  <conditionalFormatting sqref="ED4">
    <cfRule type="expression" dxfId="1" priority="387">
      <formula>AND(BT4&gt;=6,ED4&lt;&gt;0, GetEquPower(BA4,BN4, CL4, FS4)=0)</formula>
    </cfRule>
    <cfRule type="expression" dxfId="0" priority="388">
      <formula>AND(BT4&gt;=6,ED4&lt;&gt;GetEquPower(BA4,BN4, CL4, FS4))</formula>
    </cfRule>
  </conditionalFormatting>
  <conditionalFormatting sqref="EH4">
    <cfRule type="expression" dxfId="1" priority="345">
      <formula>AND(BU4&gt;=1,EH4&lt;&gt;0, GetEquPower(BB4,BO4, CN4, FT4)=0)</formula>
    </cfRule>
    <cfRule type="expression" dxfId="0" priority="346">
      <formula>AND(BU4&gt;=1,EH4&lt;&gt;GetEquPower(BB4,BO4, CN4, FT4))</formula>
    </cfRule>
  </conditionalFormatting>
  <conditionalFormatting sqref="EI4">
    <cfRule type="expression" dxfId="1" priority="347">
      <formula>AND(BU4&gt;=2,EI4&lt;&gt;0, GetEquPower(BB4,BO4, CO4, FT4)=0)</formula>
    </cfRule>
    <cfRule type="expression" dxfId="0" priority="348">
      <formula xml:space="preserve"> AND(BU4&gt;=2,EI4&lt;&gt;GetEquPower(BB4,BO4, CO4, FT4))</formula>
    </cfRule>
  </conditionalFormatting>
  <conditionalFormatting sqref="EJ4">
    <cfRule type="expression" dxfId="1" priority="349">
      <formula>AND(BU4&gt;=3,EJ4&lt;&gt;0, GetEquPower(BB4,BO4, CP4, FT4)=0)</formula>
    </cfRule>
    <cfRule type="expression" dxfId="0" priority="350">
      <formula xml:space="preserve"> AND(BU4&gt;=3,EJ4&lt;&gt;GetEquPower(BB4,BO4, CP4, FT4))</formula>
    </cfRule>
  </conditionalFormatting>
  <conditionalFormatting sqref="EK4">
    <cfRule type="expression" dxfId="1" priority="373">
      <formula>AND(BU4&gt;=4,EK4&lt;&gt;0, GetEquPower(BB4,BO4, CQ4, FT4)=0)</formula>
    </cfRule>
    <cfRule type="expression" dxfId="0" priority="374">
      <formula xml:space="preserve"> AND(BU4&gt;=4,EK4&lt;&gt;GetEquPower(BB4,BO4, CQ4, FT4))</formula>
    </cfRule>
  </conditionalFormatting>
  <conditionalFormatting sqref="EL4">
    <cfRule type="expression" dxfId="1" priority="389">
      <formula>AND(BU4&gt;=5,EL4&lt;&gt;0, GetEquPower(BB4,BO4, CR4, FT4)=0)</formula>
    </cfRule>
    <cfRule type="expression" dxfId="0" priority="390">
      <formula xml:space="preserve"> AND(BU4&gt;=5,EL4&lt;&gt;GetEquPower(BB4,BO4, CR4, FT4))</formula>
    </cfRule>
  </conditionalFormatting>
  <conditionalFormatting sqref="EM4">
    <cfRule type="expression" dxfId="1" priority="391">
      <formula>AND(BU4&gt;=6,EM4&lt;&gt;0, GetEquPower(BB4,BO4, CS4, FT4)=0)</formula>
    </cfRule>
    <cfRule type="expression" dxfId="0" priority="392">
      <formula xml:space="preserve"> AND(BU4&gt;=6,EM4&lt;&gt;GetEquPower(BB4,BO4, CS4, FT4))</formula>
    </cfRule>
  </conditionalFormatting>
  <conditionalFormatting sqref="EQ4">
    <cfRule type="expression" dxfId="1" priority="351">
      <formula>AND(BV4&gt;=1,EQ4&lt;&gt;0, GetEquPower(BC4,BP4, CU4, FU4)=0)</formula>
    </cfRule>
    <cfRule type="expression" dxfId="0" priority="352">
      <formula>AND(BV4&gt;=1,EQ4&lt;&gt;GetEquPower(BC4,BP4, CU4, FU4))</formula>
    </cfRule>
  </conditionalFormatting>
  <conditionalFormatting sqref="ER4">
    <cfRule type="expression" dxfId="1" priority="353">
      <formula>AND(BV4&gt;=2,ER4&lt;&gt;0, GetEquPower(BC4,BP4, CV4, FU4)=0)</formula>
    </cfRule>
    <cfRule type="expression" dxfId="0" priority="354">
      <formula>AND(BV4&gt;=2,ER4&lt;&gt;GetEquPower(BC4,BP4, CV4, FU4))</formula>
    </cfRule>
  </conditionalFormatting>
  <conditionalFormatting sqref="ES4">
    <cfRule type="expression" dxfId="1" priority="355">
      <formula>AND(BV4&gt;=3,ES4&lt;&gt;0, GetEquPower(BC4,BP4, CW4, FU4)=0)</formula>
    </cfRule>
    <cfRule type="expression" dxfId="0" priority="356">
      <formula>AND(BV4&gt;=3,ES4&lt;&gt;GetEquPower(BC4,BP4, CW4, FU4))</formula>
    </cfRule>
  </conditionalFormatting>
  <conditionalFormatting sqref="ET4">
    <cfRule type="expression" dxfId="1" priority="375">
      <formula>AND(BV4&gt;=4,ET4&lt;&gt;0, GetEquPower(BC4,BP4, CX4, FU4)=0)</formula>
    </cfRule>
    <cfRule type="expression" dxfId="0" priority="376">
      <formula>AND(BV4&gt;=4,ET4&lt;&gt;GetEquPower(BC4,BP4, CX4, FU4))</formula>
    </cfRule>
  </conditionalFormatting>
  <conditionalFormatting sqref="EU4">
    <cfRule type="expression" dxfId="1" priority="393">
      <formula>AND(BV4&gt;=5,EU4&lt;&gt;0, GetEquPower(BC4,BP4, CY4, FU4)=0)</formula>
    </cfRule>
    <cfRule type="expression" dxfId="0" priority="394">
      <formula>AND(BV4&gt;=5,EU4&lt;&gt;GetEquPower(BC4,BP4, CY4, FU4))</formula>
    </cfRule>
  </conditionalFormatting>
  <conditionalFormatting sqref="EV4">
    <cfRule type="expression" dxfId="1" priority="395">
      <formula>AND(BV4&gt;=6,EV4&lt;&gt;0, GetEquPower(BC4,BP4, CZ4, FU4)=0)</formula>
    </cfRule>
    <cfRule type="expression" dxfId="0" priority="396">
      <formula>AND(BV4&gt;=6,EV4&lt;&gt;GetEquPower(BC4,BP4, CZ4, FU4))</formula>
    </cfRule>
  </conditionalFormatting>
  <conditionalFormatting sqref="EZ4">
    <cfRule type="expression" dxfId="1" priority="357">
      <formula>AND(BW4&gt;=1,EZ4&lt;&gt;0, GetEquPower(BD4,BQ4, DB4, FV4)=0)</formula>
    </cfRule>
    <cfRule type="expression" dxfId="0" priority="358">
      <formula>AND(BW4&gt;=1,EZ4&lt;&gt;GetEquPower(BD4,BQ4, DB4, FV4))</formula>
    </cfRule>
  </conditionalFormatting>
  <conditionalFormatting sqref="FA4">
    <cfRule type="expression" dxfId="1" priority="359">
      <formula>AND(BW4&gt;=2,FA4&lt;&gt;0, GetEquPower(BD4,BQ4, DC4, FV4)=0)</formula>
    </cfRule>
    <cfRule type="expression" dxfId="0" priority="360">
      <formula>AND(BW4&gt;=2,FA4&lt;&gt;GetEquPower(BD4,BQ4, DC4, FV4))</formula>
    </cfRule>
  </conditionalFormatting>
  <conditionalFormatting sqref="FB4">
    <cfRule type="expression" dxfId="1" priority="361">
      <formula>AND(BW4&gt;=3,FB4&lt;&gt;0, GetEquPower(BD4,BQ4, DD4, FV4)=0)</formula>
    </cfRule>
    <cfRule type="expression" dxfId="0" priority="362">
      <formula>AND(BW4&gt;=3,FB4&lt;&gt;GetEquPower(BD4,BQ4, DD4, FV4))</formula>
    </cfRule>
  </conditionalFormatting>
  <conditionalFormatting sqref="FC4">
    <cfRule type="expression" dxfId="1" priority="377">
      <formula>AND(BW4&gt;=4,FC4&lt;&gt;0, GetEquPower(BD4,BQ4, DE4, FV4)=0)</formula>
    </cfRule>
    <cfRule type="expression" dxfId="0" priority="378">
      <formula>AND(BW4&gt;=4,FC4&lt;&gt;GetEquPower(BD4,BQ4, DE4, FV4))</formula>
    </cfRule>
  </conditionalFormatting>
  <conditionalFormatting sqref="FD4">
    <cfRule type="expression" dxfId="1" priority="397">
      <formula>AND(BW4&gt;=5,FD4&lt;&gt;0, GetEquPower(BD4,BQ4, DF4, FV4)=0)</formula>
    </cfRule>
    <cfRule type="expression" dxfId="0" priority="398">
      <formula>AND(BW4&gt;=5,FD4&lt;&gt;GetEquPower(BD4,BQ4, DF4, FV4))</formula>
    </cfRule>
  </conditionalFormatting>
  <conditionalFormatting sqref="FE4">
    <cfRule type="expression" dxfId="1" priority="399">
      <formula>AND(BW4&gt;=6,FE4&lt;&gt;0, GetEquPower(BD4,BQ4, DG4, FV4)=0)</formula>
    </cfRule>
    <cfRule type="expression" dxfId="0" priority="400">
      <formula>AND(BW4&gt;=6,FE4&lt;&gt;GetEquPower(BD4,BQ4, DG4, FV4))</formula>
    </cfRule>
  </conditionalFormatting>
  <conditionalFormatting sqref="FI4">
    <cfRule type="expression" dxfId="1" priority="363">
      <formula>AND(BX4&gt;=1,FI4&lt;&gt;0, GetEquPower(BE4,BR4, DI4, FW4)=0)</formula>
    </cfRule>
    <cfRule type="expression" dxfId="0" priority="364">
      <formula>AND(BX4&gt;=1,FI4&lt;&gt;GetEquPower(BE4,BR4, DI4, FW4))</formula>
    </cfRule>
  </conditionalFormatting>
  <conditionalFormatting sqref="FJ4">
    <cfRule type="expression" dxfId="1" priority="365">
      <formula>AND(BX4&gt;=2,FJ4&lt;&gt;0, GetEquPower(BE4,BR4, DJ4, FW4)=0)</formula>
    </cfRule>
    <cfRule type="expression" dxfId="0" priority="366">
      <formula>AND(BX4&gt;=2,FJ4&lt;&gt;GetEquPower(BE4,BR4, DJ4, FW4))</formula>
    </cfRule>
  </conditionalFormatting>
  <conditionalFormatting sqref="FK4">
    <cfRule type="expression" dxfId="1" priority="367">
      <formula>AND(BX4&gt;=3,FK4&lt;&gt;0, GetEquPower(BE4,BR4, DK4, FW4)=0)</formula>
    </cfRule>
    <cfRule type="expression" dxfId="0" priority="368">
      <formula>AND(BX4&gt;=3,FK4&lt;&gt;GetEquPower(BE4,BR4, DK4, FW4))</formula>
    </cfRule>
  </conditionalFormatting>
  <conditionalFormatting sqref="FL4">
    <cfRule type="expression" dxfId="1" priority="379">
      <formula>AND(BX4&gt;=4,FL4&lt;&gt;0, GetEquPower(BE4,BR4, DL4, FW4)=0)</formula>
    </cfRule>
    <cfRule type="expression" dxfId="0" priority="380">
      <formula>AND(BX4&gt;=4,FL4&lt;&gt;GetEquPower(BE4,BR4, DL4, FW4))</formula>
    </cfRule>
  </conditionalFormatting>
  <conditionalFormatting sqref="FM4">
    <cfRule type="expression" dxfId="1" priority="401">
      <formula>AND(BX4&gt;=5,FM4&lt;&gt;0, GetEquPower(BE4,BR4, DM4, FW4)=0)</formula>
    </cfRule>
    <cfRule type="expression" dxfId="0" priority="402">
      <formula>AND(BX4&gt;=5,FM4&lt;&gt;GetEquPower(BE4,BR4, DM4, FW4))</formula>
    </cfRule>
  </conditionalFormatting>
  <conditionalFormatting sqref="FN4">
    <cfRule type="expression" dxfId="1" priority="403">
      <formula>AND(BX4&gt;=6,FN4&lt;&gt;0, GetEquPower(BE4,BR4, DN4, FW4)=0)</formula>
    </cfRule>
    <cfRule type="expression" dxfId="0" priority="404">
      <formula>AND(BX4&gt;=6,FN4&lt;&gt;GetEquPower(BE4,BR4, DN4, FW4))</formula>
    </cfRule>
  </conditionalFormatting>
  <conditionalFormatting sqref="F5">
    <cfRule type="expression" dxfId="72" priority="251">
      <formula>F5&lt;&gt;RIGHT(SUBSTITUTE(TRIM(E5),".",""),LEN(F5))</formula>
    </cfRule>
  </conditionalFormatting>
  <conditionalFormatting sqref="BS5">
    <cfRule type="expression" dxfId="72" priority="250">
      <formula>AND(J5&gt;=1,BS5&lt;1)</formula>
    </cfRule>
  </conditionalFormatting>
  <conditionalFormatting sqref="BT5">
    <cfRule type="expression" dxfId="72" priority="249">
      <formula>AND(J5&gt;=2,BT5&lt;1)</formula>
    </cfRule>
  </conditionalFormatting>
  <conditionalFormatting sqref="BU5">
    <cfRule type="expression" dxfId="72" priority="247">
      <formula>AND(J5&gt;=3,BU5&lt;1)</formula>
    </cfRule>
  </conditionalFormatting>
  <conditionalFormatting sqref="BV5">
    <cfRule type="expression" dxfId="72" priority="246">
      <formula>AND(J5&gt;=4,BV5&lt;1)</formula>
    </cfRule>
  </conditionalFormatting>
  <conditionalFormatting sqref="BW5">
    <cfRule type="expression" dxfId="72" priority="248">
      <formula>AND(J5&gt;=5,BW5&lt;1)</formula>
    </cfRule>
  </conditionalFormatting>
  <conditionalFormatting sqref="BX5">
    <cfRule type="expression" dxfId="72" priority="245">
      <formula>AND(J5&gt;=6,BX5&lt;1)</formula>
    </cfRule>
  </conditionalFormatting>
  <conditionalFormatting sqref="IC5">
    <cfRule type="expression" dxfId="72" priority="324">
      <formula>AND($S5 = TRUE, $IC5&lt;&gt;OptionsUnitCode)</formula>
    </cfRule>
  </conditionalFormatting>
  <conditionalFormatting sqref="B5:II5">
    <cfRule type="containsErrors" dxfId="72" priority="244">
      <formula>ISERROR(B5)</formula>
    </cfRule>
  </conditionalFormatting>
  <conditionalFormatting sqref="DP5">
    <cfRule type="expression" dxfId="1" priority="252">
      <formula>AND(BS5&gt;=1,DP5&lt;&gt;0, GetEquPower(AZ5,BM5, BZ5, FR5)=0)</formula>
    </cfRule>
    <cfRule type="expression" dxfId="0" priority="253">
      <formula>AND(BS5&gt;=1,DP5&lt;&gt;GetEquPower(AZ5,BM5, BZ5, FR5))</formula>
    </cfRule>
  </conditionalFormatting>
  <conditionalFormatting sqref="DQ5">
    <cfRule type="expression" dxfId="1" priority="254">
      <formula>AND(BS5&gt;=2,DQ5&lt;&gt;0, GetEquPower(AZ5,BM5, CA5, FR5)=0)</formula>
    </cfRule>
    <cfRule type="expression" dxfId="0" priority="255">
      <formula>AND(BS5&gt;=2,DQ5&lt;&gt;GetEquPower(AZ5,BM5, CA5, FR5))</formula>
    </cfRule>
  </conditionalFormatting>
  <conditionalFormatting sqref="DR5">
    <cfRule type="expression" dxfId="1" priority="256">
      <formula>AND(BS5&gt;=3,DR5&lt;&gt;0, GetEquPower(AZ5,BM5, CB5, FR5)=0)</formula>
    </cfRule>
    <cfRule type="expression" dxfId="0" priority="257">
      <formula>AND(BS5&gt;=3,DR5&lt;&gt;GetEquPower(AZ5,BM5, CB5, FR5))</formula>
    </cfRule>
  </conditionalFormatting>
  <conditionalFormatting sqref="DS5">
    <cfRule type="expression" dxfId="1" priority="288">
      <formula>AND(BS5&gt;=4,DS5&lt;&gt;0, GetEquPower(AZ5,BM5, CC5, FR5)=0)</formula>
    </cfRule>
    <cfRule type="expression" dxfId="0" priority="289">
      <formula>AND(BS5&gt;=4, DS5&lt;&gt;GetEquPower(AZ5,BM5, CC5, FR5))</formula>
    </cfRule>
  </conditionalFormatting>
  <conditionalFormatting sqref="DT5">
    <cfRule type="expression" dxfId="1" priority="300">
      <formula>AND(BS5&gt;=5,DT5&lt;&gt;0, GetEquPower(AZ5,BM5, CD5, FR5)=0)</formula>
    </cfRule>
    <cfRule type="expression" dxfId="0" priority="301">
      <formula>AND(BS5&gt;=5, DT5&lt;&gt;GetEquPower(AZ5,BM5, CD5, FR5))</formula>
    </cfRule>
  </conditionalFormatting>
  <conditionalFormatting sqref="DU5">
    <cfRule type="expression" dxfId="1" priority="302">
      <formula>AND(BS5&gt;=6,DU5&lt;&gt;0, GetEquPower(AZ5,BM5, CE5, FR5)=0)</formula>
    </cfRule>
    <cfRule type="expression" dxfId="0" priority="303">
      <formula>AND(BS5&gt;=6, DU5&lt;&gt;GetEquPower(AZ5,BM5, CE5, FR5))</formula>
    </cfRule>
  </conditionalFormatting>
  <conditionalFormatting sqref="DY5">
    <cfRule type="expression" dxfId="1" priority="258">
      <formula>AND(BT5&gt;=1,DY5&lt;&gt;0, GetEquPower(BA5,BN5, CG5, FS5)=0)</formula>
    </cfRule>
    <cfRule type="expression" dxfId="0" priority="259">
      <formula>AND(BT5&gt;=1,DY5&lt;&gt;GetEquPower(BA5,BN5, CG5, FS5))</formula>
    </cfRule>
  </conditionalFormatting>
  <conditionalFormatting sqref="DZ5">
    <cfRule type="expression" dxfId="1" priority="260">
      <formula>AND(BT5&gt;=2,DZ5&lt;&gt;0, GetEquPower(BA5,BN5, CH5, FS5)=0)</formula>
    </cfRule>
    <cfRule type="expression" dxfId="0" priority="261">
      <formula>AND(BT5&gt;=2,DZ5&lt;&gt;GetEquPower(BA5,BN5, CH5, FS5))</formula>
    </cfRule>
  </conditionalFormatting>
  <conditionalFormatting sqref="EA5">
    <cfRule type="expression" dxfId="1" priority="262">
      <formula>AND(BT5&gt;=3,EA5&lt;&gt;0, GetEquPower(BA5,BN5, CI5, FS5)=0)</formula>
    </cfRule>
    <cfRule type="expression" dxfId="0" priority="263">
      <formula>AND(BT5&gt;=3,EA5&lt;&gt;GetEquPower(BA5,BN5, CI5, FS5))</formula>
    </cfRule>
  </conditionalFormatting>
  <conditionalFormatting sqref="EB5">
    <cfRule type="expression" dxfId="1" priority="290">
      <formula>AND(BT5&gt;=4,EB5&lt;&gt;0, GetEquPower(BA5,BN5, CJ5, FS5)=0)</formula>
    </cfRule>
    <cfRule type="expression" dxfId="0" priority="291">
      <formula>AND(BT5&gt;=4,EB5&lt;&gt;GetEquPower(BA5,BN5, CJ5, FS5))</formula>
    </cfRule>
  </conditionalFormatting>
  <conditionalFormatting sqref="EC5">
    <cfRule type="expression" dxfId="1" priority="304">
      <formula>AND(BT5&gt;=5,EC5&lt;&gt;0, GetEquPower(BA5,BN5, CK5, FS5)=0)</formula>
    </cfRule>
    <cfRule type="expression" dxfId="0" priority="305">
      <formula>AND(BT5&gt;=5,EC5&lt;&gt;GetEquPower(BA5,BN5, CK5, FS5))</formula>
    </cfRule>
  </conditionalFormatting>
  <conditionalFormatting sqref="ED5">
    <cfRule type="expression" dxfId="1" priority="306">
      <formula>AND(BT5&gt;=6,ED5&lt;&gt;0, GetEquPower(BA5,BN5, CL5, FS5)=0)</formula>
    </cfRule>
    <cfRule type="expression" dxfId="0" priority="307">
      <formula>AND(BT5&gt;=6,ED5&lt;&gt;GetEquPower(BA5,BN5, CL5, FS5))</formula>
    </cfRule>
  </conditionalFormatting>
  <conditionalFormatting sqref="EH5">
    <cfRule type="expression" dxfId="1" priority="264">
      <formula>AND(BU5&gt;=1,EH5&lt;&gt;0, GetEquPower(BB5,BO5, CN5, FT5)=0)</formula>
    </cfRule>
    <cfRule type="expression" dxfId="0" priority="265">
      <formula>AND(BU5&gt;=1,EH5&lt;&gt;GetEquPower(BB5,BO5, CN5, FT5))</formula>
    </cfRule>
  </conditionalFormatting>
  <conditionalFormatting sqref="EI5">
    <cfRule type="expression" dxfId="1" priority="266">
      <formula>AND(BU5&gt;=2,EI5&lt;&gt;0, GetEquPower(BB5,BO5, CO5, FT5)=0)</formula>
    </cfRule>
    <cfRule type="expression" dxfId="0" priority="267">
      <formula xml:space="preserve"> AND(BU5&gt;=2,EI5&lt;&gt;GetEquPower(BB5,BO5, CO5, FT5))</formula>
    </cfRule>
  </conditionalFormatting>
  <conditionalFormatting sqref="EJ5">
    <cfRule type="expression" dxfId="1" priority="268">
      <formula>AND(BU5&gt;=3,EJ5&lt;&gt;0, GetEquPower(BB5,BO5, CP5, FT5)=0)</formula>
    </cfRule>
    <cfRule type="expression" dxfId="0" priority="269">
      <formula xml:space="preserve"> AND(BU5&gt;=3,EJ5&lt;&gt;GetEquPower(BB5,BO5, CP5, FT5))</formula>
    </cfRule>
  </conditionalFormatting>
  <conditionalFormatting sqref="EK5">
    <cfRule type="expression" dxfId="1" priority="292">
      <formula>AND(BU5&gt;=4,EK5&lt;&gt;0, GetEquPower(BB5,BO5, CQ5, FT5)=0)</formula>
    </cfRule>
    <cfRule type="expression" dxfId="0" priority="293">
      <formula xml:space="preserve"> AND(BU5&gt;=4,EK5&lt;&gt;GetEquPower(BB5,BO5, CQ5, FT5))</formula>
    </cfRule>
  </conditionalFormatting>
  <conditionalFormatting sqref="EL5">
    <cfRule type="expression" dxfId="1" priority="308">
      <formula>AND(BU5&gt;=5,EL5&lt;&gt;0, GetEquPower(BB5,BO5, CR5, FT5)=0)</formula>
    </cfRule>
    <cfRule type="expression" dxfId="0" priority="309">
      <formula xml:space="preserve"> AND(BU5&gt;=5,EL5&lt;&gt;GetEquPower(BB5,BO5, CR5, FT5))</formula>
    </cfRule>
  </conditionalFormatting>
  <conditionalFormatting sqref="EM5">
    <cfRule type="expression" dxfId="1" priority="310">
      <formula>AND(BU5&gt;=6,EM5&lt;&gt;0, GetEquPower(BB5,BO5, CS5, FT5)=0)</formula>
    </cfRule>
    <cfRule type="expression" dxfId="0" priority="311">
      <formula xml:space="preserve"> AND(BU5&gt;=6,EM5&lt;&gt;GetEquPower(BB5,BO5, CS5, FT5))</formula>
    </cfRule>
  </conditionalFormatting>
  <conditionalFormatting sqref="EQ5">
    <cfRule type="expression" dxfId="1" priority="270">
      <formula>AND(BV5&gt;=1,EQ5&lt;&gt;0, GetEquPower(BC5,BP5, CU5, FU5)=0)</formula>
    </cfRule>
    <cfRule type="expression" dxfId="0" priority="271">
      <formula>AND(BV5&gt;=1,EQ5&lt;&gt;GetEquPower(BC5,BP5, CU5, FU5))</formula>
    </cfRule>
  </conditionalFormatting>
  <conditionalFormatting sqref="ER5">
    <cfRule type="expression" dxfId="1" priority="272">
      <formula>AND(BV5&gt;=2,ER5&lt;&gt;0, GetEquPower(BC5,BP5, CV5, FU5)=0)</formula>
    </cfRule>
    <cfRule type="expression" dxfId="0" priority="273">
      <formula>AND(BV5&gt;=2,ER5&lt;&gt;GetEquPower(BC5,BP5, CV5, FU5))</formula>
    </cfRule>
  </conditionalFormatting>
  <conditionalFormatting sqref="ES5">
    <cfRule type="expression" dxfId="1" priority="274">
      <formula>AND(BV5&gt;=3,ES5&lt;&gt;0, GetEquPower(BC5,BP5, CW5, FU5)=0)</formula>
    </cfRule>
    <cfRule type="expression" dxfId="0" priority="275">
      <formula>AND(BV5&gt;=3,ES5&lt;&gt;GetEquPower(BC5,BP5, CW5, FU5))</formula>
    </cfRule>
  </conditionalFormatting>
  <conditionalFormatting sqref="ET5">
    <cfRule type="expression" dxfId="1" priority="294">
      <formula>AND(BV5&gt;=4,ET5&lt;&gt;0, GetEquPower(BC5,BP5, CX5, FU5)=0)</formula>
    </cfRule>
    <cfRule type="expression" dxfId="0" priority="295">
      <formula>AND(BV5&gt;=4,ET5&lt;&gt;GetEquPower(BC5,BP5, CX5, FU5))</formula>
    </cfRule>
  </conditionalFormatting>
  <conditionalFormatting sqref="EU5">
    <cfRule type="expression" dxfId="1" priority="312">
      <formula>AND(BV5&gt;=5,EU5&lt;&gt;0, GetEquPower(BC5,BP5, CY5, FU5)=0)</formula>
    </cfRule>
    <cfRule type="expression" dxfId="0" priority="313">
      <formula>AND(BV5&gt;=5,EU5&lt;&gt;GetEquPower(BC5,BP5, CY5, FU5))</formula>
    </cfRule>
  </conditionalFormatting>
  <conditionalFormatting sqref="EV5">
    <cfRule type="expression" dxfId="1" priority="314">
      <formula>AND(BV5&gt;=6,EV5&lt;&gt;0, GetEquPower(BC5,BP5, CZ5, FU5)=0)</formula>
    </cfRule>
    <cfRule type="expression" dxfId="0" priority="315">
      <formula>AND(BV5&gt;=6,EV5&lt;&gt;GetEquPower(BC5,BP5, CZ5, FU5))</formula>
    </cfRule>
  </conditionalFormatting>
  <conditionalFormatting sqref="EZ5">
    <cfRule type="expression" dxfId="1" priority="276">
      <formula>AND(BW5&gt;=1,EZ5&lt;&gt;0, GetEquPower(BD5,BQ5, DB5, FV5)=0)</formula>
    </cfRule>
    <cfRule type="expression" dxfId="0" priority="277">
      <formula>AND(BW5&gt;=1,EZ5&lt;&gt;GetEquPower(BD5,BQ5, DB5, FV5))</formula>
    </cfRule>
  </conditionalFormatting>
  <conditionalFormatting sqref="FA5">
    <cfRule type="expression" dxfId="1" priority="278">
      <formula>AND(BW5&gt;=2,FA5&lt;&gt;0, GetEquPower(BD5,BQ5, DC5, FV5)=0)</formula>
    </cfRule>
    <cfRule type="expression" dxfId="0" priority="279">
      <formula>AND(BW5&gt;=2,FA5&lt;&gt;GetEquPower(BD5,BQ5, DC5, FV5))</formula>
    </cfRule>
  </conditionalFormatting>
  <conditionalFormatting sqref="FB5">
    <cfRule type="expression" dxfId="1" priority="280">
      <formula>AND(BW5&gt;=3,FB5&lt;&gt;0, GetEquPower(BD5,BQ5, DD5, FV5)=0)</formula>
    </cfRule>
    <cfRule type="expression" dxfId="0" priority="281">
      <formula>AND(BW5&gt;=3,FB5&lt;&gt;GetEquPower(BD5,BQ5, DD5, FV5))</formula>
    </cfRule>
  </conditionalFormatting>
  <conditionalFormatting sqref="FC5">
    <cfRule type="expression" dxfId="1" priority="296">
      <formula>AND(BW5&gt;=4,FC5&lt;&gt;0, GetEquPower(BD5,BQ5, DE5, FV5)=0)</formula>
    </cfRule>
    <cfRule type="expression" dxfId="0" priority="297">
      <formula>AND(BW5&gt;=4,FC5&lt;&gt;GetEquPower(BD5,BQ5, DE5, FV5))</formula>
    </cfRule>
  </conditionalFormatting>
  <conditionalFormatting sqref="FD5">
    <cfRule type="expression" dxfId="1" priority="316">
      <formula>AND(BW5&gt;=5,FD5&lt;&gt;0, GetEquPower(BD5,BQ5, DF5, FV5)=0)</formula>
    </cfRule>
    <cfRule type="expression" dxfId="0" priority="317">
      <formula>AND(BW5&gt;=5,FD5&lt;&gt;GetEquPower(BD5,BQ5, DF5, FV5))</formula>
    </cfRule>
  </conditionalFormatting>
  <conditionalFormatting sqref="FE5">
    <cfRule type="expression" dxfId="1" priority="318">
      <formula>AND(BW5&gt;=6,FE5&lt;&gt;0, GetEquPower(BD5,BQ5, DG5, FV5)=0)</formula>
    </cfRule>
    <cfRule type="expression" dxfId="0" priority="319">
      <formula>AND(BW5&gt;=6,FE5&lt;&gt;GetEquPower(BD5,BQ5, DG5, FV5))</formula>
    </cfRule>
  </conditionalFormatting>
  <conditionalFormatting sqref="FI5">
    <cfRule type="expression" dxfId="1" priority="282">
      <formula>AND(BX5&gt;=1,FI5&lt;&gt;0, GetEquPower(BE5,BR5, DI5, FW5)=0)</formula>
    </cfRule>
    <cfRule type="expression" dxfId="0" priority="283">
      <formula>AND(BX5&gt;=1,FI5&lt;&gt;GetEquPower(BE5,BR5, DI5, FW5))</formula>
    </cfRule>
  </conditionalFormatting>
  <conditionalFormatting sqref="FJ5">
    <cfRule type="expression" dxfId="1" priority="284">
      <formula>AND(BX5&gt;=2,FJ5&lt;&gt;0, GetEquPower(BE5,BR5, DJ5, FW5)=0)</formula>
    </cfRule>
    <cfRule type="expression" dxfId="0" priority="285">
      <formula>AND(BX5&gt;=2,FJ5&lt;&gt;GetEquPower(BE5,BR5, DJ5, FW5))</formula>
    </cfRule>
  </conditionalFormatting>
  <conditionalFormatting sqref="FK5">
    <cfRule type="expression" dxfId="1" priority="286">
      <formula>AND(BX5&gt;=3,FK5&lt;&gt;0, GetEquPower(BE5,BR5, DK5, FW5)=0)</formula>
    </cfRule>
    <cfRule type="expression" dxfId="0" priority="287">
      <formula>AND(BX5&gt;=3,FK5&lt;&gt;GetEquPower(BE5,BR5, DK5, FW5))</formula>
    </cfRule>
  </conditionalFormatting>
  <conditionalFormatting sqref="FL5">
    <cfRule type="expression" dxfId="1" priority="298">
      <formula>AND(BX5&gt;=4,FL5&lt;&gt;0, GetEquPower(BE5,BR5, DL5, FW5)=0)</formula>
    </cfRule>
    <cfRule type="expression" dxfId="0" priority="299">
      <formula>AND(BX5&gt;=4,FL5&lt;&gt;GetEquPower(BE5,BR5, DL5, FW5))</formula>
    </cfRule>
  </conditionalFormatting>
  <conditionalFormatting sqref="FM5">
    <cfRule type="expression" dxfId="1" priority="320">
      <formula>AND(BX5&gt;=5,FM5&lt;&gt;0, GetEquPower(BE5,BR5, DM5, FW5)=0)</formula>
    </cfRule>
    <cfRule type="expression" dxfId="0" priority="321">
      <formula>AND(BX5&gt;=5,FM5&lt;&gt;GetEquPower(BE5,BR5, DM5, FW5))</formula>
    </cfRule>
  </conditionalFormatting>
  <conditionalFormatting sqref="FN5">
    <cfRule type="expression" dxfId="1" priority="322">
      <formula>AND(BX5&gt;=6,FN5&lt;&gt;0, GetEquPower(BE5,BR5, DN5, FW5)=0)</formula>
    </cfRule>
    <cfRule type="expression" dxfId="0" priority="323">
      <formula>AND(BX5&gt;=6,FN5&lt;&gt;GetEquPower(BE5,BR5, DN5, FW5))</formula>
    </cfRule>
  </conditionalFormatting>
  <conditionalFormatting sqref="F6">
    <cfRule type="expression" dxfId="72" priority="170">
      <formula>F6&lt;&gt;RIGHT(SUBSTITUTE(TRIM(E6),".",""),LEN(F6))</formula>
    </cfRule>
  </conditionalFormatting>
  <conditionalFormatting sqref="BS6">
    <cfRule type="expression" dxfId="72" priority="169">
      <formula>AND(J6&gt;=1,BS6&lt;1)</formula>
    </cfRule>
  </conditionalFormatting>
  <conditionalFormatting sqref="BT6">
    <cfRule type="expression" dxfId="72" priority="168">
      <formula>AND(J6&gt;=2,BT6&lt;1)</formula>
    </cfRule>
  </conditionalFormatting>
  <conditionalFormatting sqref="BU6">
    <cfRule type="expression" dxfId="72" priority="166">
      <formula>AND(J6&gt;=3,BU6&lt;1)</formula>
    </cfRule>
  </conditionalFormatting>
  <conditionalFormatting sqref="BV6">
    <cfRule type="expression" dxfId="72" priority="165">
      <formula>AND(J6&gt;=4,BV6&lt;1)</formula>
    </cfRule>
  </conditionalFormatting>
  <conditionalFormatting sqref="BW6">
    <cfRule type="expression" dxfId="72" priority="167">
      <formula>AND(J6&gt;=5,BW6&lt;1)</formula>
    </cfRule>
  </conditionalFormatting>
  <conditionalFormatting sqref="BX6">
    <cfRule type="expression" dxfId="72" priority="164">
      <formula>AND(J6&gt;=6,BX6&lt;1)</formula>
    </cfRule>
  </conditionalFormatting>
  <conditionalFormatting sqref="IC6">
    <cfRule type="expression" dxfId="72" priority="243">
      <formula>AND($S6 = TRUE, $IC6&lt;&gt;OptionsUnitCode)</formula>
    </cfRule>
  </conditionalFormatting>
  <conditionalFormatting sqref="B6:II6">
    <cfRule type="containsErrors" dxfId="72" priority="163">
      <formula>ISERROR(B6)</formula>
    </cfRule>
  </conditionalFormatting>
  <conditionalFormatting sqref="DP6">
    <cfRule type="expression" dxfId="1" priority="171">
      <formula>AND(BS6&gt;=1,DP6&lt;&gt;0, GetEquPower(AZ6,BM6, BZ6, FR6)=0)</formula>
    </cfRule>
    <cfRule type="expression" dxfId="0" priority="172">
      <formula>AND(BS6&gt;=1,DP6&lt;&gt;GetEquPower(AZ6,BM6, BZ6, FR6))</formula>
    </cfRule>
  </conditionalFormatting>
  <conditionalFormatting sqref="DQ6">
    <cfRule type="expression" dxfId="1" priority="173">
      <formula>AND(BS6&gt;=2,DQ6&lt;&gt;0, GetEquPower(AZ6,BM6, CA6, FR6)=0)</formula>
    </cfRule>
    <cfRule type="expression" dxfId="0" priority="174">
      <formula>AND(BS6&gt;=2,DQ6&lt;&gt;GetEquPower(AZ6,BM6, CA6, FR6))</formula>
    </cfRule>
  </conditionalFormatting>
  <conditionalFormatting sqref="DR6">
    <cfRule type="expression" dxfId="1" priority="175">
      <formula>AND(BS6&gt;=3,DR6&lt;&gt;0, GetEquPower(AZ6,BM6, CB6, FR6)=0)</formula>
    </cfRule>
    <cfRule type="expression" dxfId="0" priority="176">
      <formula>AND(BS6&gt;=3,DR6&lt;&gt;GetEquPower(AZ6,BM6, CB6, FR6))</formula>
    </cfRule>
  </conditionalFormatting>
  <conditionalFormatting sqref="DS6">
    <cfRule type="expression" dxfId="1" priority="207">
      <formula>AND(BS6&gt;=4,DS6&lt;&gt;0, GetEquPower(AZ6,BM6, CC6, FR6)=0)</formula>
    </cfRule>
    <cfRule type="expression" dxfId="0" priority="208">
      <formula>AND(BS6&gt;=4, DS6&lt;&gt;GetEquPower(AZ6,BM6, CC6, FR6))</formula>
    </cfRule>
  </conditionalFormatting>
  <conditionalFormatting sqref="DT6">
    <cfRule type="expression" dxfId="1" priority="219">
      <formula>AND(BS6&gt;=5,DT6&lt;&gt;0, GetEquPower(AZ6,BM6, CD6, FR6)=0)</formula>
    </cfRule>
    <cfRule type="expression" dxfId="0" priority="220">
      <formula>AND(BS6&gt;=5, DT6&lt;&gt;GetEquPower(AZ6,BM6, CD6, FR6))</formula>
    </cfRule>
  </conditionalFormatting>
  <conditionalFormatting sqref="DU6">
    <cfRule type="expression" dxfId="1" priority="221">
      <formula>AND(BS6&gt;=6,DU6&lt;&gt;0, GetEquPower(AZ6,BM6, CE6, FR6)=0)</formula>
    </cfRule>
    <cfRule type="expression" dxfId="0" priority="222">
      <formula>AND(BS6&gt;=6, DU6&lt;&gt;GetEquPower(AZ6,BM6, CE6, FR6))</formula>
    </cfRule>
  </conditionalFormatting>
  <conditionalFormatting sqref="DY6">
    <cfRule type="expression" dxfId="1" priority="177">
      <formula>AND(BT6&gt;=1,DY6&lt;&gt;0, GetEquPower(BA6,BN6, CG6, FS6)=0)</formula>
    </cfRule>
    <cfRule type="expression" dxfId="0" priority="178">
      <formula>AND(BT6&gt;=1,DY6&lt;&gt;GetEquPower(BA6,BN6, CG6, FS6))</formula>
    </cfRule>
  </conditionalFormatting>
  <conditionalFormatting sqref="DZ6">
    <cfRule type="expression" dxfId="1" priority="179">
      <formula>AND(BT6&gt;=2,DZ6&lt;&gt;0, GetEquPower(BA6,BN6, CH6, FS6)=0)</formula>
    </cfRule>
    <cfRule type="expression" dxfId="0" priority="180">
      <formula>AND(BT6&gt;=2,DZ6&lt;&gt;GetEquPower(BA6,BN6, CH6, FS6))</formula>
    </cfRule>
  </conditionalFormatting>
  <conditionalFormatting sqref="EA6">
    <cfRule type="expression" dxfId="1" priority="181">
      <formula>AND(BT6&gt;=3,EA6&lt;&gt;0, GetEquPower(BA6,BN6, CI6, FS6)=0)</formula>
    </cfRule>
    <cfRule type="expression" dxfId="0" priority="182">
      <formula>AND(BT6&gt;=3,EA6&lt;&gt;GetEquPower(BA6,BN6, CI6, FS6))</formula>
    </cfRule>
  </conditionalFormatting>
  <conditionalFormatting sqref="EB6">
    <cfRule type="expression" dxfId="1" priority="209">
      <formula>AND(BT6&gt;=4,EB6&lt;&gt;0, GetEquPower(BA6,BN6, CJ6, FS6)=0)</formula>
    </cfRule>
    <cfRule type="expression" dxfId="0" priority="210">
      <formula>AND(BT6&gt;=4,EB6&lt;&gt;GetEquPower(BA6,BN6, CJ6, FS6))</formula>
    </cfRule>
  </conditionalFormatting>
  <conditionalFormatting sqref="EC6">
    <cfRule type="expression" dxfId="1" priority="223">
      <formula>AND(BT6&gt;=5,EC6&lt;&gt;0, GetEquPower(BA6,BN6, CK6, FS6)=0)</formula>
    </cfRule>
    <cfRule type="expression" dxfId="0" priority="224">
      <formula>AND(BT6&gt;=5,EC6&lt;&gt;GetEquPower(BA6,BN6, CK6, FS6))</formula>
    </cfRule>
  </conditionalFormatting>
  <conditionalFormatting sqref="ED6">
    <cfRule type="expression" dxfId="1" priority="225">
      <formula>AND(BT6&gt;=6,ED6&lt;&gt;0, GetEquPower(BA6,BN6, CL6, FS6)=0)</formula>
    </cfRule>
    <cfRule type="expression" dxfId="0" priority="226">
      <formula>AND(BT6&gt;=6,ED6&lt;&gt;GetEquPower(BA6,BN6, CL6, FS6))</formula>
    </cfRule>
  </conditionalFormatting>
  <conditionalFormatting sqref="EH6">
    <cfRule type="expression" dxfId="1" priority="183">
      <formula>AND(BU6&gt;=1,EH6&lt;&gt;0, GetEquPower(BB6,BO6, CN6, FT6)=0)</formula>
    </cfRule>
    <cfRule type="expression" dxfId="0" priority="184">
      <formula>AND(BU6&gt;=1,EH6&lt;&gt;GetEquPower(BB6,BO6, CN6, FT6))</formula>
    </cfRule>
  </conditionalFormatting>
  <conditionalFormatting sqref="EI6">
    <cfRule type="expression" dxfId="1" priority="185">
      <formula>AND(BU6&gt;=2,EI6&lt;&gt;0, GetEquPower(BB6,BO6, CO6, FT6)=0)</formula>
    </cfRule>
    <cfRule type="expression" dxfId="0" priority="186">
      <formula xml:space="preserve"> AND(BU6&gt;=2,EI6&lt;&gt;GetEquPower(BB6,BO6, CO6, FT6))</formula>
    </cfRule>
  </conditionalFormatting>
  <conditionalFormatting sqref="EJ6">
    <cfRule type="expression" dxfId="1" priority="187">
      <formula>AND(BU6&gt;=3,EJ6&lt;&gt;0, GetEquPower(BB6,BO6, CP6, FT6)=0)</formula>
    </cfRule>
    <cfRule type="expression" dxfId="0" priority="188">
      <formula xml:space="preserve"> AND(BU6&gt;=3,EJ6&lt;&gt;GetEquPower(BB6,BO6, CP6, FT6))</formula>
    </cfRule>
  </conditionalFormatting>
  <conditionalFormatting sqref="EK6">
    <cfRule type="expression" dxfId="1" priority="211">
      <formula>AND(BU6&gt;=4,EK6&lt;&gt;0, GetEquPower(BB6,BO6, CQ6, FT6)=0)</formula>
    </cfRule>
    <cfRule type="expression" dxfId="0" priority="212">
      <formula xml:space="preserve"> AND(BU6&gt;=4,EK6&lt;&gt;GetEquPower(BB6,BO6, CQ6, FT6))</formula>
    </cfRule>
  </conditionalFormatting>
  <conditionalFormatting sqref="EL6">
    <cfRule type="expression" dxfId="1" priority="227">
      <formula>AND(BU6&gt;=5,EL6&lt;&gt;0, GetEquPower(BB6,BO6, CR6, FT6)=0)</formula>
    </cfRule>
    <cfRule type="expression" dxfId="0" priority="228">
      <formula xml:space="preserve"> AND(BU6&gt;=5,EL6&lt;&gt;GetEquPower(BB6,BO6, CR6, FT6))</formula>
    </cfRule>
  </conditionalFormatting>
  <conditionalFormatting sqref="EM6">
    <cfRule type="expression" dxfId="1" priority="229">
      <formula>AND(BU6&gt;=6,EM6&lt;&gt;0, GetEquPower(BB6,BO6, CS6, FT6)=0)</formula>
    </cfRule>
    <cfRule type="expression" dxfId="0" priority="230">
      <formula xml:space="preserve"> AND(BU6&gt;=6,EM6&lt;&gt;GetEquPower(BB6,BO6, CS6, FT6))</formula>
    </cfRule>
  </conditionalFormatting>
  <conditionalFormatting sqref="EQ6">
    <cfRule type="expression" dxfId="1" priority="189">
      <formula>AND(BV6&gt;=1,EQ6&lt;&gt;0, GetEquPower(BC6,BP6, CU6, FU6)=0)</formula>
    </cfRule>
    <cfRule type="expression" dxfId="0" priority="190">
      <formula>AND(BV6&gt;=1,EQ6&lt;&gt;GetEquPower(BC6,BP6, CU6, FU6))</formula>
    </cfRule>
  </conditionalFormatting>
  <conditionalFormatting sqref="ER6">
    <cfRule type="expression" dxfId="1" priority="191">
      <formula>AND(BV6&gt;=2,ER6&lt;&gt;0, GetEquPower(BC6,BP6, CV6, FU6)=0)</formula>
    </cfRule>
    <cfRule type="expression" dxfId="0" priority="192">
      <formula>AND(BV6&gt;=2,ER6&lt;&gt;GetEquPower(BC6,BP6, CV6, FU6))</formula>
    </cfRule>
  </conditionalFormatting>
  <conditionalFormatting sqref="ES6">
    <cfRule type="expression" dxfId="1" priority="193">
      <formula>AND(BV6&gt;=3,ES6&lt;&gt;0, GetEquPower(BC6,BP6, CW6, FU6)=0)</formula>
    </cfRule>
    <cfRule type="expression" dxfId="0" priority="194">
      <formula>AND(BV6&gt;=3,ES6&lt;&gt;GetEquPower(BC6,BP6, CW6, FU6))</formula>
    </cfRule>
  </conditionalFormatting>
  <conditionalFormatting sqref="ET6">
    <cfRule type="expression" dxfId="1" priority="213">
      <formula>AND(BV6&gt;=4,ET6&lt;&gt;0, GetEquPower(BC6,BP6, CX6, FU6)=0)</formula>
    </cfRule>
    <cfRule type="expression" dxfId="0" priority="214">
      <formula>AND(BV6&gt;=4,ET6&lt;&gt;GetEquPower(BC6,BP6, CX6, FU6))</formula>
    </cfRule>
  </conditionalFormatting>
  <conditionalFormatting sqref="EU6">
    <cfRule type="expression" dxfId="1" priority="231">
      <formula>AND(BV6&gt;=5,EU6&lt;&gt;0, GetEquPower(BC6,BP6, CY6, FU6)=0)</formula>
    </cfRule>
    <cfRule type="expression" dxfId="0" priority="232">
      <formula>AND(BV6&gt;=5,EU6&lt;&gt;GetEquPower(BC6,BP6, CY6, FU6))</formula>
    </cfRule>
  </conditionalFormatting>
  <conditionalFormatting sqref="EV6">
    <cfRule type="expression" dxfId="1" priority="233">
      <formula>AND(BV6&gt;=6,EV6&lt;&gt;0, GetEquPower(BC6,BP6, CZ6, FU6)=0)</formula>
    </cfRule>
    <cfRule type="expression" dxfId="0" priority="234">
      <formula>AND(BV6&gt;=6,EV6&lt;&gt;GetEquPower(BC6,BP6, CZ6, FU6))</formula>
    </cfRule>
  </conditionalFormatting>
  <conditionalFormatting sqref="EZ6">
    <cfRule type="expression" dxfId="1" priority="195">
      <formula>AND(BW6&gt;=1,EZ6&lt;&gt;0, GetEquPower(BD6,BQ6, DB6, FV6)=0)</formula>
    </cfRule>
    <cfRule type="expression" dxfId="0" priority="196">
      <formula>AND(BW6&gt;=1,EZ6&lt;&gt;GetEquPower(BD6,BQ6, DB6, FV6))</formula>
    </cfRule>
  </conditionalFormatting>
  <conditionalFormatting sqref="FA6">
    <cfRule type="expression" dxfId="1" priority="197">
      <formula>AND(BW6&gt;=2,FA6&lt;&gt;0, GetEquPower(BD6,BQ6, DC6, FV6)=0)</formula>
    </cfRule>
    <cfRule type="expression" dxfId="0" priority="198">
      <formula>AND(BW6&gt;=2,FA6&lt;&gt;GetEquPower(BD6,BQ6, DC6, FV6))</formula>
    </cfRule>
  </conditionalFormatting>
  <conditionalFormatting sqref="FB6">
    <cfRule type="expression" dxfId="1" priority="199">
      <formula>AND(BW6&gt;=3,FB6&lt;&gt;0, GetEquPower(BD6,BQ6, DD6, FV6)=0)</formula>
    </cfRule>
    <cfRule type="expression" dxfId="0" priority="200">
      <formula>AND(BW6&gt;=3,FB6&lt;&gt;GetEquPower(BD6,BQ6, DD6, FV6))</formula>
    </cfRule>
  </conditionalFormatting>
  <conditionalFormatting sqref="FC6">
    <cfRule type="expression" dxfId="1" priority="215">
      <formula>AND(BW6&gt;=4,FC6&lt;&gt;0, GetEquPower(BD6,BQ6, DE6, FV6)=0)</formula>
    </cfRule>
    <cfRule type="expression" dxfId="0" priority="216">
      <formula>AND(BW6&gt;=4,FC6&lt;&gt;GetEquPower(BD6,BQ6, DE6, FV6))</formula>
    </cfRule>
  </conditionalFormatting>
  <conditionalFormatting sqref="FD6">
    <cfRule type="expression" dxfId="1" priority="235">
      <formula>AND(BW6&gt;=5,FD6&lt;&gt;0, GetEquPower(BD6,BQ6, DF6, FV6)=0)</formula>
    </cfRule>
    <cfRule type="expression" dxfId="0" priority="236">
      <formula>AND(BW6&gt;=5,FD6&lt;&gt;GetEquPower(BD6,BQ6, DF6, FV6))</formula>
    </cfRule>
  </conditionalFormatting>
  <conditionalFormatting sqref="FE6">
    <cfRule type="expression" dxfId="1" priority="237">
      <formula>AND(BW6&gt;=6,FE6&lt;&gt;0, GetEquPower(BD6,BQ6, DG6, FV6)=0)</formula>
    </cfRule>
    <cfRule type="expression" dxfId="0" priority="238">
      <formula>AND(BW6&gt;=6,FE6&lt;&gt;GetEquPower(BD6,BQ6, DG6, FV6))</formula>
    </cfRule>
  </conditionalFormatting>
  <conditionalFormatting sqref="FI6">
    <cfRule type="expression" dxfId="1" priority="201">
      <formula>AND(BX6&gt;=1,FI6&lt;&gt;0, GetEquPower(BE6,BR6, DI6, FW6)=0)</formula>
    </cfRule>
    <cfRule type="expression" dxfId="0" priority="202">
      <formula>AND(BX6&gt;=1,FI6&lt;&gt;GetEquPower(BE6,BR6, DI6, FW6))</formula>
    </cfRule>
  </conditionalFormatting>
  <conditionalFormatting sqref="FJ6">
    <cfRule type="expression" dxfId="1" priority="203">
      <formula>AND(BX6&gt;=2,FJ6&lt;&gt;0, GetEquPower(BE6,BR6, DJ6, FW6)=0)</formula>
    </cfRule>
    <cfRule type="expression" dxfId="0" priority="204">
      <formula>AND(BX6&gt;=2,FJ6&lt;&gt;GetEquPower(BE6,BR6, DJ6, FW6))</formula>
    </cfRule>
  </conditionalFormatting>
  <conditionalFormatting sqref="FK6">
    <cfRule type="expression" dxfId="1" priority="205">
      <formula>AND(BX6&gt;=3,FK6&lt;&gt;0, GetEquPower(BE6,BR6, DK6, FW6)=0)</formula>
    </cfRule>
    <cfRule type="expression" dxfId="0" priority="206">
      <formula>AND(BX6&gt;=3,FK6&lt;&gt;GetEquPower(BE6,BR6, DK6, FW6))</formula>
    </cfRule>
  </conditionalFormatting>
  <conditionalFormatting sqref="FL6">
    <cfRule type="expression" dxfId="1" priority="217">
      <formula>AND(BX6&gt;=4,FL6&lt;&gt;0, GetEquPower(BE6,BR6, DL6, FW6)=0)</formula>
    </cfRule>
    <cfRule type="expression" dxfId="0" priority="218">
      <formula>AND(BX6&gt;=4,FL6&lt;&gt;GetEquPower(BE6,BR6, DL6, FW6))</formula>
    </cfRule>
  </conditionalFormatting>
  <conditionalFormatting sqref="FM6">
    <cfRule type="expression" dxfId="1" priority="239">
      <formula>AND(BX6&gt;=5,FM6&lt;&gt;0, GetEquPower(BE6,BR6, DM6, FW6)=0)</formula>
    </cfRule>
    <cfRule type="expression" dxfId="0" priority="240">
      <formula>AND(BX6&gt;=5,FM6&lt;&gt;GetEquPower(BE6,BR6, DM6, FW6))</formula>
    </cfRule>
  </conditionalFormatting>
  <conditionalFormatting sqref="FN6">
    <cfRule type="expression" dxfId="1" priority="241">
      <formula>AND(BX6&gt;=6,FN6&lt;&gt;0, GetEquPower(BE6,BR6, DN6, FW6)=0)</formula>
    </cfRule>
    <cfRule type="expression" dxfId="0" priority="242">
      <formula>AND(BX6&gt;=6,FN6&lt;&gt;GetEquPower(BE6,BR6, DN6, FW6))</formula>
    </cfRule>
  </conditionalFormatting>
  <conditionalFormatting sqref="F7">
    <cfRule type="expression" dxfId="72" priority="89">
      <formula>F7&lt;&gt;RIGHT(SUBSTITUTE(TRIM(E7),".",""),LEN(F7))</formula>
    </cfRule>
  </conditionalFormatting>
  <conditionalFormatting sqref="BS7">
    <cfRule type="expression" dxfId="72" priority="88">
      <formula>AND(J7&gt;=1,BS7&lt;1)</formula>
    </cfRule>
  </conditionalFormatting>
  <conditionalFormatting sqref="BT7">
    <cfRule type="expression" dxfId="72" priority="87">
      <formula>AND(J7&gt;=2,BT7&lt;1)</formula>
    </cfRule>
  </conditionalFormatting>
  <conditionalFormatting sqref="BU7">
    <cfRule type="expression" dxfId="72" priority="85">
      <formula>AND(J7&gt;=3,BU7&lt;1)</formula>
    </cfRule>
  </conditionalFormatting>
  <conditionalFormatting sqref="BV7">
    <cfRule type="expression" dxfId="72" priority="84">
      <formula>AND(J7&gt;=4,BV7&lt;1)</formula>
    </cfRule>
  </conditionalFormatting>
  <conditionalFormatting sqref="BW7">
    <cfRule type="expression" dxfId="72" priority="86">
      <formula>AND(J7&gt;=5,BW7&lt;1)</formula>
    </cfRule>
  </conditionalFormatting>
  <conditionalFormatting sqref="BX7">
    <cfRule type="expression" dxfId="72" priority="83">
      <formula>AND(J7&gt;=6,BX7&lt;1)</formula>
    </cfRule>
  </conditionalFormatting>
  <conditionalFormatting sqref="IC7">
    <cfRule type="expression" dxfId="72" priority="162">
      <formula>AND($S7 = TRUE, $IC7&lt;&gt;OptionsUnitCode)</formula>
    </cfRule>
  </conditionalFormatting>
  <conditionalFormatting sqref="B7:II7">
    <cfRule type="containsErrors" dxfId="72" priority="82">
      <formula>ISERROR(B7)</formula>
    </cfRule>
  </conditionalFormatting>
  <conditionalFormatting sqref="DP7">
    <cfRule type="expression" dxfId="1" priority="90">
      <formula>AND(BS7&gt;=1,DP7&lt;&gt;0, GetEquPower(AZ7,BM7, BZ7, FR7)=0)</formula>
    </cfRule>
    <cfRule type="expression" dxfId="0" priority="91">
      <formula>AND(BS7&gt;=1,DP7&lt;&gt;GetEquPower(AZ7,BM7, BZ7, FR7))</formula>
    </cfRule>
  </conditionalFormatting>
  <conditionalFormatting sqref="DQ7">
    <cfRule type="expression" dxfId="1" priority="92">
      <formula>AND(BS7&gt;=2,DQ7&lt;&gt;0, GetEquPower(AZ7,BM7, CA7, FR7)=0)</formula>
    </cfRule>
    <cfRule type="expression" dxfId="0" priority="93">
      <formula>AND(BS7&gt;=2,DQ7&lt;&gt;GetEquPower(AZ7,BM7, CA7, FR7))</formula>
    </cfRule>
  </conditionalFormatting>
  <conditionalFormatting sqref="DR7">
    <cfRule type="expression" dxfId="1" priority="94">
      <formula>AND(BS7&gt;=3,DR7&lt;&gt;0, GetEquPower(AZ7,BM7, CB7, FR7)=0)</formula>
    </cfRule>
    <cfRule type="expression" dxfId="0" priority="95">
      <formula>AND(BS7&gt;=3,DR7&lt;&gt;GetEquPower(AZ7,BM7, CB7, FR7))</formula>
    </cfRule>
  </conditionalFormatting>
  <conditionalFormatting sqref="DS7">
    <cfRule type="expression" dxfId="1" priority="126">
      <formula>AND(BS7&gt;=4,DS7&lt;&gt;0, GetEquPower(AZ7,BM7, CC7, FR7)=0)</formula>
    </cfRule>
    <cfRule type="expression" dxfId="0" priority="127">
      <formula>AND(BS7&gt;=4, DS7&lt;&gt;GetEquPower(AZ7,BM7, CC7, FR7))</formula>
    </cfRule>
  </conditionalFormatting>
  <conditionalFormatting sqref="DT7">
    <cfRule type="expression" dxfId="1" priority="138">
      <formula>AND(BS7&gt;=5,DT7&lt;&gt;0, GetEquPower(AZ7,BM7, CD7, FR7)=0)</formula>
    </cfRule>
    <cfRule type="expression" dxfId="0" priority="139">
      <formula>AND(BS7&gt;=5, DT7&lt;&gt;GetEquPower(AZ7,BM7, CD7, FR7))</formula>
    </cfRule>
  </conditionalFormatting>
  <conditionalFormatting sqref="DU7">
    <cfRule type="expression" dxfId="1" priority="140">
      <formula>AND(BS7&gt;=6,DU7&lt;&gt;0, GetEquPower(AZ7,BM7, CE7, FR7)=0)</formula>
    </cfRule>
    <cfRule type="expression" dxfId="0" priority="141">
      <formula>AND(BS7&gt;=6, DU7&lt;&gt;GetEquPower(AZ7,BM7, CE7, FR7))</formula>
    </cfRule>
  </conditionalFormatting>
  <conditionalFormatting sqref="DY7">
    <cfRule type="expression" dxfId="1" priority="96">
      <formula>AND(BT7&gt;=1,DY7&lt;&gt;0, GetEquPower(BA7,BN7, CG7, FS7)=0)</formula>
    </cfRule>
    <cfRule type="expression" dxfId="0" priority="97">
      <formula>AND(BT7&gt;=1,DY7&lt;&gt;GetEquPower(BA7,BN7, CG7, FS7))</formula>
    </cfRule>
  </conditionalFormatting>
  <conditionalFormatting sqref="DZ7">
    <cfRule type="expression" dxfId="1" priority="98">
      <formula>AND(BT7&gt;=2,DZ7&lt;&gt;0, GetEquPower(BA7,BN7, CH7, FS7)=0)</formula>
    </cfRule>
    <cfRule type="expression" dxfId="0" priority="99">
      <formula>AND(BT7&gt;=2,DZ7&lt;&gt;GetEquPower(BA7,BN7, CH7, FS7))</formula>
    </cfRule>
  </conditionalFormatting>
  <conditionalFormatting sqref="EA7">
    <cfRule type="expression" dxfId="1" priority="100">
      <formula>AND(BT7&gt;=3,EA7&lt;&gt;0, GetEquPower(BA7,BN7, CI7, FS7)=0)</formula>
    </cfRule>
    <cfRule type="expression" dxfId="0" priority="101">
      <formula>AND(BT7&gt;=3,EA7&lt;&gt;GetEquPower(BA7,BN7, CI7, FS7))</formula>
    </cfRule>
  </conditionalFormatting>
  <conditionalFormatting sqref="EB7">
    <cfRule type="expression" dxfId="1" priority="128">
      <formula>AND(BT7&gt;=4,EB7&lt;&gt;0, GetEquPower(BA7,BN7, CJ7, FS7)=0)</formula>
    </cfRule>
    <cfRule type="expression" dxfId="0" priority="129">
      <formula>AND(BT7&gt;=4,EB7&lt;&gt;GetEquPower(BA7,BN7, CJ7, FS7))</formula>
    </cfRule>
  </conditionalFormatting>
  <conditionalFormatting sqref="EC7">
    <cfRule type="expression" dxfId="1" priority="142">
      <formula>AND(BT7&gt;=5,EC7&lt;&gt;0, GetEquPower(BA7,BN7, CK7, FS7)=0)</formula>
    </cfRule>
    <cfRule type="expression" dxfId="0" priority="143">
      <formula>AND(BT7&gt;=5,EC7&lt;&gt;GetEquPower(BA7,BN7, CK7, FS7))</formula>
    </cfRule>
  </conditionalFormatting>
  <conditionalFormatting sqref="ED7">
    <cfRule type="expression" dxfId="1" priority="144">
      <formula>AND(BT7&gt;=6,ED7&lt;&gt;0, GetEquPower(BA7,BN7, CL7, FS7)=0)</formula>
    </cfRule>
    <cfRule type="expression" dxfId="0" priority="145">
      <formula>AND(BT7&gt;=6,ED7&lt;&gt;GetEquPower(BA7,BN7, CL7, FS7))</formula>
    </cfRule>
  </conditionalFormatting>
  <conditionalFormatting sqref="EH7">
    <cfRule type="expression" dxfId="1" priority="102">
      <formula>AND(BU7&gt;=1,EH7&lt;&gt;0, GetEquPower(BB7,BO7, CN7, FT7)=0)</formula>
    </cfRule>
    <cfRule type="expression" dxfId="0" priority="103">
      <formula>AND(BU7&gt;=1,EH7&lt;&gt;GetEquPower(BB7,BO7, CN7, FT7))</formula>
    </cfRule>
  </conditionalFormatting>
  <conditionalFormatting sqref="EI7">
    <cfRule type="expression" dxfId="1" priority="104">
      <formula>AND(BU7&gt;=2,EI7&lt;&gt;0, GetEquPower(BB7,BO7, CO7, FT7)=0)</formula>
    </cfRule>
    <cfRule type="expression" dxfId="0" priority="105">
      <formula xml:space="preserve"> AND(BU7&gt;=2,EI7&lt;&gt;GetEquPower(BB7,BO7, CO7, FT7))</formula>
    </cfRule>
  </conditionalFormatting>
  <conditionalFormatting sqref="EJ7">
    <cfRule type="expression" dxfId="1" priority="106">
      <formula>AND(BU7&gt;=3,EJ7&lt;&gt;0, GetEquPower(BB7,BO7, CP7, FT7)=0)</formula>
    </cfRule>
    <cfRule type="expression" dxfId="0" priority="107">
      <formula xml:space="preserve"> AND(BU7&gt;=3,EJ7&lt;&gt;GetEquPower(BB7,BO7, CP7, FT7))</formula>
    </cfRule>
  </conditionalFormatting>
  <conditionalFormatting sqref="EK7">
    <cfRule type="expression" dxfId="1" priority="130">
      <formula>AND(BU7&gt;=4,EK7&lt;&gt;0, GetEquPower(BB7,BO7, CQ7, FT7)=0)</formula>
    </cfRule>
    <cfRule type="expression" dxfId="0" priority="131">
      <formula xml:space="preserve"> AND(BU7&gt;=4,EK7&lt;&gt;GetEquPower(BB7,BO7, CQ7, FT7))</formula>
    </cfRule>
  </conditionalFormatting>
  <conditionalFormatting sqref="EL7">
    <cfRule type="expression" dxfId="1" priority="146">
      <formula>AND(BU7&gt;=5,EL7&lt;&gt;0, GetEquPower(BB7,BO7, CR7, FT7)=0)</formula>
    </cfRule>
    <cfRule type="expression" dxfId="0" priority="147">
      <formula xml:space="preserve"> AND(BU7&gt;=5,EL7&lt;&gt;GetEquPower(BB7,BO7, CR7, FT7))</formula>
    </cfRule>
  </conditionalFormatting>
  <conditionalFormatting sqref="EM7">
    <cfRule type="expression" dxfId="1" priority="148">
      <formula>AND(BU7&gt;=6,EM7&lt;&gt;0, GetEquPower(BB7,BO7, CS7, FT7)=0)</formula>
    </cfRule>
    <cfRule type="expression" dxfId="0" priority="149">
      <formula xml:space="preserve"> AND(BU7&gt;=6,EM7&lt;&gt;GetEquPower(BB7,BO7, CS7, FT7))</formula>
    </cfRule>
  </conditionalFormatting>
  <conditionalFormatting sqref="EQ7">
    <cfRule type="expression" dxfId="1" priority="108">
      <formula>AND(BV7&gt;=1,EQ7&lt;&gt;0, GetEquPower(BC7,BP7, CU7, FU7)=0)</formula>
    </cfRule>
    <cfRule type="expression" dxfId="0" priority="109">
      <formula>AND(BV7&gt;=1,EQ7&lt;&gt;GetEquPower(BC7,BP7, CU7, FU7))</formula>
    </cfRule>
  </conditionalFormatting>
  <conditionalFormatting sqref="ER7">
    <cfRule type="expression" dxfId="1" priority="110">
      <formula>AND(BV7&gt;=2,ER7&lt;&gt;0, GetEquPower(BC7,BP7, CV7, FU7)=0)</formula>
    </cfRule>
    <cfRule type="expression" dxfId="0" priority="111">
      <formula>AND(BV7&gt;=2,ER7&lt;&gt;GetEquPower(BC7,BP7, CV7, FU7))</formula>
    </cfRule>
  </conditionalFormatting>
  <conditionalFormatting sqref="ES7">
    <cfRule type="expression" dxfId="1" priority="112">
      <formula>AND(BV7&gt;=3,ES7&lt;&gt;0, GetEquPower(BC7,BP7, CW7, FU7)=0)</formula>
    </cfRule>
    <cfRule type="expression" dxfId="0" priority="113">
      <formula>AND(BV7&gt;=3,ES7&lt;&gt;GetEquPower(BC7,BP7, CW7, FU7))</formula>
    </cfRule>
  </conditionalFormatting>
  <conditionalFormatting sqref="ET7">
    <cfRule type="expression" dxfId="1" priority="132">
      <formula>AND(BV7&gt;=4,ET7&lt;&gt;0, GetEquPower(BC7,BP7, CX7, FU7)=0)</formula>
    </cfRule>
    <cfRule type="expression" dxfId="0" priority="133">
      <formula>AND(BV7&gt;=4,ET7&lt;&gt;GetEquPower(BC7,BP7, CX7, FU7))</formula>
    </cfRule>
  </conditionalFormatting>
  <conditionalFormatting sqref="EU7">
    <cfRule type="expression" dxfId="1" priority="150">
      <formula>AND(BV7&gt;=5,EU7&lt;&gt;0, GetEquPower(BC7,BP7, CY7, FU7)=0)</formula>
    </cfRule>
    <cfRule type="expression" dxfId="0" priority="151">
      <formula>AND(BV7&gt;=5,EU7&lt;&gt;GetEquPower(BC7,BP7, CY7, FU7))</formula>
    </cfRule>
  </conditionalFormatting>
  <conditionalFormatting sqref="EV7">
    <cfRule type="expression" dxfId="1" priority="152">
      <formula>AND(BV7&gt;=6,EV7&lt;&gt;0, GetEquPower(BC7,BP7, CZ7, FU7)=0)</formula>
    </cfRule>
    <cfRule type="expression" dxfId="0" priority="153">
      <formula>AND(BV7&gt;=6,EV7&lt;&gt;GetEquPower(BC7,BP7, CZ7, FU7))</formula>
    </cfRule>
  </conditionalFormatting>
  <conditionalFormatting sqref="EZ7">
    <cfRule type="expression" dxfId="1" priority="114">
      <formula>AND(BW7&gt;=1,EZ7&lt;&gt;0, GetEquPower(BD7,BQ7, DB7, FV7)=0)</formula>
    </cfRule>
    <cfRule type="expression" dxfId="0" priority="115">
      <formula>AND(BW7&gt;=1,EZ7&lt;&gt;GetEquPower(BD7,BQ7, DB7, FV7))</formula>
    </cfRule>
  </conditionalFormatting>
  <conditionalFormatting sqref="FA7">
    <cfRule type="expression" dxfId="1" priority="116">
      <formula>AND(BW7&gt;=2,FA7&lt;&gt;0, GetEquPower(BD7,BQ7, DC7, FV7)=0)</formula>
    </cfRule>
    <cfRule type="expression" dxfId="0" priority="117">
      <formula>AND(BW7&gt;=2,FA7&lt;&gt;GetEquPower(BD7,BQ7, DC7, FV7))</formula>
    </cfRule>
  </conditionalFormatting>
  <conditionalFormatting sqref="FB7">
    <cfRule type="expression" dxfId="1" priority="118">
      <formula>AND(BW7&gt;=3,FB7&lt;&gt;0, GetEquPower(BD7,BQ7, DD7, FV7)=0)</formula>
    </cfRule>
    <cfRule type="expression" dxfId="0" priority="119">
      <formula>AND(BW7&gt;=3,FB7&lt;&gt;GetEquPower(BD7,BQ7, DD7, FV7))</formula>
    </cfRule>
  </conditionalFormatting>
  <conditionalFormatting sqref="FC7">
    <cfRule type="expression" dxfId="1" priority="134">
      <formula>AND(BW7&gt;=4,FC7&lt;&gt;0, GetEquPower(BD7,BQ7, DE7, FV7)=0)</formula>
    </cfRule>
    <cfRule type="expression" dxfId="0" priority="135">
      <formula>AND(BW7&gt;=4,FC7&lt;&gt;GetEquPower(BD7,BQ7, DE7, FV7))</formula>
    </cfRule>
  </conditionalFormatting>
  <conditionalFormatting sqref="FD7">
    <cfRule type="expression" dxfId="1" priority="154">
      <formula>AND(BW7&gt;=5,FD7&lt;&gt;0, GetEquPower(BD7,BQ7, DF7, FV7)=0)</formula>
    </cfRule>
    <cfRule type="expression" dxfId="0" priority="155">
      <formula>AND(BW7&gt;=5,FD7&lt;&gt;GetEquPower(BD7,BQ7, DF7, FV7))</formula>
    </cfRule>
  </conditionalFormatting>
  <conditionalFormatting sqref="FE7">
    <cfRule type="expression" dxfId="1" priority="156">
      <formula>AND(BW7&gt;=6,FE7&lt;&gt;0, GetEquPower(BD7,BQ7, DG7, FV7)=0)</formula>
    </cfRule>
    <cfRule type="expression" dxfId="0" priority="157">
      <formula>AND(BW7&gt;=6,FE7&lt;&gt;GetEquPower(BD7,BQ7, DG7, FV7))</formula>
    </cfRule>
  </conditionalFormatting>
  <conditionalFormatting sqref="FI7">
    <cfRule type="expression" dxfId="1" priority="120">
      <formula>AND(BX7&gt;=1,FI7&lt;&gt;0, GetEquPower(BE7,BR7, DI7, FW7)=0)</formula>
    </cfRule>
    <cfRule type="expression" dxfId="0" priority="121">
      <formula>AND(BX7&gt;=1,FI7&lt;&gt;GetEquPower(BE7,BR7, DI7, FW7))</formula>
    </cfRule>
  </conditionalFormatting>
  <conditionalFormatting sqref="FJ7">
    <cfRule type="expression" dxfId="1" priority="122">
      <formula>AND(BX7&gt;=2,FJ7&lt;&gt;0, GetEquPower(BE7,BR7, DJ7, FW7)=0)</formula>
    </cfRule>
    <cfRule type="expression" dxfId="0" priority="123">
      <formula>AND(BX7&gt;=2,FJ7&lt;&gt;GetEquPower(BE7,BR7, DJ7, FW7))</formula>
    </cfRule>
  </conditionalFormatting>
  <conditionalFormatting sqref="FK7">
    <cfRule type="expression" dxfId="1" priority="124">
      <formula>AND(BX7&gt;=3,FK7&lt;&gt;0, GetEquPower(BE7,BR7, DK7, FW7)=0)</formula>
    </cfRule>
    <cfRule type="expression" dxfId="0" priority="125">
      <formula>AND(BX7&gt;=3,FK7&lt;&gt;GetEquPower(BE7,BR7, DK7, FW7))</formula>
    </cfRule>
  </conditionalFormatting>
  <conditionalFormatting sqref="FL7">
    <cfRule type="expression" dxfId="1" priority="136">
      <formula>AND(BX7&gt;=4,FL7&lt;&gt;0, GetEquPower(BE7,BR7, DL7, FW7)=0)</formula>
    </cfRule>
    <cfRule type="expression" dxfId="0" priority="137">
      <formula>AND(BX7&gt;=4,FL7&lt;&gt;GetEquPower(BE7,BR7, DL7, FW7))</formula>
    </cfRule>
  </conditionalFormatting>
  <conditionalFormatting sqref="FM7">
    <cfRule type="expression" dxfId="1" priority="158">
      <formula>AND(BX7&gt;=5,FM7&lt;&gt;0, GetEquPower(BE7,BR7, DM7, FW7)=0)</formula>
    </cfRule>
    <cfRule type="expression" dxfId="0" priority="159">
      <formula>AND(BX7&gt;=5,FM7&lt;&gt;GetEquPower(BE7,BR7, DM7, FW7))</formula>
    </cfRule>
  </conditionalFormatting>
  <conditionalFormatting sqref="FN7">
    <cfRule type="expression" dxfId="1" priority="160">
      <formula>AND(BX7&gt;=6,FN7&lt;&gt;0, GetEquPower(BE7,BR7, DN7, FW7)=0)</formula>
    </cfRule>
    <cfRule type="expression" dxfId="0" priority="161">
      <formula>AND(BX7&gt;=6,FN7&lt;&gt;GetEquPower(BE7,BR7, DN7, FW7))</formula>
    </cfRule>
  </conditionalFormatting>
  <conditionalFormatting sqref="F8">
    <cfRule type="expression" dxfId="72" priority="8">
      <formula>F8&lt;&gt;RIGHT(SUBSTITUTE(TRIM(E8),".",""),LEN(F8))</formula>
    </cfRule>
  </conditionalFormatting>
  <conditionalFormatting sqref="BS8">
    <cfRule type="expression" dxfId="72" priority="7">
      <formula>AND(J8&gt;=1,BS8&lt;1)</formula>
    </cfRule>
  </conditionalFormatting>
  <conditionalFormatting sqref="BT8">
    <cfRule type="expression" dxfId="72" priority="6">
      <formula>AND(J8&gt;=2,BT8&lt;1)</formula>
    </cfRule>
  </conditionalFormatting>
  <conditionalFormatting sqref="BU8">
    <cfRule type="expression" dxfId="72" priority="4">
      <formula>AND(J8&gt;=3,BU8&lt;1)</formula>
    </cfRule>
  </conditionalFormatting>
  <conditionalFormatting sqref="BV8">
    <cfRule type="expression" dxfId="72" priority="3">
      <formula>AND(J8&gt;=4,BV8&lt;1)</formula>
    </cfRule>
  </conditionalFormatting>
  <conditionalFormatting sqref="BW8">
    <cfRule type="expression" dxfId="72" priority="5">
      <formula>AND(J8&gt;=5,BW8&lt;1)</formula>
    </cfRule>
  </conditionalFormatting>
  <conditionalFormatting sqref="BX8">
    <cfRule type="expression" dxfId="72" priority="2">
      <formula>AND(J8&gt;=6,BX8&lt;1)</formula>
    </cfRule>
  </conditionalFormatting>
  <conditionalFormatting sqref="IC8">
    <cfRule type="expression" dxfId="72" priority="81">
      <formula>AND($S8 = TRUE, $IC8&lt;&gt;OptionsUnitCode)</formula>
    </cfRule>
  </conditionalFormatting>
  <conditionalFormatting sqref="B8:II8">
    <cfRule type="containsErrors" dxfId="72" priority="1">
      <formula>ISERROR(B8)</formula>
    </cfRule>
  </conditionalFormatting>
  <conditionalFormatting sqref="DP8">
    <cfRule type="expression" dxfId="1" priority="9">
      <formula>AND(BS8&gt;=1,DP8&lt;&gt;0, GetEquPower(AZ8,BM8, BZ8, FR8)=0)</formula>
    </cfRule>
    <cfRule type="expression" dxfId="0" priority="10">
      <formula>AND(BS8&gt;=1,DP8&lt;&gt;GetEquPower(AZ8,BM8, BZ8, FR8))</formula>
    </cfRule>
  </conditionalFormatting>
  <conditionalFormatting sqref="DQ8">
    <cfRule type="expression" dxfId="1" priority="11">
      <formula>AND(BS8&gt;=2,DQ8&lt;&gt;0, GetEquPower(AZ8,BM8, CA8, FR8)=0)</formula>
    </cfRule>
    <cfRule type="expression" dxfId="0" priority="12">
      <formula>AND(BS8&gt;=2,DQ8&lt;&gt;GetEquPower(AZ8,BM8, CA8, FR8))</formula>
    </cfRule>
  </conditionalFormatting>
  <conditionalFormatting sqref="DR8">
    <cfRule type="expression" dxfId="1" priority="13">
      <formula>AND(BS8&gt;=3,DR8&lt;&gt;0, GetEquPower(AZ8,BM8, CB8, FR8)=0)</formula>
    </cfRule>
    <cfRule type="expression" dxfId="0" priority="14">
      <formula>AND(BS8&gt;=3,DR8&lt;&gt;GetEquPower(AZ8,BM8, CB8, FR8))</formula>
    </cfRule>
  </conditionalFormatting>
  <conditionalFormatting sqref="DS8">
    <cfRule type="expression" dxfId="1" priority="45">
      <formula>AND(BS8&gt;=4,DS8&lt;&gt;0, GetEquPower(AZ8,BM8, CC8, FR8)=0)</formula>
    </cfRule>
    <cfRule type="expression" dxfId="0" priority="46">
      <formula>AND(BS8&gt;=4, DS8&lt;&gt;GetEquPower(AZ8,BM8, CC8, FR8))</formula>
    </cfRule>
  </conditionalFormatting>
  <conditionalFormatting sqref="DT8">
    <cfRule type="expression" dxfId="1" priority="57">
      <formula>AND(BS8&gt;=5,DT8&lt;&gt;0, GetEquPower(AZ8,BM8, CD8, FR8)=0)</formula>
    </cfRule>
    <cfRule type="expression" dxfId="0" priority="58">
      <formula>AND(BS8&gt;=5, DT8&lt;&gt;GetEquPower(AZ8,BM8, CD8, FR8))</formula>
    </cfRule>
  </conditionalFormatting>
  <conditionalFormatting sqref="DU8">
    <cfRule type="expression" dxfId="1" priority="59">
      <formula>AND(BS8&gt;=6,DU8&lt;&gt;0, GetEquPower(AZ8,BM8, CE8, FR8)=0)</formula>
    </cfRule>
    <cfRule type="expression" dxfId="0" priority="60">
      <formula>AND(BS8&gt;=6, DU8&lt;&gt;GetEquPower(AZ8,BM8, CE8, FR8))</formula>
    </cfRule>
  </conditionalFormatting>
  <conditionalFormatting sqref="DY8">
    <cfRule type="expression" dxfId="1" priority="15">
      <formula>AND(BT8&gt;=1,DY8&lt;&gt;0, GetEquPower(BA8,BN8, CG8, FS8)=0)</formula>
    </cfRule>
    <cfRule type="expression" dxfId="0" priority="16">
      <formula>AND(BT8&gt;=1,DY8&lt;&gt;GetEquPower(BA8,BN8, CG8, FS8))</formula>
    </cfRule>
  </conditionalFormatting>
  <conditionalFormatting sqref="DZ8">
    <cfRule type="expression" dxfId="1" priority="17">
      <formula>AND(BT8&gt;=2,DZ8&lt;&gt;0, GetEquPower(BA8,BN8, CH8, FS8)=0)</formula>
    </cfRule>
    <cfRule type="expression" dxfId="0" priority="18">
      <formula>AND(BT8&gt;=2,DZ8&lt;&gt;GetEquPower(BA8,BN8, CH8, FS8))</formula>
    </cfRule>
  </conditionalFormatting>
  <conditionalFormatting sqref="EA8">
    <cfRule type="expression" dxfId="1" priority="19">
      <formula>AND(BT8&gt;=3,EA8&lt;&gt;0, GetEquPower(BA8,BN8, CI8, FS8)=0)</formula>
    </cfRule>
    <cfRule type="expression" dxfId="0" priority="20">
      <formula>AND(BT8&gt;=3,EA8&lt;&gt;GetEquPower(BA8,BN8, CI8, FS8))</formula>
    </cfRule>
  </conditionalFormatting>
  <conditionalFormatting sqref="EB8">
    <cfRule type="expression" dxfId="1" priority="47">
      <formula>AND(BT8&gt;=4,EB8&lt;&gt;0, GetEquPower(BA8,BN8, CJ8, FS8)=0)</formula>
    </cfRule>
    <cfRule type="expression" dxfId="0" priority="48">
      <formula>AND(BT8&gt;=4,EB8&lt;&gt;GetEquPower(BA8,BN8, CJ8, FS8))</formula>
    </cfRule>
  </conditionalFormatting>
  <conditionalFormatting sqref="EC8">
    <cfRule type="expression" dxfId="1" priority="61">
      <formula>AND(BT8&gt;=5,EC8&lt;&gt;0, GetEquPower(BA8,BN8, CK8, FS8)=0)</formula>
    </cfRule>
    <cfRule type="expression" dxfId="0" priority="62">
      <formula>AND(BT8&gt;=5,EC8&lt;&gt;GetEquPower(BA8,BN8, CK8, FS8))</formula>
    </cfRule>
  </conditionalFormatting>
  <conditionalFormatting sqref="ED8">
    <cfRule type="expression" dxfId="1" priority="63">
      <formula>AND(BT8&gt;=6,ED8&lt;&gt;0, GetEquPower(BA8,BN8, CL8, FS8)=0)</formula>
    </cfRule>
    <cfRule type="expression" dxfId="0" priority="64">
      <formula>AND(BT8&gt;=6,ED8&lt;&gt;GetEquPower(BA8,BN8, CL8, FS8))</formula>
    </cfRule>
  </conditionalFormatting>
  <conditionalFormatting sqref="EH8">
    <cfRule type="expression" dxfId="1" priority="21">
      <formula>AND(BU8&gt;=1,EH8&lt;&gt;0, GetEquPower(BB8,BO8, CN8, FT8)=0)</formula>
    </cfRule>
    <cfRule type="expression" dxfId="0" priority="22">
      <formula>AND(BU8&gt;=1,EH8&lt;&gt;GetEquPower(BB8,BO8, CN8, FT8))</formula>
    </cfRule>
  </conditionalFormatting>
  <conditionalFormatting sqref="EI8">
    <cfRule type="expression" dxfId="1" priority="23">
      <formula>AND(BU8&gt;=2,EI8&lt;&gt;0, GetEquPower(BB8,BO8, CO8, FT8)=0)</formula>
    </cfRule>
    <cfRule type="expression" dxfId="0" priority="24">
      <formula xml:space="preserve"> AND(BU8&gt;=2,EI8&lt;&gt;GetEquPower(BB8,BO8, CO8, FT8))</formula>
    </cfRule>
  </conditionalFormatting>
  <conditionalFormatting sqref="EJ8">
    <cfRule type="expression" dxfId="1" priority="25">
      <formula>AND(BU8&gt;=3,EJ8&lt;&gt;0, GetEquPower(BB8,BO8, CP8, FT8)=0)</formula>
    </cfRule>
    <cfRule type="expression" dxfId="0" priority="26">
      <formula xml:space="preserve"> AND(BU8&gt;=3,EJ8&lt;&gt;GetEquPower(BB8,BO8, CP8, FT8))</formula>
    </cfRule>
  </conditionalFormatting>
  <conditionalFormatting sqref="EK8">
    <cfRule type="expression" dxfId="1" priority="49">
      <formula>AND(BU8&gt;=4,EK8&lt;&gt;0, GetEquPower(BB8,BO8, CQ8, FT8)=0)</formula>
    </cfRule>
    <cfRule type="expression" dxfId="0" priority="50">
      <formula xml:space="preserve"> AND(BU8&gt;=4,EK8&lt;&gt;GetEquPower(BB8,BO8, CQ8, FT8))</formula>
    </cfRule>
  </conditionalFormatting>
  <conditionalFormatting sqref="EL8">
    <cfRule type="expression" dxfId="1" priority="65">
      <formula>AND(BU8&gt;=5,EL8&lt;&gt;0, GetEquPower(BB8,BO8, CR8, FT8)=0)</formula>
    </cfRule>
    <cfRule type="expression" dxfId="0" priority="66">
      <formula xml:space="preserve"> AND(BU8&gt;=5,EL8&lt;&gt;GetEquPower(BB8,BO8, CR8, FT8))</formula>
    </cfRule>
  </conditionalFormatting>
  <conditionalFormatting sqref="EM8">
    <cfRule type="expression" dxfId="1" priority="67">
      <formula>AND(BU8&gt;=6,EM8&lt;&gt;0, GetEquPower(BB8,BO8, CS8, FT8)=0)</formula>
    </cfRule>
    <cfRule type="expression" dxfId="0" priority="68">
      <formula xml:space="preserve"> AND(BU8&gt;=6,EM8&lt;&gt;GetEquPower(BB8,BO8, CS8, FT8))</formula>
    </cfRule>
  </conditionalFormatting>
  <conditionalFormatting sqref="EQ8">
    <cfRule type="expression" dxfId="1" priority="27">
      <formula>AND(BV8&gt;=1,EQ8&lt;&gt;0, GetEquPower(BC8,BP8, CU8, FU8)=0)</formula>
    </cfRule>
    <cfRule type="expression" dxfId="0" priority="28">
      <formula>AND(BV8&gt;=1,EQ8&lt;&gt;GetEquPower(BC8,BP8, CU8, FU8))</formula>
    </cfRule>
  </conditionalFormatting>
  <conditionalFormatting sqref="ER8">
    <cfRule type="expression" dxfId="1" priority="29">
      <formula>AND(BV8&gt;=2,ER8&lt;&gt;0, GetEquPower(BC8,BP8, CV8, FU8)=0)</formula>
    </cfRule>
    <cfRule type="expression" dxfId="0" priority="30">
      <formula>AND(BV8&gt;=2,ER8&lt;&gt;GetEquPower(BC8,BP8, CV8, FU8))</formula>
    </cfRule>
  </conditionalFormatting>
  <conditionalFormatting sqref="ES8">
    <cfRule type="expression" dxfId="1" priority="31">
      <formula>AND(BV8&gt;=3,ES8&lt;&gt;0, GetEquPower(BC8,BP8, CW8, FU8)=0)</formula>
    </cfRule>
    <cfRule type="expression" dxfId="0" priority="32">
      <formula>AND(BV8&gt;=3,ES8&lt;&gt;GetEquPower(BC8,BP8, CW8, FU8))</formula>
    </cfRule>
  </conditionalFormatting>
  <conditionalFormatting sqref="ET8">
    <cfRule type="expression" dxfId="1" priority="51">
      <formula>AND(BV8&gt;=4,ET8&lt;&gt;0, GetEquPower(BC8,BP8, CX8, FU8)=0)</formula>
    </cfRule>
    <cfRule type="expression" dxfId="0" priority="52">
      <formula>AND(BV8&gt;=4,ET8&lt;&gt;GetEquPower(BC8,BP8, CX8, FU8))</formula>
    </cfRule>
  </conditionalFormatting>
  <conditionalFormatting sqref="EU8">
    <cfRule type="expression" dxfId="1" priority="69">
      <formula>AND(BV8&gt;=5,EU8&lt;&gt;0, GetEquPower(BC8,BP8, CY8, FU8)=0)</formula>
    </cfRule>
    <cfRule type="expression" dxfId="0" priority="70">
      <formula>AND(BV8&gt;=5,EU8&lt;&gt;GetEquPower(BC8,BP8, CY8, FU8))</formula>
    </cfRule>
  </conditionalFormatting>
  <conditionalFormatting sqref="EV8">
    <cfRule type="expression" dxfId="1" priority="71">
      <formula>AND(BV8&gt;=6,EV8&lt;&gt;0, GetEquPower(BC8,BP8, CZ8, FU8)=0)</formula>
    </cfRule>
    <cfRule type="expression" dxfId="0" priority="72">
      <formula>AND(BV8&gt;=6,EV8&lt;&gt;GetEquPower(BC8,BP8, CZ8, FU8))</formula>
    </cfRule>
  </conditionalFormatting>
  <conditionalFormatting sqref="EZ8">
    <cfRule type="expression" dxfId="1" priority="33">
      <formula>AND(BW8&gt;=1,EZ8&lt;&gt;0, GetEquPower(BD8,BQ8, DB8, FV8)=0)</formula>
    </cfRule>
    <cfRule type="expression" dxfId="0" priority="34">
      <formula>AND(BW8&gt;=1,EZ8&lt;&gt;GetEquPower(BD8,BQ8, DB8, FV8))</formula>
    </cfRule>
  </conditionalFormatting>
  <conditionalFormatting sqref="FA8">
    <cfRule type="expression" dxfId="1" priority="35">
      <formula>AND(BW8&gt;=2,FA8&lt;&gt;0, GetEquPower(BD8,BQ8, DC8, FV8)=0)</formula>
    </cfRule>
    <cfRule type="expression" dxfId="0" priority="36">
      <formula>AND(BW8&gt;=2,FA8&lt;&gt;GetEquPower(BD8,BQ8, DC8, FV8))</formula>
    </cfRule>
  </conditionalFormatting>
  <conditionalFormatting sqref="FB8">
    <cfRule type="expression" dxfId="1" priority="37">
      <formula>AND(BW8&gt;=3,FB8&lt;&gt;0, GetEquPower(BD8,BQ8, DD8, FV8)=0)</formula>
    </cfRule>
    <cfRule type="expression" dxfId="0" priority="38">
      <formula>AND(BW8&gt;=3,FB8&lt;&gt;GetEquPower(BD8,BQ8, DD8, FV8))</formula>
    </cfRule>
  </conditionalFormatting>
  <conditionalFormatting sqref="FC8">
    <cfRule type="expression" dxfId="1" priority="53">
      <formula>AND(BW8&gt;=4,FC8&lt;&gt;0, GetEquPower(BD8,BQ8, DE8, FV8)=0)</formula>
    </cfRule>
    <cfRule type="expression" dxfId="0" priority="54">
      <formula>AND(BW8&gt;=4,FC8&lt;&gt;GetEquPower(BD8,BQ8, DE8, FV8))</formula>
    </cfRule>
  </conditionalFormatting>
  <conditionalFormatting sqref="FD8">
    <cfRule type="expression" dxfId="1" priority="73">
      <formula>AND(BW8&gt;=5,FD8&lt;&gt;0, GetEquPower(BD8,BQ8, DF8, FV8)=0)</formula>
    </cfRule>
    <cfRule type="expression" dxfId="0" priority="74">
      <formula>AND(BW8&gt;=5,FD8&lt;&gt;GetEquPower(BD8,BQ8, DF8, FV8))</formula>
    </cfRule>
  </conditionalFormatting>
  <conditionalFormatting sqref="FE8">
    <cfRule type="expression" dxfId="1" priority="75">
      <formula>AND(BW8&gt;=6,FE8&lt;&gt;0, GetEquPower(BD8,BQ8, DG8, FV8)=0)</formula>
    </cfRule>
    <cfRule type="expression" dxfId="0" priority="76">
      <formula>AND(BW8&gt;=6,FE8&lt;&gt;GetEquPower(BD8,BQ8, DG8, FV8))</formula>
    </cfRule>
  </conditionalFormatting>
  <conditionalFormatting sqref="FI8">
    <cfRule type="expression" dxfId="1" priority="39">
      <formula>AND(BX8&gt;=1,FI8&lt;&gt;0, GetEquPower(BE8,BR8, DI8, FW8)=0)</formula>
    </cfRule>
    <cfRule type="expression" dxfId="0" priority="40">
      <formula>AND(BX8&gt;=1,FI8&lt;&gt;GetEquPower(BE8,BR8, DI8, FW8))</formula>
    </cfRule>
  </conditionalFormatting>
  <conditionalFormatting sqref="FJ8">
    <cfRule type="expression" dxfId="1" priority="41">
      <formula>AND(BX8&gt;=2,FJ8&lt;&gt;0, GetEquPower(BE8,BR8, DJ8, FW8)=0)</formula>
    </cfRule>
    <cfRule type="expression" dxfId="0" priority="42">
      <formula>AND(BX8&gt;=2,FJ8&lt;&gt;GetEquPower(BE8,BR8, DJ8, FW8))</formula>
    </cfRule>
  </conditionalFormatting>
  <conditionalFormatting sqref="FK8">
    <cfRule type="expression" dxfId="1" priority="43">
      <formula>AND(BX8&gt;=3,FK8&lt;&gt;0, GetEquPower(BE8,BR8, DK8, FW8)=0)</formula>
    </cfRule>
    <cfRule type="expression" dxfId="0" priority="44">
      <formula>AND(BX8&gt;=3,FK8&lt;&gt;GetEquPower(BE8,BR8, DK8, FW8))</formula>
    </cfRule>
  </conditionalFormatting>
  <conditionalFormatting sqref="FL8">
    <cfRule type="expression" dxfId="1" priority="55">
      <formula>AND(BX8&gt;=4,FL8&lt;&gt;0, GetEquPower(BE8,BR8, DL8, FW8)=0)</formula>
    </cfRule>
    <cfRule type="expression" dxfId="0" priority="56">
      <formula>AND(BX8&gt;=4,FL8&lt;&gt;GetEquPower(BE8,BR8, DL8, FW8))</formula>
    </cfRule>
  </conditionalFormatting>
  <conditionalFormatting sqref="FM8">
    <cfRule type="expression" dxfId="1" priority="77">
      <formula>AND(BX8&gt;=5,FM8&lt;&gt;0, GetEquPower(BE8,BR8, DM8, FW8)=0)</formula>
    </cfRule>
    <cfRule type="expression" dxfId="0" priority="78">
      <formula>AND(BX8&gt;=5,FM8&lt;&gt;GetEquPower(BE8,BR8, DM8, FW8))</formula>
    </cfRule>
  </conditionalFormatting>
  <conditionalFormatting sqref="FN8">
    <cfRule type="expression" dxfId="1" priority="79">
      <formula>AND(BX8&gt;=6,FN8&lt;&gt;0, GetEquPower(BE8,BR8, DN8, FW8)=0)</formula>
    </cfRule>
    <cfRule type="expression" dxfId="0" priority="80">
      <formula>AND(BX8&gt;=6,FN8&lt;&gt;GetEquPower(BE8,BR8, DN8, FW8))</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A2" sqref="A2:XFD2"/>
    </sheetView>
  </sheetViews>
  <sheetFormatPr defaultColWidth="9.109375" defaultRowHeight="13.2"/>
  <cols>
    <col min="1" max="1" bestFit="1" width="5" customWidth="1" style="313"/>
    <col min="2" max="2" width="12.44140625" customWidth="1" style="313"/>
    <col min="3" max="3" width="12.44140625" customWidth="1" style="313"/>
    <col min="4" max="4" width="9.109375" customWidth="1" style="598"/>
    <col min="5" max="5" width="32.6640625" customWidth="1" style="318"/>
    <col min="6" max="6" width="16.5546875" customWidth="1" style="313"/>
    <col min="7" max="7" bestFit="1" width="9.109375" customWidth="1" style="598"/>
    <col min="8" max="8" bestFit="1" width="9.109375" customWidth="1" style="316"/>
    <col min="9" max="9" width="7.6640625" customWidth="1" style="283"/>
    <col min="10" max="10" width="10.5546875" customWidth="1" style="313"/>
    <col min="11" max="11" width="33.33203125" customWidth="1" style="283"/>
    <col min="12" max="13" width="15.33203125" customWidth="1" style="283"/>
    <col min="14" max="14" width="9.109375" customWidth="1" style="283"/>
    <col min="15" max="15" bestFit="1" width="15.44140625" customWidth="1" style="283"/>
    <col min="16" max="16" width="42.109375" customWidth="1" style="283"/>
    <col min="17" max="17" width="27.33203125" customWidth="1" style="283"/>
    <col min="18" max="18" width="14.33203125" customWidth="1" style="283"/>
    <col min="19" max="19" width="13" customWidth="1" style="283"/>
    <col min="20" max="20" width="32.33203125" customWidth="1" style="283"/>
    <col min="21" max="21" width="24.6640625" customWidth="1" style="283"/>
    <col min="22" max="22" width="10.6640625" customWidth="1" style="283"/>
    <col min="23" max="23" width="23.109375" customWidth="1" style="283"/>
    <col min="24" max="24" width="15.5546875" customWidth="1" style="315"/>
    <col min="25" max="26" width="10.5546875" customWidth="1" style="283"/>
    <col min="27" max="27" width="9.109375" customWidth="1" style="316"/>
    <col min="28" max="28" width="13" customWidth="1" style="283"/>
    <col min="29" max="29" width="9.109375" customWidth="1" style="316"/>
    <col min="30" max="37" width="13" customWidth="1" style="283"/>
    <col min="38" max="38" width="4.6640625" customWidth="1" style="283"/>
    <col min="39" max="39" bestFit="1" width="15.44140625" customWidth="1" style="283"/>
    <col min="40" max="44" width="15.88671875" customWidth="1" style="283"/>
    <col min="45" max="45" width="9.109375" customWidth="1" style="313"/>
    <col min="46" max="191" width="9.109375" customWidth="1" style="283"/>
    <col min="192" max="192" bestFit="1" width="9.5546875" customWidth="1" style="283"/>
    <col min="193" max="198" width="9.109375" customWidth="1" style="283"/>
    <col min="199" max="200" width="13" customWidth="1" style="283"/>
    <col min="201" max="234" width="9.109375" customWidth="1" style="283"/>
    <col min="235" max="235" width="9.109375" customWidth="1" style="316"/>
    <col min="236" max="236" width="9.109375" customWidth="1" style="316"/>
    <col min="237" max="240" width="9.109375" customWidth="1" style="283"/>
    <col min="241" max="241" bestFit="1" width="13.44140625" customWidth="1" style="283"/>
    <col min="242" max="242" bestFit="1" width="13" customWidth="1" style="283"/>
    <col min="243" max="244" width="9.109375" customWidth="1" style="283"/>
    <col min="245" max="245" width="12.33203125" customWidth="1" style="283"/>
    <col min="246" max="256" width="9.109375" customWidth="1" style="283"/>
    <col min="257" max="16384" width="9.109375" customWidth="1" style="283"/>
  </cols>
  <sheetData>
    <row r="1" ht="34.5" customHeight="1" s="313" customFormat="1">
      <c r="A1" s="375" t="str">
        <f>Check!A1</f>
        <v>No</v>
      </c>
      <c r="B1" s="343" t="s">
        <v>21166</v>
      </c>
      <c r="C1" s="343" t="s">
        <v>21167</v>
      </c>
      <c r="D1" s="599" t="str">
        <f>Check!D1</f>
        <v>BtsCode</v>
      </c>
      <c r="E1" s="377" t="str">
        <f>Check!E1</f>
        <v>Address</v>
      </c>
      <c r="F1" s="373" t="str">
        <f>Check!F1</f>
        <v>CityName</v>
      </c>
      <c r="G1" s="599" t="str">
        <f>Check!G1</f>
        <v>Longtitude</v>
      </c>
      <c r="H1" s="599" t="str">
        <f>Check!H1</f>
        <v>Latitude</v>
      </c>
      <c r="I1" s="374" t="str">
        <f>Check!I1</f>
        <v>InCaseOfID</v>
      </c>
      <c r="J1" s="374" t="str">
        <f>Check!J1</f>
        <v>SubBTSQuantity</v>
      </c>
      <c r="K1" s="374" t="str">
        <f>Check!K1</f>
        <v>SubBtsOperatorNames</v>
      </c>
      <c r="L1" s="374" t="str">
        <f>Check!L1</f>
        <v>SubBtsCodes</v>
      </c>
      <c r="M1" s="374" t="str">
        <f>Check!M1</f>
        <v>SubBtsEquipments</v>
      </c>
      <c r="N1" s="374" t="str">
        <f>Check!N1</f>
        <v>SubBtsAntenNums</v>
      </c>
      <c r="O1" s="374" t="str">
        <f>Check!O1</f>
        <v>SubBtsConfigurations</v>
      </c>
      <c r="P1" s="374" t="str">
        <f>Check!P1</f>
        <v>SubBtsPowerSums</v>
      </c>
      <c r="Q1" s="374" t="str">
        <f>Check!Q1</f>
        <v>SubBtsBands</v>
      </c>
      <c r="R1" s="374" t="str">
        <f>Check!R1</f>
        <v>SubBtsAntenHeights</v>
      </c>
      <c r="S1" s="371" t="str">
        <f>Check!S1</f>
        <v>IssueCertificate</v>
      </c>
      <c r="T1" s="373" t="s">
        <v>21168</v>
      </c>
      <c r="U1" s="373" t="str">
        <f>Check!U1</f>
        <v>ReasonNoCertificate</v>
      </c>
      <c r="V1" s="373" t="str">
        <f>Check!V1</f>
        <v>LabID</v>
      </c>
      <c r="W1" s="294" t="str">
        <f>Check!W1</f>
        <v>TestReportNo</v>
      </c>
      <c r="X1" s="338" t="str">
        <f>Check!X1</f>
        <v>TestReportDate</v>
      </c>
      <c r="Y1" s="336" t="str">
        <f>Check!Y1</f>
        <v>IsPoleOnGround</v>
      </c>
      <c r="Z1" s="336" t="str">
        <f>Check!Z1</f>
        <v>IsSafeLimit</v>
      </c>
      <c r="AA1" s="601" t="str">
        <f>Check!AA1</f>
        <v>SafeLimitHeight</v>
      </c>
      <c r="AB1" s="336" t="str">
        <f>Check!AB1</f>
        <v>IsHouseIn100m</v>
      </c>
      <c r="AC1" s="601" t="str">
        <f>Check!AC1</f>
        <v>MaxHeightIn100m</v>
      </c>
      <c r="AD1" s="336" t="str">
        <f>Check!AD1</f>
        <v>IsMeasuringExposure</v>
      </c>
      <c r="AE1" s="336" t="str">
        <f>Check!AE1</f>
        <v>Verifier1</v>
      </c>
      <c r="AF1" s="336" t="str">
        <f>Check!AF1</f>
        <v>Verifier2</v>
      </c>
      <c r="AG1" s="336" t="str">
        <f>Check!AG1</f>
        <v>VerifyUnit</v>
      </c>
      <c r="AH1" s="336" t="str">
        <f>Check!AH1</f>
        <v>IssuedPlace</v>
      </c>
      <c r="AI1" s="336" t="str">
        <f>Check!AI1</f>
        <v>SignerRole</v>
      </c>
      <c r="AJ1" s="336" t="str">
        <f>Check!AJ1</f>
        <v>SignerSubRole</v>
      </c>
      <c r="AK1" s="336" t="str">
        <f>Check!AK1</f>
        <v>Signer</v>
      </c>
      <c r="AL1" s="364"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602" t="str">
        <f>Check!IA1</f>
        <v>MinAntenHeight</v>
      </c>
      <c r="IB1" s="602"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6" t="s">
        <v>21169</v>
      </c>
    </row>
    <row r="2">
      <c r="A2" s="313">
        <v>1</v>
      </c>
      <c r="II2" s="283">
        <v>7</v>
      </c>
      <c r="IJ2" s="283">
        <v>0</v>
      </c>
    </row>
  </sheetData>
  <sheetProtection sheet="1" objects="1" scenarios="1"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ColWidth="9.109375" defaultRowHeight="14.4"/>
  <cols>
    <col min="1" max="1" width="5.33203125" customWidth="1" style="284"/>
    <col min="2" max="2" width="7.109375" customWidth="1" style="284"/>
    <col min="3" max="3" width="60.109375" customWidth="1" style="206"/>
    <col min="4" max="4" width="18.44140625" customWidth="1" style="206"/>
    <col min="5" max="15" width="9.109375" customWidth="1" style="206"/>
    <col min="16" max="16384" width="9.109375" customWidth="1" style="206"/>
  </cols>
  <sheetData>
    <row r="1" s="284" customFormat="1">
      <c r="A1" s="304" t="s">
        <v>20973</v>
      </c>
      <c r="B1" s="304" t="s">
        <v>21150</v>
      </c>
      <c r="C1" s="304" t="s">
        <v>21151</v>
      </c>
      <c r="D1" s="304" t="s">
        <v>21152</v>
      </c>
    </row>
    <row r="2">
      <c r="A2" s="210">
        <v>1</v>
      </c>
      <c r="B2" s="210">
        <v>1</v>
      </c>
      <c r="C2" s="291" t="s">
        <v>21153</v>
      </c>
      <c r="D2" s="291"/>
    </row>
    <row r="3">
      <c r="A3" s="210">
        <v>2</v>
      </c>
      <c r="B3" s="210">
        <v>2</v>
      </c>
      <c r="C3" s="291" t="s">
        <v>21154</v>
      </c>
      <c r="D3" s="291"/>
    </row>
    <row r="4">
      <c r="A4" s="210">
        <v>3</v>
      </c>
      <c r="B4" s="210">
        <v>3</v>
      </c>
      <c r="C4" s="291" t="s">
        <v>21155</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09375" defaultRowHeight="15.6"/>
  <cols>
    <col min="1" max="1" width="3.109375" customWidth="1" style="211"/>
    <col min="2" max="2" width="3.109375" customWidth="1" style="211"/>
    <col min="3" max="3" width="3.109375" customWidth="1" style="211"/>
    <col min="4" max="4" width="3.109375" customWidth="1" style="211"/>
    <col min="5" max="5" width="3.109375" customWidth="1" style="211"/>
    <col min="6" max="6" width="3.109375" customWidth="1" style="211"/>
    <col min="7" max="7" width="3.109375" customWidth="1" style="211"/>
    <col min="8" max="8" width="3.109375" customWidth="1" style="211"/>
    <col min="9" max="9" width="3.109375" customWidth="1" style="211"/>
    <col min="10" max="10" width="3.109375" customWidth="1" style="211"/>
    <col min="11" max="11" width="3.109375" customWidth="1" style="211"/>
    <col min="12" max="12" width="3.109375" customWidth="1" style="211"/>
    <col min="13" max="13" width="3.109375" customWidth="1" style="211"/>
    <col min="14" max="14" width="8.44140625" customWidth="1" style="211"/>
    <col min="15" max="15" width="3.109375" customWidth="1" style="211"/>
    <col min="16" max="16" width="3.109375" customWidth="1" style="211"/>
    <col min="17" max="17" width="3.109375" customWidth="1" style="211"/>
    <col min="18" max="18" width="3.109375" customWidth="1" style="211"/>
    <col min="19" max="19" width="3.109375" customWidth="1" style="211"/>
    <col min="20" max="20" width="3.109375" customWidth="1" style="211"/>
    <col min="21" max="21" width="3.109375" customWidth="1" style="211"/>
    <col min="22" max="22" width="3.109375" customWidth="1" style="211"/>
    <col min="23" max="23" width="3.109375" customWidth="1" style="211"/>
    <col min="24" max="25" width="3.109375" customWidth="1" style="211"/>
    <col min="26" max="26" width="3.5546875" customWidth="1" style="211"/>
    <col min="27" max="29" width="3.109375" customWidth="1" style="211"/>
    <col min="30" max="30" bestFit="1" width="10.5546875" customWidth="1" style="211"/>
    <col min="31" max="31" bestFit="1" width="11.88671875" customWidth="1" style="211"/>
    <col min="32" max="32" bestFit="1" width="10.5546875" customWidth="1" style="211"/>
    <col min="33" max="33" bestFit="1" width="9.88671875" customWidth="1" style="211"/>
    <col min="34" max="34" bestFit="1" width="11.88671875" customWidth="1" style="211"/>
    <col min="35" max="45" width="9.109375" customWidth="1" style="211"/>
    <col min="46" max="16384" width="9.109375" customWidth="1" style="211"/>
  </cols>
  <sheetData>
    <row r="1" ht="16.8">
      <c r="A1" s="503" t="s">
        <v>21118</v>
      </c>
      <c r="B1" s="503"/>
      <c r="C1" s="503"/>
      <c r="D1" s="503"/>
      <c r="E1" s="503"/>
      <c r="F1" s="503"/>
      <c r="G1" s="503"/>
      <c r="H1" s="503"/>
      <c r="I1" s="503"/>
      <c r="J1" s="503"/>
      <c r="N1" s="479" t="s">
        <v>21019</v>
      </c>
      <c r="O1" s="479"/>
      <c r="P1" s="479"/>
      <c r="Q1" s="479"/>
      <c r="R1" s="479"/>
      <c r="S1" s="479"/>
      <c r="T1" s="479"/>
      <c r="U1" s="479"/>
      <c r="V1" s="479"/>
      <c r="W1" s="479"/>
      <c r="X1" s="479"/>
      <c r="Y1" s="479"/>
      <c r="Z1" s="479"/>
      <c r="AA1" s="212"/>
    </row>
    <row r="2" ht="16.5" customHeight="1">
      <c r="A2" s="479" t="s">
        <v>21018</v>
      </c>
      <c r="B2" s="479"/>
      <c r="C2" s="479"/>
      <c r="D2" s="479"/>
      <c r="E2" s="479"/>
      <c r="F2" s="479"/>
      <c r="G2" s="479"/>
      <c r="H2" s="479"/>
      <c r="I2" s="479"/>
      <c r="J2" s="479"/>
      <c r="N2" s="482" t="s">
        <v>21021</v>
      </c>
      <c r="O2" s="482"/>
      <c r="P2" s="482"/>
      <c r="Q2" s="482"/>
      <c r="R2" s="482"/>
      <c r="S2" s="482"/>
      <c r="T2" s="482"/>
      <c r="U2" s="482"/>
      <c r="V2" s="482"/>
      <c r="W2" s="482"/>
      <c r="X2" s="482"/>
      <c r="Y2" s="482"/>
      <c r="Z2" s="482"/>
    </row>
    <row r="3" ht="16.8">
      <c r="A3" s="479" t="s">
        <v>21020</v>
      </c>
      <c r="B3" s="479"/>
      <c r="C3" s="479"/>
      <c r="D3" s="479"/>
      <c r="E3" s="479"/>
      <c r="F3" s="479"/>
      <c r="G3" s="479"/>
      <c r="H3" s="479"/>
      <c r="I3" s="479"/>
      <c r="J3" s="479"/>
      <c r="O3" s="213"/>
      <c r="P3" s="213"/>
      <c r="Q3" s="213"/>
      <c r="R3" s="213"/>
      <c r="S3" s="213"/>
      <c r="T3" s="213"/>
      <c r="U3" s="213"/>
      <c r="V3" s="213"/>
      <c r="W3" s="213"/>
    </row>
    <row r="4" ht="21.75" customHeight="1">
      <c r="C4" s="505" t="str">
        <f>IF(LEN(AD4)=1,"Số: 0"&amp;AD4&amp;"/LPKĐ-TT2","Số: "&amp;AD4&amp;"/LPKĐ-TT2")</f>
        <v>Số: 02/LPKĐ-TT2</v>
      </c>
      <c r="D4" s="505"/>
      <c r="E4" s="505"/>
      <c r="F4" s="505"/>
      <c r="G4" s="505"/>
      <c r="H4" s="505"/>
      <c r="N4" s="508" t="str">
        <f>"TP. Hồ Chí Minh, ngày "&amp;AF4&amp;" tháng "&amp;AG4&amp;" năm "&amp;AH4</f>
        <v>TP. Hồ Chí Minh, ngày 27 tháng 2 năm 2019</v>
      </c>
      <c r="O4" s="508"/>
      <c r="P4" s="508"/>
      <c r="Q4" s="508"/>
      <c r="R4" s="508"/>
      <c r="S4" s="508"/>
      <c r="T4" s="508"/>
      <c r="U4" s="508"/>
      <c r="V4" s="508"/>
      <c r="W4" s="508"/>
      <c r="X4" s="508"/>
      <c r="Y4" s="508"/>
      <c r="Z4" s="508"/>
      <c r="AD4" s="214">
        <v>2</v>
      </c>
      <c r="AE4" s="215" t="s">
        <v>21119</v>
      </c>
      <c r="AF4" s="211">
        <f>DAY(AE4)</f>
        <v>27</v>
      </c>
      <c r="AG4" s="211">
        <f>MONTH(AE4)</f>
        <v>2</v>
      </c>
      <c r="AH4" s="211">
        <f>YEAR(AE4)</f>
        <v>2019</v>
      </c>
    </row>
    <row r="6" ht="8.25" customHeight="1">
      <c r="O6" s="212"/>
    </row>
    <row r="7" ht="17.4">
      <c r="C7" s="507" t="s">
        <v>21120</v>
      </c>
      <c r="D7" s="507"/>
      <c r="E7" s="507"/>
      <c r="F7" s="507"/>
      <c r="G7" s="507"/>
      <c r="H7" s="507"/>
      <c r="I7" s="507"/>
      <c r="J7" s="507"/>
      <c r="K7" s="507"/>
      <c r="L7" s="507"/>
      <c r="M7" s="507"/>
      <c r="N7" s="507"/>
      <c r="O7" s="507"/>
      <c r="P7" s="507"/>
      <c r="Q7" s="507"/>
      <c r="R7" s="507"/>
      <c r="S7" s="507"/>
      <c r="T7" s="507"/>
      <c r="U7" s="507"/>
      <c r="V7" s="507"/>
      <c r="W7" s="507"/>
      <c r="X7" s="507"/>
    </row>
    <row r="8" ht="17.4">
      <c r="C8" s="507" t="s">
        <v>21023</v>
      </c>
      <c r="D8" s="507"/>
      <c r="E8" s="507"/>
      <c r="F8" s="507"/>
      <c r="G8" s="507"/>
      <c r="H8" s="507"/>
      <c r="I8" s="507"/>
      <c r="J8" s="507"/>
      <c r="K8" s="507"/>
      <c r="L8" s="507"/>
      <c r="M8" s="507"/>
      <c r="N8" s="507"/>
      <c r="O8" s="507"/>
      <c r="P8" s="507"/>
      <c r="Q8" s="507"/>
      <c r="R8" s="507"/>
      <c r="S8" s="507"/>
      <c r="T8" s="507"/>
      <c r="U8" s="507"/>
      <c r="V8" s="507"/>
      <c r="W8" s="507"/>
      <c r="X8" s="507"/>
    </row>
    <row r="10" ht="16.8">
      <c r="D10" s="503" t="str">
        <f>"Kính gửi: "&amp;AD10</f>
        <v>Kính gửi: Trung tâm Thông tin di động khu vực II</v>
      </c>
      <c r="E10" s="503"/>
      <c r="F10" s="503"/>
      <c r="G10" s="503"/>
      <c r="H10" s="503"/>
      <c r="I10" s="503"/>
      <c r="J10" s="503"/>
      <c r="K10" s="503"/>
      <c r="L10" s="503"/>
      <c r="M10" s="503"/>
      <c r="N10" s="503"/>
      <c r="O10" s="503"/>
      <c r="P10" s="503"/>
      <c r="Q10" s="503"/>
      <c r="R10" s="503"/>
      <c r="S10" s="503"/>
      <c r="T10" s="503"/>
      <c r="U10" s="503"/>
      <c r="V10" s="503"/>
      <c r="W10" s="503"/>
      <c r="AD10" s="211" t="s">
        <v>21121</v>
      </c>
    </row>
    <row r="11" ht="15.75" customHeight="1">
      <c r="A11" s="216"/>
      <c r="B11" s="216"/>
      <c r="D11" s="506" t="s">
        <v>21122</v>
      </c>
      <c r="E11" s="506"/>
      <c r="F11" s="506"/>
      <c r="G11" s="483" t="str">
        <f>AD11</f>
        <v>Số MM18, đường Trường Sơn, phường 14, quận 10, thành phố Hồ Chí Minh.</v>
      </c>
      <c r="H11" s="483"/>
      <c r="I11" s="483"/>
      <c r="J11" s="483"/>
      <c r="K11" s="483"/>
      <c r="L11" s="483"/>
      <c r="M11" s="483"/>
      <c r="N11" s="483"/>
      <c r="O11" s="483"/>
      <c r="P11" s="483"/>
      <c r="Q11" s="483"/>
      <c r="R11" s="483"/>
      <c r="S11" s="483"/>
      <c r="T11" s="483"/>
      <c r="U11" s="483"/>
      <c r="V11" s="483"/>
      <c r="W11" s="483"/>
      <c r="X11" s="217"/>
      <c r="Y11" s="217"/>
      <c r="Z11" s="217"/>
      <c r="AD11" s="211" t="s">
        <v>21123</v>
      </c>
    </row>
    <row r="12">
      <c r="A12" s="216"/>
      <c r="B12" s="216"/>
      <c r="C12" s="216"/>
      <c r="D12" s="216"/>
      <c r="E12" s="216"/>
      <c r="F12" s="217"/>
      <c r="G12" s="483"/>
      <c r="H12" s="483"/>
      <c r="I12" s="483"/>
      <c r="J12" s="483"/>
      <c r="K12" s="483"/>
      <c r="L12" s="483"/>
      <c r="M12" s="483"/>
      <c r="N12" s="483"/>
      <c r="O12" s="483"/>
      <c r="P12" s="483"/>
      <c r="Q12" s="483"/>
      <c r="R12" s="483"/>
      <c r="S12" s="483"/>
      <c r="T12" s="483"/>
      <c r="U12" s="483"/>
      <c r="V12" s="483"/>
      <c r="W12" s="483"/>
      <c r="X12" s="217"/>
      <c r="Y12" s="217"/>
      <c r="Z12" s="217"/>
    </row>
    <row r="13" ht="20.25" customHeight="1">
      <c r="A13" s="216"/>
      <c r="B13" s="216"/>
      <c r="D13" s="216" t="s">
        <v>21124</v>
      </c>
      <c r="E13" s="216"/>
      <c r="F13" s="216"/>
      <c r="G13" s="506" t="str">
        <f>AD13</f>
        <v>08 38662387</v>
      </c>
      <c r="H13" s="506"/>
      <c r="I13" s="506"/>
      <c r="J13" s="506"/>
      <c r="K13" s="506"/>
      <c r="L13" s="506"/>
      <c r="M13" s="506"/>
      <c r="N13" s="216"/>
      <c r="O13" s="216" t="s">
        <v>21125</v>
      </c>
      <c r="P13" s="216"/>
      <c r="Q13" s="506" t="str">
        <f>AH13</f>
        <v>08 38662388</v>
      </c>
      <c r="R13" s="506"/>
      <c r="S13" s="506"/>
      <c r="T13" s="506"/>
      <c r="U13" s="506"/>
      <c r="V13" s="506"/>
      <c r="W13" s="506"/>
      <c r="X13" s="216"/>
      <c r="Y13" s="216"/>
      <c r="Z13" s="216"/>
      <c r="AD13" s="211" t="s">
        <v>21126</v>
      </c>
      <c r="AH13" s="211" t="s">
        <v>21127</v>
      </c>
    </row>
    <row r="14" ht="55.2" customHeight="1">
      <c r="A14" s="481"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81"/>
      <c r="C14" s="481"/>
      <c r="D14" s="481"/>
      <c r="E14" s="481"/>
      <c r="F14" s="481"/>
      <c r="G14" s="481"/>
      <c r="H14" s="481"/>
      <c r="I14" s="481"/>
      <c r="J14" s="481"/>
      <c r="K14" s="481"/>
      <c r="L14" s="481"/>
      <c r="M14" s="481"/>
      <c r="N14" s="481"/>
      <c r="O14" s="481"/>
      <c r="P14" s="481"/>
      <c r="Q14" s="481"/>
      <c r="R14" s="481"/>
      <c r="S14" s="481"/>
      <c r="T14" s="481"/>
      <c r="U14" s="481"/>
      <c r="V14" s="481"/>
      <c r="W14" s="481"/>
      <c r="X14" s="481"/>
      <c r="Y14" s="481"/>
      <c r="Z14" s="481"/>
      <c r="AD14" s="211" t="s">
        <v>21128</v>
      </c>
      <c r="AE14" s="215" t="s">
        <v>21129</v>
      </c>
      <c r="AF14" s="211">
        <f>DAY(AE14)</f>
        <v>25</v>
      </c>
      <c r="AG14" s="211">
        <f>MONTH(AE14)</f>
        <v>12</v>
      </c>
      <c r="AH14" s="211">
        <f>YEAR(AE14)</f>
        <v>2013</v>
      </c>
    </row>
    <row r="15" ht="87.75" customHeight="1">
      <c r="A15" s="504" t="s">
        <v>21130</v>
      </c>
      <c r="B15" s="504"/>
      <c r="C15" s="504"/>
      <c r="D15" s="504"/>
      <c r="E15" s="504"/>
      <c r="F15" s="504"/>
      <c r="G15" s="504"/>
      <c r="H15" s="504"/>
      <c r="I15" s="504"/>
      <c r="J15" s="504"/>
      <c r="K15" s="504"/>
      <c r="L15" s="504"/>
      <c r="M15" s="504"/>
      <c r="N15" s="504"/>
      <c r="O15" s="504"/>
      <c r="P15" s="504"/>
      <c r="Q15" s="504"/>
      <c r="R15" s="504"/>
      <c r="S15" s="504"/>
      <c r="T15" s="504"/>
      <c r="U15" s="504"/>
      <c r="V15" s="504"/>
      <c r="W15" s="504"/>
      <c r="X15" s="504"/>
      <c r="Y15" s="504"/>
      <c r="Z15" s="504"/>
    </row>
    <row r="16" ht="33" customHeight="1">
      <c r="B16" s="490" t="s">
        <v>21079</v>
      </c>
      <c r="C16" s="492"/>
      <c r="D16" s="490" t="s">
        <v>20974</v>
      </c>
      <c r="E16" s="491"/>
      <c r="F16" s="491"/>
      <c r="G16" s="491"/>
      <c r="H16" s="491"/>
      <c r="I16" s="491"/>
      <c r="J16" s="491"/>
      <c r="K16" s="491"/>
      <c r="L16" s="491"/>
      <c r="M16" s="491"/>
      <c r="N16" s="492"/>
      <c r="O16" s="489" t="s">
        <v>21131</v>
      </c>
      <c r="P16" s="489"/>
      <c r="Q16" s="489"/>
      <c r="R16" s="489" t="s">
        <v>21132</v>
      </c>
      <c r="S16" s="489"/>
      <c r="T16" s="489"/>
      <c r="U16" s="489" t="s">
        <v>21133</v>
      </c>
      <c r="V16" s="489"/>
      <c r="W16" s="489"/>
      <c r="X16" s="489"/>
      <c r="Y16" s="489"/>
    </row>
    <row r="17" ht="18.75" customHeight="1">
      <c r="B17" s="501">
        <v>1</v>
      </c>
      <c r="C17" s="502"/>
      <c r="D17" s="493" t="s">
        <v>21134</v>
      </c>
      <c r="E17" s="494"/>
      <c r="F17" s="494"/>
      <c r="G17" s="494"/>
      <c r="H17" s="494"/>
      <c r="I17" s="494"/>
      <c r="J17" s="494"/>
      <c r="K17" s="494"/>
      <c r="L17" s="494"/>
      <c r="M17" s="494"/>
      <c r="N17" s="494"/>
      <c r="O17" s="495">
        <v>50000</v>
      </c>
      <c r="P17" s="496"/>
      <c r="Q17" s="497"/>
      <c r="R17" s="486">
        <f>AD17</f>
        <v>13</v>
      </c>
      <c r="S17" s="487"/>
      <c r="T17" s="488"/>
      <c r="U17" s="495">
        <f>O17*R17</f>
        <v>650000</v>
      </c>
      <c r="V17" s="496"/>
      <c r="W17" s="496"/>
      <c r="X17" s="496"/>
      <c r="Y17" s="497"/>
      <c r="AD17" s="211">
        <v>13</v>
      </c>
    </row>
    <row r="18" ht="18.75" customHeight="1">
      <c r="B18" s="490" t="s">
        <v>21135</v>
      </c>
      <c r="C18" s="491"/>
      <c r="D18" s="491"/>
      <c r="E18" s="491"/>
      <c r="F18" s="491"/>
      <c r="G18" s="491"/>
      <c r="H18" s="491"/>
      <c r="I18" s="491"/>
      <c r="J18" s="491"/>
      <c r="K18" s="491"/>
      <c r="L18" s="491"/>
      <c r="M18" s="491"/>
      <c r="N18" s="491"/>
      <c r="O18" s="491"/>
      <c r="P18" s="491"/>
      <c r="Q18" s="491"/>
      <c r="R18" s="491"/>
      <c r="S18" s="491"/>
      <c r="T18" s="492"/>
      <c r="U18" s="498">
        <f>U17</f>
        <v>650000</v>
      </c>
      <c r="V18" s="499"/>
      <c r="W18" s="499"/>
      <c r="X18" s="499"/>
      <c r="Y18" s="500"/>
      <c r="AD18" s="218">
        <f>U18</f>
        <v>650000</v>
      </c>
    </row>
    <row r="19">
      <c r="B19" s="486" t="str">
        <f>"Bằng chữ: "&amp;AD19</f>
        <v>Bằng chữ: Ba triệu năm trăm ngàn đồng chẵn.</v>
      </c>
      <c r="C19" s="487"/>
      <c r="D19" s="487"/>
      <c r="E19" s="487"/>
      <c r="F19" s="487"/>
      <c r="G19" s="487"/>
      <c r="H19" s="487"/>
      <c r="I19" s="487"/>
      <c r="J19" s="487"/>
      <c r="K19" s="487"/>
      <c r="L19" s="487"/>
      <c r="M19" s="487"/>
      <c r="N19" s="487"/>
      <c r="O19" s="487"/>
      <c r="P19" s="487"/>
      <c r="Q19" s="487"/>
      <c r="R19" s="487"/>
      <c r="S19" s="487"/>
      <c r="T19" s="487"/>
      <c r="U19" s="487"/>
      <c r="V19" s="487"/>
      <c r="W19" s="487"/>
      <c r="X19" s="487"/>
      <c r="Y19" s="488"/>
      <c r="AD19" s="211" t="s">
        <v>21136</v>
      </c>
    </row>
    <row r="20" ht="7.5" customHeight="1"/>
    <row r="21" ht="18" customHeight="1">
      <c r="B21" s="480" t="s">
        <v>21137</v>
      </c>
      <c r="C21" s="480"/>
      <c r="D21" s="480"/>
      <c r="E21" s="480"/>
      <c r="F21" s="480"/>
      <c r="G21" s="480"/>
      <c r="H21" s="480"/>
      <c r="I21" s="480"/>
      <c r="J21" s="480" t="s">
        <v>21138</v>
      </c>
      <c r="K21" s="480"/>
      <c r="L21" s="480"/>
      <c r="M21" s="480"/>
      <c r="N21" s="480"/>
      <c r="O21" s="480"/>
      <c r="P21" s="480"/>
      <c r="Q21" s="480"/>
      <c r="R21" s="480"/>
      <c r="S21" s="480"/>
      <c r="T21" s="480"/>
      <c r="U21" s="480"/>
      <c r="V21" s="480"/>
      <c r="W21" s="480"/>
      <c r="X21" s="480"/>
      <c r="Y21" s="480"/>
    </row>
    <row r="22" ht="18.75" customHeight="1">
      <c r="B22" s="480" t="s">
        <v>21139</v>
      </c>
      <c r="C22" s="480"/>
      <c r="D22" s="480"/>
      <c r="E22" s="480"/>
      <c r="F22" s="480"/>
      <c r="G22" s="480"/>
      <c r="H22" s="480"/>
      <c r="I22" s="480"/>
      <c r="J22" s="480" t="s">
        <v>21140</v>
      </c>
      <c r="K22" s="480"/>
      <c r="L22" s="480"/>
      <c r="M22" s="480"/>
      <c r="N22" s="480"/>
      <c r="O22" s="480"/>
      <c r="P22" s="480"/>
      <c r="Q22" s="480"/>
      <c r="R22" s="480"/>
      <c r="S22" s="480"/>
      <c r="T22" s="480"/>
      <c r="U22" s="480"/>
      <c r="V22" s="480"/>
      <c r="W22" s="480"/>
      <c r="X22" s="480"/>
      <c r="Y22" s="480"/>
    </row>
    <row r="23" ht="18" customHeight="1">
      <c r="B23" s="485"/>
      <c r="C23" s="485"/>
      <c r="D23" s="485"/>
      <c r="E23" s="485"/>
      <c r="F23" s="485"/>
      <c r="G23" s="485"/>
      <c r="H23" s="485"/>
      <c r="I23" s="485"/>
      <c r="J23" s="480" t="s">
        <v>21141</v>
      </c>
      <c r="K23" s="480"/>
      <c r="L23" s="480"/>
      <c r="M23" s="480"/>
      <c r="N23" s="480"/>
      <c r="O23" s="480"/>
      <c r="P23" s="480"/>
      <c r="Q23" s="480"/>
      <c r="R23" s="480"/>
      <c r="S23" s="480"/>
      <c r="T23" s="480"/>
      <c r="U23" s="480"/>
      <c r="V23" s="480"/>
      <c r="W23" s="480"/>
      <c r="X23" s="480"/>
      <c r="Y23" s="480"/>
    </row>
    <row r="24" ht="16.5" customHeight="1">
      <c r="B24" s="480" t="s">
        <v>21142</v>
      </c>
      <c r="C24" s="480"/>
      <c r="D24" s="480"/>
      <c r="E24" s="480"/>
      <c r="F24" s="480"/>
      <c r="G24" s="480"/>
      <c r="H24" s="480"/>
      <c r="I24" s="480"/>
      <c r="J24" s="480" t="s">
        <v>21143</v>
      </c>
      <c r="K24" s="480"/>
      <c r="L24" s="480"/>
      <c r="M24" s="480"/>
      <c r="N24" s="480"/>
      <c r="O24" s="480"/>
      <c r="P24" s="480"/>
      <c r="Q24" s="480"/>
      <c r="R24" s="480"/>
      <c r="S24" s="480"/>
      <c r="T24" s="480"/>
      <c r="U24" s="480"/>
      <c r="V24" s="480"/>
      <c r="W24" s="480"/>
      <c r="X24" s="480"/>
      <c r="Y24" s="480"/>
    </row>
    <row r="25" ht="17.25" customHeight="1">
      <c r="J25" s="480" t="s">
        <v>21144</v>
      </c>
      <c r="K25" s="480"/>
      <c r="L25" s="480"/>
      <c r="M25" s="480"/>
      <c r="N25" s="480"/>
      <c r="O25" s="480"/>
      <c r="P25" s="480"/>
      <c r="Q25" s="480"/>
      <c r="R25" s="480"/>
      <c r="S25" s="480"/>
      <c r="T25" s="480"/>
      <c r="U25" s="480"/>
      <c r="V25" s="480"/>
      <c r="W25" s="480"/>
      <c r="X25" s="480"/>
      <c r="Y25" s="480"/>
    </row>
    <row r="26" ht="47.25" customHeight="1">
      <c r="A26" s="481" t="s">
        <v>21145</v>
      </c>
      <c r="B26" s="481"/>
      <c r="C26" s="481"/>
      <c r="D26" s="481"/>
      <c r="E26" s="481"/>
      <c r="F26" s="481"/>
      <c r="G26" s="481"/>
      <c r="H26" s="481"/>
      <c r="I26" s="481"/>
      <c r="J26" s="481"/>
      <c r="K26" s="481"/>
      <c r="L26" s="481"/>
      <c r="M26" s="481"/>
      <c r="N26" s="481"/>
      <c r="O26" s="481"/>
      <c r="P26" s="481"/>
      <c r="Q26" s="481"/>
      <c r="R26" s="481"/>
      <c r="S26" s="481"/>
      <c r="T26" s="481"/>
      <c r="U26" s="481"/>
      <c r="V26" s="481"/>
      <c r="W26" s="481"/>
      <c r="X26" s="481"/>
      <c r="Y26" s="481"/>
      <c r="Z26" s="481"/>
    </row>
    <row r="27" ht="14.25" customHeight="1">
      <c r="AD27" s="219"/>
      <c r="AE27" s="219" t="s">
        <v>21054</v>
      </c>
      <c r="AF27" s="219"/>
      <c r="AG27" s="211" t="s">
        <v>21055</v>
      </c>
      <c r="AI27" s="219" t="s">
        <v>21056</v>
      </c>
      <c r="AK27" s="219"/>
      <c r="AL27" s="219"/>
      <c r="AN27" s="219"/>
      <c r="AO27" s="219"/>
      <c r="AP27" s="219"/>
      <c r="AQ27" s="219"/>
      <c r="AR27" s="219"/>
    </row>
    <row r="28" ht="16.8">
      <c r="A28" s="484" t="s">
        <v>21146</v>
      </c>
      <c r="B28" s="484"/>
      <c r="C28" s="484"/>
      <c r="D28" s="484"/>
      <c r="E28" s="484"/>
      <c r="F28" s="484"/>
      <c r="G28" s="484"/>
      <c r="H28" s="484"/>
      <c r="I28" s="484"/>
      <c r="J28" s="484"/>
      <c r="K28" s="484"/>
      <c r="L28" s="484"/>
      <c r="M28" s="484"/>
      <c r="O28" s="479" t="str">
        <f>IF(AD34=0,AG27,IF(AD34=1,AE27,AI27))</f>
        <v>KT. GIÁM ĐỐC</v>
      </c>
      <c r="P28" s="479"/>
      <c r="Q28" s="479"/>
      <c r="R28" s="479"/>
      <c r="S28" s="479"/>
      <c r="T28" s="479"/>
      <c r="U28" s="479"/>
      <c r="V28" s="479"/>
      <c r="W28" s="479"/>
      <c r="X28" s="479"/>
      <c r="Y28" s="479"/>
      <c r="Z28" s="479"/>
      <c r="AD28" s="219"/>
      <c r="AF28" s="219"/>
      <c r="AG28" s="219" t="s">
        <v>21060</v>
      </c>
      <c r="AH28" s="219"/>
      <c r="AI28" s="219" t="s">
        <v>21061</v>
      </c>
      <c r="AK28" s="219"/>
      <c r="AL28" s="219"/>
      <c r="AN28" s="219"/>
      <c r="AO28" s="219"/>
      <c r="AP28" s="219"/>
      <c r="AQ28" s="219"/>
      <c r="AR28" s="219"/>
    </row>
    <row r="29">
      <c r="A29" s="220" t="s">
        <v>21147</v>
      </c>
      <c r="B29" s="216"/>
      <c r="C29" s="216"/>
      <c r="D29" s="216"/>
      <c r="E29" s="216"/>
      <c r="F29" s="216"/>
      <c r="O29" s="478" t="str">
        <f>IF(AD34=0,AG28,IF(AD34=1,"",AI28))</f>
        <v>PHÓ GIÁM ĐỐC</v>
      </c>
      <c r="P29" s="478"/>
      <c r="Q29" s="478"/>
      <c r="R29" s="478"/>
      <c r="S29" s="478"/>
      <c r="T29" s="478"/>
      <c r="U29" s="478"/>
      <c r="V29" s="478"/>
      <c r="W29" s="478"/>
      <c r="X29" s="478"/>
      <c r="Y29" s="478"/>
      <c r="Z29" s="478"/>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21148</v>
      </c>
      <c r="AE30" s="219"/>
      <c r="AF30" s="219"/>
      <c r="AG30" s="219"/>
      <c r="AH30" s="219"/>
      <c r="AI30" s="219"/>
      <c r="AK30" s="219"/>
      <c r="AL30" s="219"/>
      <c r="AM30" s="219"/>
      <c r="AN30" s="219"/>
      <c r="AO30" s="219"/>
      <c r="AP30" s="219"/>
      <c r="AQ30" s="219"/>
      <c r="AR30" s="219"/>
    </row>
    <row r="31" ht="16.5" customHeight="1">
      <c r="A31" s="220" t="str">
        <f>IF(AD34=1,"",AD31)</f>
        <v>-    Lưu: PTH, PKĐ.</v>
      </c>
      <c r="AD31" s="220" t="s">
        <v>21149</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9" t="str">
        <f>IF(AD34=0,AG34,IF(AD34=1,AE34,AI34))</f>
        <v>Trần Công Khanh</v>
      </c>
      <c r="P34" s="479"/>
      <c r="Q34" s="479"/>
      <c r="R34" s="479"/>
      <c r="S34" s="479"/>
      <c r="T34" s="479"/>
      <c r="U34" s="479"/>
      <c r="V34" s="479"/>
      <c r="W34" s="479"/>
      <c r="X34" s="479"/>
      <c r="Y34" s="479"/>
      <c r="Z34" s="479"/>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12"/>
  <sheetViews>
    <sheetView showWhiteSpace="0" view="pageLayout" workbookViewId="0">
      <selection activeCell="A7" sqref="A7:XFD12"/>
    </sheetView>
  </sheetViews>
  <sheetFormatPr defaultColWidth="9.109375" defaultRowHeight="14.4"/>
  <cols>
    <col min="1" max="1" width="6.6640625" customWidth="1" style="385"/>
    <col min="2" max="2" width="13" customWidth="1" style="285"/>
    <col min="3" max="3" width="46.6640625" customWidth="1" style="285"/>
    <col min="4" max="4" width="26.33203125" customWidth="1" style="385"/>
    <col min="5" max="5" width="4.88671875" customWidth="1" style="206"/>
    <col min="6" max="6" width="9.33203125" customWidth="1" style="206"/>
    <col min="7" max="7" width="10" customWidth="1" style="206"/>
    <col min="8" max="8" width="25.109375" customWidth="1" style="206"/>
    <col min="9" max="9" width="10.33203125" customWidth="1" style="206"/>
    <col min="10" max="10" width="6.109375" customWidth="1" style="206"/>
    <col min="11" max="11" width="6.33203125" customWidth="1" style="206"/>
    <col min="12" max="12" width="6.6640625" customWidth="1" style="206"/>
    <col min="13" max="13" width="15.5546875" customWidth="1" style="206"/>
    <col min="14" max="107" width="3.109375" customWidth="1" style="206"/>
    <col min="108" max="118" width="9.109375" customWidth="1" style="206"/>
    <col min="119" max="16384" width="9.109375" customWidth="1" style="206"/>
  </cols>
  <sheetData>
    <row r="1" ht="34.5" customHeight="1"/>
    <row r="2" ht="16.5" customHeight="1">
      <c r="A2" s="509" t="s">
        <v>21087</v>
      </c>
      <c r="B2" s="509"/>
      <c r="C2" s="509"/>
      <c r="D2" s="509"/>
      <c r="E2" s="509" t="s">
        <v>21087</v>
      </c>
      <c r="F2" s="509"/>
      <c r="G2" s="509"/>
      <c r="H2" s="509"/>
      <c r="I2" s="509"/>
      <c r="J2" s="509"/>
      <c r="K2" s="509"/>
      <c r="L2" s="509"/>
      <c r="M2" s="509"/>
    </row>
    <row r="3" ht="15.75" customHeight="1">
      <c r="A3" s="510" t="s">
        <v>21088</v>
      </c>
      <c r="B3" s="510"/>
      <c r="C3" s="510"/>
      <c r="D3" s="510"/>
      <c r="E3" s="510" t="s">
        <v>21089</v>
      </c>
      <c r="F3" s="510"/>
      <c r="G3" s="510"/>
      <c r="H3" s="510"/>
      <c r="I3" s="510"/>
      <c r="J3" s="510"/>
      <c r="K3" s="510"/>
      <c r="L3" s="510"/>
      <c r="M3" s="510"/>
    </row>
    <row r="4" ht="15.75" customHeight="1" s="222" customFormat="1">
      <c r="A4" s="511"/>
      <c r="B4" s="511"/>
      <c r="C4" s="511"/>
      <c r="D4" s="511"/>
    </row>
    <row r="5" ht="51">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3.2">
      <c r="A6" s="348">
        <v>1</v>
      </c>
      <c r="B6" s="349">
        <v>209089</v>
      </c>
      <c r="C6" s="349" t="s">
        <v>21097</v>
      </c>
      <c r="D6" s="348" t="s">
        <v>21098</v>
      </c>
      <c r="E6" s="349">
        <v>1</v>
      </c>
      <c r="F6" s="349"/>
      <c r="G6" s="349">
        <v>209089</v>
      </c>
      <c r="H6" s="349" t="s">
        <v>21097</v>
      </c>
      <c r="I6" s="349" t="s">
        <v>21099</v>
      </c>
      <c r="J6" s="349" t="b">
        <v>0</v>
      </c>
      <c r="K6" s="349" t="b">
        <v>0</v>
      </c>
      <c r="L6" s="349"/>
      <c r="M6" s="349" t="s">
        <v>21098</v>
      </c>
    </row>
    <row r="7" ht="43.2">
      <c r="A7" s="348">
        <v>2</v>
      </c>
      <c r="B7" s="349">
        <v>216115</v>
      </c>
      <c r="C7" s="349" t="s">
        <v>21100</v>
      </c>
      <c r="D7" s="348" t="s">
        <v>21101</v>
      </c>
      <c r="E7" s="349">
        <v>2</v>
      </c>
      <c r="F7" s="349"/>
      <c r="G7" s="349">
        <v>216115</v>
      </c>
      <c r="H7" s="349" t="s">
        <v>21100</v>
      </c>
      <c r="I7" s="349" t="s">
        <v>21102</v>
      </c>
      <c r="J7" s="349" t="b">
        <v>0</v>
      </c>
      <c r="K7" s="349" t="b">
        <v>0</v>
      </c>
      <c r="L7" s="349"/>
      <c r="M7" s="349" t="s">
        <v>21101</v>
      </c>
    </row>
    <row r="8" ht="28.8">
      <c r="A8" s="348">
        <v>3</v>
      </c>
      <c r="B8" s="349">
        <v>216501</v>
      </c>
      <c r="C8" s="349" t="s">
        <v>21103</v>
      </c>
      <c r="D8" s="348" t="s">
        <v>21104</v>
      </c>
      <c r="E8" s="349">
        <v>3</v>
      </c>
      <c r="F8" s="349"/>
      <c r="G8" s="349">
        <v>216501</v>
      </c>
      <c r="H8" s="349" t="s">
        <v>21103</v>
      </c>
      <c r="I8" s="349" t="s">
        <v>21105</v>
      </c>
      <c r="J8" s="349" t="b">
        <v>0</v>
      </c>
      <c r="K8" s="349" t="b">
        <v>0</v>
      </c>
      <c r="L8" s="349"/>
      <c r="M8" s="349" t="s">
        <v>21104</v>
      </c>
    </row>
    <row r="9" ht="28.8">
      <c r="A9" s="348">
        <v>4</v>
      </c>
      <c r="B9" s="349">
        <v>216502</v>
      </c>
      <c r="C9" s="349" t="s">
        <v>21106</v>
      </c>
      <c r="D9" s="348" t="s">
        <v>21107</v>
      </c>
      <c r="E9" s="349">
        <v>4</v>
      </c>
      <c r="F9" s="349"/>
      <c r="G9" s="349">
        <v>216502</v>
      </c>
      <c r="H9" s="349" t="s">
        <v>21106</v>
      </c>
      <c r="I9" s="349" t="s">
        <v>21108</v>
      </c>
      <c r="J9" s="349" t="b">
        <v>0</v>
      </c>
      <c r="K9" s="349" t="b">
        <v>0</v>
      </c>
      <c r="L9" s="349"/>
      <c r="M9" s="349" t="s">
        <v>21107</v>
      </c>
    </row>
    <row r="10" ht="43.2">
      <c r="A10" s="348">
        <v>5</v>
      </c>
      <c r="B10" s="349">
        <v>217501</v>
      </c>
      <c r="C10" s="349" t="s">
        <v>21109</v>
      </c>
      <c r="D10" s="348" t="s">
        <v>21110</v>
      </c>
      <c r="E10" s="349">
        <v>5</v>
      </c>
      <c r="F10" s="349"/>
      <c r="G10" s="349">
        <v>217501</v>
      </c>
      <c r="H10" s="349" t="s">
        <v>21109</v>
      </c>
      <c r="I10" s="349" t="s">
        <v>21111</v>
      </c>
      <c r="J10" s="349" t="b">
        <v>0</v>
      </c>
      <c r="K10" s="349" t="b">
        <v>0</v>
      </c>
      <c r="L10" s="349"/>
      <c r="M10" s="349" t="s">
        <v>21110</v>
      </c>
    </row>
    <row r="11" ht="28.8">
      <c r="A11" s="348">
        <v>6</v>
      </c>
      <c r="B11" s="349">
        <v>221501</v>
      </c>
      <c r="C11" s="349" t="s">
        <v>21112</v>
      </c>
      <c r="D11" s="348" t="s">
        <v>21113</v>
      </c>
      <c r="E11" s="349">
        <v>6</v>
      </c>
      <c r="F11" s="349"/>
      <c r="G11" s="349">
        <v>221501</v>
      </c>
      <c r="H11" s="349" t="s">
        <v>21112</v>
      </c>
      <c r="I11" s="349" t="s">
        <v>21114</v>
      </c>
      <c r="J11" s="349" t="b">
        <v>0</v>
      </c>
      <c r="K11" s="349" t="b">
        <v>0</v>
      </c>
      <c r="L11" s="349"/>
      <c r="M11" s="349" t="s">
        <v>21113</v>
      </c>
    </row>
    <row r="12" ht="43.2">
      <c r="A12" s="348">
        <v>7</v>
      </c>
      <c r="B12" s="349">
        <v>209050</v>
      </c>
      <c r="C12" s="349" t="s">
        <v>21115</v>
      </c>
      <c r="D12" s="348" t="s">
        <v>21116</v>
      </c>
      <c r="E12" s="349">
        <v>7</v>
      </c>
      <c r="F12" s="349"/>
      <c r="G12" s="349">
        <v>209050</v>
      </c>
      <c r="H12" s="349" t="s">
        <v>21115</v>
      </c>
      <c r="I12" s="349" t="s">
        <v>21117</v>
      </c>
      <c r="J12" s="349" t="b">
        <v>0</v>
      </c>
      <c r="K12" s="349" t="b">
        <v>0</v>
      </c>
      <c r="L12" s="349"/>
      <c r="M12" s="349" t="s">
        <v>21116</v>
      </c>
    </row>
  </sheetData>
  <sheetProtection sheet="1" objects="1" scenarios="1"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A6" sqref="A6:XFD6"/>
    </sheetView>
  </sheetViews>
  <sheetFormatPr defaultColWidth="9.109375" defaultRowHeight="13.8"/>
  <cols>
    <col min="1" max="1" width="5.109375" customWidth="1" style="226"/>
    <col min="2" max="2" width="12.6640625" customWidth="1" style="226"/>
    <col min="3" max="3" width="39.109375" customWidth="1" style="205"/>
    <col min="4" max="4" width="13.109375" customWidth="1" style="226"/>
    <col min="5" max="5" width="20.5546875" customWidth="1" style="226"/>
    <col min="6" max="6" width="21.33203125" customWidth="1" style="226"/>
    <col min="7" max="7" width="11.5546875" customWidth="1" style="286"/>
    <col min="8" max="8" width="9.88671875" customWidth="1" style="226"/>
    <col min="9" max="9" width="34" customWidth="1" style="386"/>
    <col min="10" max="20" width="9.109375" customWidth="1" style="286"/>
    <col min="21" max="16384" width="9.109375" customWidth="1" style="286"/>
  </cols>
  <sheetData>
    <row r="1" ht="34.5" customHeight="1"/>
    <row r="2" ht="7.5" customHeight="1">
      <c r="A2" s="203"/>
      <c r="B2" s="203"/>
      <c r="C2" s="204"/>
      <c r="D2" s="203"/>
      <c r="E2" s="203"/>
      <c r="F2" s="203"/>
      <c r="G2" s="225"/>
      <c r="H2" s="203"/>
    </row>
    <row r="3">
      <c r="C3" s="512" t="s">
        <v>21078</v>
      </c>
      <c r="D3" s="512"/>
      <c r="E3" s="512"/>
      <c r="F3" s="512"/>
      <c r="G3" s="512"/>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ht="14.4" s="206" customFormat="1">
      <c r="A6" s="349"/>
      <c r="B6" s="349"/>
      <c r="C6" s="349"/>
      <c r="D6" s="349"/>
      <c r="E6" s="395"/>
      <c r="F6" s="349"/>
      <c r="G6" s="349"/>
      <c r="H6" s="349"/>
      <c r="I6" s="349"/>
    </row>
  </sheetData>
  <sheetProtection sheet="1" objects="1" scenarios="1"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09375" defaultRowHeight="13.2"/>
  <cols>
    <col min="1" max="1" width="3.109375" customWidth="1" style="219"/>
    <col min="2" max="2" width="2" customWidth="1" style="219"/>
    <col min="3" max="29" width="3.109375" customWidth="1" style="219"/>
    <col min="30" max="30" width="6" customWidth="1" style="219"/>
    <col min="31" max="31" width="3.109375" customWidth="1" style="236"/>
    <col min="32" max="32" width="3.109375" customWidth="1" style="219"/>
    <col min="33" max="33" bestFit="1" width="3.5546875" customWidth="1" style="219"/>
    <col min="34" max="44" width="3.109375" customWidth="1" style="219"/>
    <col min="45" max="45" bestFit="1" width="5" customWidth="1" style="219"/>
    <col min="46" max="56" width="3.109375" customWidth="1" style="219"/>
    <col min="57" max="16384" width="3.109375" customWidth="1" style="219"/>
  </cols>
  <sheetData>
    <row r="1" ht="19.65" customHeight="1">
      <c r="B1" s="535" t="s">
        <v>21018</v>
      </c>
      <c r="C1" s="535"/>
      <c r="D1" s="535"/>
      <c r="E1" s="535"/>
      <c r="F1" s="535"/>
      <c r="G1" s="535"/>
      <c r="H1" s="535"/>
      <c r="I1" s="535"/>
      <c r="J1" s="535"/>
      <c r="K1" s="535"/>
      <c r="L1" s="535"/>
      <c r="M1" s="535"/>
      <c r="P1" s="516" t="s">
        <v>21019</v>
      </c>
      <c r="Q1" s="516"/>
      <c r="R1" s="516"/>
      <c r="S1" s="516"/>
      <c r="T1" s="516"/>
      <c r="U1" s="516"/>
      <c r="V1" s="516"/>
      <c r="W1" s="516"/>
      <c r="X1" s="516"/>
      <c r="Y1" s="516"/>
      <c r="Z1" s="516"/>
      <c r="AA1" s="516"/>
      <c r="AB1" s="516"/>
      <c r="AC1" s="516"/>
      <c r="AD1" s="516"/>
      <c r="AE1" s="234"/>
    </row>
    <row r="2" ht="19.65" customHeight="1">
      <c r="C2" s="535" t="s">
        <v>21020</v>
      </c>
      <c r="D2" s="535"/>
      <c r="E2" s="535"/>
      <c r="F2" s="535"/>
      <c r="G2" s="535"/>
      <c r="H2" s="535"/>
      <c r="I2" s="535"/>
      <c r="J2" s="535"/>
      <c r="K2" s="535"/>
      <c r="L2" s="535"/>
      <c r="N2" s="235"/>
      <c r="P2" s="524" t="s">
        <v>21021</v>
      </c>
      <c r="Q2" s="524"/>
      <c r="R2" s="524"/>
      <c r="S2" s="524"/>
      <c r="T2" s="524"/>
      <c r="U2" s="524"/>
      <c r="V2" s="524"/>
      <c r="W2" s="524"/>
      <c r="X2" s="524"/>
      <c r="Y2" s="524"/>
      <c r="Z2" s="524"/>
      <c r="AA2" s="524"/>
      <c r="AB2" s="524"/>
      <c r="AC2" s="524"/>
      <c r="AD2" s="524"/>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65"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65"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65"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65"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29" t="s">
        <v>21023</v>
      </c>
      <c r="D15" s="530"/>
      <c r="E15" s="530"/>
      <c r="F15" s="530"/>
      <c r="G15" s="530"/>
      <c r="H15" s="530"/>
      <c r="I15" s="530"/>
      <c r="J15" s="530"/>
      <c r="K15" s="530"/>
      <c r="L15" s="530"/>
      <c r="M15" s="530"/>
      <c r="N15" s="530"/>
      <c r="O15" s="530"/>
      <c r="P15" s="530"/>
      <c r="Q15" s="530"/>
      <c r="R15" s="530"/>
      <c r="S15" s="530"/>
      <c r="T15" s="530"/>
      <c r="U15" s="530"/>
      <c r="V15" s="530"/>
      <c r="W15" s="530"/>
      <c r="X15" s="530"/>
      <c r="Y15" s="530"/>
      <c r="Z15" s="530"/>
      <c r="AA15" s="530"/>
      <c r="AB15" s="530"/>
      <c r="AC15" s="530"/>
      <c r="AD15" s="531"/>
      <c r="AE15" s="252"/>
      <c r="AG15" s="253">
        <v>1</v>
      </c>
      <c r="AH15" s="253"/>
      <c r="AI15" s="253"/>
      <c r="AJ15" s="253"/>
      <c r="AK15" s="253">
        <v>2</v>
      </c>
      <c r="AL15" s="253"/>
      <c r="AM15" s="253"/>
      <c r="AN15" s="253"/>
      <c r="AO15" s="253">
        <v>3</v>
      </c>
      <c r="AS15" s="219">
        <v>4</v>
      </c>
    </row>
    <row r="16" ht="40.5" customHeight="1">
      <c r="C16" s="536" t="s">
        <v>21027</v>
      </c>
      <c r="D16" s="537"/>
      <c r="E16" s="537"/>
      <c r="F16" s="537"/>
      <c r="G16" s="537"/>
      <c r="H16" s="537"/>
      <c r="I16" s="537"/>
      <c r="J16" s="537"/>
      <c r="K16" s="537"/>
      <c r="L16" s="538"/>
      <c r="M16" s="539" t="str">
        <f>AG16</f>
        <v>Ấp Bàu Trâu, xã Phước Thạnh, huyện Củ Chi, thành phố Hồ Chí Minh.</v>
      </c>
      <c r="N16" s="540"/>
      <c r="O16" s="540"/>
      <c r="P16" s="540"/>
      <c r="Q16" s="540"/>
      <c r="R16" s="540"/>
      <c r="S16" s="540"/>
      <c r="T16" s="540"/>
      <c r="U16" s="540"/>
      <c r="V16" s="540"/>
      <c r="W16" s="540"/>
      <c r="X16" s="540"/>
      <c r="Y16" s="540"/>
      <c r="Z16" s="540"/>
      <c r="AA16" s="540"/>
      <c r="AB16" s="540"/>
      <c r="AC16" s="540"/>
      <c r="AD16" s="541"/>
      <c r="AE16" s="252"/>
      <c r="AG16" s="254" t="s">
        <v>21028</v>
      </c>
    </row>
    <row r="17" ht="19.5" customHeight="1">
      <c r="C17" s="536" t="s">
        <v>21029</v>
      </c>
      <c r="D17" s="537"/>
      <c r="E17" s="537"/>
      <c r="F17" s="537"/>
      <c r="G17" s="537"/>
      <c r="H17" s="537"/>
      <c r="I17" s="537"/>
      <c r="J17" s="537"/>
      <c r="K17" s="537"/>
      <c r="L17" s="538"/>
      <c r="M17" s="525" t="str">
        <f>IF(AG17="","",AG17)</f>
      </c>
      <c r="N17" s="526"/>
      <c r="O17" s="526"/>
      <c r="P17" s="526"/>
      <c r="Q17" s="526"/>
      <c r="R17" s="526"/>
      <c r="S17" s="526"/>
      <c r="T17" s="526"/>
      <c r="U17" s="526"/>
      <c r="V17" s="526"/>
      <c r="W17" s="526"/>
      <c r="X17" s="526"/>
      <c r="Y17" s="526"/>
      <c r="Z17" s="526"/>
      <c r="AA17" s="526"/>
      <c r="AB17" s="526"/>
      <c r="AC17" s="526"/>
      <c r="AD17" s="527"/>
      <c r="AE17" s="252"/>
    </row>
    <row r="18" ht="33.9" customHeight="1">
      <c r="C18" s="532" t="s">
        <v>21030</v>
      </c>
      <c r="D18" s="533"/>
      <c r="E18" s="533"/>
      <c r="F18" s="533"/>
      <c r="G18" s="533"/>
      <c r="H18" s="533"/>
      <c r="I18" s="533"/>
      <c r="J18" s="533"/>
      <c r="K18" s="533"/>
      <c r="L18" s="534"/>
      <c r="M18" s="525" t="str">
        <f>AG18</f>
        <v>CÔNG TY CỔ PHẦN VIỄN THÔNG DI ĐỘNG TOÀN CẦU</v>
      </c>
      <c r="N18" s="526"/>
      <c r="O18" s="526"/>
      <c r="P18" s="526"/>
      <c r="Q18" s="526"/>
      <c r="R18" s="526"/>
      <c r="S18" s="526"/>
      <c r="T18" s="526"/>
      <c r="U18" s="526"/>
      <c r="V18" s="526"/>
      <c r="W18" s="526"/>
      <c r="X18" s="526"/>
      <c r="Y18" s="526"/>
      <c r="Z18" s="526"/>
      <c r="AA18" s="526"/>
      <c r="AB18" s="526"/>
      <c r="AC18" s="526"/>
      <c r="AD18" s="527"/>
      <c r="AE18" s="252"/>
      <c r="AG18" s="248" t="s">
        <v>21031</v>
      </c>
    </row>
    <row r="19" ht="33.9" customHeight="1">
      <c r="C19" s="532" t="s">
        <v>21032</v>
      </c>
      <c r="D19" s="533"/>
      <c r="E19" s="533"/>
      <c r="F19" s="533"/>
      <c r="G19" s="533"/>
      <c r="H19" s="533"/>
      <c r="I19" s="533"/>
      <c r="J19" s="533"/>
      <c r="K19" s="533"/>
      <c r="L19" s="534"/>
      <c r="M19" s="525" t="str">
        <f>AG19</f>
        <v>CÔNG TY CỔ PHẦN VIỄN THÔNG DI ĐỘNG TOÀN CẦU</v>
      </c>
      <c r="N19" s="526"/>
      <c r="O19" s="526"/>
      <c r="P19" s="526"/>
      <c r="Q19" s="526"/>
      <c r="R19" s="526"/>
      <c r="S19" s="526"/>
      <c r="T19" s="526"/>
      <c r="U19" s="526"/>
      <c r="V19" s="526"/>
      <c r="W19" s="526"/>
      <c r="X19" s="526"/>
      <c r="Y19" s="526"/>
      <c r="Z19" s="526"/>
      <c r="AA19" s="526"/>
      <c r="AB19" s="526"/>
      <c r="AC19" s="526"/>
      <c r="AD19" s="527"/>
      <c r="AE19" s="255"/>
      <c r="AG19" s="248" t="s">
        <v>21031</v>
      </c>
    </row>
    <row r="20" ht="21" customHeight="1">
      <c r="C20" s="548" t="s">
        <v>21033</v>
      </c>
      <c r="D20" s="549"/>
      <c r="E20" s="549"/>
      <c r="F20" s="549"/>
      <c r="G20" s="549"/>
      <c r="H20" s="549"/>
      <c r="I20" s="549"/>
      <c r="J20" s="549"/>
      <c r="K20" s="549"/>
      <c r="L20" s="549"/>
      <c r="M20" s="549"/>
      <c r="N20" s="549"/>
      <c r="O20" s="549"/>
      <c r="P20" s="549"/>
      <c r="Q20" s="549"/>
      <c r="R20" s="549"/>
      <c r="S20" s="549"/>
      <c r="T20" s="549"/>
      <c r="U20" s="549"/>
      <c r="V20" s="549"/>
      <c r="W20" s="549"/>
      <c r="X20" s="549"/>
      <c r="Y20" s="549"/>
      <c r="Z20" s="549"/>
      <c r="AA20" s="549"/>
      <c r="AB20" s="549"/>
      <c r="AC20" s="549"/>
      <c r="AD20" s="550"/>
      <c r="AE20" s="256"/>
    </row>
    <row r="21" ht="33.9" customHeight="1">
      <c r="C21" s="542" t="s">
        <v>21034</v>
      </c>
      <c r="D21" s="542"/>
      <c r="E21" s="542"/>
      <c r="F21" s="542"/>
      <c r="G21" s="542"/>
      <c r="H21" s="542"/>
      <c r="I21" s="542"/>
      <c r="J21" s="542"/>
      <c r="K21" s="542"/>
      <c r="L21" s="542"/>
      <c r="M21" s="525" t="str">
        <f>AG21</f>
        <v>A</v>
      </c>
      <c r="N21" s="526"/>
      <c r="O21" s="526"/>
      <c r="P21" s="526"/>
      <c r="Q21" s="526"/>
      <c r="R21" s="526"/>
      <c r="S21" s="526"/>
      <c r="T21" s="526"/>
      <c r="U21" s="526"/>
      <c r="V21" s="526"/>
      <c r="W21" s="526"/>
      <c r="X21" s="526"/>
      <c r="Y21" s="526"/>
      <c r="Z21" s="526"/>
      <c r="AA21" s="526"/>
      <c r="AB21" s="526"/>
      <c r="AC21" s="526"/>
      <c r="AD21" s="527"/>
      <c r="AE21" s="252"/>
      <c r="AG21" s="248" t="s">
        <v>21035</v>
      </c>
      <c r="AK21" s="248" t="s">
        <v>21036</v>
      </c>
      <c r="AO21" s="248" t="s">
        <v>21037</v>
      </c>
      <c r="AS21" s="248" t="s">
        <v>21038</v>
      </c>
    </row>
    <row r="22" ht="19.65" customHeight="1">
      <c r="C22" s="551" t="s">
        <v>21039</v>
      </c>
      <c r="D22" s="552"/>
      <c r="E22" s="552"/>
      <c r="F22" s="552"/>
      <c r="G22" s="552"/>
      <c r="H22" s="552"/>
      <c r="I22" s="552"/>
      <c r="J22" s="552"/>
      <c r="K22" s="552"/>
      <c r="L22" s="553"/>
      <c r="M22" s="525">
        <f>AG22</f>
        <v>4</v>
      </c>
      <c r="N22" s="526"/>
      <c r="O22" s="526"/>
      <c r="P22" s="526"/>
      <c r="Q22" s="526"/>
      <c r="R22" s="526"/>
      <c r="S22" s="526"/>
      <c r="T22" s="526"/>
      <c r="U22" s="526"/>
      <c r="V22" s="526"/>
      <c r="W22" s="526"/>
      <c r="X22" s="526"/>
      <c r="Y22" s="526"/>
      <c r="Z22" s="526"/>
      <c r="AA22" s="526"/>
      <c r="AB22" s="526"/>
      <c r="AC22" s="526"/>
      <c r="AD22" s="527"/>
      <c r="AE22" s="252"/>
      <c r="AG22" s="253">
        <v>4</v>
      </c>
      <c r="AH22" s="253"/>
      <c r="AI22" s="253"/>
      <c r="AJ22" s="253"/>
      <c r="AK22" s="253">
        <v>1</v>
      </c>
      <c r="AL22" s="253"/>
      <c r="AM22" s="253"/>
      <c r="AN22" s="253"/>
      <c r="AO22" s="253">
        <v>3</v>
      </c>
      <c r="AS22" s="219">
        <v>1</v>
      </c>
    </row>
    <row r="23" ht="19.65" customHeight="1">
      <c r="C23" s="542" t="s">
        <v>21040</v>
      </c>
      <c r="D23" s="542"/>
      <c r="E23" s="542"/>
      <c r="F23" s="542"/>
      <c r="G23" s="542"/>
      <c r="H23" s="542"/>
      <c r="I23" s="542"/>
      <c r="J23" s="542"/>
      <c r="K23" s="542"/>
      <c r="L23" s="542"/>
      <c r="M23" s="545" t="str">
        <f>AG23</f>
        <v>4/4/4</v>
      </c>
      <c r="N23" s="546"/>
      <c r="O23" s="546"/>
      <c r="P23" s="546"/>
      <c r="Q23" s="546"/>
      <c r="R23" s="546"/>
      <c r="S23" s="546"/>
      <c r="T23" s="546"/>
      <c r="U23" s="546"/>
      <c r="V23" s="546"/>
      <c r="W23" s="546"/>
      <c r="X23" s="546"/>
      <c r="Y23" s="546"/>
      <c r="Z23" s="546"/>
      <c r="AA23" s="546"/>
      <c r="AB23" s="546"/>
      <c r="AC23" s="546"/>
      <c r="AD23" s="547"/>
      <c r="AE23" s="257"/>
      <c r="AG23" s="258" t="s">
        <v>21041</v>
      </c>
      <c r="AH23" s="259"/>
      <c r="AI23" s="259"/>
      <c r="AJ23" s="259"/>
      <c r="AK23" s="258" t="s">
        <v>21042</v>
      </c>
      <c r="AL23" s="259"/>
      <c r="AM23" s="259"/>
      <c r="AN23" s="259"/>
      <c r="AO23" s="258" t="s">
        <v>21043</v>
      </c>
      <c r="AP23" s="259"/>
      <c r="AQ23" s="259"/>
      <c r="AR23" s="259"/>
      <c r="AS23" s="258" t="s">
        <v>21044</v>
      </c>
    </row>
    <row r="24" ht="19.65" customHeight="1">
      <c r="C24" s="551" t="s">
        <v>21045</v>
      </c>
      <c r="D24" s="552"/>
      <c r="E24" s="552"/>
      <c r="F24" s="552"/>
      <c r="G24" s="552"/>
      <c r="H24" s="552"/>
      <c r="I24" s="552"/>
      <c r="J24" s="552"/>
      <c r="K24" s="552"/>
      <c r="L24" s="553"/>
      <c r="M24" s="525" t="str">
        <f>IF(M22=4,AG24&amp;"W/ "&amp;AH24&amp;"W/ "&amp;AI24&amp;"W/ "&amp;AJ24&amp;"W",IF(M22=3,AG24&amp;"W/ "&amp;AH24&amp;"W/ "&amp;AI24&amp;"W",IF(M22=2,AG24&amp;"W/ "&amp;AH24&amp;"W",AG24&amp;"W")))</f>
        <v>20W/ 20W/ 20W/ 20W</v>
      </c>
      <c r="N24" s="526"/>
      <c r="O24" s="526"/>
      <c r="P24" s="526"/>
      <c r="Q24" s="526"/>
      <c r="R24" s="526"/>
      <c r="S24" s="526"/>
      <c r="T24" s="526"/>
      <c r="U24" s="526"/>
      <c r="V24" s="526"/>
      <c r="W24" s="526"/>
      <c r="X24" s="526"/>
      <c r="Y24" s="526"/>
      <c r="Z24" s="526"/>
      <c r="AA24" s="526"/>
      <c r="AB24" s="526"/>
      <c r="AC24" s="526"/>
      <c r="AD24" s="527"/>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65" customHeight="1">
      <c r="C25" s="542" t="s">
        <v>21046</v>
      </c>
      <c r="D25" s="542"/>
      <c r="E25" s="542"/>
      <c r="F25" s="542"/>
      <c r="G25" s="542"/>
      <c r="H25" s="542"/>
      <c r="I25" s="542"/>
      <c r="J25" s="542"/>
      <c r="K25" s="542"/>
      <c r="L25" s="542"/>
      <c r="M25" s="525" t="str">
        <f>IF(AG25="900 &amp; 1800","900MHz &amp; 1800MHz",IF(AG25="900 &amp; 2100","900MHz &amp; 2100MHz",IF(AG25="1800 &amp; 2100","1800MHz &amp; 2100MHz",AG25&amp;"MHz")))</f>
        <v>900MHz</v>
      </c>
      <c r="N25" s="526"/>
      <c r="O25" s="526"/>
      <c r="P25" s="526"/>
      <c r="Q25" s="526"/>
      <c r="R25" s="526"/>
      <c r="S25" s="526"/>
      <c r="T25" s="526"/>
      <c r="U25" s="526"/>
      <c r="V25" s="526"/>
      <c r="W25" s="526"/>
      <c r="X25" s="526"/>
      <c r="Y25" s="526"/>
      <c r="Z25" s="526"/>
      <c r="AA25" s="526"/>
      <c r="AB25" s="526"/>
      <c r="AC25" s="526"/>
      <c r="AD25" s="527"/>
      <c r="AE25" s="252"/>
      <c r="AG25" s="219">
        <v>900</v>
      </c>
      <c r="AK25" s="219">
        <v>1800</v>
      </c>
      <c r="AO25" s="219">
        <v>2100</v>
      </c>
      <c r="AS25" s="248" t="s">
        <v>21047</v>
      </c>
    </row>
    <row r="26" ht="33.9" customHeight="1">
      <c r="C26" s="542" t="s">
        <v>21048</v>
      </c>
      <c r="D26" s="542"/>
      <c r="E26" s="542"/>
      <c r="F26" s="542"/>
      <c r="G26" s="542"/>
      <c r="H26" s="542"/>
      <c r="I26" s="542"/>
      <c r="J26" s="542"/>
      <c r="K26" s="542"/>
      <c r="L26" s="542"/>
      <c r="M26" s="525">
        <f>AG26</f>
        <v>15</v>
      </c>
      <c r="N26" s="526"/>
      <c r="O26" s="526"/>
      <c r="P26" s="526"/>
      <c r="Q26" s="526"/>
      <c r="R26" s="526"/>
      <c r="S26" s="526"/>
      <c r="T26" s="526"/>
      <c r="U26" s="526"/>
      <c r="V26" s="526"/>
      <c r="W26" s="526"/>
      <c r="X26" s="526"/>
      <c r="Y26" s="526"/>
      <c r="Z26" s="526"/>
      <c r="AA26" s="526"/>
      <c r="AB26" s="526"/>
      <c r="AC26" s="526"/>
      <c r="AD26" s="527"/>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4.7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4.7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4" t="str">
        <f>IF(AG31=1,AO31,IF(AG31=2,AO30))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IF(AI41=0,AN34,IF(AI41=1,AK34,AR34))</f>
        <v>KT. GIÁM ĐỐC</v>
      </c>
      <c r="U34" s="517"/>
      <c r="V34" s="517"/>
      <c r="W34" s="517"/>
      <c r="X34" s="517"/>
      <c r="Y34" s="517"/>
      <c r="Z34" s="517"/>
      <c r="AA34" s="517"/>
      <c r="AB34" s="517"/>
      <c r="AC34" s="517"/>
      <c r="AD34" s="517"/>
      <c r="AE34" s="517"/>
      <c r="AK34" s="219" t="s">
        <v>21054</v>
      </c>
      <c r="AN34" s="219" t="s">
        <v>21055</v>
      </c>
      <c r="AR34" s="219" t="s">
        <v>21056</v>
      </c>
    </row>
    <row r="35" ht="17.1" customHeight="1">
      <c r="C35" s="518" t="s">
        <v>21057</v>
      </c>
      <c r="D35" s="518"/>
      <c r="E35" s="518"/>
      <c r="F35" s="518"/>
      <c r="G35" s="518"/>
      <c r="H35" s="263" t="s">
        <v>21058</v>
      </c>
      <c r="I35" s="520" t="s">
        <v>21059</v>
      </c>
      <c r="J35" s="520"/>
      <c r="K35" s="520"/>
      <c r="L35" s="520"/>
      <c r="M35" s="520"/>
      <c r="N35" s="520"/>
      <c r="O35" s="264"/>
      <c r="P35" s="264"/>
      <c r="Q35" s="260"/>
      <c r="R35" s="260"/>
      <c r="S35" s="260"/>
      <c r="T35" s="517" t="str">
        <f>IF(AI41=0,AN35,IF(AI41=1,"",AR35))</f>
        <v>PHÓ GIÁM ĐỐC</v>
      </c>
      <c r="U35" s="517"/>
      <c r="V35" s="517"/>
      <c r="W35" s="517"/>
      <c r="X35" s="517"/>
      <c r="Y35" s="517"/>
      <c r="Z35" s="517"/>
      <c r="AA35" s="517"/>
      <c r="AB35" s="517"/>
      <c r="AC35" s="517"/>
      <c r="AD35" s="517"/>
      <c r="AE35" s="517"/>
      <c r="AN35" s="219" t="s">
        <v>21060</v>
      </c>
      <c r="AR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IF(AI41=0,AO41,IF(AI41=1,AK41,AS41))</f>
        <v>Trần Công Khanh</v>
      </c>
      <c r="U41" s="516"/>
      <c r="V41" s="516"/>
      <c r="W41" s="516"/>
      <c r="X41" s="516"/>
      <c r="Y41" s="516"/>
      <c r="Z41" s="516"/>
      <c r="AA41" s="516"/>
      <c r="AB41" s="516"/>
      <c r="AC41" s="516"/>
      <c r="AD41" s="516"/>
      <c r="AE41" s="516"/>
      <c r="AI41" s="219">
        <v>0</v>
      </c>
      <c r="AK41" s="219" t="s">
        <v>21064</v>
      </c>
      <c r="AO41" s="219" t="s">
        <v>21065</v>
      </c>
      <c r="AS41" s="219" t="s">
        <v>21066</v>
      </c>
    </row>
    <row r="42" ht="16.8">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c r="AE43" s="289"/>
    </row>
    <row r="44" ht="16.5" customHeight="1">
      <c r="A44" s="236"/>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c r="AE44" s="289"/>
    </row>
    <row r="45" ht="16.5" customHeight="1">
      <c r="A45" s="236"/>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c r="AE45" s="288"/>
    </row>
    <row r="46" ht="16.5" customHeight="1">
      <c r="A46" s="236"/>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c r="AE46" s="288"/>
    </row>
    <row r="47" ht="16.5" customHeight="1">
      <c r="A47" s="236"/>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c r="AE47" s="288"/>
    </row>
    <row r="48" ht="16.5" customHeight="1">
      <c r="A48" s="236"/>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13" t="str">
        <f>AG49</f>
        <v>CÔNG TY CỔ PHẦN VIỄN THÔNG DI ĐỘNG TOÀN CẦU</v>
      </c>
      <c r="C49" s="513"/>
      <c r="D49" s="513"/>
      <c r="E49" s="513"/>
      <c r="F49" s="513"/>
      <c r="G49" s="513"/>
      <c r="H49" s="514" t="str">
        <f>AI49</f>
        <v>TB1</v>
      </c>
      <c r="I49" s="514"/>
      <c r="J49" s="514"/>
      <c r="K49" s="514"/>
      <c r="L49" s="515">
        <v>2</v>
      </c>
      <c r="M49" s="515"/>
      <c r="N49" s="556" t="str">
        <f>AL49</f>
        <v>4/4/4</v>
      </c>
      <c r="O49" s="556"/>
      <c r="P49" s="556"/>
      <c r="Q49" s="513" t="str">
        <f>IF(L49=4,AO49&amp;"W/ "&amp;AP49&amp;"W/ "&amp;AQ49&amp;"W/ "&amp;AR49&amp;"W",IF(L49=3,AO49&amp;"W/ "&amp;AP49&amp;"W/ "&amp;AQ49&amp;"W",IF(L49=2,AO49&amp;"W/ "&amp;AP49&amp;"W",AO49&amp;"W")))</f>
        <v>20W/ 30W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c r="AE50" s="288"/>
    </row>
    <row r="51" ht="18.75" customHeight="1">
      <c r="A51" s="236"/>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c r="AE51" s="288"/>
    </row>
    <row r="52" ht="18.75" customHeight="1">
      <c r="A52" s="236"/>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c r="AE52" s="288"/>
    </row>
    <row r="53" ht="18.75" customHeight="1">
      <c r="A53" s="236"/>
      <c r="B53" s="513" t="str">
        <f>AG53</f>
        <v>CÔNG TY CỔ PHẦN VIỄN THÔNG DI ĐỘNG TOÀN CẦU</v>
      </c>
      <c r="C53" s="513"/>
      <c r="D53" s="513"/>
      <c r="E53" s="513"/>
      <c r="F53" s="513"/>
      <c r="G53" s="513"/>
      <c r="H53" s="514" t="str">
        <f>AI53</f>
        <v>TB1</v>
      </c>
      <c r="I53" s="514"/>
      <c r="J53" s="514"/>
      <c r="K53" s="514"/>
      <c r="L53" s="515">
        <v>4</v>
      </c>
      <c r="M53" s="515"/>
      <c r="N53" s="556" t="str">
        <f>AL53</f>
        <v>4/4/4</v>
      </c>
      <c r="O53" s="556"/>
      <c r="P53" s="556"/>
      <c r="Q53" s="513" t="str">
        <f>IF(L53=4,AO53&amp;"W/ "&amp;AP53&amp;"W/ "&amp;AQ53&amp;"W/ "&amp;AR53&amp;"W",IF(L53=3,AO53&amp;"W/ "&amp;AP53&amp;"W/ "&amp;AQ53&amp;"W",IF(L53=2,AO53&amp;"W/ "&amp;AP53&amp;"W",AO53&amp;"W")))</f>
        <v>20W/ 30W/ 40W/ 50W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E54" s="288"/>
      <c r="AG54" s="248"/>
      <c r="AI54" s="248"/>
      <c r="AJ54" s="248"/>
      <c r="AL54" s="258"/>
    </row>
    <row r="55" ht="18.75" customHeight="1">
      <c r="A55" s="236"/>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c r="AE55" s="288"/>
    </row>
    <row r="56" ht="18.75" customHeight="1">
      <c r="A56" s="236"/>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c r="AE56" s="288"/>
    </row>
    <row r="57" ht="18.75" customHeight="1">
      <c r="A57" s="236"/>
      <c r="B57" s="513" t="str">
        <f>AG57</f>
        <v>CÔNG TY CỔ PHẦN VIỄN THÔNG DI ĐỘNG TOÀN CẦU</v>
      </c>
      <c r="C57" s="513"/>
      <c r="D57" s="513"/>
      <c r="E57" s="513"/>
      <c r="F57" s="513"/>
      <c r="G57" s="513"/>
      <c r="H57" s="514" t="str">
        <f>AI57</f>
        <v>TB1</v>
      </c>
      <c r="I57" s="514"/>
      <c r="J57" s="514"/>
      <c r="K57" s="514"/>
      <c r="L57" s="515">
        <v>3</v>
      </c>
      <c r="M57" s="515"/>
      <c r="N57" s="556" t="str">
        <f>AL57</f>
        <v>4/4/4</v>
      </c>
      <c r="O57" s="556"/>
      <c r="P57" s="556"/>
      <c r="Q57" s="513" t="str">
        <f>IF(L57=4,AO57&amp;"W/ "&amp;AP57&amp;"W/ "&amp;AQ57&amp;"W/ "&amp;AR57&amp;"W",IF(L57=3,AO57&amp;"W/ "&amp;AP57&amp;"W/ "&amp;AQ57&amp;"W",IF(L57=2,AO57&amp;"W/ "&amp;AP57&amp;"W",AO57&amp;"W")))</f>
        <v>20W/ 30W/ 40W</v>
      </c>
      <c r="R57" s="513"/>
      <c r="S57" s="513"/>
      <c r="T57" s="513"/>
      <c r="U57" s="513"/>
      <c r="V57" s="513" t="str">
        <f>IF(AS57="900 &amp; 1800","900MHz &amp; 1800MHz",IF(AS57="900 &amp; 2100","900MHz &amp; 2100MHz",IF(AS57="1800 &amp; 2100","1800MHz &amp; 2100MHz",AS57&amp;"MHz")))</f>
        <v>9000 &amp; 1800MHz</v>
      </c>
      <c r="W57" s="513"/>
      <c r="X57" s="513"/>
      <c r="Y57" s="513">
        <f>AT57</f>
        <v>15</v>
      </c>
      <c r="Z57" s="513"/>
      <c r="AA57" s="513"/>
      <c r="AB57" s="513"/>
      <c r="AC57" s="513"/>
      <c r="AD57" s="513"/>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E58" s="288"/>
      <c r="AG58" s="248"/>
      <c r="AI58" s="248"/>
      <c r="AJ58" s="248"/>
      <c r="AL58" s="258"/>
    </row>
    <row r="59" ht="18.75" customHeight="1">
      <c r="A59" s="236"/>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c r="AE59" s="288"/>
    </row>
    <row r="60" ht="18.75" customHeight="1">
      <c r="A60" s="236"/>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c r="AE60" s="288"/>
    </row>
    <row r="61" ht="18.75" customHeight="1">
      <c r="A61" s="236"/>
      <c r="B61" s="513" t="str">
        <f>AG61</f>
        <v>CÔNG TY CỔ PHẦN VIỄN THÔNG DI ĐỘNG TOÀN CẦU</v>
      </c>
      <c r="C61" s="513"/>
      <c r="D61" s="513"/>
      <c r="E61" s="513"/>
      <c r="F61" s="513"/>
      <c r="G61" s="513"/>
      <c r="H61" s="514" t="str">
        <f>AI61</f>
        <v>TB1</v>
      </c>
      <c r="I61" s="514"/>
      <c r="J61" s="514"/>
      <c r="K61" s="514"/>
      <c r="L61" s="515">
        <v>2</v>
      </c>
      <c r="M61" s="515"/>
      <c r="N61" s="556" t="str">
        <f>AL61</f>
        <v>4/4/4</v>
      </c>
      <c r="O61" s="556"/>
      <c r="P61" s="556"/>
      <c r="Q61" s="513" t="str">
        <f>IF(L61=4,AO61&amp;"W/ "&amp;AP61&amp;"W/ "&amp;AQ61&amp;"W/ "&amp;AR61&amp;"W",IF(L61=3,AO61&amp;"W/ "&amp;AP61&amp;"W/ "&amp;AQ61&amp;"W",IF(L61=2,AO61&amp;"W/ "&amp;AP61&amp;"W",AO61&amp;"W")))</f>
        <v>20W/ 30W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E62" s="288"/>
      <c r="AG62" s="248"/>
      <c r="AI62" s="248"/>
      <c r="AJ62" s="248"/>
      <c r="AL62" s="258"/>
    </row>
    <row r="63" ht="18.75" customHeight="1">
      <c r="A63" s="236"/>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c r="AE63" s="288"/>
    </row>
    <row r="64" ht="18.75" customHeight="1">
      <c r="A64" s="236"/>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c r="AE64" s="288"/>
    </row>
    <row r="65" ht="18.75" customHeight="1">
      <c r="A65" s="236"/>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IF(L65=4,AO65&amp;"W/ "&amp;AP65&amp;"W/ "&amp;AQ65&amp;"W/ "&amp;AR65&amp;"W",IF(L65=3,AO65&amp;"W/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c r="AE66" s="288"/>
      <c r="AG66" s="248"/>
      <c r="AI66" s="248"/>
      <c r="AJ66" s="248"/>
      <c r="AL66" s="258"/>
    </row>
    <row r="67" ht="18.75" customHeight="1">
      <c r="A67" s="236"/>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c r="AE67" s="288"/>
    </row>
    <row r="68" ht="18.75" customHeight="1">
      <c r="A68" s="236"/>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09375" defaultRowHeight="13.2"/>
  <cols>
    <col min="1" max="15" width="3.109375" customWidth="1" style="219"/>
    <col min="16" max="30" width="3.33203125" customWidth="1" style="219"/>
    <col min="31" max="31" width="3.33203125" customWidth="1" style="236"/>
    <col min="32" max="146" width="3.109375" customWidth="1" style="219"/>
    <col min="147" max="157" width="9.109375" customWidth="1" style="219"/>
    <col min="158" max="16384" width="9.109375" customWidth="1" style="219"/>
  </cols>
  <sheetData>
    <row r="1" ht="19.65" customHeight="1">
      <c r="B1" s="535" t="s">
        <v>21018</v>
      </c>
      <c r="C1" s="535"/>
      <c r="D1" s="535"/>
      <c r="E1" s="535"/>
      <c r="F1" s="535"/>
      <c r="G1" s="535"/>
      <c r="H1" s="535"/>
      <c r="I1" s="535"/>
      <c r="J1" s="535"/>
      <c r="K1" s="535"/>
      <c r="L1" s="535"/>
      <c r="M1" s="535"/>
      <c r="N1" s="247"/>
      <c r="O1" s="247"/>
      <c r="P1" s="516" t="s">
        <v>21019</v>
      </c>
      <c r="Q1" s="516"/>
      <c r="R1" s="516"/>
      <c r="S1" s="516"/>
      <c r="T1" s="516"/>
      <c r="U1" s="516"/>
      <c r="V1" s="516"/>
      <c r="W1" s="516"/>
      <c r="X1" s="516"/>
      <c r="Y1" s="516"/>
      <c r="Z1" s="516"/>
      <c r="AA1" s="516"/>
      <c r="AB1" s="516"/>
      <c r="AC1" s="516"/>
      <c r="AD1" s="516"/>
      <c r="AE1" s="234"/>
    </row>
    <row r="2" ht="19.65" customHeight="1">
      <c r="C2" s="535" t="s">
        <v>21020</v>
      </c>
      <c r="D2" s="535"/>
      <c r="E2" s="535"/>
      <c r="F2" s="535"/>
      <c r="G2" s="535"/>
      <c r="H2" s="535"/>
      <c r="I2" s="535"/>
      <c r="J2" s="535"/>
      <c r="K2" s="535"/>
      <c r="L2" s="535"/>
      <c r="M2" s="247"/>
      <c r="N2" s="270"/>
      <c r="O2" s="247"/>
      <c r="P2" s="535" t="s">
        <v>21021</v>
      </c>
      <c r="Q2" s="535"/>
      <c r="R2" s="535"/>
      <c r="S2" s="535"/>
      <c r="T2" s="535"/>
      <c r="U2" s="535"/>
      <c r="V2" s="535"/>
      <c r="W2" s="535"/>
      <c r="X2" s="535"/>
      <c r="Y2" s="535"/>
      <c r="Z2" s="535"/>
      <c r="AA2" s="535"/>
      <c r="AB2" s="535"/>
      <c r="AC2" s="535"/>
      <c r="AD2" s="535"/>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65"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65"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65"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65"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29" t="s">
        <v>21023</v>
      </c>
      <c r="D15" s="530"/>
      <c r="E15" s="530"/>
      <c r="F15" s="530"/>
      <c r="G15" s="530"/>
      <c r="H15" s="530"/>
      <c r="I15" s="530"/>
      <c r="J15" s="530"/>
      <c r="K15" s="530"/>
      <c r="L15" s="530"/>
      <c r="M15" s="530"/>
      <c r="N15" s="530"/>
      <c r="O15" s="530"/>
      <c r="P15" s="530"/>
      <c r="Q15" s="530"/>
      <c r="R15" s="530"/>
      <c r="S15" s="530"/>
      <c r="T15" s="530"/>
      <c r="U15" s="530"/>
      <c r="V15" s="530"/>
      <c r="W15" s="530"/>
      <c r="X15" s="530"/>
      <c r="Y15" s="530"/>
      <c r="Z15" s="530"/>
      <c r="AA15" s="530"/>
      <c r="AB15" s="530"/>
      <c r="AC15" s="530"/>
      <c r="AD15" s="531"/>
      <c r="AE15" s="252"/>
      <c r="AG15" s="253">
        <v>1</v>
      </c>
      <c r="AH15" s="253"/>
      <c r="AI15" s="253"/>
      <c r="AJ15" s="253"/>
      <c r="AK15" s="253">
        <v>2</v>
      </c>
      <c r="AL15" s="253"/>
      <c r="AM15" s="253"/>
      <c r="AN15" s="253"/>
      <c r="AO15" s="253">
        <v>3</v>
      </c>
      <c r="AS15" s="219">
        <v>4</v>
      </c>
    </row>
    <row r="16" ht="38.25" customHeight="1">
      <c r="C16" s="559" t="s">
        <v>21027</v>
      </c>
      <c r="D16" s="560"/>
      <c r="E16" s="560"/>
      <c r="F16" s="560"/>
      <c r="G16" s="560"/>
      <c r="H16" s="560"/>
      <c r="I16" s="560"/>
      <c r="J16" s="560"/>
      <c r="K16" s="560"/>
      <c r="L16" s="561"/>
      <c r="M16" s="539" t="str">
        <f>AG16</f>
        <v>Ấp Bàu Trâu, xã Phước Thạnh, huyện Củ Chi, thành phố Hồ Chí Minh.</v>
      </c>
      <c r="N16" s="540"/>
      <c r="O16" s="540"/>
      <c r="P16" s="540"/>
      <c r="Q16" s="540"/>
      <c r="R16" s="540"/>
      <c r="S16" s="540"/>
      <c r="T16" s="540"/>
      <c r="U16" s="540"/>
      <c r="V16" s="540"/>
      <c r="W16" s="540"/>
      <c r="X16" s="540"/>
      <c r="Y16" s="540"/>
      <c r="Z16" s="540"/>
      <c r="AA16" s="540"/>
      <c r="AB16" s="540"/>
      <c r="AC16" s="540"/>
      <c r="AD16" s="541"/>
      <c r="AE16" s="252"/>
      <c r="AG16" s="273" t="s">
        <v>21028</v>
      </c>
    </row>
    <row r="17" ht="21" customHeight="1">
      <c r="C17" s="536" t="s">
        <v>21029</v>
      </c>
      <c r="D17" s="537"/>
      <c r="E17" s="537"/>
      <c r="F17" s="537"/>
      <c r="G17" s="537"/>
      <c r="H17" s="537"/>
      <c r="I17" s="537"/>
      <c r="J17" s="537"/>
      <c r="K17" s="537"/>
      <c r="L17" s="538"/>
      <c r="M17" s="529" t="str">
        <f>IF(AG17="","",AG17)</f>
      </c>
      <c r="N17" s="530"/>
      <c r="O17" s="530"/>
      <c r="P17" s="530"/>
      <c r="Q17" s="530"/>
      <c r="R17" s="530"/>
      <c r="S17" s="530"/>
      <c r="T17" s="530"/>
      <c r="U17" s="530"/>
      <c r="V17" s="530"/>
      <c r="W17" s="530"/>
      <c r="X17" s="530"/>
      <c r="Y17" s="530"/>
      <c r="Z17" s="530"/>
      <c r="AA17" s="530"/>
      <c r="AB17" s="530"/>
      <c r="AC17" s="530"/>
      <c r="AD17" s="531"/>
      <c r="AE17" s="252"/>
    </row>
    <row r="18" ht="33.9" customHeight="1">
      <c r="C18" s="532" t="s">
        <v>21030</v>
      </c>
      <c r="D18" s="533"/>
      <c r="E18" s="533"/>
      <c r="F18" s="533"/>
      <c r="G18" s="533"/>
      <c r="H18" s="533"/>
      <c r="I18" s="533"/>
      <c r="J18" s="533"/>
      <c r="K18" s="533"/>
      <c r="L18" s="534"/>
      <c r="M18" s="525" t="str">
        <f>AG18</f>
        <v>CÔNG TY CỔ PHẦN VIỄN THÔNG DI ĐỘNG TOÀN CẦU</v>
      </c>
      <c r="N18" s="526"/>
      <c r="O18" s="526"/>
      <c r="P18" s="526"/>
      <c r="Q18" s="526"/>
      <c r="R18" s="526"/>
      <c r="S18" s="526"/>
      <c r="T18" s="526"/>
      <c r="U18" s="526"/>
      <c r="V18" s="526"/>
      <c r="W18" s="526"/>
      <c r="X18" s="526"/>
      <c r="Y18" s="526"/>
      <c r="Z18" s="526"/>
      <c r="AA18" s="526"/>
      <c r="AB18" s="526"/>
      <c r="AC18" s="526"/>
      <c r="AD18" s="527"/>
      <c r="AE18" s="252"/>
      <c r="AG18" s="248" t="s">
        <v>21031</v>
      </c>
    </row>
    <row r="19" ht="33.9" customHeight="1">
      <c r="C19" s="532" t="s">
        <v>21032</v>
      </c>
      <c r="D19" s="533"/>
      <c r="E19" s="533"/>
      <c r="F19" s="533"/>
      <c r="G19" s="533"/>
      <c r="H19" s="533"/>
      <c r="I19" s="533"/>
      <c r="J19" s="533"/>
      <c r="K19" s="533"/>
      <c r="L19" s="534"/>
      <c r="M19" s="525" t="str">
        <f>AG19</f>
        <v>CÔNG TY CỔ PHẦN VIỄN THÔNG DI ĐỘNG TOÀN CẦU</v>
      </c>
      <c r="N19" s="526"/>
      <c r="O19" s="526"/>
      <c r="P19" s="526"/>
      <c r="Q19" s="526"/>
      <c r="R19" s="526"/>
      <c r="S19" s="526"/>
      <c r="T19" s="526"/>
      <c r="U19" s="526"/>
      <c r="V19" s="526"/>
      <c r="W19" s="526"/>
      <c r="X19" s="526"/>
      <c r="Y19" s="526"/>
      <c r="Z19" s="526"/>
      <c r="AA19" s="526"/>
      <c r="AB19" s="526"/>
      <c r="AC19" s="526"/>
      <c r="AD19" s="527"/>
      <c r="AE19" s="255"/>
      <c r="AG19" s="248" t="s">
        <v>21031</v>
      </c>
    </row>
    <row r="20" ht="21" customHeight="1">
      <c r="C20" s="548" t="s">
        <v>21033</v>
      </c>
      <c r="D20" s="549"/>
      <c r="E20" s="549"/>
      <c r="F20" s="549"/>
      <c r="G20" s="549"/>
      <c r="H20" s="549"/>
      <c r="I20" s="549"/>
      <c r="J20" s="549"/>
      <c r="K20" s="549"/>
      <c r="L20" s="549"/>
      <c r="M20" s="549"/>
      <c r="N20" s="549"/>
      <c r="O20" s="549"/>
      <c r="P20" s="549"/>
      <c r="Q20" s="549"/>
      <c r="R20" s="549"/>
      <c r="S20" s="549"/>
      <c r="T20" s="549"/>
      <c r="U20" s="549"/>
      <c r="V20" s="549"/>
      <c r="W20" s="549"/>
      <c r="X20" s="549"/>
      <c r="Y20" s="549"/>
      <c r="Z20" s="549"/>
      <c r="AA20" s="549"/>
      <c r="AB20" s="549"/>
      <c r="AC20" s="549"/>
      <c r="AD20" s="550"/>
      <c r="AE20" s="256"/>
    </row>
    <row r="21" ht="33.9" customHeight="1">
      <c r="C21" s="542" t="s">
        <v>21034</v>
      </c>
      <c r="D21" s="542"/>
      <c r="E21" s="542"/>
      <c r="F21" s="542"/>
      <c r="G21" s="542"/>
      <c r="H21" s="542"/>
      <c r="I21" s="542"/>
      <c r="J21" s="542"/>
      <c r="K21" s="542"/>
      <c r="L21" s="542"/>
      <c r="M21" s="562" t="str">
        <f>AG21</f>
        <v>MOTOROLA HORIZON II MACRO</v>
      </c>
      <c r="N21" s="562"/>
      <c r="O21" s="562"/>
      <c r="P21" s="562"/>
      <c r="Q21" s="562"/>
      <c r="R21" s="562"/>
      <c r="S21" s="562"/>
      <c r="T21" s="562"/>
      <c r="U21" s="562"/>
      <c r="V21" s="562" t="str">
        <f>AK21</f>
        <v>MOTOROLA HORIZON II MACRO</v>
      </c>
      <c r="W21" s="562"/>
      <c r="X21" s="562"/>
      <c r="Y21" s="562"/>
      <c r="Z21" s="562"/>
      <c r="AA21" s="562"/>
      <c r="AB21" s="562"/>
      <c r="AC21" s="562"/>
      <c r="AD21" s="562"/>
      <c r="AE21" s="252"/>
      <c r="AG21" s="248" t="s">
        <v>21156</v>
      </c>
      <c r="AK21" s="248" t="s">
        <v>21156</v>
      </c>
      <c r="AO21" s="248" t="s">
        <v>21037</v>
      </c>
      <c r="AS21" s="248" t="s">
        <v>21038</v>
      </c>
    </row>
    <row r="22" ht="19.65" customHeight="1">
      <c r="C22" s="551" t="s">
        <v>21039</v>
      </c>
      <c r="D22" s="552"/>
      <c r="E22" s="552"/>
      <c r="F22" s="552"/>
      <c r="G22" s="552"/>
      <c r="H22" s="552"/>
      <c r="I22" s="552"/>
      <c r="J22" s="552"/>
      <c r="K22" s="552"/>
      <c r="L22" s="553"/>
      <c r="M22" s="525">
        <f>AG22</f>
        <v>3</v>
      </c>
      <c r="N22" s="526"/>
      <c r="O22" s="526"/>
      <c r="P22" s="526"/>
      <c r="Q22" s="526"/>
      <c r="R22" s="526"/>
      <c r="S22" s="526"/>
      <c r="T22" s="526"/>
      <c r="U22" s="527"/>
      <c r="V22" s="525">
        <f>AK22</f>
        <v>3</v>
      </c>
      <c r="W22" s="526"/>
      <c r="X22" s="526"/>
      <c r="Y22" s="526"/>
      <c r="Z22" s="526"/>
      <c r="AA22" s="526"/>
      <c r="AB22" s="526"/>
      <c r="AC22" s="526"/>
      <c r="AD22" s="527"/>
      <c r="AE22" s="252"/>
      <c r="AG22" s="253">
        <v>3</v>
      </c>
      <c r="AH22" s="253"/>
      <c r="AI22" s="253"/>
      <c r="AJ22" s="253"/>
      <c r="AK22" s="253">
        <v>3</v>
      </c>
      <c r="AL22" s="253"/>
      <c r="AM22" s="253"/>
      <c r="AN22" s="253"/>
      <c r="AO22" s="253">
        <v>3</v>
      </c>
      <c r="AS22" s="219">
        <v>1</v>
      </c>
    </row>
    <row r="23" ht="19.65" customHeight="1">
      <c r="C23" s="542" t="s">
        <v>21040</v>
      </c>
      <c r="D23" s="542"/>
      <c r="E23" s="542"/>
      <c r="F23" s="542"/>
      <c r="G23" s="542"/>
      <c r="H23" s="542"/>
      <c r="I23" s="542"/>
      <c r="J23" s="542"/>
      <c r="K23" s="542"/>
      <c r="L23" s="542"/>
      <c r="M23" s="563" t="str">
        <f>AG23</f>
        <v>4/4/4</v>
      </c>
      <c r="N23" s="562"/>
      <c r="O23" s="562"/>
      <c r="P23" s="562"/>
      <c r="Q23" s="562"/>
      <c r="R23" s="562"/>
      <c r="S23" s="562"/>
      <c r="T23" s="562"/>
      <c r="U23" s="562"/>
      <c r="V23" s="546" t="str">
        <f>AK23</f>
        <v>2/2/2</v>
      </c>
      <c r="W23" s="526"/>
      <c r="X23" s="526"/>
      <c r="Y23" s="526"/>
      <c r="Z23" s="526"/>
      <c r="AA23" s="526"/>
      <c r="AB23" s="526"/>
      <c r="AC23" s="526"/>
      <c r="AD23" s="527"/>
      <c r="AE23" s="257"/>
      <c r="AG23" s="258" t="s">
        <v>21041</v>
      </c>
      <c r="AH23" s="259"/>
      <c r="AI23" s="259"/>
      <c r="AJ23" s="259"/>
      <c r="AK23" s="258" t="s">
        <v>21042</v>
      </c>
      <c r="AL23" s="259"/>
      <c r="AM23" s="259"/>
      <c r="AN23" s="259"/>
      <c r="AO23" s="258" t="s">
        <v>21043</v>
      </c>
      <c r="AP23" s="259"/>
      <c r="AQ23" s="259"/>
      <c r="AR23" s="259"/>
      <c r="AS23" s="258" t="s">
        <v>21044</v>
      </c>
    </row>
    <row r="24" ht="18.75" customHeight="1">
      <c r="C24" s="551" t="s">
        <v>21045</v>
      </c>
      <c r="D24" s="552"/>
      <c r="E24" s="552"/>
      <c r="F24" s="552"/>
      <c r="G24" s="552"/>
      <c r="H24" s="552"/>
      <c r="I24" s="552"/>
      <c r="J24" s="552"/>
      <c r="K24" s="552"/>
      <c r="L24" s="553"/>
      <c r="M24" s="525" t="str">
        <f>IF(M22=4,AG24&amp;"W/ "&amp;AH24&amp;"W/ "&amp;AI24&amp;"W/ "&amp;AJ24&amp;"W",IF(M22=3,AG24&amp;"W/ "&amp;AH24&amp;"W/ "&amp;AI24&amp;"W",IF(M22=2,AG24&amp;"W/ "&amp;AH24&amp;"W",AG24&amp;"W")))</f>
        <v>100,45W/ 100,45W/ 100,45W</v>
      </c>
      <c r="N24" s="526"/>
      <c r="O24" s="526"/>
      <c r="P24" s="526"/>
      <c r="Q24" s="526"/>
      <c r="R24" s="526"/>
      <c r="S24" s="526"/>
      <c r="T24" s="526"/>
      <c r="U24" s="527"/>
      <c r="V24" s="525" t="str">
        <f>IF(V22=4,AK24&amp;"W/ "&amp;AL24&amp;"W/ "&amp;AM24&amp;"W/ "&amp;AN24&amp;"W",IF(V22=3,AK24&amp;"W/ "&amp;AL24&amp;"W/ "&amp;AM24&amp;"W",IF(V22=2,AK24&amp;"W/"&amp;AL24&amp;"W",AK24&amp;"W")))</f>
        <v>40W/ 40W/ 40W</v>
      </c>
      <c r="W24" s="526"/>
      <c r="X24" s="526"/>
      <c r="Y24" s="526"/>
      <c r="Z24" s="526"/>
      <c r="AA24" s="526"/>
      <c r="AB24" s="526"/>
      <c r="AC24" s="526"/>
      <c r="AD24" s="527"/>
      <c r="AE24" s="255"/>
      <c r="AG24" s="219" t="s">
        <v>21157</v>
      </c>
      <c r="AH24" s="219" t="s">
        <v>21157</v>
      </c>
      <c r="AI24" s="219" t="s">
        <v>21157</v>
      </c>
      <c r="AJ24" s="219" t="s">
        <v>21157</v>
      </c>
      <c r="AK24" s="219">
        <v>40</v>
      </c>
      <c r="AL24" s="219">
        <v>40</v>
      </c>
      <c r="AM24" s="219">
        <v>40</v>
      </c>
      <c r="AN24" s="219">
        <v>40</v>
      </c>
      <c r="AO24" s="219">
        <v>60</v>
      </c>
      <c r="AP24" s="219">
        <v>60</v>
      </c>
      <c r="AQ24" s="219">
        <v>60</v>
      </c>
      <c r="AS24" s="219">
        <v>80</v>
      </c>
      <c r="AT24" s="219">
        <v>80</v>
      </c>
      <c r="AU24" s="219">
        <v>80</v>
      </c>
    </row>
    <row r="25" ht="19.65" customHeight="1">
      <c r="C25" s="542" t="s">
        <v>21046</v>
      </c>
      <c r="D25" s="542"/>
      <c r="E25" s="542"/>
      <c r="F25" s="542"/>
      <c r="G25" s="542"/>
      <c r="H25" s="542"/>
      <c r="I25" s="542"/>
      <c r="J25" s="542"/>
      <c r="K25" s="542"/>
      <c r="L25" s="542"/>
      <c r="M25" s="562" t="str">
        <f>IF(AG25="900 &amp; 1800","900MHz &amp; 1800MHz",IF(AG25="900 &amp; 2100","900MHz &amp; 2100MHz",IF(AG25="1800 &amp; 2100","1800MHz &amp; 2100MHz",AG25&amp;"MHz")))</f>
        <v>1800MHz</v>
      </c>
      <c r="N25" s="562"/>
      <c r="O25" s="562"/>
      <c r="P25" s="562"/>
      <c r="Q25" s="562"/>
      <c r="R25" s="562"/>
      <c r="S25" s="562"/>
      <c r="T25" s="562"/>
      <c r="U25" s="562"/>
      <c r="V25" s="562" t="str">
        <f>IF(AK25="900 &amp; 1800","900MHz &amp; 1800MHz",IF(AK25="900 &amp; 2100","900MHz &amp; 2100MHz",AK25&amp;"MHz"))</f>
        <v>1800MHz</v>
      </c>
      <c r="W25" s="562"/>
      <c r="X25" s="562"/>
      <c r="Y25" s="562"/>
      <c r="Z25" s="562"/>
      <c r="AA25" s="562"/>
      <c r="AB25" s="562"/>
      <c r="AC25" s="562"/>
      <c r="AD25" s="562"/>
      <c r="AE25" s="252"/>
      <c r="AG25" s="219">
        <v>1800</v>
      </c>
      <c r="AK25" s="219">
        <v>1800</v>
      </c>
      <c r="AO25" s="219">
        <v>2100</v>
      </c>
      <c r="AS25" s="248" t="s">
        <v>21158</v>
      </c>
    </row>
    <row r="26" ht="33.9" customHeight="1">
      <c r="C26" s="542" t="s">
        <v>21159</v>
      </c>
      <c r="D26" s="542"/>
      <c r="E26" s="542"/>
      <c r="F26" s="542"/>
      <c r="G26" s="542"/>
      <c r="H26" s="542"/>
      <c r="I26" s="542"/>
      <c r="J26" s="542"/>
      <c r="K26" s="542"/>
      <c r="L26" s="542"/>
      <c r="M26" s="562">
        <f>AG26</f>
        <v>15</v>
      </c>
      <c r="N26" s="562"/>
      <c r="O26" s="562"/>
      <c r="P26" s="562"/>
      <c r="Q26" s="562"/>
      <c r="R26" s="562"/>
      <c r="S26" s="562"/>
      <c r="T26" s="562"/>
      <c r="U26" s="562"/>
      <c r="V26" s="562">
        <f>AK26</f>
        <v>16</v>
      </c>
      <c r="W26" s="562"/>
      <c r="X26" s="562"/>
      <c r="Y26" s="562"/>
      <c r="Z26" s="562"/>
      <c r="AA26" s="562"/>
      <c r="AB26" s="562"/>
      <c r="AC26" s="562"/>
      <c r="AD26" s="562"/>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4.7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4.7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4" t="str">
        <f>IF(AG31=1,AO31,IF(AG31=2,AO30))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IF(AI41=0,AO34,IF(AI41=1,AK34,AS34))</f>
        <v>KT. GIÁM ĐỐC</v>
      </c>
      <c r="U34" s="517"/>
      <c r="V34" s="517"/>
      <c r="W34" s="517"/>
      <c r="X34" s="517"/>
      <c r="Y34" s="517"/>
      <c r="Z34" s="517"/>
      <c r="AA34" s="517"/>
      <c r="AB34" s="517"/>
      <c r="AC34" s="517"/>
      <c r="AD34" s="517"/>
      <c r="AE34" s="517"/>
      <c r="AK34" s="219" t="s">
        <v>21054</v>
      </c>
      <c r="AO34" s="219" t="s">
        <v>21055</v>
      </c>
      <c r="AS34" s="219" t="s">
        <v>21056</v>
      </c>
    </row>
    <row r="35" ht="17.1" customHeight="1">
      <c r="C35" s="518" t="s">
        <v>21057</v>
      </c>
      <c r="D35" s="518"/>
      <c r="E35" s="518"/>
      <c r="F35" s="518"/>
      <c r="G35" s="518"/>
      <c r="H35" s="263" t="s">
        <v>21058</v>
      </c>
      <c r="I35" s="520" t="s">
        <v>21059</v>
      </c>
      <c r="J35" s="520"/>
      <c r="K35" s="520"/>
      <c r="L35" s="520"/>
      <c r="M35" s="520"/>
      <c r="N35" s="520"/>
      <c r="O35" s="264"/>
      <c r="P35" s="264"/>
      <c r="Q35" s="260"/>
      <c r="R35" s="260"/>
      <c r="S35" s="260"/>
      <c r="T35" s="517" t="str">
        <f>IF(AI41=0,AO35,IF(AI41=1,"",AS35))</f>
        <v>PHÓ GIÁM ĐỐC</v>
      </c>
      <c r="U35" s="517"/>
      <c r="V35" s="517"/>
      <c r="W35" s="517"/>
      <c r="X35" s="517"/>
      <c r="Y35" s="517"/>
      <c r="Z35" s="517"/>
      <c r="AA35" s="517"/>
      <c r="AB35" s="517"/>
      <c r="AC35" s="517"/>
      <c r="AD35" s="517"/>
      <c r="AE35" s="517"/>
      <c r="AO35" s="219" t="s">
        <v>21060</v>
      </c>
      <c r="AS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I41" s="219">
        <v>0</v>
      </c>
      <c r="AK41" s="219" t="s">
        <v>21064</v>
      </c>
      <c r="AO41" s="219" t="s">
        <v>21065</v>
      </c>
      <c r="AT41" s="219" t="s">
        <v>21066</v>
      </c>
    </row>
    <row r="42" ht="16.8">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row>
    <row r="45" ht="16.5" customHeight="1">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G48" s="219">
        <v>33</v>
      </c>
      <c r="AI48" s="219">
        <v>35</v>
      </c>
      <c r="AL48" s="219">
        <v>37</v>
      </c>
      <c r="AO48" s="219">
        <v>39</v>
      </c>
      <c r="AP48" s="219">
        <v>40</v>
      </c>
      <c r="AQ48" s="219">
        <v>41</v>
      </c>
      <c r="AS48" s="219">
        <v>42</v>
      </c>
      <c r="AT48" s="219">
        <v>43</v>
      </c>
      <c r="AU48" s="219">
        <v>44</v>
      </c>
      <c r="AV48" s="219">
        <v>45</v>
      </c>
    </row>
    <row r="49" ht="18.75" customHeight="1">
      <c r="B49" s="513" t="str">
        <f>AG49</f>
        <v>CÔNG TY CỔ PHẦN VIỄN THÔNG DI ĐỘNG TOÀN CẦU</v>
      </c>
      <c r="C49" s="513"/>
      <c r="D49" s="513"/>
      <c r="E49" s="513"/>
      <c r="F49" s="513"/>
      <c r="G49" s="513"/>
      <c r="H49" s="514" t="str">
        <f>AI49</f>
        <v>TB1</v>
      </c>
      <c r="I49" s="514"/>
      <c r="J49" s="514"/>
      <c r="K49" s="514"/>
      <c r="L49" s="515">
        <v>2</v>
      </c>
      <c r="M49" s="515"/>
      <c r="N49" s="556" t="str">
        <f>AL49</f>
        <v>4/4/4</v>
      </c>
      <c r="O49" s="556"/>
      <c r="P49" s="556"/>
      <c r="Q49" s="513" t="str">
        <f>IF(L49=4,AO49&amp;"W/ "&amp;AP49&amp;"W/ "&amp;AQ49&amp;"W/ "&amp;AR49&amp;"W",IF(L49=3,AO49&amp;"W/ "&amp;AP49&amp;"W/ "&amp;AQ49&amp;"W",IF(L49=2,AO49&amp;"W/ "&amp;AP49&amp;"W",AO49&amp;"W")))</f>
        <v>20W/ 30W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G49" s="248" t="s">
        <v>21031</v>
      </c>
      <c r="AI49" s="248" t="s">
        <v>21074</v>
      </c>
      <c r="AJ49" s="248"/>
      <c r="AL49" s="258" t="s">
        <v>21041</v>
      </c>
      <c r="AO49" s="219">
        <v>20</v>
      </c>
      <c r="AP49" s="219">
        <v>30</v>
      </c>
      <c r="AQ49" s="219">
        <v>40</v>
      </c>
      <c r="AS49" s="219">
        <v>900</v>
      </c>
      <c r="AT49" s="219">
        <v>15</v>
      </c>
      <c r="AU49" s="219">
        <v>16</v>
      </c>
      <c r="AV49" s="219">
        <v>17</v>
      </c>
    </row>
    <row r="50" ht="18.75" customHeight="1">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row>
    <row r="51" ht="18.75" customHeight="1">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row>
    <row r="52" ht="18.75" customHeight="1">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row>
    <row r="53" ht="18.75" customHeight="1">
      <c r="B53" s="513" t="str">
        <f>AG53</f>
        <v>CÔNG TY CỔ PHẦN VIỄN THÔNG DI ĐỘNG TOÀN CẦU</v>
      </c>
      <c r="C53" s="513"/>
      <c r="D53" s="513"/>
      <c r="E53" s="513"/>
      <c r="F53" s="513"/>
      <c r="G53" s="513"/>
      <c r="H53" s="514" t="str">
        <f>AI53</f>
        <v>TB1</v>
      </c>
      <c r="I53" s="514"/>
      <c r="J53" s="514"/>
      <c r="K53" s="514"/>
      <c r="L53" s="515">
        <v>4</v>
      </c>
      <c r="M53" s="515"/>
      <c r="N53" s="556" t="str">
        <f>AL53</f>
        <v>4/4/4</v>
      </c>
      <c r="O53" s="556"/>
      <c r="P53" s="556"/>
      <c r="Q53" s="513" t="str">
        <f>IF(L53=4,AO53&amp;"W/ "&amp;AP53&amp;"W/ "&amp;AQ53&amp;"W/ "&amp;AR53&amp;"W",IF(L53=3,AO53&amp;"W/ "&amp;AP53&amp;"W/ "&amp;AQ53&amp;"W",IF(L53=2,AO53&amp;"W/ "&amp;AP53&amp;"W",AO53&amp;"W")))</f>
        <v>20W/ 30W/ 40W/ 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G53" s="248" t="s">
        <v>21031</v>
      </c>
      <c r="AI53" s="248" t="s">
        <v>21074</v>
      </c>
      <c r="AJ53" s="248"/>
      <c r="AL53" s="258" t="s">
        <v>21041</v>
      </c>
      <c r="AO53" s="219">
        <v>20</v>
      </c>
      <c r="AP53" s="219">
        <v>30</v>
      </c>
      <c r="AQ53" s="219">
        <v>40</v>
      </c>
      <c r="AS53" s="219">
        <v>1800</v>
      </c>
      <c r="AT53" s="219">
        <v>15</v>
      </c>
      <c r="AU53" s="219">
        <v>16</v>
      </c>
      <c r="AV53" s="219">
        <v>17</v>
      </c>
    </row>
    <row r="54" ht="18.75" customHeight="1">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G54" s="248"/>
      <c r="AI54" s="248"/>
      <c r="AJ54" s="248"/>
      <c r="AL54" s="258"/>
    </row>
    <row r="55" ht="18.75" customHeight="1">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row>
    <row r="56" ht="18.75" customHeight="1">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row>
    <row r="57" ht="18.75" customHeight="1">
      <c r="B57" s="513" t="str">
        <f>AG57</f>
        <v>CÔNG TY CỔ PHẦN VIỄN THÔNG DI ĐỘNG TOÀN CẦU</v>
      </c>
      <c r="C57" s="513"/>
      <c r="D57" s="513"/>
      <c r="E57" s="513"/>
      <c r="F57" s="513"/>
      <c r="G57" s="513"/>
      <c r="H57" s="514" t="str">
        <f>AI57</f>
        <v>TB1</v>
      </c>
      <c r="I57" s="514"/>
      <c r="J57" s="514"/>
      <c r="K57" s="514"/>
      <c r="L57" s="515">
        <v>3</v>
      </c>
      <c r="M57" s="515"/>
      <c r="N57" s="556" t="str">
        <f>AL57</f>
        <v>4/4/4</v>
      </c>
      <c r="O57" s="556"/>
      <c r="P57" s="556"/>
      <c r="Q57" s="513" t="str">
        <f>IF(L57=4,AO57&amp;"W/ "&amp;AP57&amp;"W/ "&amp;AQ57&amp;"W/ "&amp;AR57&amp;"W",IF(L57=3,AO57&amp;"W/ "&amp;AP57&amp;"W/ "&amp;AQ57&amp;"W",IF(L57=2,AO57&amp;"W/ "&amp;AP57&amp;"W",AO57&amp;"W")))</f>
        <v>20W/ 30W/ 40W</v>
      </c>
      <c r="R57" s="513"/>
      <c r="S57" s="513"/>
      <c r="T57" s="513"/>
      <c r="U57" s="513"/>
      <c r="V57" s="513" t="str">
        <f>IF(AS57="900 &amp; 1800","900MHz &amp; 1800MHz",IF(AS57="900 &amp; 2100","900MHz &amp; 2100MHz",IF(AS57="1800 &amp; 2100","1800MHz &amp; 2100MHz",AS57&amp;"MHz")))</f>
        <v>900MHz &amp; 1800MHz</v>
      </c>
      <c r="W57" s="513"/>
      <c r="X57" s="513"/>
      <c r="Y57" s="513">
        <f>AT57</f>
        <v>15</v>
      </c>
      <c r="Z57" s="513"/>
      <c r="AA57" s="513"/>
      <c r="AB57" s="513"/>
      <c r="AC57" s="513"/>
      <c r="AD57" s="513"/>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G58" s="248"/>
      <c r="AI58" s="248"/>
      <c r="AJ58" s="248"/>
      <c r="AL58" s="258"/>
    </row>
    <row r="59" ht="18.75" customHeight="1">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row>
    <row r="60" ht="18.75" customHeight="1">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row>
    <row r="61" ht="18.75" customHeight="1">
      <c r="B61" s="513" t="str">
        <f>AG61</f>
        <v>CÔNG TY CỔ PHẦN VIỄN THÔNG DI ĐỘNG TOÀN CẦU</v>
      </c>
      <c r="C61" s="513"/>
      <c r="D61" s="513"/>
      <c r="E61" s="513"/>
      <c r="F61" s="513"/>
      <c r="G61" s="513"/>
      <c r="H61" s="514" t="str">
        <f>AI61</f>
        <v>TB1</v>
      </c>
      <c r="I61" s="514"/>
      <c r="J61" s="514"/>
      <c r="K61" s="514"/>
      <c r="L61" s="515">
        <v>2</v>
      </c>
      <c r="M61" s="515"/>
      <c r="N61" s="556" t="str">
        <f>AL61</f>
        <v>4/4/4</v>
      </c>
      <c r="O61" s="556"/>
      <c r="P61" s="556"/>
      <c r="Q61" s="513" t="str">
        <f>IF(L61=4,AO61&amp;"W/ "&amp;AP61&amp;"W/ "&amp;AQ61&amp;"W/ "&amp;AR61&amp;"W",IF(L61=3,AO61&amp;"W/ "&amp;AP61&amp;"W/ "&amp;AQ61&amp;"W",IF(L61=2,AO61&amp;"W/ "&amp;AP61&amp;"W",AO61&amp;"W")))</f>
        <v>20W/ 30W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G62" s="248"/>
      <c r="AI62" s="248"/>
      <c r="AJ62" s="248"/>
      <c r="AL62" s="258"/>
    </row>
    <row r="63" ht="18.75" customHeight="1">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row>
    <row r="64" ht="18.75" customHeight="1">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row>
    <row r="65" ht="18.75" customHeight="1">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IF(L65=4,AO65&amp;"W/ "&amp;AP65&amp;"W/ "&amp;AQ65&amp;"W/ "&amp;AR65&amp;"W",IF(L65=3,AO65&amp;"W/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row>
    <row r="67" ht="18.75" customHeight="1">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row>
    <row r="68" ht="18.75" customHeight="1">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09375" defaultRowHeight="13.2"/>
  <cols>
    <col min="1" max="12" width="3.109375" customWidth="1" style="219"/>
    <col min="13" max="30" width="3.33203125" customWidth="1" style="219"/>
    <col min="31" max="31" width="3.109375" customWidth="1" style="236"/>
    <col min="32" max="117" width="3.109375" customWidth="1" style="219"/>
    <col min="118" max="128" width="9.109375" customWidth="1" style="219"/>
    <col min="129" max="16384" width="9.109375" customWidth="1" style="219"/>
  </cols>
  <sheetData>
    <row r="1" ht="19.65" customHeight="1">
      <c r="B1" s="535" t="s">
        <v>21018</v>
      </c>
      <c r="C1" s="535"/>
      <c r="D1" s="535"/>
      <c r="E1" s="535"/>
      <c r="F1" s="535"/>
      <c r="G1" s="535"/>
      <c r="H1" s="535"/>
      <c r="I1" s="535"/>
      <c r="J1" s="535"/>
      <c r="K1" s="535"/>
      <c r="L1" s="535"/>
      <c r="M1" s="535"/>
      <c r="N1" s="247"/>
      <c r="O1" s="247"/>
      <c r="P1" s="516" t="s">
        <v>21019</v>
      </c>
      <c r="Q1" s="516"/>
      <c r="R1" s="516"/>
      <c r="S1" s="516"/>
      <c r="T1" s="516"/>
      <c r="U1" s="516"/>
      <c r="V1" s="516"/>
      <c r="W1" s="516"/>
      <c r="X1" s="516"/>
      <c r="Y1" s="516"/>
      <c r="Z1" s="516"/>
      <c r="AA1" s="516"/>
      <c r="AB1" s="516"/>
      <c r="AC1" s="516"/>
      <c r="AD1" s="516"/>
      <c r="AE1" s="234"/>
    </row>
    <row r="2" ht="19.65" customHeight="1">
      <c r="C2" s="535" t="s">
        <v>21020</v>
      </c>
      <c r="D2" s="535"/>
      <c r="E2" s="535"/>
      <c r="F2" s="535"/>
      <c r="G2" s="535"/>
      <c r="H2" s="535"/>
      <c r="I2" s="535"/>
      <c r="J2" s="535"/>
      <c r="K2" s="535"/>
      <c r="L2" s="535"/>
      <c r="M2" s="247"/>
      <c r="N2" s="270"/>
      <c r="O2" s="247"/>
      <c r="P2" s="535" t="s">
        <v>21021</v>
      </c>
      <c r="Q2" s="535"/>
      <c r="R2" s="535"/>
      <c r="S2" s="535"/>
      <c r="T2" s="535"/>
      <c r="U2" s="535"/>
      <c r="V2" s="535"/>
      <c r="W2" s="535"/>
      <c r="X2" s="535"/>
      <c r="Y2" s="535"/>
      <c r="Z2" s="535"/>
      <c r="AA2" s="535"/>
      <c r="AB2" s="535"/>
      <c r="AC2" s="535"/>
      <c r="AD2" s="535"/>
    </row>
    <row r="3" ht="8.4"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65"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65"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65"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65"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65"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8.4"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87" t="s">
        <v>21023</v>
      </c>
      <c r="D15" s="588"/>
      <c r="E15" s="588"/>
      <c r="F15" s="588"/>
      <c r="G15" s="588"/>
      <c r="H15" s="588"/>
      <c r="I15" s="588"/>
      <c r="J15" s="588"/>
      <c r="K15" s="588"/>
      <c r="L15" s="588"/>
      <c r="M15" s="588"/>
      <c r="N15" s="588"/>
      <c r="O15" s="588"/>
      <c r="P15" s="588"/>
      <c r="Q15" s="588"/>
      <c r="R15" s="588"/>
      <c r="S15" s="588"/>
      <c r="T15" s="588"/>
      <c r="U15" s="588"/>
      <c r="V15" s="588"/>
      <c r="W15" s="588"/>
      <c r="X15" s="588"/>
      <c r="Y15" s="588"/>
      <c r="Z15" s="588"/>
      <c r="AA15" s="588"/>
      <c r="AB15" s="588"/>
      <c r="AC15" s="588"/>
      <c r="AD15" s="589"/>
      <c r="AE15" s="252"/>
      <c r="AG15" s="253">
        <v>1</v>
      </c>
      <c r="AH15" s="253"/>
      <c r="AI15" s="253"/>
      <c r="AJ15" s="253"/>
      <c r="AK15" s="253">
        <v>2</v>
      </c>
      <c r="AL15" s="253"/>
      <c r="AM15" s="253"/>
      <c r="AN15" s="253"/>
      <c r="AO15" s="253">
        <v>3</v>
      </c>
      <c r="AS15" s="219">
        <v>4</v>
      </c>
    </row>
    <row r="16" ht="36" customHeight="1">
      <c r="C16" s="579" t="s">
        <v>21027</v>
      </c>
      <c r="D16" s="580"/>
      <c r="E16" s="580"/>
      <c r="F16" s="580"/>
      <c r="G16" s="580"/>
      <c r="H16" s="580"/>
      <c r="I16" s="580"/>
      <c r="J16" s="580"/>
      <c r="K16" s="580"/>
      <c r="L16" s="581"/>
      <c r="M16" s="582" t="str">
        <f>AG16</f>
        <v>Ấp Bàu Trâu, xã Phước Thạnh, huyện Củ Chi, thành phố Hồ Chí Minh.</v>
      </c>
      <c r="N16" s="583"/>
      <c r="O16" s="583"/>
      <c r="P16" s="583"/>
      <c r="Q16" s="583"/>
      <c r="R16" s="583"/>
      <c r="S16" s="583"/>
      <c r="T16" s="583"/>
      <c r="U16" s="583"/>
      <c r="V16" s="583"/>
      <c r="W16" s="583"/>
      <c r="X16" s="583"/>
      <c r="Y16" s="583"/>
      <c r="Z16" s="583"/>
      <c r="AA16" s="583"/>
      <c r="AB16" s="583"/>
      <c r="AC16" s="583"/>
      <c r="AD16" s="584"/>
      <c r="AE16" s="252"/>
      <c r="AG16" s="564" t="s">
        <v>21028</v>
      </c>
      <c r="AH16" s="564"/>
      <c r="AI16" s="564"/>
      <c r="AJ16" s="564"/>
      <c r="AK16" s="564"/>
      <c r="AL16" s="564"/>
      <c r="AM16" s="564"/>
      <c r="AN16" s="564"/>
      <c r="AO16" s="564"/>
      <c r="AP16" s="564"/>
      <c r="AQ16" s="564"/>
      <c r="AR16" s="564"/>
      <c r="AS16" s="564"/>
      <c r="AT16" s="564"/>
      <c r="AU16" s="564"/>
      <c r="AV16" s="564"/>
      <c r="AW16" s="564"/>
    </row>
    <row r="17" ht="23.25" customHeight="1">
      <c r="C17" s="579" t="s">
        <v>21029</v>
      </c>
      <c r="D17" s="580"/>
      <c r="E17" s="580"/>
      <c r="F17" s="580"/>
      <c r="G17" s="580"/>
      <c r="H17" s="580"/>
      <c r="I17" s="580"/>
      <c r="J17" s="580"/>
      <c r="K17" s="580"/>
      <c r="L17" s="581"/>
      <c r="M17" s="587" t="str">
        <f>IF(AG17="","",AG17)</f>
      </c>
      <c r="N17" s="588"/>
      <c r="O17" s="588"/>
      <c r="P17" s="588"/>
      <c r="Q17" s="588"/>
      <c r="R17" s="588"/>
      <c r="S17" s="588"/>
      <c r="T17" s="588"/>
      <c r="U17" s="588"/>
      <c r="V17" s="588"/>
      <c r="W17" s="588"/>
      <c r="X17" s="588"/>
      <c r="Y17" s="588"/>
      <c r="Z17" s="588"/>
      <c r="AA17" s="588"/>
      <c r="AB17" s="588"/>
      <c r="AC17" s="588"/>
      <c r="AD17" s="589"/>
      <c r="AE17" s="252"/>
    </row>
    <row r="18" ht="31.35" customHeight="1">
      <c r="C18" s="570" t="s">
        <v>21030</v>
      </c>
      <c r="D18" s="571"/>
      <c r="E18" s="571"/>
      <c r="F18" s="571"/>
      <c r="G18" s="571"/>
      <c r="H18" s="571"/>
      <c r="I18" s="571"/>
      <c r="J18" s="571"/>
      <c r="K18" s="571"/>
      <c r="L18" s="572"/>
      <c r="M18" s="573" t="str">
        <f>AG18</f>
        <v>CÔNG TY CỔ PHẦN VIỄN THÔNG DI ĐỘNG TOÀN CẦU
GTEL</v>
      </c>
      <c r="N18" s="574"/>
      <c r="O18" s="574"/>
      <c r="P18" s="574"/>
      <c r="Q18" s="574"/>
      <c r="R18" s="574"/>
      <c r="S18" s="574"/>
      <c r="T18" s="574"/>
      <c r="U18" s="574"/>
      <c r="V18" s="574"/>
      <c r="W18" s="574"/>
      <c r="X18" s="574"/>
      <c r="Y18" s="574"/>
      <c r="Z18" s="574"/>
      <c r="AA18" s="574"/>
      <c r="AB18" s="574"/>
      <c r="AC18" s="574"/>
      <c r="AD18" s="575"/>
      <c r="AE18" s="252"/>
      <c r="AG18" s="274" t="s">
        <v>21164</v>
      </c>
    </row>
    <row r="19" ht="31.35" customHeight="1">
      <c r="C19" s="570" t="s">
        <v>21032</v>
      </c>
      <c r="D19" s="571"/>
      <c r="E19" s="571"/>
      <c r="F19" s="571"/>
      <c r="G19" s="571"/>
      <c r="H19" s="571"/>
      <c r="I19" s="571"/>
      <c r="J19" s="571"/>
      <c r="K19" s="571"/>
      <c r="L19" s="572"/>
      <c r="M19" s="573" t="str">
        <f>AG19</f>
        <v>CÔNG TY CỔ PHẦN VIỄN THÔNG DI ĐỘNG TOÀN CẦU</v>
      </c>
      <c r="N19" s="574"/>
      <c r="O19" s="574"/>
      <c r="P19" s="574"/>
      <c r="Q19" s="574"/>
      <c r="R19" s="574"/>
      <c r="S19" s="574"/>
      <c r="T19" s="574"/>
      <c r="U19" s="574"/>
      <c r="V19" s="574"/>
      <c r="W19" s="574"/>
      <c r="X19" s="574"/>
      <c r="Y19" s="574"/>
      <c r="Z19" s="574"/>
      <c r="AA19" s="574"/>
      <c r="AB19" s="574"/>
      <c r="AC19" s="574"/>
      <c r="AD19" s="575"/>
      <c r="AE19" s="255"/>
      <c r="AG19" s="248" t="s">
        <v>21031</v>
      </c>
    </row>
    <row r="20" ht="20.25" customHeight="1">
      <c r="C20" s="576" t="s">
        <v>21033</v>
      </c>
      <c r="D20" s="577"/>
      <c r="E20" s="577"/>
      <c r="F20" s="577"/>
      <c r="G20" s="577"/>
      <c r="H20" s="577"/>
      <c r="I20" s="577"/>
      <c r="J20" s="577"/>
      <c r="K20" s="577"/>
      <c r="L20" s="577"/>
      <c r="M20" s="577"/>
      <c r="N20" s="577"/>
      <c r="O20" s="577"/>
      <c r="P20" s="577"/>
      <c r="Q20" s="577"/>
      <c r="R20" s="577"/>
      <c r="S20" s="577"/>
      <c r="T20" s="577"/>
      <c r="U20" s="577"/>
      <c r="V20" s="577"/>
      <c r="W20" s="577"/>
      <c r="X20" s="577"/>
      <c r="Y20" s="577"/>
      <c r="Z20" s="577"/>
      <c r="AA20" s="577"/>
      <c r="AB20" s="577"/>
      <c r="AC20" s="577"/>
      <c r="AD20" s="578"/>
      <c r="AE20" s="256"/>
    </row>
    <row r="21" ht="31.5" customHeight="1">
      <c r="C21" s="569" t="s">
        <v>21034</v>
      </c>
      <c r="D21" s="569"/>
      <c r="E21" s="569"/>
      <c r="F21" s="569"/>
      <c r="G21" s="569"/>
      <c r="H21" s="569"/>
      <c r="I21" s="569"/>
      <c r="J21" s="569"/>
      <c r="K21" s="569"/>
      <c r="L21" s="569"/>
      <c r="M21" s="565" t="str">
        <f>AG21</f>
        <v>MOTOROLA HORIZON II MACRO</v>
      </c>
      <c r="N21" s="565"/>
      <c r="O21" s="565"/>
      <c r="P21" s="565"/>
      <c r="Q21" s="565"/>
      <c r="R21" s="565"/>
      <c r="S21" s="565" t="str">
        <f>AK21</f>
        <v>B</v>
      </c>
      <c r="T21" s="565"/>
      <c r="U21" s="565"/>
      <c r="V21" s="565"/>
      <c r="W21" s="565"/>
      <c r="X21" s="565"/>
      <c r="Y21" s="565" t="str">
        <f>AO21</f>
        <v>C</v>
      </c>
      <c r="Z21" s="565"/>
      <c r="AA21" s="565"/>
      <c r="AB21" s="565"/>
      <c r="AC21" s="565"/>
      <c r="AD21" s="565"/>
      <c r="AE21" s="252"/>
      <c r="AG21" s="248" t="s">
        <v>21156</v>
      </c>
      <c r="AK21" s="248" t="s">
        <v>21036</v>
      </c>
      <c r="AO21" s="248" t="s">
        <v>21037</v>
      </c>
      <c r="AS21" s="248" t="s">
        <v>21038</v>
      </c>
    </row>
    <row r="22" ht="19.65" customHeight="1">
      <c r="C22" s="566" t="s">
        <v>21039</v>
      </c>
      <c r="D22" s="567"/>
      <c r="E22" s="567"/>
      <c r="F22" s="567"/>
      <c r="G22" s="567"/>
      <c r="H22" s="567"/>
      <c r="I22" s="567"/>
      <c r="J22" s="567"/>
      <c r="K22" s="567"/>
      <c r="L22" s="568"/>
      <c r="M22" s="565">
        <f>AG22</f>
        <v>3</v>
      </c>
      <c r="N22" s="565"/>
      <c r="O22" s="565"/>
      <c r="P22" s="565"/>
      <c r="Q22" s="565"/>
      <c r="R22" s="565"/>
      <c r="S22" s="565">
        <f>AK22</f>
        <v>3</v>
      </c>
      <c r="T22" s="565"/>
      <c r="U22" s="565"/>
      <c r="V22" s="565"/>
      <c r="W22" s="565"/>
      <c r="X22" s="565"/>
      <c r="Y22" s="565">
        <f>AO22</f>
        <v>3</v>
      </c>
      <c r="Z22" s="565"/>
      <c r="AA22" s="565"/>
      <c r="AB22" s="565"/>
      <c r="AC22" s="565"/>
      <c r="AD22" s="565"/>
      <c r="AE22" s="252"/>
      <c r="AG22" s="253">
        <v>3</v>
      </c>
      <c r="AH22" s="253"/>
      <c r="AI22" s="253"/>
      <c r="AJ22" s="253"/>
      <c r="AK22" s="253">
        <v>3</v>
      </c>
      <c r="AL22" s="253"/>
      <c r="AM22" s="253"/>
      <c r="AN22" s="253"/>
      <c r="AO22" s="253">
        <v>3</v>
      </c>
      <c r="AS22" s="219">
        <v>1</v>
      </c>
    </row>
    <row r="23" ht="19.65" customHeight="1">
      <c r="C23" s="569" t="s">
        <v>21040</v>
      </c>
      <c r="D23" s="569"/>
      <c r="E23" s="569"/>
      <c r="F23" s="569"/>
      <c r="G23" s="569"/>
      <c r="H23" s="569"/>
      <c r="I23" s="569"/>
      <c r="J23" s="569"/>
      <c r="K23" s="569"/>
      <c r="L23" s="569"/>
      <c r="M23" s="585" t="str">
        <f>AG23</f>
        <v>4/4/4</v>
      </c>
      <c r="N23" s="585"/>
      <c r="O23" s="585"/>
      <c r="P23" s="585"/>
      <c r="Q23" s="585"/>
      <c r="R23" s="585"/>
      <c r="S23" s="585" t="str">
        <f>AK23</f>
        <v>2/2/2</v>
      </c>
      <c r="T23" s="585"/>
      <c r="U23" s="585"/>
      <c r="V23" s="585"/>
      <c r="W23" s="585"/>
      <c r="X23" s="585"/>
      <c r="Y23" s="585" t="str">
        <f>AO23</f>
        <v>5/5/5</v>
      </c>
      <c r="Z23" s="565"/>
      <c r="AA23" s="565"/>
      <c r="AB23" s="565"/>
      <c r="AC23" s="565"/>
      <c r="AD23" s="565"/>
      <c r="AE23" s="257"/>
      <c r="AG23" s="258" t="s">
        <v>21041</v>
      </c>
      <c r="AH23" s="259"/>
      <c r="AI23" s="259"/>
      <c r="AJ23" s="259"/>
      <c r="AK23" s="258" t="s">
        <v>21042</v>
      </c>
      <c r="AL23" s="259"/>
      <c r="AM23" s="259"/>
      <c r="AN23" s="259"/>
      <c r="AO23" s="258" t="s">
        <v>21043</v>
      </c>
      <c r="AP23" s="259"/>
      <c r="AQ23" s="259"/>
      <c r="AR23" s="259"/>
      <c r="AS23" s="258" t="s">
        <v>21044</v>
      </c>
    </row>
    <row r="24" ht="31.35" customHeight="1">
      <c r="C24" s="566" t="s">
        <v>21045</v>
      </c>
      <c r="D24" s="567"/>
      <c r="E24" s="567"/>
      <c r="F24" s="567"/>
      <c r="G24" s="567"/>
      <c r="H24" s="567"/>
      <c r="I24" s="567"/>
      <c r="J24" s="567"/>
      <c r="K24" s="567"/>
      <c r="L24" s="568"/>
      <c r="M24" s="586" t="str">
        <f>IF(M22=4,AG24&amp;"W/ "&amp;AH24&amp;"W/ "&amp;AI24&amp;"W/ "&amp;AK24&amp;"W",IF(M22=3,AG24&amp;"W/ "&amp;AH24&amp;"W/ "&amp;AI24&amp;"W",IF(M22=2,AG24&amp;"W/ "&amp;AH24&amp;"W",AG24&amp;"W")))</f>
        <v>20W/ 20W/ 20W</v>
      </c>
      <c r="N24" s="586"/>
      <c r="O24" s="586"/>
      <c r="P24" s="586"/>
      <c r="Q24" s="586"/>
      <c r="R24" s="586"/>
      <c r="S24" s="586" t="str">
        <f>IF(S22=4,AK24&amp;"W/ "&amp;AL24&amp;"W/ "&amp;AM24&amp;"W/ "&amp;AN24&amp;"W",IF(S22=3,AK24&amp;"W/ "&amp;AL24&amp;"W/ "&amp;AM24&amp;"W",IF(S22=2,AK24&amp;"W/ "&amp;AL24&amp;"W",AK24&amp;"W")))</f>
        <v>40W/ 40W/ 40W</v>
      </c>
      <c r="T24" s="586"/>
      <c r="U24" s="586"/>
      <c r="V24" s="586"/>
      <c r="W24" s="586"/>
      <c r="X24" s="586"/>
      <c r="Y24" s="586" t="str">
        <f>IF(Y22=4,AO24&amp;"W/ "&amp;AP24&amp;"W/ "&amp;AQ24&amp;"W/ "&amp;AR24&amp;"W",IF(Y22=3,AO24&amp;"W/ "&amp;AP24&amp;"W/ "&amp;AQ24&amp;"W",IF(Y22=2,AO24&amp;"W/ "&amp;AP24&amp;"W",AO24&amp;"W")))</f>
        <v>60W/ 60W/ 60W</v>
      </c>
      <c r="Z24" s="586"/>
      <c r="AA24" s="586"/>
      <c r="AB24" s="586"/>
      <c r="AC24" s="586"/>
      <c r="AD24" s="586"/>
      <c r="AE24" s="255"/>
      <c r="AG24" s="219">
        <v>20</v>
      </c>
      <c r="AH24" s="219">
        <v>20</v>
      </c>
      <c r="AI24" s="219">
        <v>20</v>
      </c>
      <c r="AK24" s="219">
        <v>40</v>
      </c>
      <c r="AL24" s="219">
        <v>40</v>
      </c>
      <c r="AM24" s="219">
        <v>40</v>
      </c>
      <c r="AO24" s="219">
        <v>60</v>
      </c>
      <c r="AP24" s="219">
        <v>60</v>
      </c>
      <c r="AQ24" s="219">
        <v>60</v>
      </c>
      <c r="AS24" s="219">
        <v>80</v>
      </c>
      <c r="AT24" s="219">
        <v>80</v>
      </c>
      <c r="AU24" s="219">
        <v>80</v>
      </c>
    </row>
    <row r="25" ht="19.65" customHeight="1">
      <c r="C25" s="569" t="s">
        <v>21046</v>
      </c>
      <c r="D25" s="569"/>
      <c r="E25" s="569"/>
      <c r="F25" s="569"/>
      <c r="G25" s="569"/>
      <c r="H25" s="569"/>
      <c r="I25" s="569"/>
      <c r="J25" s="569"/>
      <c r="K25" s="569"/>
      <c r="L25" s="569"/>
      <c r="M25" s="565" t="str">
        <f>IF(AG25="900 &amp; 1800","900MHz &amp; 1800MHz",IF(AG25="900 &amp; 2100","900MHz &amp; 2100MHz",AG25&amp;"MHz"))</f>
        <v>900MHz</v>
      </c>
      <c r="N25" s="565"/>
      <c r="O25" s="565"/>
      <c r="P25" s="565"/>
      <c r="Q25" s="565"/>
      <c r="R25" s="565"/>
      <c r="S25" s="565" t="str">
        <f>IF(AK25="900 &amp; 1800","900MHz &amp; 1800MHz",IF(AK25="900 &amp; 2100","900MHz &amp; 2100MHz",AK25&amp;"MHz"))</f>
        <v>1800MHz</v>
      </c>
      <c r="T25" s="565"/>
      <c r="U25" s="565"/>
      <c r="V25" s="565"/>
      <c r="W25" s="565"/>
      <c r="X25" s="565"/>
      <c r="Y25" s="565" t="str">
        <f>IF(AO25="900 &amp; 1800","900MHz &amp; 1800MHz",IF(AO25="900 &amp; 2100","900MHz &amp; 2100MHz",AO25&amp;"MHz"))</f>
        <v>2100MHz</v>
      </c>
      <c r="Z25" s="565"/>
      <c r="AA25" s="565"/>
      <c r="AB25" s="565"/>
      <c r="AC25" s="565"/>
      <c r="AD25" s="565"/>
      <c r="AE25" s="252"/>
      <c r="AG25" s="219">
        <v>900</v>
      </c>
      <c r="AK25" s="219">
        <v>1800</v>
      </c>
      <c r="AO25" s="219">
        <v>2100</v>
      </c>
      <c r="AS25" s="248" t="s">
        <v>21158</v>
      </c>
    </row>
    <row r="26" ht="31.35" customHeight="1">
      <c r="C26" s="569" t="s">
        <v>21165</v>
      </c>
      <c r="D26" s="569"/>
      <c r="E26" s="569"/>
      <c r="F26" s="569"/>
      <c r="G26" s="569"/>
      <c r="H26" s="569"/>
      <c r="I26" s="569"/>
      <c r="J26" s="569"/>
      <c r="K26" s="569"/>
      <c r="L26" s="569"/>
      <c r="M26" s="565">
        <f>AG26</f>
        <v>15</v>
      </c>
      <c r="N26" s="565"/>
      <c r="O26" s="565"/>
      <c r="P26" s="565"/>
      <c r="Q26" s="565"/>
      <c r="R26" s="565"/>
      <c r="S26" s="565">
        <f>AK26</f>
        <v>16</v>
      </c>
      <c r="T26" s="565"/>
      <c r="U26" s="565"/>
      <c r="V26" s="565"/>
      <c r="W26" s="565"/>
      <c r="X26" s="565"/>
      <c r="Y26" s="565">
        <f>AO26</f>
        <v>17</v>
      </c>
      <c r="Z26" s="565"/>
      <c r="AA26" s="565"/>
      <c r="AB26" s="565"/>
      <c r="AC26" s="565"/>
      <c r="AD26" s="565"/>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5.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5.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44" t="str">
        <f>IF(AG31=1,AO31,IF(AG31=2,AO30))</f>
        <v>Giới hạn an toàn: là khoảng chiều cao trên cột anten tính từ điểm có độ cao 20m so với mặt đất trở lên.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5.7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IF(AI41=0,AO34,IF(AI41=1,AK34,AS34))</f>
        <v>KT. GIÁM ĐỐC</v>
      </c>
      <c r="U34" s="517"/>
      <c r="V34" s="517"/>
      <c r="W34" s="517"/>
      <c r="X34" s="517"/>
      <c r="Y34" s="517"/>
      <c r="Z34" s="517"/>
      <c r="AA34" s="517"/>
      <c r="AB34" s="517"/>
      <c r="AC34" s="517"/>
      <c r="AD34" s="517"/>
      <c r="AE34" s="517"/>
      <c r="AK34" s="219" t="s">
        <v>21054</v>
      </c>
      <c r="AO34" s="219" t="s">
        <v>21055</v>
      </c>
      <c r="AS34" s="219" t="s">
        <v>21056</v>
      </c>
    </row>
    <row r="35" ht="17.1" customHeight="1">
      <c r="C35" s="518" t="s">
        <v>21057</v>
      </c>
      <c r="D35" s="518"/>
      <c r="E35" s="518"/>
      <c r="F35" s="518"/>
      <c r="G35" s="518"/>
      <c r="H35" s="275" t="s">
        <v>21058</v>
      </c>
      <c r="I35" s="520" t="s">
        <v>21059</v>
      </c>
      <c r="J35" s="520"/>
      <c r="K35" s="520"/>
      <c r="L35" s="520"/>
      <c r="M35" s="520"/>
      <c r="N35" s="520"/>
      <c r="O35" s="264"/>
      <c r="P35" s="264"/>
      <c r="Q35" s="260"/>
      <c r="R35" s="260"/>
      <c r="S35" s="260"/>
      <c r="T35" s="517" t="str">
        <f>IF(AI41=0,AO35,IF(AI41=1,"",AS35))</f>
        <v>PHÓ GIÁM ĐỐC</v>
      </c>
      <c r="U35" s="517"/>
      <c r="V35" s="517"/>
      <c r="W35" s="517"/>
      <c r="X35" s="517"/>
      <c r="Y35" s="517"/>
      <c r="Z35" s="517"/>
      <c r="AA35" s="517"/>
      <c r="AB35" s="517"/>
      <c r="AC35" s="517"/>
      <c r="AD35" s="517"/>
      <c r="AE35" s="517"/>
      <c r="AO35" s="219" t="s">
        <v>21060</v>
      </c>
      <c r="AS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I41" s="219">
        <v>0</v>
      </c>
      <c r="AK41" s="219" t="s">
        <v>21064</v>
      </c>
      <c r="AO41" s="219" t="s">
        <v>21065</v>
      </c>
      <c r="AT41" s="219" t="s">
        <v>21066</v>
      </c>
    </row>
    <row r="42" ht="16.8">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row>
    <row r="45" ht="16.5" customHeight="1">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G48" s="219">
        <v>33</v>
      </c>
      <c r="AI48" s="219">
        <v>35</v>
      </c>
      <c r="AL48" s="219">
        <v>37</v>
      </c>
      <c r="AO48" s="219">
        <v>39</v>
      </c>
      <c r="AP48" s="219">
        <v>40</v>
      </c>
      <c r="AQ48" s="219">
        <v>41</v>
      </c>
      <c r="AS48" s="219">
        <v>42</v>
      </c>
      <c r="AT48" s="219">
        <v>43</v>
      </c>
      <c r="AU48" s="219">
        <v>44</v>
      </c>
      <c r="AV48" s="219">
        <v>45</v>
      </c>
    </row>
    <row r="49" ht="18.75" customHeight="1">
      <c r="B49" s="513" t="str">
        <f>AG49</f>
        <v>CÔNG TY CỔ PHẦN VIỄN THÔNG DI ĐỘNG TOÀN CẦU</v>
      </c>
      <c r="C49" s="513"/>
      <c r="D49" s="513"/>
      <c r="E49" s="513"/>
      <c r="F49" s="513"/>
      <c r="G49" s="513"/>
      <c r="H49" s="514" t="str">
        <f>AI49</f>
        <v>TB1</v>
      </c>
      <c r="I49" s="514"/>
      <c r="J49" s="514"/>
      <c r="K49" s="514"/>
      <c r="L49" s="515">
        <v>3</v>
      </c>
      <c r="M49" s="515"/>
      <c r="N49" s="556" t="str">
        <f>AL49</f>
        <v>4/4/4</v>
      </c>
      <c r="O49" s="556"/>
      <c r="P49" s="556"/>
      <c r="Q49" s="513" t="str">
        <f>IF(L49=3,AO49&amp;"W/ "&amp;AP49&amp;"W/ "&amp;AQ49&amp;"W",IF(L49=2,AO49&amp;"W/ "&amp;AP49&amp;"W",AO49&amp;"W"))</f>
        <v>20W/ 30W/ 40W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G49" s="248" t="s">
        <v>21031</v>
      </c>
      <c r="AI49" s="248" t="s">
        <v>21074</v>
      </c>
      <c r="AJ49" s="248"/>
      <c r="AL49" s="258" t="s">
        <v>21041</v>
      </c>
      <c r="AO49" s="219">
        <v>20</v>
      </c>
      <c r="AP49" s="219">
        <v>30</v>
      </c>
      <c r="AQ49" s="219">
        <v>40</v>
      </c>
      <c r="AS49" s="219">
        <v>900</v>
      </c>
      <c r="AT49" s="219">
        <v>15</v>
      </c>
      <c r="AU49" s="219">
        <v>16</v>
      </c>
      <c r="AV49" s="219">
        <v>17</v>
      </c>
    </row>
    <row r="50" ht="18.75" customHeight="1">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row>
    <row r="51" ht="18.75" customHeight="1">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row>
    <row r="52" ht="18.75" customHeight="1">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row>
    <row r="53" ht="18.75" customHeight="1">
      <c r="B53" s="513" t="str">
        <f>AG53</f>
        <v>CÔNG TY CỔ PHẦN VIỄN THÔNG DI ĐỘNG TOÀN CẦU</v>
      </c>
      <c r="C53" s="513"/>
      <c r="D53" s="513"/>
      <c r="E53" s="513"/>
      <c r="F53" s="513"/>
      <c r="G53" s="513"/>
      <c r="H53" s="514" t="str">
        <f>AI53</f>
        <v>TB1</v>
      </c>
      <c r="I53" s="514"/>
      <c r="J53" s="514"/>
      <c r="K53" s="514"/>
      <c r="L53" s="515">
        <v>2</v>
      </c>
      <c r="M53" s="515"/>
      <c r="N53" s="556" t="str">
        <f>AL53</f>
        <v>4/4/4</v>
      </c>
      <c r="O53" s="556"/>
      <c r="P53" s="556"/>
      <c r="Q53" s="513" t="str">
        <f>IF(L53=3,AO53&amp;"W/ "&amp;AP53&amp;"W/ "&amp;AQ53&amp;"W",IF(L53=2,AO53&amp;"W/ "&amp;AP53&amp;"W",AO53&amp;"W"))</f>
        <v>20W/ 30W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G53" s="248" t="s">
        <v>21031</v>
      </c>
      <c r="AI53" s="248" t="s">
        <v>21074</v>
      </c>
      <c r="AJ53" s="248"/>
      <c r="AL53" s="258" t="s">
        <v>21041</v>
      </c>
      <c r="AO53" s="219">
        <v>20</v>
      </c>
      <c r="AP53" s="219">
        <v>30</v>
      </c>
      <c r="AQ53" s="219">
        <v>40</v>
      </c>
      <c r="AS53" s="219">
        <v>1800</v>
      </c>
      <c r="AT53" s="219">
        <v>15</v>
      </c>
      <c r="AU53" s="219">
        <v>16</v>
      </c>
      <c r="AV53" s="219">
        <v>17</v>
      </c>
    </row>
    <row r="54" ht="18.75" customHeight="1">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G54" s="248"/>
      <c r="AI54" s="248"/>
      <c r="AJ54" s="248"/>
      <c r="AL54" s="258"/>
    </row>
    <row r="55" ht="18.75" customHeight="1">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row>
    <row r="56" ht="18.75" customHeight="1">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row>
    <row r="57" ht="18.75" customHeight="1">
      <c r="B57" s="513" t="str">
        <f>AG57</f>
        <v>CÔNG TY CỔ PHẦN VIỄN THÔNG DI ĐỘNG TOÀN CẦU</v>
      </c>
      <c r="C57" s="513"/>
      <c r="D57" s="513"/>
      <c r="E57" s="513"/>
      <c r="F57" s="513"/>
      <c r="G57" s="513"/>
      <c r="H57" s="514" t="str">
        <f>AI57</f>
        <v>TB1</v>
      </c>
      <c r="I57" s="514"/>
      <c r="J57" s="514"/>
      <c r="K57" s="514"/>
      <c r="L57" s="515">
        <v>2</v>
      </c>
      <c r="M57" s="515"/>
      <c r="N57" s="556" t="str">
        <f>AL57</f>
        <v>4/4/4</v>
      </c>
      <c r="O57" s="556"/>
      <c r="P57" s="556"/>
      <c r="Q57" s="513" t="str">
        <f>IF(L57=3,AO57&amp;"W/ "&amp;AP57&amp;"W/ "&amp;AQ57&amp;"W",IF(L57=2,AO57&amp;"W/ "&amp;AP57&amp;"W",AO57&amp;"W"))</f>
        <v>20W/ 30W</v>
      </c>
      <c r="R57" s="513"/>
      <c r="S57" s="513"/>
      <c r="T57" s="513"/>
      <c r="U57" s="513"/>
      <c r="V57" s="513" t="str">
        <f>IF(AS57="900 &amp; 1800","900MHz &amp; 1800MHz",IF(AS57="900 &amp; 2100","900MHz &amp; 2100MHz",IF(AS57="1800 &amp; 2100","1800MHz &amp; 2100MHz",AS57&amp;"MHz")))</f>
        <v>9000 &amp; 1800MHz</v>
      </c>
      <c r="W57" s="513"/>
      <c r="X57" s="513"/>
      <c r="Y57" s="513">
        <f>AT57</f>
        <v>15</v>
      </c>
      <c r="Z57" s="513"/>
      <c r="AA57" s="513"/>
      <c r="AB57" s="513"/>
      <c r="AC57" s="513"/>
      <c r="AD57" s="513"/>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G58" s="248"/>
      <c r="AI58" s="248"/>
      <c r="AJ58" s="248"/>
      <c r="AL58" s="258"/>
    </row>
    <row r="59" ht="18.75" customHeight="1">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row>
    <row r="60" ht="18.75" customHeight="1">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row>
    <row r="61" ht="18.75" customHeight="1">
      <c r="B61" s="513" t="str">
        <f>AG61</f>
        <v>CÔNG TY CỔ PHẦN VIỄN THÔNG DI ĐỘNG TOÀN CẦU</v>
      </c>
      <c r="C61" s="513"/>
      <c r="D61" s="513"/>
      <c r="E61" s="513"/>
      <c r="F61" s="513"/>
      <c r="G61" s="513"/>
      <c r="H61" s="514" t="str">
        <f>AI61</f>
        <v>TB1</v>
      </c>
      <c r="I61" s="514"/>
      <c r="J61" s="514"/>
      <c r="K61" s="514"/>
      <c r="L61" s="515">
        <v>3</v>
      </c>
      <c r="M61" s="515"/>
      <c r="N61" s="556" t="str">
        <f>AL61</f>
        <v>4/4/4</v>
      </c>
      <c r="O61" s="556"/>
      <c r="P61" s="556"/>
      <c r="Q61" s="513" t="str">
        <f>IF(L61=3,AO61&amp;"W/ "&amp;AP61&amp;"W/ "&amp;AQ61&amp;"W",IF(L61=2,AO61&amp;"W/ "&amp;AP61&amp;"W",AO61&amp;"W"))</f>
        <v>20W/ 30W/ 40W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G62" s="248"/>
      <c r="AI62" s="248"/>
      <c r="AJ62" s="248"/>
      <c r="AL62" s="258"/>
    </row>
    <row r="63" ht="18.75" customHeight="1">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row>
    <row r="64" ht="18.75" customHeight="1">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row>
    <row r="65" ht="18.75" customHeight="1">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row>
    <row r="67" ht="18.75" customHeight="1">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row>
    <row r="68" ht="18.75" customHeight="1">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09375" defaultRowHeight="13.2"/>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09375" customWidth="1" style="219"/>
    <col min="124" max="134" width="9.109375" customWidth="1" style="219"/>
    <col min="135" max="16384" width="9.109375" customWidth="1" style="219"/>
  </cols>
  <sheetData>
    <row r="1" ht="19.65" customHeight="1">
      <c r="B1" s="535" t="s">
        <v>21018</v>
      </c>
      <c r="C1" s="535"/>
      <c r="D1" s="535"/>
      <c r="E1" s="535"/>
      <c r="F1" s="535"/>
      <c r="G1" s="535"/>
      <c r="H1" s="535"/>
      <c r="I1" s="535"/>
      <c r="J1" s="535"/>
      <c r="K1" s="535"/>
      <c r="L1" s="535"/>
      <c r="M1" s="535"/>
      <c r="N1" s="535"/>
      <c r="O1" s="247"/>
      <c r="P1" s="516" t="s">
        <v>21160</v>
      </c>
      <c r="Q1" s="516"/>
      <c r="R1" s="516"/>
      <c r="S1" s="516"/>
      <c r="T1" s="516"/>
      <c r="U1" s="516"/>
      <c r="V1" s="516"/>
      <c r="W1" s="516"/>
      <c r="X1" s="516"/>
      <c r="Y1" s="516"/>
      <c r="Z1" s="516"/>
      <c r="AA1" s="516"/>
      <c r="AB1" s="516"/>
      <c r="AC1" s="516"/>
      <c r="AD1" s="516"/>
      <c r="AE1" s="516"/>
    </row>
    <row r="2" ht="19.65" customHeight="1">
      <c r="C2" s="535" t="s">
        <v>21020</v>
      </c>
      <c r="D2" s="535"/>
      <c r="E2" s="535"/>
      <c r="F2" s="535"/>
      <c r="G2" s="535"/>
      <c r="H2" s="535"/>
      <c r="I2" s="535"/>
      <c r="J2" s="535"/>
      <c r="K2" s="535"/>
      <c r="L2" s="535"/>
      <c r="M2" s="535"/>
      <c r="N2" s="270"/>
      <c r="O2" s="247"/>
      <c r="P2" s="535" t="s">
        <v>21161</v>
      </c>
      <c r="Q2" s="535"/>
      <c r="R2" s="535"/>
      <c r="S2" s="535"/>
      <c r="T2" s="535"/>
      <c r="U2" s="535"/>
      <c r="V2" s="535"/>
      <c r="W2" s="535"/>
      <c r="X2" s="535"/>
      <c r="Y2" s="535"/>
      <c r="Z2" s="535"/>
      <c r="AA2" s="535"/>
      <c r="AB2" s="535"/>
      <c r="AC2" s="535"/>
      <c r="AD2" s="535"/>
      <c r="AE2" s="535"/>
    </row>
    <row r="3" ht="8.4"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65"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c r="AE6" s="528"/>
    </row>
    <row r="7" ht="19.65"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c r="AE7" s="528"/>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65" customHeight="1">
      <c r="C9" s="535" t="str">
        <f>"Số: "&amp;AI9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E9" s="535"/>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65"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c r="AE11" s="528"/>
    </row>
    <row r="12" ht="19.65"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c r="AE12" s="528"/>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86" t="s">
        <v>21023</v>
      </c>
      <c r="D15" s="586"/>
      <c r="E15" s="586"/>
      <c r="F15" s="586"/>
      <c r="G15" s="586"/>
      <c r="H15" s="586"/>
      <c r="I15" s="586"/>
      <c r="J15" s="586"/>
      <c r="K15" s="586"/>
      <c r="L15" s="586"/>
      <c r="M15" s="586"/>
      <c r="N15" s="586"/>
      <c r="O15" s="586"/>
      <c r="P15" s="586"/>
      <c r="Q15" s="586"/>
      <c r="R15" s="586"/>
      <c r="S15" s="586"/>
      <c r="T15" s="586"/>
      <c r="U15" s="586"/>
      <c r="V15" s="586"/>
      <c r="W15" s="586"/>
      <c r="X15" s="586"/>
      <c r="Y15" s="586"/>
      <c r="Z15" s="586"/>
      <c r="AA15" s="586"/>
      <c r="AB15" s="586"/>
      <c r="AC15" s="586"/>
      <c r="AD15" s="586"/>
      <c r="AE15" s="586"/>
      <c r="AF15" s="586"/>
      <c r="AG15" s="278"/>
      <c r="AH15" s="278"/>
      <c r="AI15" s="253">
        <v>1</v>
      </c>
      <c r="AJ15" s="253"/>
      <c r="AK15" s="253"/>
      <c r="AL15" s="253"/>
      <c r="AM15" s="253">
        <v>2</v>
      </c>
      <c r="AN15" s="253"/>
      <c r="AO15" s="253"/>
      <c r="AP15" s="253"/>
      <c r="AQ15" s="253">
        <v>3</v>
      </c>
      <c r="AU15" s="219">
        <v>4</v>
      </c>
    </row>
    <row r="16" ht="38.25" customHeight="1">
      <c r="C16" s="579" t="s">
        <v>21027</v>
      </c>
      <c r="D16" s="580"/>
      <c r="E16" s="580"/>
      <c r="F16" s="580"/>
      <c r="G16" s="580"/>
      <c r="H16" s="580"/>
      <c r="I16" s="580"/>
      <c r="J16" s="580"/>
      <c r="K16" s="580"/>
      <c r="L16" s="581"/>
      <c r="M16" s="582" t="str">
        <f>AI16</f>
        <v>Ấp Bàu Trâu, xã Phước Thạnh, huyện Củ Chi, thành phố Hồ Chí Minh.</v>
      </c>
      <c r="N16" s="583"/>
      <c r="O16" s="583"/>
      <c r="P16" s="583"/>
      <c r="Q16" s="583"/>
      <c r="R16" s="583"/>
      <c r="S16" s="583"/>
      <c r="T16" s="583"/>
      <c r="U16" s="583"/>
      <c r="V16" s="583"/>
      <c r="W16" s="583"/>
      <c r="X16" s="583"/>
      <c r="Y16" s="583"/>
      <c r="Z16" s="583"/>
      <c r="AA16" s="583"/>
      <c r="AB16" s="583"/>
      <c r="AC16" s="583"/>
      <c r="AD16" s="583"/>
      <c r="AE16" s="583"/>
      <c r="AF16" s="584"/>
      <c r="AG16" s="279"/>
      <c r="AH16" s="279"/>
      <c r="AI16" s="273" t="s">
        <v>21028</v>
      </c>
    </row>
    <row r="17" ht="22.5" customHeight="1">
      <c r="C17" s="594" t="s">
        <v>21029</v>
      </c>
      <c r="D17" s="595"/>
      <c r="E17" s="595"/>
      <c r="F17" s="595"/>
      <c r="G17" s="595"/>
      <c r="H17" s="595"/>
      <c r="I17" s="595"/>
      <c r="J17" s="595"/>
      <c r="K17" s="595"/>
      <c r="L17" s="596"/>
      <c r="M17" s="573" t="str">
        <f>IF(AG17="","",AG17)</f>
      </c>
      <c r="N17" s="574"/>
      <c r="O17" s="574"/>
      <c r="P17" s="574"/>
      <c r="Q17" s="574"/>
      <c r="R17" s="574"/>
      <c r="S17" s="574"/>
      <c r="T17" s="574"/>
      <c r="U17" s="574"/>
      <c r="V17" s="574"/>
      <c r="W17" s="574"/>
      <c r="X17" s="574"/>
      <c r="Y17" s="574"/>
      <c r="Z17" s="574"/>
      <c r="AA17" s="574"/>
      <c r="AB17" s="574"/>
      <c r="AC17" s="574"/>
      <c r="AD17" s="574"/>
      <c r="AE17" s="574"/>
      <c r="AF17" s="575"/>
      <c r="AG17" s="279"/>
      <c r="AH17" s="279"/>
    </row>
    <row r="18" ht="31.35" customHeight="1">
      <c r="C18" s="592" t="s">
        <v>21030</v>
      </c>
      <c r="D18" s="593"/>
      <c r="E18" s="593"/>
      <c r="F18" s="593"/>
      <c r="G18" s="593"/>
      <c r="H18" s="593"/>
      <c r="I18" s="593"/>
      <c r="J18" s="593"/>
      <c r="K18" s="593"/>
      <c r="L18" s="593"/>
      <c r="M18" s="565" t="str">
        <f>AI18</f>
        <v>CÔNG TY CỔ PHẦN VIỄN THÔNG DI ĐỘNG TOÀN CẦU</v>
      </c>
      <c r="N18" s="565"/>
      <c r="O18" s="565"/>
      <c r="P18" s="565"/>
      <c r="Q18" s="565"/>
      <c r="R18" s="565"/>
      <c r="S18" s="565"/>
      <c r="T18" s="565"/>
      <c r="U18" s="565"/>
      <c r="V18" s="565"/>
      <c r="W18" s="565"/>
      <c r="X18" s="565"/>
      <c r="Y18" s="565"/>
      <c r="Z18" s="565"/>
      <c r="AA18" s="565"/>
      <c r="AB18" s="565"/>
      <c r="AC18" s="565"/>
      <c r="AD18" s="565"/>
      <c r="AE18" s="565"/>
      <c r="AF18" s="565"/>
      <c r="AG18" s="279"/>
      <c r="AH18" s="279"/>
      <c r="AI18" s="248" t="s">
        <v>21031</v>
      </c>
    </row>
    <row r="19" ht="31.35" customHeight="1">
      <c r="C19" s="592" t="s">
        <v>21032</v>
      </c>
      <c r="D19" s="593"/>
      <c r="E19" s="593"/>
      <c r="F19" s="593"/>
      <c r="G19" s="593"/>
      <c r="H19" s="593"/>
      <c r="I19" s="593"/>
      <c r="J19" s="593"/>
      <c r="K19" s="593"/>
      <c r="L19" s="593"/>
      <c r="M19" s="565" t="str">
        <f>AI19</f>
        <v>CÔNG TY CỔ PHẦN VIỄN THÔNG DI ĐỘNG TOÀN CẦU</v>
      </c>
      <c r="N19" s="565"/>
      <c r="O19" s="565"/>
      <c r="P19" s="565"/>
      <c r="Q19" s="565"/>
      <c r="R19" s="565"/>
      <c r="S19" s="565"/>
      <c r="T19" s="565"/>
      <c r="U19" s="565"/>
      <c r="V19" s="565"/>
      <c r="W19" s="565"/>
      <c r="X19" s="565"/>
      <c r="Y19" s="565"/>
      <c r="Z19" s="565"/>
      <c r="AA19" s="565"/>
      <c r="AB19" s="565"/>
      <c r="AC19" s="565"/>
      <c r="AD19" s="565"/>
      <c r="AE19" s="565"/>
      <c r="AF19" s="565"/>
      <c r="AG19" s="279"/>
      <c r="AH19" s="279"/>
      <c r="AI19" s="248" t="s">
        <v>21031</v>
      </c>
    </row>
    <row r="20" ht="18.75" customHeight="1">
      <c r="C20" s="576" t="s">
        <v>21033</v>
      </c>
      <c r="D20" s="577"/>
      <c r="E20" s="577"/>
      <c r="F20" s="577"/>
      <c r="G20" s="577"/>
      <c r="H20" s="577"/>
      <c r="I20" s="577"/>
      <c r="J20" s="577"/>
      <c r="K20" s="577"/>
      <c r="L20" s="577"/>
      <c r="M20" s="577"/>
      <c r="N20" s="577"/>
      <c r="O20" s="577"/>
      <c r="P20" s="577"/>
      <c r="Q20" s="577"/>
      <c r="R20" s="577"/>
      <c r="S20" s="577"/>
      <c r="T20" s="577"/>
      <c r="U20" s="577"/>
      <c r="V20" s="577"/>
      <c r="W20" s="577"/>
      <c r="X20" s="577"/>
      <c r="Y20" s="577"/>
      <c r="Z20" s="577"/>
      <c r="AA20" s="577"/>
      <c r="AB20" s="577"/>
      <c r="AC20" s="577"/>
      <c r="AD20" s="577"/>
      <c r="AE20" s="577"/>
      <c r="AF20" s="578"/>
      <c r="AG20" s="280"/>
      <c r="AH20" s="280"/>
    </row>
    <row r="21" ht="45.15" customHeight="1">
      <c r="C21" s="569" t="s">
        <v>21034</v>
      </c>
      <c r="D21" s="569"/>
      <c r="E21" s="569"/>
      <c r="F21" s="569"/>
      <c r="G21" s="569"/>
      <c r="H21" s="569"/>
      <c r="I21" s="569"/>
      <c r="J21" s="569"/>
      <c r="K21" s="569"/>
      <c r="L21" s="569"/>
      <c r="M21" s="565" t="str">
        <f ref="M21:M23" t="shared" si="0">AI21</f>
        <v>A</v>
      </c>
      <c r="N21" s="565"/>
      <c r="O21" s="565"/>
      <c r="P21" s="565"/>
      <c r="Q21" s="565"/>
      <c r="R21" s="565" t="str">
        <f ref="R21:R23" t="shared" si="1">AM21</f>
        <v>B</v>
      </c>
      <c r="S21" s="565"/>
      <c r="T21" s="565"/>
      <c r="U21" s="565"/>
      <c r="V21" s="565"/>
      <c r="W21" s="565" t="str">
        <f>AQ21</f>
        <v>C</v>
      </c>
      <c r="X21" s="565"/>
      <c r="Y21" s="565"/>
      <c r="Z21" s="565"/>
      <c r="AA21" s="565"/>
      <c r="AB21" s="565" t="str">
        <f>AU21</f>
        <v>D</v>
      </c>
      <c r="AC21" s="565"/>
      <c r="AD21" s="565"/>
      <c r="AE21" s="565"/>
      <c r="AF21" s="565"/>
      <c r="AG21" s="278"/>
      <c r="AH21" s="278"/>
      <c r="AI21" s="248" t="s">
        <v>21035</v>
      </c>
      <c r="AM21" s="248" t="s">
        <v>21036</v>
      </c>
      <c r="AQ21" s="248" t="s">
        <v>21037</v>
      </c>
      <c r="AU21" s="248" t="s">
        <v>21038</v>
      </c>
    </row>
    <row r="22" ht="17.1" customHeight="1">
      <c r="C22" s="569" t="s">
        <v>21039</v>
      </c>
      <c r="D22" s="569"/>
      <c r="E22" s="569"/>
      <c r="F22" s="569"/>
      <c r="G22" s="569"/>
      <c r="H22" s="569"/>
      <c r="I22" s="569"/>
      <c r="J22" s="569"/>
      <c r="K22" s="569"/>
      <c r="L22" s="569"/>
      <c r="M22" s="565">
        <f>AI22</f>
        <v>3</v>
      </c>
      <c r="N22" s="565"/>
      <c r="O22" s="565"/>
      <c r="P22" s="565"/>
      <c r="Q22" s="565"/>
      <c r="R22" s="565">
        <f>AM22</f>
        <v>3</v>
      </c>
      <c r="S22" s="565"/>
      <c r="T22" s="565"/>
      <c r="U22" s="565"/>
      <c r="V22" s="565"/>
      <c r="W22" s="565">
        <f>AQ22</f>
        <v>3</v>
      </c>
      <c r="X22" s="565"/>
      <c r="Y22" s="565"/>
      <c r="Z22" s="565"/>
      <c r="AA22" s="565"/>
      <c r="AB22" s="565">
        <f>AU22</f>
        <v>1</v>
      </c>
      <c r="AC22" s="565"/>
      <c r="AD22" s="565"/>
      <c r="AE22" s="565"/>
      <c r="AF22" s="565"/>
      <c r="AG22" s="278"/>
      <c r="AH22" s="278"/>
      <c r="AI22" s="253">
        <v>3</v>
      </c>
      <c r="AJ22" s="253"/>
      <c r="AK22" s="253"/>
      <c r="AL22" s="253"/>
      <c r="AM22" s="253">
        <v>3</v>
      </c>
      <c r="AN22" s="253"/>
      <c r="AO22" s="253"/>
      <c r="AP22" s="253"/>
      <c r="AQ22" s="253">
        <v>3</v>
      </c>
      <c r="AU22" s="219">
        <v>1</v>
      </c>
    </row>
    <row r="23" ht="17.1" customHeight="1">
      <c r="C23" s="569" t="s">
        <v>21040</v>
      </c>
      <c r="D23" s="569"/>
      <c r="E23" s="569"/>
      <c r="F23" s="569"/>
      <c r="G23" s="569"/>
      <c r="H23" s="569"/>
      <c r="I23" s="569"/>
      <c r="J23" s="569"/>
      <c r="K23" s="569"/>
      <c r="L23" s="569"/>
      <c r="M23" s="590" t="str">
        <f t="shared" si="0"/>
        <v>4/4/4</v>
      </c>
      <c r="N23" s="590"/>
      <c r="O23" s="590"/>
      <c r="P23" s="590"/>
      <c r="Q23" s="590"/>
      <c r="R23" s="590" t="str">
        <f t="shared" si="1"/>
        <v>2/2/2</v>
      </c>
      <c r="S23" s="590"/>
      <c r="T23" s="590"/>
      <c r="U23" s="590"/>
      <c r="V23" s="590"/>
      <c r="W23" s="597" t="str">
        <f>AQ23</f>
        <v>5/5/5</v>
      </c>
      <c r="X23" s="590"/>
      <c r="Y23" s="590"/>
      <c r="Z23" s="590"/>
      <c r="AA23" s="590"/>
      <c r="AB23" s="597" t="str">
        <f>AU23</f>
        <v>4/2/4</v>
      </c>
      <c r="AC23" s="590"/>
      <c r="AD23" s="590"/>
      <c r="AE23" s="590"/>
      <c r="AF23" s="590"/>
      <c r="AI23" s="258" t="s">
        <v>21041</v>
      </c>
      <c r="AJ23" s="259"/>
      <c r="AK23" s="259"/>
      <c r="AL23" s="259"/>
      <c r="AM23" s="258" t="s">
        <v>21042</v>
      </c>
      <c r="AN23" s="259"/>
      <c r="AO23" s="259"/>
      <c r="AP23" s="259"/>
      <c r="AQ23" s="258" t="s">
        <v>21043</v>
      </c>
      <c r="AR23" s="259"/>
      <c r="AS23" s="259"/>
      <c r="AT23" s="259"/>
      <c r="AU23" s="258" t="s">
        <v>21044</v>
      </c>
    </row>
    <row r="24" ht="31.35" customHeight="1">
      <c r="C24" s="569" t="s">
        <v>21045</v>
      </c>
      <c r="D24" s="569"/>
      <c r="E24" s="569"/>
      <c r="F24" s="569"/>
      <c r="G24" s="569"/>
      <c r="H24" s="569"/>
      <c r="I24" s="569"/>
      <c r="J24" s="569"/>
      <c r="K24" s="569"/>
      <c r="L24" s="569"/>
      <c r="M24" s="590" t="str">
        <f>IF(M22=4,AI24&amp;"W/ "&amp;AJ24&amp;"W/ "&amp;AK24&amp;"W/ "&amp;AL24&amp;"W",IF(M22=3,AI24&amp;"W/ "&amp;AJ24&amp;"W/ "&amp;AK24&amp;"W",IF(M22=2,AI24&amp;"W/ "&amp;AJ24&amp;"W",AI24&amp;"W")))</f>
        <v>100,45W/ 100,69W/ 100,69W</v>
      </c>
      <c r="N24" s="590"/>
      <c r="O24" s="590"/>
      <c r="P24" s="590"/>
      <c r="Q24" s="590"/>
      <c r="R24" s="590" t="str">
        <f>IF(R22=4,AM24&amp;"W/ "&amp;AN24&amp;"W/ "&amp;AO24&amp;"W/ "&amp;AP24&amp;"W",IF(R22=3,AM24&amp;"W/ "&amp;AN24&amp;"W/ "&amp;AO24&amp;"W",IF(R22=2,AM24&amp;"W/ "&amp;AN24&amp;"W",AM24&amp;"W")))</f>
        <v>40W/ 40W/ 40W</v>
      </c>
      <c r="S24" s="590"/>
      <c r="T24" s="590"/>
      <c r="U24" s="590"/>
      <c r="V24" s="590"/>
      <c r="W24" s="590" t="str">
        <f>IF(W22=4,AQ24&amp;"W/ "&amp;AR24&amp;"W/ "&amp;AS24&amp;"W/ "&amp;AT24&amp;"W",IF(W22=3,AQ24&amp;"W/ "&amp;AR24&amp;"W/ "&amp;AS24&amp;"W",IF(W22=2,AQ24&amp;"W/ "&amp;AR24&amp;"W",AQ24&amp;"W")))</f>
        <v>60W/ 60W/ 60W</v>
      </c>
      <c r="X24" s="590"/>
      <c r="Y24" s="590"/>
      <c r="Z24" s="590"/>
      <c r="AA24" s="590"/>
      <c r="AB24" s="590" t="str">
        <f>IF(AB22=3,AU24&amp;"W/ "&amp;AV24&amp;"W/ "&amp;AW24&amp;"W",IF(AB22=2,AU24&amp;"W/ "&amp;AV24&amp;"W",AW24&amp;"W"))</f>
        <v>80W</v>
      </c>
      <c r="AC24" s="590"/>
      <c r="AD24" s="590"/>
      <c r="AE24" s="590"/>
      <c r="AF24" s="590"/>
      <c r="AI24" s="219" t="s">
        <v>21157</v>
      </c>
      <c r="AJ24" s="219" t="s">
        <v>21162</v>
      </c>
      <c r="AK24" s="219">
        <v>100.69</v>
      </c>
      <c r="AM24" s="219">
        <v>40</v>
      </c>
      <c r="AN24" s="219">
        <v>40</v>
      </c>
      <c r="AO24" s="219">
        <v>40</v>
      </c>
      <c r="AQ24" s="219">
        <v>60</v>
      </c>
      <c r="AR24" s="219">
        <v>60</v>
      </c>
      <c r="AS24" s="219">
        <v>60</v>
      </c>
      <c r="AU24" s="219">
        <v>80</v>
      </c>
      <c r="AV24" s="219">
        <v>80</v>
      </c>
      <c r="AW24" s="219">
        <v>80</v>
      </c>
    </row>
    <row r="25" ht="31.35" customHeight="1">
      <c r="C25" s="569" t="s">
        <v>21046</v>
      </c>
      <c r="D25" s="569"/>
      <c r="E25" s="569"/>
      <c r="F25" s="569"/>
      <c r="G25" s="569"/>
      <c r="H25" s="569"/>
      <c r="I25" s="569"/>
      <c r="J25" s="569"/>
      <c r="K25" s="569"/>
      <c r="L25" s="569"/>
      <c r="M25" s="590" t="str">
        <f>IF(AI25="900 &amp; 1800","900MHz &amp; 1800MHz",IF(AI25="900 &amp; 2100","900MHz &amp; 2100MHz",AI25&amp;"MHz"))</f>
        <v>900MHz</v>
      </c>
      <c r="N25" s="590"/>
      <c r="O25" s="590"/>
      <c r="P25" s="590"/>
      <c r="Q25" s="590"/>
      <c r="R25" s="590" t="str">
        <f>IF(AM25="900 &amp; 1800","900MHz &amp; 1800MHz",IF(AM25="900 &amp; 2100","900MHz &amp; 2100MHz",AM25&amp;"MHz"))</f>
        <v>1800MHz</v>
      </c>
      <c r="S25" s="590"/>
      <c r="T25" s="590"/>
      <c r="U25" s="590"/>
      <c r="V25" s="590"/>
      <c r="W25" s="590" t="str">
        <f>IF(AQ25="900 &amp; 1800","900MHz &amp; 1800MHz",IF(AQ25="900 &amp; 2100","900MHz &amp; 2100MHz",AQ25&amp;"MHz"))</f>
        <v>2100MHz</v>
      </c>
      <c r="X25" s="590"/>
      <c r="Y25" s="590"/>
      <c r="Z25" s="590"/>
      <c r="AA25" s="590"/>
      <c r="AB25" s="590" t="str">
        <f>IF(AU25="900 &amp; 1800","900MHz &amp; 1800MHz",IF(AU25="900 &amp; 2100","900MHz &amp; 2100MHz",AU25&amp;"MHz"))</f>
        <v>900;1800MHz</v>
      </c>
      <c r="AC25" s="590"/>
      <c r="AD25" s="590"/>
      <c r="AE25" s="590"/>
      <c r="AF25" s="590"/>
      <c r="AI25" s="219">
        <v>900</v>
      </c>
      <c r="AM25" s="219">
        <v>1800</v>
      </c>
      <c r="AQ25" s="219">
        <v>2100</v>
      </c>
      <c r="AU25" s="248" t="s">
        <v>21158</v>
      </c>
    </row>
    <row r="26" ht="31.35" customHeight="1">
      <c r="C26" s="569" t="s">
        <v>21048</v>
      </c>
      <c r="D26" s="569"/>
      <c r="E26" s="569"/>
      <c r="F26" s="569"/>
      <c r="G26" s="569"/>
      <c r="H26" s="569"/>
      <c r="I26" s="569"/>
      <c r="J26" s="569"/>
      <c r="K26" s="569"/>
      <c r="L26" s="569"/>
      <c r="M26" s="590">
        <f>AI26</f>
        <v>15</v>
      </c>
      <c r="N26" s="590"/>
      <c r="O26" s="590"/>
      <c r="P26" s="590"/>
      <c r="Q26" s="590"/>
      <c r="R26" s="590">
        <f>AM26</f>
        <v>16</v>
      </c>
      <c r="S26" s="590"/>
      <c r="T26" s="590"/>
      <c r="U26" s="590"/>
      <c r="V26" s="590"/>
      <c r="W26" s="590">
        <f>AQ26</f>
        <v>17</v>
      </c>
      <c r="X26" s="590"/>
      <c r="Y26" s="590"/>
      <c r="Z26" s="590"/>
      <c r="AA26" s="590"/>
      <c r="AB26" s="590">
        <f>AU26</f>
        <v>18</v>
      </c>
      <c r="AC26" s="590"/>
      <c r="AD26" s="590"/>
      <c r="AE26" s="590"/>
      <c r="AF26" s="590"/>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91" t="s">
        <v>21049</v>
      </c>
      <c r="D27" s="591"/>
      <c r="E27" s="591"/>
      <c r="F27" s="591"/>
      <c r="G27" s="591"/>
      <c r="H27" s="591"/>
      <c r="I27" s="591"/>
      <c r="J27" s="591"/>
      <c r="K27" s="591"/>
      <c r="L27" s="591"/>
      <c r="M27" s="591"/>
      <c r="N27" s="591"/>
      <c r="O27" s="591"/>
      <c r="P27" s="591"/>
      <c r="Q27" s="591"/>
      <c r="R27" s="591"/>
      <c r="S27" s="591"/>
      <c r="T27" s="591"/>
      <c r="U27" s="591"/>
      <c r="V27" s="591"/>
      <c r="W27" s="591"/>
      <c r="X27" s="591"/>
      <c r="Y27" s="591"/>
      <c r="Z27" s="591"/>
      <c r="AA27" s="591"/>
      <c r="AB27" s="260"/>
      <c r="AC27" s="260"/>
      <c r="AD27" s="260"/>
    </row>
    <row r="28" ht="27" customHeight="1">
      <c r="C28" s="554"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E28" s="554"/>
      <c r="AF28" s="554"/>
      <c r="AI28" s="219">
        <v>20</v>
      </c>
      <c r="AQ28" s="219" t="s">
        <v>21050</v>
      </c>
    </row>
    <row r="29" ht="27"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E29" s="554"/>
      <c r="AF29" s="554"/>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44" t="str">
        <f>IF(AI31=1,AQ31,AQ30)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E30" s="544"/>
      <c r="AF30" s="544"/>
      <c r="AI30" s="219">
        <v>20</v>
      </c>
      <c r="AQ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E31" s="544"/>
      <c r="AF31" s="544"/>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c r="AE32" s="555"/>
      <c r="AF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555"/>
      <c r="AF33" s="555"/>
    </row>
    <row r="34" ht="17.1" customHeight="1">
      <c r="C34" s="522"/>
      <c r="D34" s="522"/>
      <c r="E34" s="522"/>
      <c r="F34" s="522"/>
      <c r="G34" s="522"/>
      <c r="H34" s="260"/>
      <c r="I34" s="523"/>
      <c r="J34" s="523"/>
      <c r="K34" s="523"/>
      <c r="L34" s="523"/>
      <c r="M34" s="523"/>
      <c r="N34" s="523"/>
      <c r="O34" s="523"/>
      <c r="P34" s="234"/>
      <c r="Q34" s="234"/>
      <c r="R34" s="234"/>
      <c r="S34" s="234"/>
      <c r="T34" s="517" t="str">
        <f>IF(AI41=0,AO34,IF(AI41=1,AK34,AS34))</f>
        <v>KT. GIÁM ĐỐC</v>
      </c>
      <c r="U34" s="517"/>
      <c r="V34" s="517"/>
      <c r="W34" s="517"/>
      <c r="X34" s="517"/>
      <c r="Y34" s="517"/>
      <c r="Z34" s="517"/>
      <c r="AA34" s="517"/>
      <c r="AB34" s="517"/>
      <c r="AC34" s="517"/>
      <c r="AD34" s="517"/>
      <c r="AE34" s="517"/>
      <c r="AF34" s="517"/>
      <c r="AK34" s="219" t="s">
        <v>21054</v>
      </c>
      <c r="AO34" s="219" t="s">
        <v>21055</v>
      </c>
      <c r="AS34" s="219" t="s">
        <v>21056</v>
      </c>
    </row>
    <row r="35" ht="17.1" customHeight="1">
      <c r="C35" s="518" t="s">
        <v>21057</v>
      </c>
      <c r="D35" s="518"/>
      <c r="E35" s="518"/>
      <c r="F35" s="518"/>
      <c r="G35" s="518"/>
      <c r="H35" s="263" t="s">
        <v>21058</v>
      </c>
      <c r="I35" s="520" t="s">
        <v>21059</v>
      </c>
      <c r="J35" s="520"/>
      <c r="K35" s="520"/>
      <c r="L35" s="520"/>
      <c r="M35" s="520"/>
      <c r="N35" s="520"/>
      <c r="O35" s="520"/>
      <c r="P35" s="264"/>
      <c r="Q35" s="260"/>
      <c r="R35" s="260"/>
      <c r="S35" s="260"/>
      <c r="T35" s="517" t="str">
        <f>IF(AI41=0,AO35,IF(AI41=1,"",AS35))</f>
        <v>PHÓ GIÁM ĐỐC</v>
      </c>
      <c r="U35" s="517"/>
      <c r="V35" s="517"/>
      <c r="W35" s="517"/>
      <c r="X35" s="517"/>
      <c r="Y35" s="517"/>
      <c r="Z35" s="517"/>
      <c r="AA35" s="517"/>
      <c r="AB35" s="517"/>
      <c r="AC35" s="517"/>
      <c r="AD35" s="517"/>
      <c r="AE35" s="517"/>
      <c r="AF35" s="517"/>
      <c r="AO35" s="219" t="s">
        <v>21060</v>
      </c>
      <c r="AS35" s="219" t="s">
        <v>21061</v>
      </c>
    </row>
    <row r="36" ht="17.1" customHeight="1">
      <c r="C36" s="518" t="s">
        <v>21062</v>
      </c>
      <c r="D36" s="518"/>
      <c r="E36" s="518"/>
      <c r="F36" s="518"/>
      <c r="G36" s="518"/>
      <c r="H36" s="263" t="s">
        <v>21058</v>
      </c>
      <c r="I36" s="519">
        <f>AI36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18" t="s">
        <v>21063</v>
      </c>
      <c r="D37" s="518"/>
      <c r="E37" s="518"/>
      <c r="F37" s="518"/>
      <c r="G37" s="518"/>
      <c r="H37" s="263" t="s">
        <v>21058</v>
      </c>
      <c r="I37" s="519">
        <f>AI37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F41" s="516"/>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c r="AE43" s="558"/>
      <c r="AF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c r="AE44" s="558"/>
      <c r="AF44" s="558"/>
    </row>
    <row r="45" ht="16.5" customHeight="1">
      <c r="B45" s="557"/>
      <c r="C45" s="557"/>
      <c r="D45" s="557"/>
      <c r="E45" s="557"/>
      <c r="F45" s="557"/>
      <c r="G45" s="557"/>
      <c r="H45" s="513" t="s">
        <v>21068</v>
      </c>
      <c r="I45" s="513"/>
      <c r="J45" s="513"/>
      <c r="K45" s="513"/>
      <c r="L45" s="513" t="s">
        <v>21069</v>
      </c>
      <c r="M45" s="513"/>
      <c r="N45" s="513"/>
      <c r="O45" s="513" t="s">
        <v>21070</v>
      </c>
      <c r="P45" s="513"/>
      <c r="Q45" s="513"/>
      <c r="R45" s="513" t="s">
        <v>21071</v>
      </c>
      <c r="S45" s="513"/>
      <c r="T45" s="513"/>
      <c r="U45" s="513"/>
      <c r="V45" s="513"/>
      <c r="W45" s="513" t="s">
        <v>21072</v>
      </c>
      <c r="X45" s="513"/>
      <c r="Y45" s="513"/>
      <c r="Z45" s="513"/>
      <c r="AA45" s="513" t="s">
        <v>21073</v>
      </c>
      <c r="AB45" s="513"/>
      <c r="AC45" s="513"/>
      <c r="AD45" s="513"/>
      <c r="AE45" s="513"/>
      <c r="AF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c r="AE46" s="513"/>
      <c r="AF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c r="AE47" s="513"/>
      <c r="AF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E48" s="513"/>
      <c r="AF48" s="513"/>
      <c r="AI48" s="219">
        <v>35</v>
      </c>
      <c r="AK48" s="219">
        <v>37</v>
      </c>
      <c r="AN48" s="219">
        <v>40</v>
      </c>
      <c r="AQ48" s="219">
        <v>43</v>
      </c>
      <c r="AR48" s="219">
        <v>44</v>
      </c>
      <c r="AS48" s="219">
        <v>45</v>
      </c>
      <c r="AT48" s="219">
        <v>46</v>
      </c>
      <c r="AU48" s="219">
        <v>47</v>
      </c>
      <c r="AV48" s="219">
        <v>48</v>
      </c>
      <c r="AW48" s="219">
        <v>49</v>
      </c>
      <c r="AX48" s="219">
        <v>50</v>
      </c>
    </row>
    <row r="49" ht="18.75" customHeight="1">
      <c r="B49" s="513" t="str">
        <f>AI49</f>
        <v>CÔNG TY CỔ PHẦN VIỄN THÔNG DI ĐỘNG TOÀN CẦU</v>
      </c>
      <c r="C49" s="513"/>
      <c r="D49" s="513"/>
      <c r="E49" s="513"/>
      <c r="F49" s="513"/>
      <c r="G49" s="513"/>
      <c r="H49" s="514" t="str">
        <f>AK49</f>
        <v>TB1</v>
      </c>
      <c r="I49" s="514"/>
      <c r="J49" s="514"/>
      <c r="K49" s="514"/>
      <c r="L49" s="515">
        <v>1</v>
      </c>
      <c r="M49" s="515"/>
      <c r="N49" s="515"/>
      <c r="O49" s="556" t="str">
        <f>AN49</f>
        <v>4/4/4</v>
      </c>
      <c r="P49" s="513"/>
      <c r="Q49" s="513"/>
      <c r="R49" s="513" t="str">
        <f>IF(L49=3,AQ49&amp;"W/ "&amp;AR49&amp;"W/ "&amp;AS49&amp;"W",IF(L49=2,AQ49&amp;"W/ "&amp;AR49&amp;"W",AQ49&amp;"W"))</f>
        <v>20W</v>
      </c>
      <c r="S49" s="513"/>
      <c r="T49" s="513"/>
      <c r="U49" s="513"/>
      <c r="V49" s="513"/>
      <c r="W49" s="513" t="str">
        <f>IF(AU49="900 &amp; 1800","900MHz &amp; 1800MHz",IF(AU49="900 &amp; 2100","900MHz &amp; 2100MHz",IF(AU49="1800 &amp; 2100","1800MHz &amp; 2100MHz",AU49&amp;"MHz")))</f>
        <v>900MHz</v>
      </c>
      <c r="X49" s="513"/>
      <c r="Y49" s="513"/>
      <c r="Z49" s="513"/>
      <c r="AA49" s="513">
        <f>AV49</f>
        <v>15</v>
      </c>
      <c r="AB49" s="513"/>
      <c r="AC49" s="513"/>
      <c r="AD49" s="513"/>
      <c r="AE49" s="513"/>
      <c r="AF49" s="513"/>
      <c r="AI49" s="248" t="s">
        <v>21031</v>
      </c>
      <c r="AK49" s="248" t="s">
        <v>21074</v>
      </c>
      <c r="AL49" s="248"/>
      <c r="AN49" s="258" t="s">
        <v>21041</v>
      </c>
      <c r="AQ49" s="219">
        <v>20</v>
      </c>
      <c r="AR49" s="219">
        <v>30</v>
      </c>
      <c r="AS49" s="219">
        <v>40</v>
      </c>
      <c r="AU49" s="219">
        <v>900</v>
      </c>
      <c r="AV49" s="219">
        <v>15</v>
      </c>
    </row>
    <row r="50" ht="18.75" customHeight="1">
      <c r="B50" s="513"/>
      <c r="C50" s="513"/>
      <c r="D50" s="513"/>
      <c r="E50" s="513"/>
      <c r="F50" s="513"/>
      <c r="G50" s="513"/>
      <c r="H50" s="514"/>
      <c r="I50" s="514"/>
      <c r="J50" s="514"/>
      <c r="K50" s="514"/>
      <c r="L50" s="515"/>
      <c r="M50" s="515"/>
      <c r="N50" s="515"/>
      <c r="O50" s="513"/>
      <c r="P50" s="513"/>
      <c r="Q50" s="513"/>
      <c r="R50" s="513"/>
      <c r="S50" s="513"/>
      <c r="T50" s="513"/>
      <c r="U50" s="513"/>
      <c r="V50" s="513"/>
      <c r="W50" s="513"/>
      <c r="X50" s="513"/>
      <c r="Y50" s="513"/>
      <c r="Z50" s="513"/>
      <c r="AA50" s="513"/>
      <c r="AB50" s="513"/>
      <c r="AC50" s="513"/>
      <c r="AD50" s="513"/>
      <c r="AE50" s="513"/>
      <c r="AF50" s="513"/>
    </row>
    <row r="51" ht="18.75" customHeight="1">
      <c r="B51" s="513"/>
      <c r="C51" s="513"/>
      <c r="D51" s="513"/>
      <c r="E51" s="513"/>
      <c r="F51" s="513"/>
      <c r="G51" s="513"/>
      <c r="H51" s="514"/>
      <c r="I51" s="514"/>
      <c r="J51" s="514"/>
      <c r="K51" s="514"/>
      <c r="L51" s="515"/>
      <c r="M51" s="515"/>
      <c r="N51" s="515"/>
      <c r="O51" s="513"/>
      <c r="P51" s="513"/>
      <c r="Q51" s="513"/>
      <c r="R51" s="513"/>
      <c r="S51" s="513"/>
      <c r="T51" s="513"/>
      <c r="U51" s="513"/>
      <c r="V51" s="513"/>
      <c r="W51" s="513"/>
      <c r="X51" s="513"/>
      <c r="Y51" s="513"/>
      <c r="Z51" s="513"/>
      <c r="AA51" s="513"/>
      <c r="AB51" s="513"/>
      <c r="AC51" s="513"/>
      <c r="AD51" s="513"/>
      <c r="AE51" s="513"/>
      <c r="AF51" s="513"/>
    </row>
    <row r="52" ht="18.75" customHeight="1">
      <c r="B52" s="513"/>
      <c r="C52" s="513"/>
      <c r="D52" s="513"/>
      <c r="E52" s="513"/>
      <c r="F52" s="513"/>
      <c r="G52" s="513"/>
      <c r="H52" s="514"/>
      <c r="I52" s="514"/>
      <c r="J52" s="514"/>
      <c r="K52" s="514"/>
      <c r="L52" s="515"/>
      <c r="M52" s="515"/>
      <c r="N52" s="515"/>
      <c r="O52" s="513"/>
      <c r="P52" s="513"/>
      <c r="Q52" s="513"/>
      <c r="R52" s="513"/>
      <c r="S52" s="513"/>
      <c r="T52" s="513"/>
      <c r="U52" s="513"/>
      <c r="V52" s="513"/>
      <c r="W52" s="513"/>
      <c r="X52" s="513"/>
      <c r="Y52" s="513"/>
      <c r="Z52" s="513"/>
      <c r="AA52" s="513"/>
      <c r="AB52" s="513"/>
      <c r="AC52" s="513"/>
      <c r="AD52" s="513"/>
      <c r="AE52" s="513"/>
      <c r="AF52" s="513"/>
    </row>
    <row r="53" ht="18.75" customHeight="1">
      <c r="B53" s="513" t="str">
        <f>AI53</f>
        <v>CÔNG TY CỔ PHẦN VIỄN THÔNG DI ĐỘNG TOÀN CẦU</v>
      </c>
      <c r="C53" s="513"/>
      <c r="D53" s="513"/>
      <c r="E53" s="513"/>
      <c r="F53" s="513"/>
      <c r="G53" s="513"/>
      <c r="H53" s="514" t="str">
        <f>AK53</f>
        <v>TB2</v>
      </c>
      <c r="I53" s="514"/>
      <c r="J53" s="514"/>
      <c r="K53" s="514"/>
      <c r="L53" s="515">
        <v>2</v>
      </c>
      <c r="M53" s="515"/>
      <c r="N53" s="515"/>
      <c r="O53" s="556" t="str">
        <f>AN53</f>
        <v>4/4/4</v>
      </c>
      <c r="P53" s="513"/>
      <c r="Q53" s="513"/>
      <c r="R53" s="513" t="str">
        <f>IF(L53=3,AQ53&amp;"W/ "&amp;AR53&amp;"W/ "&amp;AS53&amp;"W",IF(L53=2,AQ53&amp;"W/ "&amp;AR53&amp;"W",AQ53&amp;"W"))</f>
        <v>30W/ 40W</v>
      </c>
      <c r="S53" s="513"/>
      <c r="T53" s="513"/>
      <c r="U53" s="513"/>
      <c r="V53" s="513"/>
      <c r="W53" s="513" t="str">
        <f>IF(AU53="900 &amp; 1800","900MHz &amp; 1800MHz",IF(AU53="900 &amp; 2100","900MHz &amp; 2100MHz",IF(AU53="1800 &amp; 2100","1800MHz &amp; 2100MHz",AU53&amp;"MHz")))</f>
        <v>1800MHz</v>
      </c>
      <c r="X53" s="513"/>
      <c r="Y53" s="513"/>
      <c r="Z53" s="513"/>
      <c r="AA53" s="513">
        <f>AV53</f>
        <v>15</v>
      </c>
      <c r="AB53" s="513"/>
      <c r="AC53" s="513"/>
      <c r="AD53" s="513"/>
      <c r="AE53" s="513"/>
      <c r="AF53" s="513"/>
      <c r="AI53" s="248" t="s">
        <v>21031</v>
      </c>
      <c r="AK53" s="248" t="s">
        <v>21163</v>
      </c>
      <c r="AL53" s="248"/>
      <c r="AN53" s="258" t="s">
        <v>21041</v>
      </c>
      <c r="AQ53" s="219">
        <v>30</v>
      </c>
      <c r="AR53" s="219">
        <v>40</v>
      </c>
      <c r="AS53" s="219">
        <v>40</v>
      </c>
      <c r="AU53" s="219">
        <v>1800</v>
      </c>
      <c r="AV53" s="219">
        <v>15</v>
      </c>
    </row>
    <row r="54" ht="18.75" customHeight="1">
      <c r="B54" s="513"/>
      <c r="C54" s="513"/>
      <c r="D54" s="513"/>
      <c r="E54" s="513"/>
      <c r="F54" s="513"/>
      <c r="G54" s="513"/>
      <c r="H54" s="514"/>
      <c r="I54" s="514"/>
      <c r="J54" s="514"/>
      <c r="K54" s="514"/>
      <c r="L54" s="515"/>
      <c r="M54" s="515"/>
      <c r="N54" s="515"/>
      <c r="O54" s="513"/>
      <c r="P54" s="513"/>
      <c r="Q54" s="513"/>
      <c r="R54" s="513"/>
      <c r="S54" s="513"/>
      <c r="T54" s="513"/>
      <c r="U54" s="513"/>
      <c r="V54" s="513"/>
      <c r="W54" s="513"/>
      <c r="X54" s="513"/>
      <c r="Y54" s="513"/>
      <c r="Z54" s="513"/>
      <c r="AA54" s="513"/>
      <c r="AB54" s="513"/>
      <c r="AC54" s="513"/>
      <c r="AD54" s="513"/>
      <c r="AE54" s="513"/>
      <c r="AF54" s="513"/>
    </row>
    <row r="55" ht="18.75" customHeight="1">
      <c r="B55" s="513"/>
      <c r="C55" s="513"/>
      <c r="D55" s="513"/>
      <c r="E55" s="513"/>
      <c r="F55" s="513"/>
      <c r="G55" s="513"/>
      <c r="H55" s="514"/>
      <c r="I55" s="514"/>
      <c r="J55" s="514"/>
      <c r="K55" s="514"/>
      <c r="L55" s="515"/>
      <c r="M55" s="515"/>
      <c r="N55" s="515"/>
      <c r="O55" s="513"/>
      <c r="P55" s="513"/>
      <c r="Q55" s="513"/>
      <c r="R55" s="513"/>
      <c r="S55" s="513"/>
      <c r="T55" s="513"/>
      <c r="U55" s="513"/>
      <c r="V55" s="513"/>
      <c r="W55" s="513"/>
      <c r="X55" s="513"/>
      <c r="Y55" s="513"/>
      <c r="Z55" s="513"/>
      <c r="AA55" s="513"/>
      <c r="AB55" s="513"/>
      <c r="AC55" s="513"/>
      <c r="AD55" s="513"/>
      <c r="AE55" s="513"/>
      <c r="AF55" s="513"/>
    </row>
    <row r="56" ht="18.75" customHeight="1">
      <c r="B56" s="513"/>
      <c r="C56" s="513"/>
      <c r="D56" s="513"/>
      <c r="E56" s="513"/>
      <c r="F56" s="513"/>
      <c r="G56" s="513"/>
      <c r="H56" s="514"/>
      <c r="I56" s="514"/>
      <c r="J56" s="514"/>
      <c r="K56" s="514"/>
      <c r="L56" s="515"/>
      <c r="M56" s="515"/>
      <c r="N56" s="515"/>
      <c r="O56" s="513"/>
      <c r="P56" s="513"/>
      <c r="Q56" s="513"/>
      <c r="R56" s="513"/>
      <c r="S56" s="513"/>
      <c r="T56" s="513"/>
      <c r="U56" s="513"/>
      <c r="V56" s="513"/>
      <c r="W56" s="513"/>
      <c r="X56" s="513"/>
      <c r="Y56" s="513"/>
      <c r="Z56" s="513"/>
      <c r="AA56" s="513"/>
      <c r="AB56" s="513"/>
      <c r="AC56" s="513"/>
      <c r="AD56" s="513"/>
      <c r="AE56" s="513"/>
      <c r="AF56" s="513"/>
    </row>
    <row r="57" ht="18.75" customHeight="1">
      <c r="B57" s="513" t="str">
        <f>AI57</f>
        <v>CÔNG TY CỔ PHẦN VIỄN THÔNG DI ĐỘNG TOÀN CẦU</v>
      </c>
      <c r="C57" s="513"/>
      <c r="D57" s="513"/>
      <c r="E57" s="513"/>
      <c r="F57" s="513"/>
      <c r="G57" s="513"/>
      <c r="H57" s="514" t="str">
        <f>AK57</f>
        <v>TB2</v>
      </c>
      <c r="I57" s="514"/>
      <c r="J57" s="514"/>
      <c r="K57" s="514"/>
      <c r="L57" s="515">
        <v>3</v>
      </c>
      <c r="M57" s="515"/>
      <c r="N57" s="515"/>
      <c r="O57" s="556" t="str">
        <f>AN57</f>
        <v>4/4/4</v>
      </c>
      <c r="P57" s="513"/>
      <c r="Q57" s="513"/>
      <c r="R57" s="513" t="str">
        <f>IF(L57=3,AQ57&amp;"W/ "&amp;AR57&amp;"W/ "&amp;AS57&amp;"W",IF(L57=2,AQ57&amp;"W/ "&amp;AR57&amp;"W",AQ57&amp;"W"))</f>
        <v>30W/ 40W/ 40W</v>
      </c>
      <c r="S57" s="513"/>
      <c r="T57" s="513"/>
      <c r="U57" s="513"/>
      <c r="V57" s="513"/>
      <c r="W57" s="513" t="str">
        <f>IF(AU57="900 &amp; 1800","900MHz &amp; 1800MHz",IF(AU57="900 &amp; 2100","900MHz &amp; 2100MHz",IF(AU57="1800 &amp; 2100","1800MHz &amp; 2100MHz",AU57&amp;"MHz")))</f>
        <v>9000 &amp; 1800MHz</v>
      </c>
      <c r="X57" s="513"/>
      <c r="Y57" s="513"/>
      <c r="Z57" s="513"/>
      <c r="AA57" s="513">
        <f>AV57</f>
        <v>15</v>
      </c>
      <c r="AB57" s="513"/>
      <c r="AC57" s="513"/>
      <c r="AD57" s="513"/>
      <c r="AE57" s="513"/>
      <c r="AF57" s="513"/>
      <c r="AI57" s="248" t="s">
        <v>21031</v>
      </c>
      <c r="AK57" s="248" t="s">
        <v>21163</v>
      </c>
      <c r="AL57" s="248"/>
      <c r="AN57" s="258" t="s">
        <v>21041</v>
      </c>
      <c r="AQ57" s="219">
        <v>30</v>
      </c>
      <c r="AR57" s="219">
        <v>40</v>
      </c>
      <c r="AS57" s="219">
        <v>40</v>
      </c>
      <c r="AU57" s="219" t="s">
        <v>21075</v>
      </c>
      <c r="AV57" s="219">
        <v>15</v>
      </c>
    </row>
    <row r="58" ht="18.75" customHeight="1">
      <c r="B58" s="513"/>
      <c r="C58" s="513"/>
      <c r="D58" s="513"/>
      <c r="E58" s="513"/>
      <c r="F58" s="513"/>
      <c r="G58" s="513"/>
      <c r="H58" s="514"/>
      <c r="I58" s="514"/>
      <c r="J58" s="514"/>
      <c r="K58" s="514"/>
      <c r="L58" s="515"/>
      <c r="M58" s="515"/>
      <c r="N58" s="515"/>
      <c r="O58" s="513"/>
      <c r="P58" s="513"/>
      <c r="Q58" s="513"/>
      <c r="R58" s="513"/>
      <c r="S58" s="513"/>
      <c r="T58" s="513"/>
      <c r="U58" s="513"/>
      <c r="V58" s="513"/>
      <c r="W58" s="513"/>
      <c r="X58" s="513"/>
      <c r="Y58" s="513"/>
      <c r="Z58" s="513"/>
      <c r="AA58" s="513"/>
      <c r="AB58" s="513"/>
      <c r="AC58" s="513"/>
      <c r="AD58" s="513"/>
      <c r="AE58" s="513"/>
      <c r="AF58" s="513"/>
    </row>
    <row r="59" ht="18.75" customHeight="1">
      <c r="B59" s="513"/>
      <c r="C59" s="513"/>
      <c r="D59" s="513"/>
      <c r="E59" s="513"/>
      <c r="F59" s="513"/>
      <c r="G59" s="513"/>
      <c r="H59" s="514"/>
      <c r="I59" s="514"/>
      <c r="J59" s="514"/>
      <c r="K59" s="514"/>
      <c r="L59" s="515"/>
      <c r="M59" s="515"/>
      <c r="N59" s="515"/>
      <c r="O59" s="513"/>
      <c r="P59" s="513"/>
      <c r="Q59" s="513"/>
      <c r="R59" s="513"/>
      <c r="S59" s="513"/>
      <c r="T59" s="513"/>
      <c r="U59" s="513"/>
      <c r="V59" s="513"/>
      <c r="W59" s="513"/>
      <c r="X59" s="513"/>
      <c r="Y59" s="513"/>
      <c r="Z59" s="513"/>
      <c r="AA59" s="513"/>
      <c r="AB59" s="513"/>
      <c r="AC59" s="513"/>
      <c r="AD59" s="513"/>
      <c r="AE59" s="513"/>
      <c r="AF59" s="513"/>
    </row>
    <row r="60" ht="18.75" customHeight="1">
      <c r="B60" s="513"/>
      <c r="C60" s="513"/>
      <c r="D60" s="513"/>
      <c r="E60" s="513"/>
      <c r="F60" s="513"/>
      <c r="G60" s="513"/>
      <c r="H60" s="514"/>
      <c r="I60" s="514"/>
      <c r="J60" s="514"/>
      <c r="K60" s="514"/>
      <c r="L60" s="515"/>
      <c r="M60" s="515"/>
      <c r="N60" s="515"/>
      <c r="O60" s="513"/>
      <c r="P60" s="513"/>
      <c r="Q60" s="513"/>
      <c r="R60" s="513"/>
      <c r="S60" s="513"/>
      <c r="T60" s="513"/>
      <c r="U60" s="513"/>
      <c r="V60" s="513"/>
      <c r="W60" s="513"/>
      <c r="X60" s="513"/>
      <c r="Y60" s="513"/>
      <c r="Z60" s="513"/>
      <c r="AA60" s="513"/>
      <c r="AB60" s="513"/>
      <c r="AC60" s="513"/>
      <c r="AD60" s="513"/>
      <c r="AE60" s="513"/>
      <c r="AF60" s="513"/>
    </row>
    <row r="61" ht="18.75" customHeight="1">
      <c r="B61" s="513" t="str">
        <f>AI61</f>
        <v>CÔNG TY CỔ PHẦN VIỄN THÔNG DI ĐỘNG TOÀN CẦU</v>
      </c>
      <c r="C61" s="513"/>
      <c r="D61" s="513"/>
      <c r="E61" s="513"/>
      <c r="F61" s="513"/>
      <c r="G61" s="513"/>
      <c r="H61" s="514" t="str">
        <f>AK61</f>
        <v>TB2</v>
      </c>
      <c r="I61" s="514"/>
      <c r="J61" s="514"/>
      <c r="K61" s="514"/>
      <c r="L61" s="515">
        <v>2</v>
      </c>
      <c r="M61" s="515"/>
      <c r="N61" s="515"/>
      <c r="O61" s="556" t="str">
        <f>AN61</f>
        <v>4/4/4</v>
      </c>
      <c r="P61" s="513"/>
      <c r="Q61" s="513"/>
      <c r="R61" s="513" t="str">
        <f>IF(L61=3,AQ61&amp;"W/ "&amp;AR61&amp;"W/ "&amp;AS61&amp;"W",IF(L61=2,AQ61&amp;"W/ "&amp;AR61&amp;"W",AQ61&amp;"W"))</f>
        <v>30W/ 40W</v>
      </c>
      <c r="S61" s="513"/>
      <c r="T61" s="513"/>
      <c r="U61" s="513"/>
      <c r="V61" s="513"/>
      <c r="W61" s="513" t="str">
        <f>IF(AU61="900 &amp; 1800","900MHz &amp; 1800MHz",IF(AU61="900 &amp; 2100","900MHz &amp; 2100MHz",IF(AU61="1800 &amp; 2100","1800MHz &amp; 2100MHz",AU61&amp;"MHz")))</f>
        <v>9000 &amp; 2100MHz</v>
      </c>
      <c r="X61" s="513"/>
      <c r="Y61" s="513"/>
      <c r="Z61" s="513"/>
      <c r="AA61" s="513">
        <f>AV61</f>
        <v>15</v>
      </c>
      <c r="AB61" s="513"/>
      <c r="AC61" s="513"/>
      <c r="AD61" s="513"/>
      <c r="AE61" s="513"/>
      <c r="AF61" s="513"/>
      <c r="AI61" s="248" t="s">
        <v>21031</v>
      </c>
      <c r="AK61" s="248" t="s">
        <v>21163</v>
      </c>
      <c r="AL61" s="248"/>
      <c r="AN61" s="258" t="s">
        <v>21041</v>
      </c>
      <c r="AQ61" s="219">
        <v>30</v>
      </c>
      <c r="AR61" s="219">
        <v>40</v>
      </c>
      <c r="AS61" s="219">
        <v>40</v>
      </c>
      <c r="AU61" s="219" t="s">
        <v>21076</v>
      </c>
      <c r="AV61" s="219">
        <v>15</v>
      </c>
    </row>
    <row r="62" ht="18.75" customHeight="1">
      <c r="B62" s="513"/>
      <c r="C62" s="513"/>
      <c r="D62" s="513"/>
      <c r="E62" s="513"/>
      <c r="F62" s="513"/>
      <c r="G62" s="513"/>
      <c r="H62" s="514"/>
      <c r="I62" s="514"/>
      <c r="J62" s="514"/>
      <c r="K62" s="514"/>
      <c r="L62" s="515"/>
      <c r="M62" s="515"/>
      <c r="N62" s="515"/>
      <c r="O62" s="513"/>
      <c r="P62" s="513"/>
      <c r="Q62" s="513"/>
      <c r="R62" s="513"/>
      <c r="S62" s="513"/>
      <c r="T62" s="513"/>
      <c r="U62" s="513"/>
      <c r="V62" s="513"/>
      <c r="W62" s="513"/>
      <c r="X62" s="513"/>
      <c r="Y62" s="513"/>
      <c r="Z62" s="513"/>
      <c r="AA62" s="513"/>
      <c r="AB62" s="513"/>
      <c r="AC62" s="513"/>
      <c r="AD62" s="513"/>
      <c r="AE62" s="513"/>
      <c r="AF62" s="513"/>
    </row>
    <row r="63" ht="18.75" customHeight="1">
      <c r="B63" s="513"/>
      <c r="C63" s="513"/>
      <c r="D63" s="513"/>
      <c r="E63" s="513"/>
      <c r="F63" s="513"/>
      <c r="G63" s="513"/>
      <c r="H63" s="514"/>
      <c r="I63" s="514"/>
      <c r="J63" s="514"/>
      <c r="K63" s="514"/>
      <c r="L63" s="515"/>
      <c r="M63" s="515"/>
      <c r="N63" s="515"/>
      <c r="O63" s="513"/>
      <c r="P63" s="513"/>
      <c r="Q63" s="513"/>
      <c r="R63" s="513"/>
      <c r="S63" s="513"/>
      <c r="T63" s="513"/>
      <c r="U63" s="513"/>
      <c r="V63" s="513"/>
      <c r="W63" s="513"/>
      <c r="X63" s="513"/>
      <c r="Y63" s="513"/>
      <c r="Z63" s="513"/>
      <c r="AA63" s="513"/>
      <c r="AB63" s="513"/>
      <c r="AC63" s="513"/>
      <c r="AD63" s="513"/>
      <c r="AE63" s="513"/>
      <c r="AF63" s="513"/>
    </row>
    <row r="64" ht="18.75" customHeight="1">
      <c r="B64" s="513"/>
      <c r="C64" s="513"/>
      <c r="D64" s="513"/>
      <c r="E64" s="513"/>
      <c r="F64" s="513"/>
      <c r="G64" s="513"/>
      <c r="H64" s="514"/>
      <c r="I64" s="514"/>
      <c r="J64" s="514"/>
      <c r="K64" s="514"/>
      <c r="L64" s="515"/>
      <c r="M64" s="515"/>
      <c r="N64" s="515"/>
      <c r="O64" s="513"/>
      <c r="P64" s="513"/>
      <c r="Q64" s="513"/>
      <c r="R64" s="513"/>
      <c r="S64" s="513"/>
      <c r="T64" s="513"/>
      <c r="U64" s="513"/>
      <c r="V64" s="513"/>
      <c r="W64" s="513"/>
      <c r="X64" s="513"/>
      <c r="Y64" s="513"/>
      <c r="Z64" s="513"/>
      <c r="AA64" s="513"/>
      <c r="AB64" s="513"/>
      <c r="AC64" s="513"/>
      <c r="AD64" s="513"/>
      <c r="AE64" s="513"/>
      <c r="AF64" s="513"/>
    </row>
    <row r="65" ht="18.75" customHeight="1">
      <c r="B65" s="513" t="str">
        <f>AI65</f>
        <v>CÔNG TY CỔ PHẦN VIỄN THÔNG DI ĐỘNG TOÀN CẦU</v>
      </c>
      <c r="C65" s="513"/>
      <c r="D65" s="513"/>
      <c r="E65" s="513"/>
      <c r="F65" s="513"/>
      <c r="G65" s="513"/>
      <c r="H65" s="514" t="str">
        <f>AK65</f>
        <v>TB2</v>
      </c>
      <c r="I65" s="514"/>
      <c r="J65" s="514"/>
      <c r="K65" s="514"/>
      <c r="L65" s="515">
        <v>1</v>
      </c>
      <c r="M65" s="515"/>
      <c r="N65" s="515"/>
      <c r="O65" s="556" t="str">
        <f>AN65</f>
        <v>4/4/4</v>
      </c>
      <c r="P65" s="513"/>
      <c r="Q65" s="513"/>
      <c r="R65" s="513" t="str">
        <f>IF(L65=3,AQ65&amp;"W/ "&amp;AR65&amp;"W/ "&amp;AS65&amp;"W",IF(L65=2,AQ65&amp;"W/ "&amp;AR65&amp;"W",AQ65&amp;"W"))</f>
        <v>30W</v>
      </c>
      <c r="S65" s="513"/>
      <c r="T65" s="513"/>
      <c r="U65" s="513"/>
      <c r="V65" s="513"/>
      <c r="W65" s="513" t="str">
        <f>IF(AU65="900 &amp; 1800","900MHz &amp; 1800MHz",IF(AU65="900 &amp; 2100","900MHz &amp; 2100MHz",IF(AU65="1800 &amp; 2100","1800MHz &amp; 2100MHz",AU65&amp;"MHz")))</f>
        <v>1800MHz &amp; 2100MHz</v>
      </c>
      <c r="X65" s="513"/>
      <c r="Y65" s="513"/>
      <c r="Z65" s="513"/>
      <c r="AA65" s="513">
        <f>AV65</f>
        <v>15</v>
      </c>
      <c r="AB65" s="513"/>
      <c r="AC65" s="513"/>
      <c r="AD65" s="513"/>
      <c r="AE65" s="513"/>
      <c r="AF65" s="513"/>
      <c r="AI65" s="248" t="s">
        <v>21031</v>
      </c>
      <c r="AK65" s="248" t="s">
        <v>21163</v>
      </c>
      <c r="AL65" s="248"/>
      <c r="AN65" s="258" t="s">
        <v>21041</v>
      </c>
      <c r="AQ65" s="219">
        <v>30</v>
      </c>
      <c r="AR65" s="219">
        <v>40</v>
      </c>
      <c r="AS65" s="219">
        <v>40</v>
      </c>
      <c r="AU65" s="219" t="s">
        <v>21077</v>
      </c>
      <c r="AV65" s="219">
        <v>15</v>
      </c>
      <c r="AW65" s="219">
        <v>16</v>
      </c>
      <c r="AX65" s="219">
        <v>17</v>
      </c>
    </row>
    <row r="66" ht="18.75" customHeight="1">
      <c r="B66" s="513"/>
      <c r="C66" s="513"/>
      <c r="D66" s="513"/>
      <c r="E66" s="513"/>
      <c r="F66" s="513"/>
      <c r="G66" s="513"/>
      <c r="H66" s="514"/>
      <c r="I66" s="514"/>
      <c r="J66" s="514"/>
      <c r="K66" s="514"/>
      <c r="L66" s="515"/>
      <c r="M66" s="515"/>
      <c r="N66" s="515"/>
      <c r="O66" s="513"/>
      <c r="P66" s="513"/>
      <c r="Q66" s="513"/>
      <c r="R66" s="513"/>
      <c r="S66" s="513"/>
      <c r="T66" s="513"/>
      <c r="U66" s="513"/>
      <c r="V66" s="513"/>
      <c r="W66" s="513"/>
      <c r="X66" s="513"/>
      <c r="Y66" s="513"/>
      <c r="Z66" s="513"/>
      <c r="AA66" s="513"/>
      <c r="AB66" s="513"/>
      <c r="AC66" s="513"/>
      <c r="AD66" s="513"/>
      <c r="AE66" s="513"/>
      <c r="AF66" s="513"/>
    </row>
    <row r="67" ht="18.75" customHeight="1">
      <c r="B67" s="513"/>
      <c r="C67" s="513"/>
      <c r="D67" s="513"/>
      <c r="E67" s="513"/>
      <c r="F67" s="513"/>
      <c r="G67" s="513"/>
      <c r="H67" s="514"/>
      <c r="I67" s="514"/>
      <c r="J67" s="514"/>
      <c r="K67" s="514"/>
      <c r="L67" s="515"/>
      <c r="M67" s="515"/>
      <c r="N67" s="515"/>
      <c r="O67" s="513"/>
      <c r="P67" s="513"/>
      <c r="Q67" s="513"/>
      <c r="R67" s="513"/>
      <c r="S67" s="513"/>
      <c r="T67" s="513"/>
      <c r="U67" s="513"/>
      <c r="V67" s="513"/>
      <c r="W67" s="513"/>
      <c r="X67" s="513"/>
      <c r="Y67" s="513"/>
      <c r="Z67" s="513"/>
      <c r="AA67" s="513"/>
      <c r="AB67" s="513"/>
      <c r="AC67" s="513"/>
      <c r="AD67" s="513"/>
      <c r="AE67" s="513"/>
      <c r="AF67" s="513"/>
    </row>
    <row r="68" ht="18.75" customHeight="1">
      <c r="B68" s="513"/>
      <c r="C68" s="513"/>
      <c r="D68" s="513"/>
      <c r="E68" s="513"/>
      <c r="F68" s="513"/>
      <c r="G68" s="513"/>
      <c r="H68" s="514"/>
      <c r="I68" s="514"/>
      <c r="J68" s="514"/>
      <c r="K68" s="514"/>
      <c r="L68" s="515"/>
      <c r="M68" s="515"/>
      <c r="N68" s="515"/>
      <c r="O68" s="513"/>
      <c r="P68" s="513"/>
      <c r="Q68" s="513"/>
      <c r="R68" s="513"/>
      <c r="S68" s="513"/>
      <c r="T68" s="513"/>
      <c r="U68" s="513"/>
      <c r="V68" s="513"/>
      <c r="W68" s="513"/>
      <c r="X68" s="513"/>
      <c r="Y68" s="513"/>
      <c r="Z68" s="513"/>
      <c r="AA68" s="513"/>
      <c r="AB68" s="513"/>
      <c r="AC68" s="513"/>
      <c r="AD68" s="513"/>
      <c r="AE68" s="513"/>
      <c r="AF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ACER</cp:lastModifiedBy>
  <cp:lastPrinted>2020-04-27T09:06:46Z</cp:lastPrinted>
  <dcterms:created xsi:type="dcterms:W3CDTF">2006-09-16T00:00:00Z</dcterms:created>
  <dcterms:modified xsi:type="dcterms:W3CDTF">2020-10-15T12:44:14Z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