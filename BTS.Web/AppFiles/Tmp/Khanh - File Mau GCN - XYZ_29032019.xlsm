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pivotCacheDefinition+xml" PartName="/xl/pivotCache/pivotCacheDefinition1.xml"/>
  <Override ContentType="application/vnd.openxmlformats-officedocument.spreadsheetml.pivotCacheRecords+xml" PartName="/xl/pivotCache/pivotCacheRecords1.xml"/>
  <Override ContentType="application/vnd.openxmlformats-officedocument.theme+xml" PartName="/xl/theme/theme1.xml"/>
  <Override ContentType="application/vnd.openxmlformats-officedocument.spreadsheetml.styles+xml" PartName="/xl/styles.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pivotTable+xml" PartName="/xl/pivotTables/pivotTable1.xml"/>
  <Override ContentType="application/vnd.openxmlformats-officedocument.spreadsheetml.comments+xml" PartName="/xl/comments12.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Dropbox\Source code\Excel VBA\"/>
    </mc:Choice>
  </mc:AlternateContent>
  <bookViews>
    <workbookView xWindow="0" yWindow="0" windowWidth="20490" windowHeight="7755" tabRatio="883" firstSheet="5" activeTab="9"/>
  </bookViews>
  <sheets>
    <sheet name="Hướng dẫn" sheetId="26" r:id="rId1"/>
    <sheet name="InCaseOf" sheetId="33" r:id="rId2"/>
    <sheet name="Lab" sheetId="34" r:id="rId3"/>
    <sheet name="City" sheetId="35" r:id="rId4"/>
    <sheet name="Operator" sheetId="36" r:id="rId5"/>
    <sheet name="Applicant" sheetId="37" r:id="rId6"/>
    <sheet name="Profile" sheetId="38" r:id="rId7"/>
    <sheet name="BTS" sheetId="31" r:id="rId8"/>
    <sheet name="Input" sheetId="52" r:id="rId9"/>
    <sheet name="Check" sheetId="53" r:id="rId10"/>
    <sheet name="Certificate" sheetId="50" r:id="rId11"/>
    <sheet name="NoCertificate" sheetId="54" r:id="rId12"/>
    <sheet name="MauGCN" sheetId="51" state="hidden" r:id="rId13"/>
    <sheet name="Sheet1" sheetId="56" r:id="rId14"/>
    <sheet name="Equipment" sheetId="55" r:id="rId15"/>
    <sheet name="LP" sheetId="1" r:id="rId16"/>
    <sheet name="DS1" sheetId="3" r:id="rId17"/>
    <sheet name="DS2" sheetId="6" r:id="rId18"/>
    <sheet name="GCN1" sheetId="27" r:id="rId19"/>
    <sheet name="GCN2" sheetId="8" r:id="rId20"/>
    <sheet name="GCN3" sheetId="28" r:id="rId21"/>
    <sheet name="GCN4" sheetId="29" r:id="rId22"/>
  </sheets>
  <functionGroups builtInGroupCount="18"/>
  <externalReferences>
    <externalReference r:id="rId23"/>
    <externalReference r:id="rId24"/>
    <externalReference r:id="rId25"/>
    <externalReference r:id="rId26"/>
    <externalReference r:id="rId27"/>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[file:///W:\2018\Phong%20Kiem%20dinh\1.%20Kiem%20dinh\Soft\V11\BBKD_71%20(140)_DDMMYY_Doan%20Loc%20(2014).xlsm]Data!$BB$3:$BB$23</definedName>
    <definedName name="CityIDList">City!$B$1:INDEX(City!$B:$B,COUNTA(City!$B:$B))</definedName>
    <definedName name="CityNameList">City!$C$1:INDEX(City!$C:$C,COUNTA(City!$C:$C))</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[file:///W:\2018\Phong%20Kiem%20dinh\1.%20Kiem%20dinh\Soft\V11\BBKD_71%20(140)_DDMMYY_Doan%20Loc%20(2014).xlsm]Drawing!$ED$1:$EL$1</definedName>
    <definedName name="OperatorIDList">Operator!$B$1:INDEX(Operator!$B:$B,COUNTA(Operator!$B:$B))</definedName>
    <definedName name="OperatorNameList">Operator!$C$1:INDEX(Operator!$C:$C,COUNTA(Operator!$C:$C))</definedName>
    <definedName name="Operators">'Operator'!$A$1:$C$6</definedName>
    <definedName name="CH" localSheetId="7">[/Projects/BTS/BTS.Web/AppFiles/Samples/BBKD_71%20(140)_DDMMYY_Doan%20Loc%20(2014).xlsm]Data!$BB$3:$BB$23</definedName>
    <definedName name="NV" localSheetId="7">[/Projects/BTS/BTS.Web/AppFiles/Samples/BBKD_71%20(140)_DDMMYY_Doan%20Loc%20(2014).xlsm]Drawing!$ED$1:$EL$1</definedName>
    <definedName name="_xlnm._FilterDatabase" localSheetId="8" hidden="1">'Input'!$A$1:$AI$11</definedName>
    <definedName name="_xlnm._FilterDatabase" localSheetId="9" hidden="1">'Check'!$AI$1:$GN$2</definedName>
    <definedName name="_xlnm._FilterDatabase" localSheetId="10" hidden="1">'Certificate'!$A$1:$AG$2</definedName>
    <definedName name="_xlnm._FilterDatabase" localSheetId="11" hidden="1">'NoCertificate'!$A$1:$AG$2</definedName>
    <definedName name="_xlnm._FilterDatabase" localSheetId="14" hidden="1">'Equipment'!$A$2:$BJ$400</definedName>
    <definedName name="CH" localSheetId="14">'Equipment'!$BB$3:$BB$23</definedName>
    <definedName name="_xlnm.Print_Area" localSheetId="14">'Equipment'!$A$2:$AQ$126</definedName>
    <definedName name="_xlnm.Print_Area" localSheetId="15">'LP'!$A$1:$Z$34</definedName>
    <definedName name="_xlnm.Print_Area" localSheetId="18">'GCN1'!$A$1:$AE$82</definedName>
    <definedName name="_xlnm.Print_Area" localSheetId="19">'GCN2'!$A$1:$AE$82</definedName>
    <definedName name="_xlnm.Print_Area" localSheetId="20">'GCN3'!$A$1:$AE$82</definedName>
    <definedName name="_xlnm.Print_Area" localSheetId="21">'GCN4'!$A$1:$AG$82</definedName>
  </definedNames>
  <calcPr calcId="162913" fullCalcOnLoad="1"/>
  <pivotCaches>
    <pivotCache cacheId="0" r:id="rId28"/>
  </pivotCaches>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7.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8.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9.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C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C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J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X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0.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GR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GR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NTH</author>
    <author>NqCuong</author>
    <author>THAILOC89</author>
  </authors>
  <commentList>
    <comment ref="AG7" authorId="0" shapeId="0">
      <text>
        <r>
          <rPr>
            <b/>
            <sz val="10"/>
            <color indexed="81"/>
            <rFont val="Tahoma"/>
            <family val="2"/>
          </rPr>
          <t>NTH:</t>
        </r>
        <r>
          <rPr>
            <sz val="10"/>
            <color indexed="81"/>
            <rFont val="Tahoma"/>
            <family val="2"/>
          </rPr>
          <t xml:space="preserve">
Độ lợi trung bình</t>
        </r>
      </text>
    </comment>
    <comment ref="AG8" authorId="0" shapeId="0">
      <text>
        <r>
          <rPr>
            <b/>
            <sz val="10"/>
            <color indexed="81"/>
            <rFont val="Tahoma"/>
            <family val="2"/>
          </rPr>
          <t>NTH:</t>
        </r>
        <r>
          <rPr>
            <sz val="10"/>
            <color indexed="81"/>
            <rFont val="Tahoma"/>
            <family val="2"/>
          </rPr>
          <t xml:space="preserve">
Độ lợi trung bình</t>
        </r>
      </text>
    </comment>
    <comment ref="AJ27" authorId="1" shapeId="0">
      <text>
        <r>
          <rPr>
            <b/>
            <sz val="9"/>
            <color indexed="81"/>
            <rFont val="Tahoma"/>
            <family val="2"/>
            <charset val="163"/>
          </rPr>
          <t>NqCuong:</t>
        </r>
        <r>
          <rPr>
            <sz val="9"/>
            <color indexed="81"/>
            <rFont val="Tahoma"/>
            <family val="2"/>
            <charset val="163"/>
          </rPr>
          <t xml:space="preserve">
Anten đẳng hướng</t>
        </r>
      </text>
    </comment>
    <comment ref="AD44" authorId="1" shapeId="0">
      <text>
        <r>
          <rPr>
            <b/>
            <sz val="9"/>
            <color indexed="81"/>
            <rFont val="Tahoma"/>
            <family val="2"/>
            <charset val="163"/>
          </rPr>
          <t>NqCuong:</t>
        </r>
        <r>
          <rPr>
            <sz val="9"/>
            <color indexed="81"/>
            <rFont val="Tahoma"/>
            <family val="2"/>
            <charset val="163"/>
          </rPr>
          <t xml:space="preserve">
Anten đẳng hướng</t>
        </r>
      </text>
    </comment>
    <comment ref="A330" authorId="2" shapeId="0">
      <text>
        <r>
          <rPr>
            <b/>
            <sz val="9"/>
            <color indexed="81"/>
            <rFont val="Tahoma"/>
            <family val="2"/>
          </rPr>
          <t>THAILOC89:</t>
        </r>
        <r>
          <rPr>
            <sz val="9"/>
            <color indexed="81"/>
            <rFont val="Tahoma"/>
            <family val="2"/>
          </rPr>
          <t xml:space="preserve">
4G</t>
        </r>
      </text>
    </comment>
  </commentList>
</comments>
</file>

<file path=xl/sharedStrings.xml><?xml version="1.0" encoding="utf-8"?>
<sst xmlns="http://schemas.openxmlformats.org/spreadsheetml/2006/main" count="868" uniqueCount="868">
  <si>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</si>
  <si>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</si>
  <si>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</si>
  <si>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</si>
  <si>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</si>
  <si>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</si>
  <si>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</si>
  <si>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</si>
  <si>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</si>
  <si>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</si>
  <si>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</si>
  <si>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</si>
  <si>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</si>
  <si>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</si>
  <si>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</si>
  <si>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</si>
  <si>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</si>
  <si>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</si>
  <si>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</si>
  <si>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</si>
  <si>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</si>
  <si>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</si>
  <si>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</si>
  <si>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</si>
  <si>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</si>
  <si>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</si>
  <si>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</si>
  <si>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</si>
  <si>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</si>
  <si>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</si>
  <si>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</si>
  <si>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</si>
  <si>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</si>
  <si>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</si>
  <si>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</si>
  <si>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</si>
  <si>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</si>
  <si>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</si>
  <si>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</si>
  <si>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</si>
  <si>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</si>
  <si>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</si>
  <si>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</si>
  <si>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</si>
  <si>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</si>
  <si>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</si>
  <si>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</si>
  <si>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</si>
  <si>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</si>
  <si>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</si>
  <si>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</si>
  <si>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</si>
  <si>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</si>
  <si>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</si>
  <si>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</si>
  <si>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</si>
  <si>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</si>
  <si>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</si>
  <si>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</si>
  <si>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</si>
  <si>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</si>
  <si>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</si>
  <si>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</si>
  <si>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</si>
  <si>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</si>
  <si>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</si>
  <si>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</si>
  <si>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</si>
  <si>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</si>
  <si>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</si>
  <si>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</si>
  <si>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</si>
  <si>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</si>
  <si>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</si>
  <si>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</si>
  <si>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</si>
  <si>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</si>
  <si>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</si>
  <si>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</si>
  <si>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</si>
  <si>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</si>
  <si>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</si>
  <si>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</si>
  <si>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</si>
  <si>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</si>
  <si>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</si>
  <si>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</si>
  <si>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</si>
  <si>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</si>
  <si>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</si>
  <si>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</si>
  <si>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</si>
  <si>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</si>
  <si>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</si>
  <si>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</si>
  <si>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</si>
  <si>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</si>
  <si>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 xml:space="preserve">CÔNG TY CỔ PHẦN VIỄN THÔNG DI ĐỘNG TOÀN CẦU
GTEL</t>
  </si>
  <si>
    <t>Doanh nghiệp cung cấp dịch vụ</t>
  </si>
  <si>
    <t>CÔNG TY CỔ PHẦN VIỄN THÔNG DI ĐỘNG TOÀN CẦU</t>
  </si>
  <si>
    <t>Thông số kỹ thuật cơ bản tại thời điểm đo kiểm định</t>
  </si>
  <si>
    <t xml:space="preserve">  Chủng loại thiết bị phát</t>
  </si>
  <si>
    <t>MOTOROLA HORIZON II MACRO</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</si>
  <si>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</si>
  <si>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</si>
  <si>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</si>
  <si>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</si>
  <si>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</si>
  <si>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</si>
  <si>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</si>
  <si>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</si>
  <si>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</si>
  <si>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</si>
  <si>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</si>
  <si>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</si>
  <si>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</si>
  <si>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</si>
  <si>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</si>
  <si>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</si>
  <si>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</si>
  <si>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</si>
  <si>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</si>
  <si>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</si>
  <si>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</si>
  <si>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</si>
  <si>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</si>
  <si>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</si>
  <si>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</si>
  <si>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</si>
  <si>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</si>
  <si>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</si>
  <si>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</si>
  <si>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</si>
  <si>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</si>
  <si>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</si>
  <si>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</si>
  <si>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</si>
  <si>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</si>
  <si>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</si>
  <si>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</si>
  <si>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</si>
  <si>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</si>
  <si>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</si>
  <si>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</si>
  <si>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</si>
  <si>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Thông số thiết bị phát</t>
  </si>
  <si>
    <t>Tên thiết bị</t>
  </si>
  <si>
    <t>Thông số chủng loại anten</t>
  </si>
  <si>
    <t>Tên chủng loại anten</t>
  </si>
  <si>
    <t>Thông số suy hao</t>
  </si>
  <si>
    <t>Thông số doanh nghiệp</t>
  </si>
  <si>
    <t>Tên doanh nghiệp</t>
  </si>
  <si>
    <t>Thông số cấu hình</t>
  </si>
  <si>
    <t>Người thực hiện</t>
  </si>
  <si>
    <t>Equipment</t>
  </si>
  <si>
    <t>Công suất phát danh định/ máy phát</t>
  </si>
  <si>
    <t>Band</t>
  </si>
  <si>
    <t>TX</t>
  </si>
  <si>
    <t>Suy hao combiner/diplexer</t>
  </si>
  <si>
    <t>MOBIFONE</t>
  </si>
  <si>
    <t>VINAPHONE</t>
  </si>
  <si>
    <t>(VTT)</t>
  </si>
  <si>
    <t>VNMOBILE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</si>
  <si>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</si>
  <si>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</si>
  <si>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</si>
  <si>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</si>
  <si>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</si>
  <si>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</si>
  <si>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</si>
  <si>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</si>
  <si>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</si>
  <si>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</si>
  <si>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</si>
  <si>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</si>
  <si>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</si>
  <si>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</si>
  <si>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</si>
  <si>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</si>
  <si>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</si>
  <si>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</si>
  <si>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</si>
  <si>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</si>
  <si>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</si>
  <si>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</si>
  <si>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</si>
  <si>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</si>
  <si>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</si>
  <si>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</si>
  <si>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</si>
  <si>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</si>
  <si>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</si>
  <si>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ERICSSON RBS 2111</t>
  </si>
  <si>
    <t>NA</t>
  </si>
  <si>
    <t>G900</t>
  </si>
  <si>
    <t>ALCATEL EVOLIUM A9100</t>
  </si>
  <si>
    <t>Agisson DX-806-960-65-18i-0F</t>
  </si>
  <si>
    <t>Agisson DX-1710-2170-65-18i-0F</t>
  </si>
  <si>
    <t>(VNM)</t>
  </si>
  <si>
    <t xml:space="preserve">TỔNG CÔNG TY VIỄN THÔNG MOBIFONE (MBF) - LTE  </t>
  </si>
  <si>
    <t>L1800</t>
  </si>
  <si>
    <t>1825MHz - 1845MHz</t>
  </si>
  <si>
    <t>(MBF)</t>
  </si>
  <si>
    <t>Nguyễn Phú Cường</t>
  </si>
  <si>
    <t>G1800</t>
  </si>
  <si>
    <t>U2100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</si>
  <si>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</si>
  <si>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</si>
  <si>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</si>
  <si>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</si>
  <si>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</si>
  <si>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</si>
  <si>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</si>
  <si>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</si>
  <si>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</si>
  <si>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</si>
  <si>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</si>
  <si>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</si>
  <si>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</si>
  <si>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</si>
  <si>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</si>
  <si>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</si>
  <si>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</si>
  <si>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</si>
  <si>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</si>
  <si>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</si>
  <si>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</si>
  <si>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</si>
  <si>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</si>
  <si>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</si>
  <si>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</si>
  <si>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</si>
  <si>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</si>
  <si>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</si>
  <si>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</si>
  <si>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</si>
  <si>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</si>
  <si>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</si>
  <si>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</si>
  <si>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</si>
  <si>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</si>
  <si>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</si>
  <si>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</si>
  <si>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</si>
  <si>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</si>
  <si>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</si>
  <si>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</si>
  <si>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</si>
  <si>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</si>
  <si>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</si>
  <si>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</si>
  <si>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</si>
  <si>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ERICSSON RBS 2216 &amp; ERICSSON RBS 2206</t>
  </si>
  <si>
    <t>Andrew DBXGKC-6565C-VTM</t>
  </si>
  <si>
    <t>TỔNG CÔNG TY VIỄN THÔNG MOBIFONE (MBF) - 2G-3G</t>
  </si>
  <si>
    <t>4 (0&amp;4)</t>
  </si>
  <si>
    <t>Võ Ngọc Tuấn</t>
  </si>
  <si>
    <t>ERICSSON RBS 3206</t>
  </si>
  <si>
    <t>FX-X-CG-00T-900</t>
  </si>
  <si>
    <t>(VNP)</t>
  </si>
  <si>
    <t xml:space="preserve">TỔNG CÔNG TY HẠ TẦNG MẠNG (VNP) - LTE  </t>
  </si>
  <si>
    <t>5 (1&amp;4)</t>
  </si>
  <si>
    <t>ERICSSON RBS 3216</t>
  </si>
  <si>
    <t>FX-X-CDG-06T-DB-1800</t>
  </si>
  <si>
    <t>TỔNG CÔNG TY HẠ TẦNG MẠNG (VNP) - NODEB</t>
  </si>
  <si>
    <t>5 (4&amp;1)</t>
  </si>
  <si>
    <t>ERICSSON RBS 3308</t>
  </si>
  <si>
    <t>Kathrein 739630</t>
  </si>
  <si>
    <t xml:space="preserve">TỔNG CÔNG TY HẠ TẦNG MẠNG (VNP) - BTS  </t>
  </si>
  <si>
    <t>6 (2&amp;4)</t>
  </si>
  <si>
    <t>ERICSSON RBS 6202</t>
  </si>
  <si>
    <t>ERICSSON RBS 3418</t>
  </si>
  <si>
    <t>Kathrein 736018</t>
  </si>
  <si>
    <t>Commscope Argus NPX212R</t>
  </si>
  <si>
    <t>TỔNG CÔNG TY HẠ TẦNG MẠNG (VNP) - BTS 1</t>
  </si>
  <si>
    <t>6 (4&amp;2)</t>
  </si>
  <si>
    <t>ERICSSON RBS 6601</t>
  </si>
  <si>
    <t>Kathrein 742215</t>
  </si>
  <si>
    <t>Commscope HBXX-3817TB1-VTM</t>
  </si>
  <si>
    <t>TỔNG CÔNG TY HẠ TẦNG MẠNG (VNP) - BTS 2</t>
  </si>
  <si>
    <t>Đúng với 6 (3&amp;3)</t>
  </si>
  <si>
    <t>Kathrein 741322</t>
  </si>
  <si>
    <t>Commscope HWXX-6516DS2-A2M</t>
  </si>
  <si>
    <t>TỔNG CÔNG TY HẠ TẦNG MẠNG (VNP) - BTS 3</t>
  </si>
  <si>
    <t>7 (4&amp;3)</t>
  </si>
  <si>
    <t>ERICSSON RBS 2111 &amp; ERICSSON RBS 3206</t>
  </si>
  <si>
    <t>LDXX-6516DS-VTM</t>
  </si>
  <si>
    <t>Commscope RV65A-1X2</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</si>
  <si>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</si>
  <si>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</si>
  <si>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</si>
  <si>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</si>
  <si>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</si>
  <si>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</si>
  <si>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</si>
  <si>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</si>
  <si>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</si>
  <si>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</si>
  <si>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</si>
  <si>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</si>
  <si>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</si>
  <si>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</si>
  <si>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</si>
  <si>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</si>
  <si>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</si>
  <si>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</si>
  <si>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</si>
  <si>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</si>
  <si>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</si>
  <si>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</si>
  <si>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</si>
  <si>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</si>
  <si>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</si>
  <si>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</si>
  <si>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</si>
  <si>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</si>
  <si>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HUAWEI DBS3900</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</si>
  <si>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</si>
  <si>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</si>
  <si>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</si>
  <si>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</si>
  <si>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</si>
  <si>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</si>
  <si>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</si>
  <si>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</si>
  <si>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</si>
  <si>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</si>
  <si>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</si>
  <si>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</si>
  <si>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</si>
  <si>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</si>
  <si>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</si>
  <si>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</si>
  <si>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</si>
  <si>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</si>
  <si>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</si>
  <si>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</si>
  <si>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</si>
  <si>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</si>
  <si>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</si>
  <si>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</si>
  <si>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</si>
  <si>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</si>
  <si>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</si>
  <si>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</si>
  <si>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</si>
  <si>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</si>
  <si>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</si>
  <si>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</si>
  <si>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</si>
  <si>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</si>
  <si>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</si>
  <si>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</si>
  <si>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</si>
  <si>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</si>
  <si>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</si>
  <si>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RFS APXV18-206516S-C</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</si>
  <si>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</si>
  <si>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</si>
  <si>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</si>
  <si>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</si>
  <si>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</si>
  <si>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S-Wave 0809/U/U-65-18DV8-B3</t>
  </si>
  <si>
    <t>CÔNG TY CỔ PHẦN VIỄN THÔNG DI ĐỘNG TOÀN CẦU G_TEL - BTS 1</t>
  </si>
  <si>
    <t>CÔNG TY CỔ PHẦN VIỄN THÔNG DI ĐỘNG TOÀN CẦU G_TEL - BTS 2</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</si>
  <si>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</si>
  <si>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</si>
  <si>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</si>
  <si>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</si>
  <si>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</si>
  <si>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</si>
  <si>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</si>
  <si>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</si>
  <si>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</si>
  <si>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</si>
  <si>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</si>
  <si>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</si>
  <si>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</si>
  <si>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x</t>
  </si>
  <si>
    <t>2140MHz - 2155MHz</t>
  </si>
  <si>
    <t>925MHz - 935MHz</t>
  </si>
  <si>
    <t>1865MHz - 1880MHz</t>
  </si>
  <si>
    <t>FWP-7416000MOD</t>
  </si>
  <si>
    <t>4 (1/3)</t>
  </si>
  <si>
    <t>FWP-9416000MOD</t>
  </si>
  <si>
    <t>1 (1/3)</t>
  </si>
  <si>
    <t>ZTE ZXSDR BS8800A</t>
  </si>
  <si>
    <t>ALCATEL LUCENT D2U</t>
  </si>
  <si>
    <t>7 (3&amp;4)</t>
  </si>
  <si>
    <t>6 (3&amp;3)</t>
  </si>
  <si>
    <t>NSN FLEXI MULTIRADIO AIRSCALE</t>
  </si>
  <si>
    <t>Count of TXs</t>
  </si>
  <si>
    <t>Column Labels</t>
  </si>
  <si>
    <t>Row Labels</t>
  </si>
  <si>
    <t>Grand Total</t>
  </si>
  <si>
    <t>Stt</t>
  </si>
  <si>
    <t>BTSNo</t>
  </si>
  <si>
    <t>FileName</t>
  </si>
  <si>
    <t>Comment</t>
  </si>
  <si>
    <t>GCN_1BTS</t>
  </si>
  <si>
    <t>GCN_2BTS</t>
  </si>
  <si>
    <t>GCN_3BTS</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</si>
  <si>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</si>
  <si>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</si>
  <si>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</si>
  <si>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</si>
  <si>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</si>
  <si>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</si>
  <si>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</si>
  <si>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</si>
  <si>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</si>
  <si>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</si>
  <si>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</si>
  <si>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</si>
  <si>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</si>
  <si>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</si>
  <si>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</si>
  <si>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</si>
  <si>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</si>
  <si>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</si>
  <si>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</si>
  <si>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</si>
  <si>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</si>
  <si>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</si>
  <si>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</si>
  <si>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</si>
  <si>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</si>
  <si>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</si>
  <si>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</si>
  <si>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</si>
  <si>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</si>
  <si>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</si>
  <si>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</si>
  <si>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ApplicantName</t>
  </si>
  <si>
    <t>OperatorName</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</si>
  <si>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</si>
  <si>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</si>
  <si>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</si>
  <si>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</si>
  <si>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</si>
  <si>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</si>
  <si>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</si>
  <si>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</si>
  <si>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</si>
  <si>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</si>
  <si>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</si>
  <si>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</si>
  <si>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</si>
  <si>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</si>
  <si>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</si>
  <si>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</si>
  <si>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</si>
  <si>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</si>
  <si>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</si>
  <si>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</si>
  <si>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</si>
  <si>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</si>
  <si>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</si>
  <si>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</si>
  <si>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</si>
  <si>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</si>
  <si>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</si>
  <si>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</si>
  <si>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</si>
  <si>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</si>
  <si>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</si>
  <si>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</si>
  <si>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</si>
  <si>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</si>
  <si>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</si>
  <si>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</si>
  <si>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</si>
  <si>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SubBtsConfiguration_2</t>
  </si>
  <si>
    <t>SubBtsConfiguration_2.1</t>
  </si>
  <si>
    <t>SubBtsConfiguration_2.2</t>
  </si>
  <si>
    <t>SubBtsConfiguration_2.3</t>
  </si>
  <si>
    <t>SubBtsConfiguration_2.4</t>
  </si>
  <si>
    <t>SubBtsConfiguration_3</t>
  </si>
  <si>
    <t>SubBtsConfiguration_3.1</t>
  </si>
  <si>
    <t>SubBtsConfiguration_3.2</t>
  </si>
  <si>
    <t>SubBtsConfiguration_3.3</t>
  </si>
  <si>
    <t>SubBtsConfiguration_3.4</t>
  </si>
  <si>
    <t>SubBtsConfiguration_4</t>
  </si>
  <si>
    <t>SubBtsConfiguration_4.1</t>
  </si>
  <si>
    <t>SubBtsConfiguration_4.2</t>
  </si>
  <si>
    <t>SubBtsConfiguration_4.3</t>
  </si>
  <si>
    <t>SubBtsConfiguration_4.4</t>
  </si>
  <si>
    <t>SubBtsConfiguration_5</t>
  </si>
  <si>
    <t>SubBtsConfiguration_5.1</t>
  </si>
  <si>
    <t>SubBtsConfiguration_5.2</t>
  </si>
  <si>
    <t>SubBtsConfiguration_5.3</t>
  </si>
  <si>
    <t>SubBtsConfiguration_5.4</t>
  </si>
  <si>
    <t>SubBtsConfiguration_6</t>
  </si>
  <si>
    <t>SubBtsConfiguration_6.1</t>
  </si>
  <si>
    <t>SubBtsConfiguration_6.2</t>
  </si>
  <si>
    <t>SubBtsConfiguration_6.3</t>
  </si>
  <si>
    <t>SubBtsConfiguration_6.4</t>
  </si>
  <si>
    <t>SubBtsPowerSum_1_</t>
  </si>
  <si>
    <t>SubBtsPowerSum_1.1</t>
  </si>
  <si>
    <t>SubBtsPowerSum_1.2</t>
  </si>
  <si>
    <t>SubBtsPowerSum_1.3</t>
  </si>
  <si>
    <t>SubBtsPowerSum_1.4</t>
  </si>
  <si>
    <t>SubBtsPowerSum_1</t>
  </si>
  <si>
    <t>MaxPowerSum_1</t>
  </si>
  <si>
    <t>SubBtsPowerSum_2_</t>
  </si>
  <si>
    <t>SubBtsPowerSum_2.1</t>
  </si>
  <si>
    <t>SubBtsPowerSum_2.2</t>
  </si>
  <si>
    <t>SubBtsPowerSum_2.3</t>
  </si>
  <si>
    <t>SubBtsPowerSum_2.4</t>
  </si>
  <si>
    <t>SubBtsPowerSum_2</t>
  </si>
  <si>
    <t>MaxPowerSum_2</t>
  </si>
  <si>
    <t>SubBtsPowerSum_3_</t>
  </si>
  <si>
    <t>SubBtsPowerSum_3.1</t>
  </si>
  <si>
    <t>SubBtsPowerSum_3.2</t>
  </si>
  <si>
    <t>SubBtsPowerSum_3.3</t>
  </si>
  <si>
    <t>SubBtsPowerSum_3.4</t>
  </si>
  <si>
    <t>SubBtsPowerSum_3</t>
  </si>
  <si>
    <t>MaxPowerSum_3</t>
  </si>
  <si>
    <t>SubBtsPowerSum_4_</t>
  </si>
  <si>
    <t>SubBtsPowerSum_4.1</t>
  </si>
  <si>
    <t>SubBtsPowerSum_4.2</t>
  </si>
  <si>
    <t>SubBtsPowerSum_4.3</t>
  </si>
  <si>
    <t>SubBtsPowerSum_4.4</t>
  </si>
  <si>
    <t>SubBtsPowerSum_4</t>
  </si>
  <si>
    <t>MaxPowerSum_4</t>
  </si>
  <si>
    <t>SubBtsPowerSum_5_</t>
  </si>
  <si>
    <t>SubBtsPowerSum_5.1</t>
  </si>
  <si>
    <t>SubBtsPowerSum_5.2</t>
  </si>
  <si>
    <t>SubBtsPowerSum_5.3</t>
  </si>
  <si>
    <t>SubBtsPowerSum_5.4</t>
  </si>
  <si>
    <t>SubBtsPowerSum_5</t>
  </si>
  <si>
    <t>MaxPowerSum_5</t>
  </si>
  <si>
    <t>SubBtsPowerSum_6_</t>
  </si>
  <si>
    <t>SubBtsPowerSum_6.1</t>
  </si>
  <si>
    <t>SubBtsPowerSum_6.2</t>
  </si>
  <si>
    <t>SubBtsPowerSum_6.3</t>
  </si>
  <si>
    <t>SubBtsPowerSum_6.4</t>
  </si>
  <si>
    <t>SubBtsPowerSum_6</t>
  </si>
  <si>
    <t>MaxPowerSum_6</t>
  </si>
  <si>
    <t>MaxPowerSum</t>
  </si>
  <si>
    <t>SubBtsBand_1</t>
  </si>
  <si>
    <t>SubBtsBand_2</t>
  </si>
  <si>
    <t>SubBtsBand_3</t>
  </si>
  <si>
    <t>SubBtsBand_4</t>
  </si>
  <si>
    <t>SubBtsBand_5</t>
  </si>
  <si>
    <t>SubBtsBand_6</t>
  </si>
  <si>
    <t>SubBtsAntenHeight_1_</t>
  </si>
  <si>
    <t>SubBtsAntenHeight_1.1</t>
  </si>
  <si>
    <t>SubBtsAntenHeight_1.2</t>
  </si>
  <si>
    <t>SubBtsAntenHeight_1.3</t>
  </si>
  <si>
    <t>SubBtsAntenHeight_1.4</t>
  </si>
  <si>
    <t>SubBtsAntenHeight_1</t>
  </si>
  <si>
    <t>SubBtsAntenHeight_2_</t>
  </si>
  <si>
    <t>SubBtsAntenHeight_2.1</t>
  </si>
  <si>
    <t>SubBtsAntenHeight_2.2</t>
  </si>
  <si>
    <t>SubBtsAntenHeight_2.3</t>
  </si>
  <si>
    <t>SubBtsAntenHeight_2.4</t>
  </si>
  <si>
    <t>SubBtsAntenHeight_2</t>
  </si>
  <si>
    <t>SubBtsAntenHeight_3_</t>
  </si>
  <si>
    <t>SubBtsAntenHeight_3.1</t>
  </si>
  <si>
    <t>SubBtsAntenHeight_3.2</t>
  </si>
  <si>
    <t>SubBtsAntenHeight_3.3</t>
  </si>
  <si>
    <t>SubBtsAntenHeight_3.4</t>
  </si>
  <si>
    <t>SubBtsAntenHeight_3</t>
  </si>
  <si>
    <t>SubBtsAntenHeight_4_</t>
  </si>
  <si>
    <t>SubBtsAntenHeight_4.1</t>
  </si>
  <si>
    <t>SubBtsAntenHeight_4.2</t>
  </si>
  <si>
    <t>SubBtsAntenHeight_4.3</t>
  </si>
  <si>
    <t>SubBtsAntenHeight_4.4</t>
  </si>
  <si>
    <t>SubBtsAntenHeight_4</t>
  </si>
  <si>
    <t>SubBtsAntenHeight_5_</t>
  </si>
  <si>
    <t>SubBtsAntenHeight_5.1</t>
  </si>
  <si>
    <t>SubBtsAntenHeight_5.2</t>
  </si>
  <si>
    <t>SubBtsAntenHeight_5.3</t>
  </si>
  <si>
    <t>SubBtsAntenHeight_5.4</t>
  </si>
  <si>
    <t>SubBtsAntenHeight_5</t>
  </si>
  <si>
    <t>SubBtsAntenHeight_6_</t>
  </si>
  <si>
    <t>SubBtsAntenHeight_6.1</t>
  </si>
  <si>
    <t>SubBtsAntenHeight_6.2</t>
  </si>
  <si>
    <t>SubBtsAntenHeight_6.3</t>
  </si>
  <si>
    <t>SubBtsAntenHeight_6.4</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</si>
  <si>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</si>
  <si>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</si>
  <si>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</si>
  <si>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</si>
  <si>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</si>
  <si>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</si>
  <si>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</si>
  <si>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</si>
  <si>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</si>
  <si>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</si>
  <si>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</si>
  <si>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</si>
  <si>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</si>
  <si>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</si>
  <si>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</si>
  <si>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</si>
  <si>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DDMMYY</t>
  </si>
  <si>
    <t>PPTL</t>
  </si>
  <si>
    <t>IssuedDate</t>
  </si>
  <si>
    <t>ExpiredDate</t>
  </si>
  <si>
    <t>CertIssuedDate</t>
  </si>
  <si>
    <t>CertExpiredDate</t>
  </si>
  <si>
    <t>Kiểm tra tỉnh</t>
  </si>
  <si>
    <t>Kiểm tra ngày cấp BBKĐ</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</si>
  <si>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</si>
  <si>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</si>
  <si>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</si>
  <si>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</si>
  <si>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</si>
  <si>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</si>
  <si>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</si>
  <si>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</si>
  <si>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</si>
  <si>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</si>
  <si>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</si>
  <si>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VNMOBILE-HCM</t>
  </si>
  <si>
    <t>BDGTDM002</t>
  </si>
  <si>
    <t>Số 204, đường Huỳnh Văn Cù, phường Chánh Mỹ, thành phố Thủ Dầu Một, tỉnh Bình Dương.</t>
  </si>
  <si>
    <t>106,647723</t>
  </si>
  <si>
    <t>10,991285</t>
  </si>
  <si>
    <t>K00458221018D005</t>
  </si>
  <si>
    <t>19/11/2018</t>
  </si>
  <si>
    <t>22/10/2018</t>
  </si>
  <si>
    <t>TỔNG CÔNG TY HẠ TẦNG MẠNG;TỔNG CÔNG TY HẠ TẦNG MẠNG;TỔNG CÔNG TY HẠ TẦNG MẠNG</t>
  </si>
  <si>
    <t>BDGTDM002;BDGTDM002;BDGTDM002</t>
  </si>
  <si>
    <t>MOTOROLA HORIZON II MACRO;ERICSSON RBS 6601;NSN FLEXI MULTIRADIO 10 (FHED)</t>
  </si>
  <si>
    <t>3;3;3</t>
  </si>
  <si>
    <t>4/4/4;2/2/2;1/1/1</t>
  </si>
  <si>
    <t>20W/20W/20W;60W/60W/60W;160W/160W/160W</t>
  </si>
  <si>
    <t>G900;U2100;L1800</t>
  </si>
  <si>
    <t>36m/ 36m/ 36m;36m/ 36m/ 36m;36m/ 36m/ 36m</t>
  </si>
  <si>
    <t>FX-X-CG-00T-900;S-Wave EW/EW/EW-65-18DV2/12I-F-64K-VN;S-Wave EW/EW/EW-65-18DV2/12I-F-64K-VN</t>
  </si>
  <si>
    <t>Trạm không còn hoạt động</t>
  </si>
  <si>
    <t>CHI NHÁNH VNMOBILE TẠI TPHCM</t>
  </si>
  <si>
    <t>TỔNG CÔNG TY VIỄN THÔNG MOBIFONE</t>
  </si>
  <si>
    <t>TỔNG CÔNG TY HẠ TẦNG MẠNG</t>
  </si>
  <si>
    <t/>
  </si>
  <si>
    <t>VINAPHONE;VINAPHONE;VINAPHONE</t>
  </si>
  <si>
    <t>NSN FLEXI MULTIRADIO 10 (FHED)</t>
  </si>
  <si>
    <t>1/1/1</t>
  </si>
  <si>
    <t>20W/20W/20W</t>
  </si>
  <si>
    <t>60W/60W/60W</t>
  </si>
  <si>
    <t>160W/160W/160W</t>
  </si>
  <si>
    <t>36m/ 36m/ 36m</t>
  </si>
  <si>
    <t>36m/36m/36m</t>
  </si>
  <si>
    <t>TG05</t>
  </si>
  <si>
    <t>03/03/2019</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</si>
  <si>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</si>
  <si>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</si>
  <si>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</si>
  <si>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</si>
  <si>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</si>
  <si>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</si>
  <si>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</si>
  <si>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</si>
  <si>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</si>
  <si>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</si>
  <si>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</si>
  <si>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</si>
  <si>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</si>
  <si>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</si>
  <si>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</si>
  <si>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</si>
  <si>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</si>
  <si>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</si>
  <si>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</si>
  <si>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</si>
  <si>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</si>
  <si>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</si>
  <si>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</si>
  <si>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</si>
  <si>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</si>
  <si>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</si>
  <si>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</si>
  <si>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</si>
  <si>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</si>
  <si>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</si>
  <si>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</si>
  <si>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</si>
  <si>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</si>
  <si>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</si>
  <si>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</si>
  <si>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</si>
  <si>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</si>
  <si>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</si>
  <si>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</si>
  <si>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</si>
  <si>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</si>
  <si>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</si>
  <si>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</si>
  <si>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</si>
  <si>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</si>
  <si>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</si>
  <si>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</si>
  <si>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</si>
  <si>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</si>
  <si>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</si>
  <si>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</si>
  <si>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</si>
  <si>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</si>
  <si>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</si>
  <si>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</si>
  <si>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</si>
  <si>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</si>
  <si>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</si>
  <si>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</si>
  <si>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</si>
  <si>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</si>
  <si>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</si>
  <si>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</si>
  <si>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</si>
  <si>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</si>
  <si>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</si>
  <si>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</si>
  <si>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</si>
  <si>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</si>
  <si>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</si>
  <si>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</si>
  <si>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</si>
  <si>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</si>
  <si>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</si>
  <si>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</si>
  <si>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106,647723; 10,975973</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</si>
  <si>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</si>
  <si>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</si>
  <si>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</si>
  <si>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</si>
  <si>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</si>
  <si>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</si>
  <si>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</si>
  <si>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</si>
  <si>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</si>
  <si>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</si>
  <si>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</si>
  <si>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</si>
  <si>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</si>
  <si>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100,45</t>
  </si>
  <si>
    <t xml:space="preserve">  Độ cao từng anten (tính từ mặt  
  đất đến mép thấp nhất của anten)</t>
  </si>
  <si>
    <t>900 &amp; 1800</t>
  </si>
  <si>
    <t>A</t>
  </si>
  <si>
    <t xml:space="preserve">  Độ cao từng anten (tính từ mặt 
  đất đến mép thấp nhất của anten)</t>
  </si>
  <si>
    <t>26/03/2019</t>
  </si>
  <si>
    <t>106,651585</t>
  </si>
  <si>
    <t>10,979697</t>
  </si>
  <si>
    <t>TỔNG CÔNG TY HẠ TẦNG MẠNG;TỔNG CÔNG TY HẠ TẦNG MẠNG;TỔNG CÔNG TY HẠ TẦNG MẠNG;TỔNG CÔNG TY HẠ TẦNG MẠNG;TỔNG CÔNG TY HẠ TẦNG MẠNG</t>
  </si>
  <si>
    <t>BDGTDM003;BDGTDM003;BDGTDM003;BDGTDM003;BDGTDM003</t>
  </si>
  <si>
    <t>MOTOROLA HORIZON II MACRO;MOTOROLA HORIZON II MACRO;ERICSSON RBS 3418;NSN FLEXI MULTIRADIO 10 (FHED);NSN FLEXI MULTIRADIO 10 (FHED)</t>
  </si>
  <si>
    <t>3;3;3;3;3</t>
  </si>
  <si>
    <t>2/2/4;2/4/2;2/2/2;1/1/1;1/1/1</t>
  </si>
  <si>
    <t>20W/20W/20W;16W/16W/16W;60W/60W/60W;160W/160W/160W;160W/160W/160W</t>
  </si>
  <si>
    <t>G900;G1800;U2100;L1800;L1800</t>
  </si>
  <si>
    <t>45m/ 45m/ 45m;45m/ 45m/ 45m;34m/ 34m/ 34m;34m/ 34m/ 34m;34m/ 34m/ 34m</t>
  </si>
  <si>
    <t>FX-X-CG-00T-900;FX-X-CDG-06T-DB-1800;S-Wave EW/EW/EW-65-18DV2/12I-F-64K-VN;S-Wave EW/EW/EW-65-18DV2/12I-F-64K-VN;S-Wave EW/EW/EW-65-18DV2/12I-F-64K-VN</t>
  </si>
  <si>
    <t>VINAPHONE;VINAPHONE;VINAPHONE;VINAPHONE;VINAPHONE</t>
  </si>
  <si>
    <t>2/2/4</t>
  </si>
  <si>
    <t>2/4/2</t>
  </si>
  <si>
    <t>16W/16W/16W</t>
  </si>
  <si>
    <t>45m/ 45m/ 45m</t>
  </si>
  <si>
    <t>45m/45m/45m</t>
  </si>
  <si>
    <t>34m/ 34m/ 34m</t>
  </si>
  <si>
    <t>34m/34m/34m</t>
  </si>
  <si>
    <t>106,660063</t>
  </si>
  <si>
    <t>10,97715</t>
  </si>
  <si>
    <t>BDGTDM004;BDGTDM004;BDGTDM004</t>
  </si>
  <si>
    <t>MOTOROLA HORIZON II MACRO;ERICSSON RBS 3418;NSN FLEXI MULTIRADIO 10 (FHED)</t>
  </si>
  <si>
    <t>35m/ 35m/ 35m;28m/ 28m/ 28m;28m/ 28m/ 28m</t>
  </si>
  <si>
    <t>VINAPHONE;VINAPHONE</t>
  </si>
  <si>
    <t>35m/ 35m/ 35m</t>
  </si>
  <si>
    <t>35m/35m/35m</t>
  </si>
  <si>
    <t>28m/ 28m/ 28m</t>
  </si>
  <si>
    <t>28m/28m/28m</t>
  </si>
  <si>
    <t>106,665231</t>
  </si>
  <si>
    <t>10,975973</t>
  </si>
  <si>
    <t>BDGTDM007;BDGTDM007;BDGTDM007</t>
  </si>
  <si>
    <t>3/3/3;2/2/2;1/1/1</t>
  </si>
  <si>
    <t>16W/16W/16W;60W/60W/60W;160W/160W/160W</t>
  </si>
  <si>
    <t>G1800;U2100;L1800</t>
  </si>
  <si>
    <t>27m/ 27m/ 27m;25m/ 25m/ 25m;25m/ 25m/ 25m</t>
  </si>
  <si>
    <t>FX-X-CDG-06T-DB-1800;S-Wave EW/EW/EW-65-18DV2/12I-F-64K-VN;S-Wave EW/EW/EW-65-18DV2/12I-F-64K-VN</t>
  </si>
  <si>
    <t>3/3/3</t>
  </si>
  <si>
    <t>27m/ 27m/ 27m</t>
  </si>
  <si>
    <t>27m/27m/27m</t>
  </si>
  <si>
    <t>106,66202</t>
  </si>
  <si>
    <t>10,9625</t>
  </si>
  <si>
    <t>BDGTDM013;BDGTDM013;BDGTDM013</t>
  </si>
  <si>
    <t>MOTOROLA HORIZON II MACRO;ERICSSON RBS 3206;NSN FLEXI MULTIRADIO 10 (FHED)</t>
  </si>
  <si>
    <t>2/2/2;2/2/2;1/1/1</t>
  </si>
  <si>
    <t>20W/20W/20W;40W/40W/40W;160W/160W/160W</t>
  </si>
  <si>
    <t>47m/ 47m/ 47m;35m/ 35m/ 35m;35m/ 35m/ 35m</t>
  </si>
  <si>
    <t>40W/40W/40W</t>
  </si>
  <si>
    <t>47m/ 47m/ 47m</t>
  </si>
  <si>
    <t>47m/47m/47m</t>
  </si>
  <si>
    <t>106,656244</t>
  </si>
  <si>
    <t>10,973269</t>
  </si>
  <si>
    <t>BDGTDM014;BDGTDM014;BDGTDM014</t>
  </si>
  <si>
    <t>33m/ 33m/ 33m;26m/ 26m/ 26m;26m/ 26m/ 26m</t>
  </si>
  <si>
    <t>33m/ 33m/ 33m</t>
  </si>
  <si>
    <t>33m/33m/33m</t>
  </si>
  <si>
    <t>26m/ 26m/ 26m</t>
  </si>
  <si>
    <t>26m/26m/26m</t>
  </si>
  <si>
    <t>106,658003</t>
  </si>
  <si>
    <t>10,981745</t>
  </si>
  <si>
    <t>BDGTDM017;BDGTDM017;BDGTDM017</t>
  </si>
  <si>
    <t>27m/ 27m/ 27m;24m/ 24m/ 24m;24m/ 24m/ 24m</t>
  </si>
  <si>
    <t>24m/ 24m/ 24m</t>
  </si>
  <si>
    <t>24m/24m/24m</t>
  </si>
  <si>
    <t>106,67883</t>
  </si>
  <si>
    <t>10,97394</t>
  </si>
  <si>
    <t>BDGTDM022;BDGTDM022;BDGTDM022</t>
  </si>
  <si>
    <t>28m/ 28m/ 28m;30m/ 30m/ 30m;30m/ 30m/ 30m</t>
  </si>
  <si>
    <t>30m/ 30m/ 30m</t>
  </si>
  <si>
    <t>30m/30m/30m</t>
  </si>
  <si>
    <t>106,663203</t>
  </si>
  <si>
    <t>10,99383</t>
  </si>
  <si>
    <t>23/10/2018</t>
  </si>
  <si>
    <t>TỔNG CÔNG TY HẠ TẦNG MẠNG;TỔNG CÔNG TY HẠ TẦNG MẠNG;TỔNG CÔNG TY HẠ TẦNG MẠNG;TỔNG CÔNG TY HẠ TẦNG MẠNG</t>
  </si>
  <si>
    <t>BDGTDM025;BDGTDM025;BDGTDM025;BDGTDM025</t>
  </si>
  <si>
    <t>MOTOROLA HORIZON II MACRO;MOTOROLA HORIZON II MACRO;ERICSSON RBS 3418;NSN FLEXI MULTIRADIO 10 (FHED)</t>
  </si>
  <si>
    <t>3;3;3;3</t>
  </si>
  <si>
    <t>2/2/2;2/2/2;2/2/2;1/1/1</t>
  </si>
  <si>
    <t>20W/20W/20W;16W/16W/16W;60W/60W/60W;160W/160W/160W</t>
  </si>
  <si>
    <t>G900;G1800;U2100;L1800</t>
  </si>
  <si>
    <t>37m/ 37m/ 37m;34m/ 34m/ 34m;34m/ 34m/ 34m;34m/ 34m/ 34m</t>
  </si>
  <si>
    <t>FX-X-CG-00T-900;FX-X-CDG-06T-DB-1800;S-Wave EW/EW/EW-65-18DV2/12I-F-64K-VN;S-Wave EW/EW/EW-65-18DV2/12I-F-64K-VN</t>
  </si>
  <si>
    <t>VINAPHONE;VINAPHONE;VINAPHONE;VINAPHONE</t>
  </si>
  <si>
    <t>37m/ 37m/ 37m</t>
  </si>
  <si>
    <t>37m/37m/37m</t>
  </si>
  <si>
    <t>106,671208</t>
  </si>
  <si>
    <t>10,97728</t>
  </si>
  <si>
    <t>24/10/2018</t>
  </si>
  <si>
    <t>BDGTDM036;BDGTDM036;BDGTDM036</t>
  </si>
  <si>
    <t>2/4/4;2/2/2;1/1/1</t>
  </si>
  <si>
    <t>23m/ 23m/ 23m;28,5m/ 28,5m/ 28,5m;28m/ 28m/ 28m</t>
  </si>
  <si>
    <t>2/4/4</t>
  </si>
  <si>
    <t>23m/ 23m/ 23m</t>
  </si>
  <si>
    <t>23m/23m/23m</t>
  </si>
  <si>
    <t>28,5m/ 28,5m/ 28,5m</t>
  </si>
  <si>
    <t>28,5m/28,5m/28,5m</t>
  </si>
  <si>
    <t>VINAPHONE-HCM</t>
  </si>
  <si>
    <t>VIETTEL</t>
  </si>
  <si>
    <t>TỔNG CÔNG TY MẠNG LƯỚI VIETTEL</t>
  </si>
  <si>
    <t>CÔNG TY CỔ PHẦN VIỄN THÔNG HÀ NỘI</t>
  </si>
  <si>
    <t xml:space="preserve">    CỘNG HÒA XÃ HỘI CHỦ NGHĨA VIỆT NAM    </t>
  </si>
  <si>
    <t xml:space="preserve"> Độc lập - Tự do - Hạnh phúc</t>
  </si>
  <si>
    <t>100,69</t>
  </si>
  <si>
    <t>TB2</t>
  </si>
  <si>
    <t>ContactName</t>
  </si>
  <si>
    <t>CHI NHÁNH VINAPHONE TẠI TPHCM</t>
  </si>
  <si>
    <t>VINAPHONE Tp. Hồ Chí Minh</t>
  </si>
  <si>
    <t xml:space="preserve">024 32123440 </t>
  </si>
  <si>
    <t>024 32123441</t>
  </si>
  <si>
    <t>Ông A</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</si>
  <si>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</si>
  <si>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</si>
  <si>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</si>
  <si>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</si>
  <si>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ProfileNum</t>
  </si>
  <si>
    <t>ProfileDate</t>
  </si>
  <si>
    <t>BtsQuantity</t>
  </si>
  <si>
    <t>AcceptedBtsQuantity</t>
  </si>
  <si>
    <t>ApplyDate</t>
  </si>
  <si>
    <t>Fee</t>
  </si>
  <si>
    <t>FeeAnnounceNum</t>
  </si>
  <si>
    <t>FeeAnnounceDate</t>
  </si>
  <si>
    <t>FeeReceiptDate</t>
  </si>
  <si>
    <t>798/VNM</t>
  </si>
  <si>
    <t>3/PKĐ-TT2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</si>
</sst>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6">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_-* #,##0\ _₫_-;\-* #,##0\ _₫_-;_-* &quot;-&quot;??\ _₫_-;_-@_-"/>
    <numFmt numFmtId="169" formatCode="&quot;?&quot;#,##0;&quot;?&quot;\-#,##0"/>
    <numFmt numFmtId="170" formatCode="_ &quot;\&quot;* #,##0_ ;_ &quot;\&quot;* \-#,##0_ ;_ &quot;\&quot;* &quot;-&quot;_ ;_ @_ "/>
    <numFmt numFmtId="171" formatCode="&quot;ß&quot;\t#,##0_);\(&quot;ß&quot;\t#,##0\)"/>
    <numFmt numFmtId="172" formatCode="_ &quot;\&quot;* #,##0.00_ ;_ &quot;\&quot;* \-#,##0.00_ ;_ &quot;\&quot;* &quot;-&quot;??_ ;_ @_ "/>
    <numFmt numFmtId="173" formatCode="_(\ß* \t#,##0_);_(\ß* \(\t#,##0\);_(\ß* &quot;-&quot;_);_(@_)"/>
    <numFmt numFmtId="174" formatCode="_ * #,##0_ ;_ * \-#,##0_ ;_ * &quot;-&quot;_ ;_ @_ "/>
    <numFmt numFmtId="175" formatCode="&quot;ß&quot;\t#,##0_);[Red]\(&quot;ß&quot;\t#,##0\)"/>
    <numFmt numFmtId="176" formatCode="_ * #,##0.00_ ;_ * \-#,##0.00_ ;_ * &quot;-&quot;??_ ;_ @_ "/>
    <numFmt numFmtId="177" formatCode="_(* #,##0.000_);_(* \(#,##0.000\);_(* &quot;-&quot;??_);_(@_)"/>
    <numFmt numFmtId="178" formatCode=";;"/>
    <numFmt numFmtId="179" formatCode="#,##0.0_);\(#,##0.0\)"/>
    <numFmt numFmtId="180" formatCode="_(* #,##0.0000_);_(* \(#,##0.0000\);_(* &quot;-&quot;??_);_(@_)"/>
    <numFmt numFmtId="181" formatCode="0.0%;[Red]\(0.0%\)"/>
    <numFmt numFmtId="182" formatCode="_ * #,##0.00_)&quot;£&quot;_ ;_ * \(#,##0.00\)&quot;£&quot;_ ;_ * &quot;-&quot;??_)&quot;£&quot;_ ;_ @_ "/>
    <numFmt numFmtId="183" formatCode="0.0%;\(0.0%\)"/>
    <numFmt numFmtId="184" formatCode="0.000_)"/>
    <numFmt numFmtId="185" formatCode="#,##0.00\ &quot;F&quot;;\-#,##0.00\ &quot;F&quot;"/>
    <numFmt numFmtId="186" formatCode="0&quot;.&quot;0"/>
    <numFmt numFmtId="187" formatCode="dd\-mmm\-yy_)"/>
    <numFmt numFmtId="188" formatCode="0.0%"/>
    <numFmt numFmtId="189" formatCode="#,##0\ &quot;$&quot;_);[Red]\(#,##0\ &quot;$&quot;\)"/>
    <numFmt numFmtId="190" formatCode="&quot;$&quot;###,0&quot;.&quot;00_);[Red]\(&quot;$&quot;###,0&quot;.&quot;00\)"/>
    <numFmt numFmtId="191" formatCode="&quot;\&quot;#,##0;[Red]\-&quot;\&quot;#,##0"/>
    <numFmt numFmtId="192" formatCode="&quot;\&quot;#,##0.00;\-&quot;\&quot;#,##0.00"/>
    <numFmt numFmtId="193" formatCode="&quot;VND&quot;#,##0_);[Red]\(&quot;VND&quot;#,##0\)"/>
    <numFmt numFmtId="194" formatCode="#,##0.000_);\(#,##0.000\)"/>
    <numFmt numFmtId="195" formatCode="#,##0\ &quot;F&quot;;\-#,##0\ &quot;F&quot;"/>
    <numFmt numFmtId="196" formatCode="#,##0\ &quot;F&quot;;[Red]\-#,##0\ &quot;F&quot;"/>
    <numFmt numFmtId="197" formatCode="&quot;￥&quot;#,##0;&quot;￥&quot;\-#,##0"/>
    <numFmt numFmtId="198" formatCode="00.000"/>
    <numFmt numFmtId="199" formatCode="00000"/>
    <numFmt numFmtId="200" formatCode="dd/mm/yyyy;@"/>
    <numFmt numFmtId="201" formatCode="0.0"/>
    <numFmt numFmtId="202" formatCode="#,##0.000000"/>
    <numFmt numFmtId="203" formatCode="d/mm/yyyy;@"/>
    <numFmt numFmtId="204" formatCode="0.000"/>
  </numFmts>
  <fonts count="109">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color theme="1"/>
      <name val="Times New Roman"/>
      <family val="1"/>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Calibri"/>
      <family val="2"/>
      <scheme val="minor"/>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s>
  <fills count="49">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s>
  <cellStyleXfs count="201">
    <xf numFmtId="0" fontId="0" fillId="0" borderId="0"/>
    <xf numFmtId="0" fontId="1" fillId="0" borderId="0"/>
    <xf numFmtId="0" fontId="11" fillId="0" borderId="0"/>
    <xf numFmtId="169"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70" fontId="23" fillId="0" borderId="0"/>
    <xf numFmtId="0" fontId="24" fillId="0" borderId="0"/>
    <xf numFmtId="171" fontId="1" fillId="0" borderId="0"/>
    <xf numFmtId="172" fontId="23" fillId="0" borderId="0"/>
    <xf numFmtId="0" fontId="24" fillId="0" borderId="0"/>
    <xf numFmtId="173" fontId="1" fillId="0" borderId="0"/>
    <xf numFmtId="0" fontId="25" fillId="0" borderId="0">
      <alignment horizontal="center" wrapText="1"/>
      <protection locked="0"/>
    </xf>
    <xf numFmtId="174" fontId="23" fillId="0" borderId="0"/>
    <xf numFmtId="0" fontId="24" fillId="0" borderId="0"/>
    <xf numFmtId="175" fontId="1" fillId="0" borderId="0"/>
    <xf numFmtId="176" fontId="23" fillId="0" borderId="0"/>
    <xf numFmtId="0" fontId="24" fillId="0" borderId="0"/>
    <xf numFmtId="177" fontId="1" fillId="0" borderId="0"/>
    <xf numFmtId="0" fontId="26" fillId="0" borderId="0"/>
    <xf numFmtId="0" fontId="24" fillId="0" borderId="0"/>
    <xf numFmtId="0" fontId="27" fillId="0" borderId="0"/>
    <xf numFmtId="0" fontId="24" fillId="0" borderId="0"/>
    <xf numFmtId="0" fontId="28" fillId="0" borderId="0"/>
    <xf numFmtId="178" fontId="29" fillId="0" borderId="0"/>
    <xf numFmtId="179" fontId="30" fillId="0" borderId="0"/>
    <xf numFmtId="180" fontId="30" fillId="0" borderId="0"/>
    <xf numFmtId="181" fontId="30" fillId="0" borderId="0"/>
    <xf numFmtId="182" fontId="1" fillId="0" borderId="0"/>
    <xf numFmtId="165" fontId="30" fillId="0" borderId="0"/>
    <xf numFmtId="183" fontId="30" fillId="0" borderId="0"/>
    <xf numFmtId="179" fontId="30"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65" fontId="30" fillId="0" borderId="0"/>
    <xf numFmtId="43" fontId="1" fillId="0" borderId="0"/>
    <xf numFmtId="43" fontId="1" fillId="0" borderId="0"/>
    <xf numFmtId="43" fontId="1" fillId="0" borderId="0"/>
    <xf numFmtId="185" fontId="32" fillId="0" borderId="0"/>
    <xf numFmtId="3" fontId="1" fillId="0" borderId="0"/>
    <xf numFmtId="0" fontId="33" fillId="0" borderId="0">
      <alignment horizontal="left"/>
    </xf>
    <xf numFmtId="179" fontId="30" fillId="0" borderId="0"/>
    <xf numFmtId="44" fontId="1" fillId="0" borderId="0"/>
    <xf numFmtId="186" fontId="34" fillId="0" borderId="0"/>
    <xf numFmtId="187" fontId="32" fillId="0" borderId="0"/>
    <xf numFmtId="0" fontId="1" fillId="0" borderId="0"/>
    <xf numFmtId="14" fontId="35" fillId="0" borderId="0"/>
    <xf numFmtId="41" fontId="1" fillId="0" borderId="0"/>
    <xf numFmtId="43" fontId="1" fillId="0" borderId="0"/>
    <xf numFmtId="188" fontId="32" fillId="0" borderId="0"/>
    <xf numFmtId="0" fontId="36" fillId="19" borderId="0"/>
    <xf numFmtId="0" fontId="36" fillId="20" borderId="0"/>
    <xf numFmtId="0" fontId="36" fillId="21" borderId="0"/>
    <xf numFmtId="165" fontId="30" fillId="0" borderId="0"/>
    <xf numFmtId="179" fontId="30" fillId="0" borderId="0"/>
    <xf numFmtId="165" fontId="30" fillId="0" borderId="0"/>
    <xf numFmtId="183" fontId="30" fillId="0" borderId="0"/>
    <xf numFmtId="179"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9" fontId="30" fillId="0" borderId="0"/>
    <xf numFmtId="165" fontId="30" fillId="0" borderId="0"/>
    <xf numFmtId="183" fontId="30" fillId="0" borderId="0"/>
    <xf numFmtId="179" fontId="30" fillId="0" borderId="0"/>
    <xf numFmtId="38" fontId="29" fillId="0" borderId="0"/>
    <xf numFmtId="40" fontId="29" fillId="0" borderId="0"/>
    <xf numFmtId="41" fontId="1" fillId="0" borderId="0"/>
    <xf numFmtId="43" fontId="1" fillId="0" borderId="0"/>
    <xf numFmtId="189" fontId="29" fillId="0" borderId="0"/>
    <xf numFmtId="190" fontId="29" fillId="0" borderId="0"/>
    <xf numFmtId="191" fontId="1" fillId="0" borderId="0"/>
    <xf numFmtId="192" fontId="1" fillId="0" borderId="0"/>
    <xf numFmtId="0" fontId="44" fillId="0" borderId="0"/>
    <xf numFmtId="0" fontId="10" fillId="4" borderId="0"/>
    <xf numFmtId="37" fontId="45" fillId="0" borderId="0"/>
    <xf numFmtId="193" fontId="46" fillId="0" borderId="0"/>
    <xf numFmtId="0" fontId="47" fillId="0" borderId="0"/>
    <xf numFmtId="0" fontId="3" fillId="0" borderId="0"/>
    <xf numFmtId="0" fontId="1" fillId="0" borderId="0"/>
    <xf numFmtId="0" fontId="90" fillId="0" borderId="0"/>
    <xf numFmtId="0" fontId="1" fillId="0" borderId="0"/>
    <xf numFmtId="0" fontId="48" fillId="0" borderId="0"/>
    <xf numFmtId="14" fontId="25" fillId="0" borderId="0">
      <alignment horizontal="center" wrapText="1"/>
      <protection locked="0"/>
    </xf>
    <xf numFmtId="182" fontId="1" fillId="0" borderId="0"/>
    <xf numFmtId="194" fontId="1" fillId="0" borderId="0"/>
    <xf numFmtId="10" fontId="1" fillId="0" borderId="0"/>
    <xf numFmtId="9" fontId="29" fillId="0" borderId="7"/>
    <xf numFmtId="165" fontId="30" fillId="0" borderId="0"/>
    <xf numFmtId="179" fontId="30" fillId="0" borderId="0"/>
    <xf numFmtId="165" fontId="30" fillId="0" borderId="0"/>
    <xf numFmtId="183" fontId="30" fillId="0" borderId="0"/>
    <xf numFmtId="179"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5" fontId="1" fillId="0" borderId="0"/>
    <xf numFmtId="196"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7" fontId="71" fillId="0" borderId="0"/>
    <xf numFmtId="198"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742">
    <xf numFmtId="0" applyNumberFormat="1" fontId="0" applyFont="1" fillId="0" applyFill="1" borderId="0" applyBorder="1" xfId="0"/>
    <xf numFmtId="0" applyNumberFormat="1" fontId="1" applyFont="1" fillId="0" applyFill="1" borderId="0" applyBorder="1" xfId="1"/>
    <xf numFmtId="0" applyNumberFormat="1" fontId="11" applyFont="1" fillId="0" applyFill="1" borderId="0" applyBorder="1" xfId="2"/>
    <xf numFmtId="169" applyNumberFormat="1" fontId="12" applyFont="1" fillId="0" applyFill="1" borderId="0" applyBorder="1" xfId="3"/>
    <xf numFmtId="40" applyNumberFormat="1" fontId="11" applyFont="1" fillId="0" applyFill="1" borderId="0" applyBorder="1" xfId="4"/>
    <xf numFmtId="38" applyNumberFormat="1" fontId="11" applyFont="1" fillId="0" applyFill="1" borderId="0" applyBorder="1" xfId="5"/>
    <xf numFmtId="41" applyNumberFormat="1" fontId="13" applyFont="1" fillId="0" applyFill="1" borderId="0" applyBorder="1" xfId="6"/>
    <xf numFmtId="9" applyNumberFormat="1" fontId="14" applyFont="1" fillId="0" applyFill="1" borderId="0" applyBorder="1" xfId="7"/>
    <xf numFmtId="0" applyNumberFormat="1" fontId="15" applyFont="1" fillId="0" applyFill="1" borderId="0" applyBorder="1" xfId="8"/>
    <xf numFmtId="0" applyNumberFormat="1" fontId="3" applyFont="1" fillId="0" applyFill="1" borderId="0" applyBorder="1" xfId="9"/>
    <xf numFmtId="0" applyNumberFormat="1" fontId="1" applyFont="1" fillId="0" applyFill="1" borderId="0" applyBorder="1" xfId="10"/>
    <xf numFmtId="0" applyNumberFormat="1" fontId="16" applyFont="1" fillId="9" applyFill="1" borderId="0" applyBorder="1" xfId="11"/>
    <xf numFmtId="0" applyNumberFormat="1" fontId="16" applyFont="1" fillId="10" applyFill="1" borderId="0" applyBorder="1" xfId="12"/>
    <xf numFmtId="0" applyNumberFormat="1" fontId="17" applyFont="1" fillId="0" applyFill="1" borderId="3" applyBorder="1" xfId="13"/>
    <xf numFmtId="9" applyNumberFormat="1" fontId="18" applyFont="1" fillId="0" applyFill="1" borderId="0" applyBorder="1" xfId="14"/>
    <xf numFmtId="0" applyNumberFormat="1" fontId="19" applyFont="1" fillId="9" applyFill="1" borderId="0" applyBorder="1" xfId="15"/>
    <xf numFmtId="0" applyNumberFormat="1" fontId="19" applyFont="1" fillId="10" applyFill="1" borderId="0" applyBorder="1" xfId="16"/>
    <xf numFmtId="0" applyNumberFormat="1" fontId="20" applyFont="1" fillId="9" applyFill="1" borderId="0" applyBorder="1" xfId="17"/>
    <xf numFmtId="0" applyNumberFormat="1" fontId="20" applyFont="1" fillId="10" applyFill="1" borderId="0" applyBorder="1" xfId="18"/>
    <xf numFmtId="0" applyNumberFormat="1" fontId="21" applyFont="1" fillId="0" applyFill="1" borderId="0" applyBorder="1" xfId="19">
      <alignment wrapText="1"/>
    </xf>
    <xf numFmtId="0" applyNumberFormat="1" fontId="3" applyFont="1" fillId="11" applyFill="1" borderId="0" applyBorder="1" xfId="20"/>
    <xf numFmtId="0" applyNumberFormat="1" fontId="3" applyFont="1" fillId="11" applyFill="1" borderId="0" applyBorder="1" xfId="21"/>
    <xf numFmtId="0" applyNumberFormat="1" fontId="22" applyFont="1" fillId="12" applyFill="1" borderId="0" applyBorder="1" xfId="22"/>
    <xf numFmtId="0" applyNumberFormat="1" fontId="3" applyFont="1" fillId="13" applyFill="1" borderId="0" applyBorder="1" xfId="23"/>
    <xf numFmtId="0" applyNumberFormat="1" fontId="3" applyFont="1" fillId="14" applyFill="1" borderId="0" applyBorder="1" xfId="24"/>
    <xf numFmtId="0" applyNumberFormat="1" fontId="22" applyFont="1" fillId="15" applyFill="1" borderId="0" applyBorder="1" xfId="25"/>
    <xf numFmtId="0" applyNumberFormat="1" fontId="3" applyFont="1" fillId="13" applyFill="1" borderId="0" applyBorder="1" xfId="26"/>
    <xf numFmtId="0" applyNumberFormat="1" fontId="3" applyFont="1" fillId="16" applyFill="1" borderId="0" applyBorder="1" xfId="27"/>
    <xf numFmtId="0" applyNumberFormat="1" fontId="22" applyFont="1" fillId="14" applyFill="1" borderId="0" applyBorder="1" xfId="28"/>
    <xf numFmtId="0" applyNumberFormat="1" fontId="3" applyFont="1" fillId="11" applyFill="1" borderId="0" applyBorder="1" xfId="29"/>
    <xf numFmtId="0" applyNumberFormat="1" fontId="3" applyFont="1" fillId="14" applyFill="1" borderId="0" applyBorder="1" xfId="30"/>
    <xf numFmtId="0" applyNumberFormat="1" fontId="22" applyFont="1" fillId="14" applyFill="1" borderId="0" applyBorder="1" xfId="31"/>
    <xf numFmtId="0" applyNumberFormat="1" fontId="3" applyFont="1" fillId="17" applyFill="1" borderId="0" applyBorder="1" xfId="32"/>
    <xf numFmtId="0" applyNumberFormat="1" fontId="3" applyFont="1" fillId="11" applyFill="1" borderId="0" applyBorder="1" xfId="33"/>
    <xf numFmtId="0" applyNumberFormat="1" fontId="22" applyFont="1" fillId="12" applyFill="1" borderId="0" applyBorder="1" xfId="34"/>
    <xf numFmtId="0" applyNumberFormat="1" fontId="3" applyFont="1" fillId="13" applyFill="1" borderId="0" applyBorder="1" xfId="35"/>
    <xf numFmtId="0" applyNumberFormat="1" fontId="3" applyFont="1" fillId="18" applyFill="1" borderId="0" applyBorder="1" xfId="36"/>
    <xf numFmtId="0" applyNumberFormat="1" fontId="22" applyFont="1" fillId="18" applyFill="1" borderId="0" applyBorder="1" xfId="37"/>
    <xf numFmtId="170" applyNumberFormat="1" fontId="23" applyFont="1" fillId="0" applyFill="1" borderId="0" applyBorder="1" xfId="38"/>
    <xf numFmtId="0" applyNumberFormat="1" fontId="24" applyFont="1" fillId="0" applyFill="1" borderId="0" applyBorder="1" xfId="39"/>
    <xf numFmtId="171" applyNumberFormat="1" fontId="1" applyFont="1" fillId="0" applyFill="1" borderId="0" applyBorder="1" xfId="40"/>
    <xf numFmtId="172" applyNumberFormat="1" fontId="23" applyFont="1" fillId="0" applyFill="1" borderId="0" applyBorder="1" xfId="41"/>
    <xf numFmtId="0" applyNumberFormat="1" fontId="24" applyFont="1" fillId="0" applyFill="1" borderId="0" applyBorder="1" xfId="42"/>
    <xf numFmtId="173" applyNumberFormat="1" fontId="1" applyFont="1" fillId="0" applyFill="1" borderId="0" applyBorder="1" xfId="43"/>
    <xf numFmtId="0" applyNumberFormat="1" fontId="25" applyFont="1" fillId="0" applyFill="1" borderId="0" applyBorder="1" xfId="44">
      <alignment horizontal="center" wrapText="1"/>
      <protection locked="0"/>
    </xf>
    <xf numFmtId="174" applyNumberFormat="1" fontId="23" applyFont="1" fillId="0" applyFill="1" borderId="0" applyBorder="1" xfId="45"/>
    <xf numFmtId="0" applyNumberFormat="1" fontId="24" applyFont="1" fillId="0" applyFill="1" borderId="0" applyBorder="1" xfId="46"/>
    <xf numFmtId="175" applyNumberFormat="1" fontId="1" applyFont="1" fillId="0" applyFill="1" borderId="0" applyBorder="1" xfId="47"/>
    <xf numFmtId="176" applyNumberFormat="1" fontId="23" applyFont="1" fillId="0" applyFill="1" borderId="0" applyBorder="1" xfId="48"/>
    <xf numFmtId="0" applyNumberFormat="1" fontId="24" applyFont="1" fillId="0" applyFill="1" borderId="0" applyBorder="1" xfId="49"/>
    <xf numFmtId="177" applyNumberFormat="1" fontId="1" applyFont="1" fillId="0" applyFill="1" borderId="0" applyBorder="1" xfId="50"/>
    <xf numFmtId="0" applyNumberFormat="1" fontId="26" applyFont="1" fillId="0" applyFill="1" borderId="0" applyBorder="1" xfId="51"/>
    <xf numFmtId="0" applyNumberFormat="1" fontId="24" applyFont="1" fillId="0" applyFill="1" borderId="0" applyBorder="1" xfId="52"/>
    <xf numFmtId="0" applyNumberFormat="1" fontId="27" applyFont="1" fillId="0" applyFill="1" borderId="0" applyBorder="1" xfId="53"/>
    <xf numFmtId="0" applyNumberFormat="1" fontId="24" applyFont="1" fillId="0" applyFill="1" borderId="0" applyBorder="1" xfId="54"/>
    <xf numFmtId="0" applyNumberFormat="1" fontId="28" applyFont="1" fillId="0" applyFill="1" borderId="0" applyBorder="1" xfId="55"/>
    <xf numFmtId="178" applyNumberFormat="1" fontId="29" applyFont="1" fillId="0" applyFill="1" borderId="0" applyBorder="1" xfId="56"/>
    <xf numFmtId="179" applyNumberFormat="1" fontId="30" applyFont="1" fillId="0" applyFill="1" borderId="0" applyBorder="1" xfId="57"/>
    <xf numFmtId="180" applyNumberFormat="1" fontId="30" applyFont="1" fillId="0" applyFill="1" borderId="0" applyBorder="1" xfId="58"/>
    <xf numFmtId="181" applyNumberFormat="1" fontId="30" applyFont="1" fillId="0" applyFill="1" borderId="0" applyBorder="1" xfId="59"/>
    <xf numFmtId="182" applyNumberFormat="1" fontId="1" applyFont="1" fillId="0" applyFill="1" borderId="0" applyBorder="1" xfId="60"/>
    <xf numFmtId="165" applyNumberFormat="1" fontId="30" applyFont="1" fillId="0" applyFill="1" borderId="0" applyBorder="1" xfId="61"/>
    <xf numFmtId="183" applyNumberFormat="1" fontId="30" applyFont="1" fillId="0" applyFill="1" borderId="0" applyBorder="1" xfId="62"/>
    <xf numFmtId="179" applyNumberFormat="1" fontId="30" applyFont="1" fillId="0" applyFill="1" borderId="0" applyBorder="1" xfId="63"/>
    <xf numFmtId="184" applyNumberFormat="1" fontId="31" applyFont="1" fillId="0" applyFill="1" borderId="0" applyBorder="1" xfId="64"/>
    <xf numFmtId="184" applyNumberFormat="1" fontId="31" applyFont="1" fillId="0" applyFill="1" borderId="0" applyBorder="1" xfId="65"/>
    <xf numFmtId="184" applyNumberFormat="1" fontId="31" applyFont="1" fillId="0" applyFill="1" borderId="0" applyBorder="1" xfId="66"/>
    <xf numFmtId="184" applyNumberFormat="1" fontId="31" applyFont="1" fillId="0" applyFill="1" borderId="0" applyBorder="1" xfId="67"/>
    <xf numFmtId="184" applyNumberFormat="1" fontId="31" applyFont="1" fillId="0" applyFill="1" borderId="0" applyBorder="1" xfId="68"/>
    <xf numFmtId="184" applyNumberFormat="1" fontId="31" applyFont="1" fillId="0" applyFill="1" borderId="0" applyBorder="1" xfId="69"/>
    <xf numFmtId="184" applyNumberFormat="1" fontId="31" applyFont="1" fillId="0" applyFill="1" borderId="0" applyBorder="1" xfId="70"/>
    <xf numFmtId="184" applyNumberFormat="1" fontId="31" applyFont="1" fillId="0" applyFill="1" borderId="0" applyBorder="1" xfId="71"/>
    <xf numFmtId="165" applyNumberFormat="1" fontId="30" applyFont="1" fillId="0" applyFill="1" borderId="0" applyBorder="1" xfId="72"/>
    <xf numFmtId="43" applyNumberFormat="1" fontId="1" applyFont="1" fillId="0" applyFill="1" borderId="0" applyBorder="1" xfId="73"/>
    <xf numFmtId="43" applyNumberFormat="1" fontId="1" applyFont="1" fillId="0" applyFill="1" borderId="0" applyBorder="1" xfId="74"/>
    <xf numFmtId="43" applyNumberFormat="1" fontId="1" applyFont="1" fillId="0" applyFill="1" borderId="0" applyBorder="1" xfId="75"/>
    <xf numFmtId="185" applyNumberFormat="1" fontId="32" applyFont="1" fillId="0" applyFill="1" borderId="0" applyBorder="1" xfId="76"/>
    <xf numFmtId="3" applyNumberFormat="1" fontId="1" applyFont="1" fillId="0" applyFill="1" borderId="0" applyBorder="1" xfId="77"/>
    <xf numFmtId="0" applyNumberFormat="1" fontId="33" applyFont="1" fillId="0" applyFill="1" borderId="0" applyBorder="1" xfId="78">
      <alignment horizontal="left"/>
    </xf>
    <xf numFmtId="179" applyNumberFormat="1" fontId="30" applyFont="1" fillId="0" applyFill="1" borderId="0" applyBorder="1" xfId="79"/>
    <xf numFmtId="44" applyNumberFormat="1" fontId="1" applyFont="1" fillId="0" applyFill="1" borderId="0" applyBorder="1" xfId="80"/>
    <xf numFmtId="186" applyNumberFormat="1" fontId="34" applyFont="1" fillId="0" applyFill="1" borderId="0" applyBorder="1" xfId="81"/>
    <xf numFmtId="187" applyNumberFormat="1" fontId="32" applyFont="1" fillId="0" applyFill="1" borderId="0" applyBorder="1" xfId="82"/>
    <xf numFmtId="0" applyNumberFormat="1" fontId="1" applyFont="1" fillId="0" applyFill="1" borderId="0" applyBorder="1" xfId="83"/>
    <xf numFmtId="14" applyNumberFormat="1" fontId="35" applyFont="1" fillId="0" applyFill="1" borderId="0" applyBorder="1" xfId="84"/>
    <xf numFmtId="41" applyNumberFormat="1" fontId="1" applyFont="1" fillId="0" applyFill="1" borderId="0" applyBorder="1" xfId="85"/>
    <xf numFmtId="43" applyNumberFormat="1" fontId="1" applyFont="1" fillId="0" applyFill="1" borderId="0" applyBorder="1" xfId="86"/>
    <xf numFmtId="188" applyNumberFormat="1" fontId="32" applyFont="1" fillId="0" applyFill="1" borderId="0" applyBorder="1" xfId="87"/>
    <xf numFmtId="0" applyNumberFormat="1" fontId="36" applyFont="1" fillId="19" applyFill="1" borderId="0" applyBorder="1" xfId="88"/>
    <xf numFmtId="0" applyNumberFormat="1" fontId="36" applyFont="1" fillId="20" applyFill="1" borderId="0" applyBorder="1" xfId="89"/>
    <xf numFmtId="0" applyNumberFormat="1" fontId="36" applyFont="1" fillId="21" applyFill="1" borderId="0" applyBorder="1" xfId="90"/>
    <xf numFmtId="165" applyNumberFormat="1" fontId="30" applyFont="1" fillId="0" applyFill="1" borderId="0" applyBorder="1" xfId="91"/>
    <xf numFmtId="179" applyNumberFormat="1" fontId="30" applyFont="1" fillId="0" applyFill="1" borderId="0" applyBorder="1" xfId="92"/>
    <xf numFmtId="165" applyNumberFormat="1" fontId="30" applyFont="1" fillId="0" applyFill="1" borderId="0" applyBorder="1" xfId="93"/>
    <xf numFmtId="183" applyNumberFormat="1" fontId="30" applyFont="1" fillId="0" applyFill="1" borderId="0" applyBorder="1" xfId="94"/>
    <xf numFmtId="179" applyNumberFormat="1" fontId="30" applyFont="1" fillId="0" applyFill="1" borderId="0" applyBorder="1" xfId="95"/>
    <xf numFmtId="0" applyNumberFormat="1" fontId="37" applyFont="1" fillId="0" applyFill="1" borderId="0" applyBorder="1" xfId="96">
      <alignment horizontal="left"/>
    </xf>
    <xf numFmtId="2" applyNumberFormat="1" fontId="1" applyFont="1" fillId="0" applyFill="1" borderId="0" applyBorder="1" xfId="97"/>
    <xf numFmtId="38" applyNumberFormat="1" fontId="38" applyFont="1" fillId="9" applyFill="1" borderId="0" applyBorder="1" xfId="98"/>
    <xf numFmtId="0" applyNumberFormat="1" fontId="39" applyFont="1" fillId="0" applyFill="1" borderId="0" applyBorder="1" xfId="99">
      <alignment horizontal="left" vertical="center"/>
    </xf>
    <xf numFmtId="0" applyNumberFormat="1" fontId="40" applyFont="1" fillId="22" applyFill="1" borderId="0" applyBorder="1" xfId="100"/>
    <xf numFmtId="0" applyNumberFormat="1" fontId="41" applyFont="1" fillId="0" applyFill="1" borderId="4" applyBorder="1" xfId="101">
      <alignment horizontal="left" vertical="center"/>
    </xf>
    <xf numFmtId="0" applyNumberFormat="1" fontId="41" applyFont="1" fillId="0" applyFill="1" borderId="5" applyBorder="1" xfId="102">
      <alignment horizontal="left" vertical="center"/>
    </xf>
    <xf numFmtId="0" applyNumberFormat="1" fontId="42" applyFont="1" fillId="0" applyFill="1" borderId="6" applyBorder="1" xfId="103">
      <alignment horizontal="center"/>
    </xf>
    <xf numFmtId="0" applyNumberFormat="1" fontId="42" applyFont="1" fillId="0" applyFill="1" borderId="0" applyBorder="1" xfId="104">
      <alignment horizontal="center"/>
    </xf>
    <xf numFmtId="5" applyNumberFormat="1" fontId="43" applyFont="1" fillId="23" applyFill="1" borderId="1" applyBorder="1" xfId="105">
      <alignment horizontal="left" vertical="top"/>
    </xf>
    <xf numFmtId="10" applyNumberFormat="1" fontId="38" applyFont="1" fillId="24" applyFill="1" borderId="1" applyBorder="1" xfId="106"/>
    <xf numFmtId="0" applyNumberFormat="1" fontId="29" applyFont="1" fillId="0" applyFill="1" borderId="0" applyBorder="1" xfId="107"/>
    <xf numFmtId="165" applyNumberFormat="1" fontId="30" applyFont="1" fillId="0" applyFill="1" borderId="0" applyBorder="1" xfId="108"/>
    <xf numFmtId="179" applyNumberFormat="1" fontId="30" applyFont="1" fillId="0" applyFill="1" borderId="0" applyBorder="1" xfId="109"/>
    <xf numFmtId="165" applyNumberFormat="1" fontId="30" applyFont="1" fillId="0" applyFill="1" borderId="0" applyBorder="1" xfId="110"/>
    <xf numFmtId="183" applyNumberFormat="1" fontId="30" applyFont="1" fillId="0" applyFill="1" borderId="0" applyBorder="1" xfId="111"/>
    <xf numFmtId="179" applyNumberFormat="1" fontId="30" applyFont="1" fillId="0" applyFill="1" borderId="0" applyBorder="1" xfId="112"/>
    <xf numFmtId="38" applyNumberFormat="1" fontId="29" applyFont="1" fillId="0" applyFill="1" borderId="0" applyBorder="1" xfId="113"/>
    <xf numFmtId="40" applyNumberFormat="1" fontId="29" applyFont="1" fillId="0" applyFill="1" borderId="0" applyBorder="1" xfId="114"/>
    <xf numFmtId="41" applyNumberFormat="1" fontId="1" applyFont="1" fillId="0" applyFill="1" borderId="0" applyBorder="1" xfId="115"/>
    <xf numFmtId="43" applyNumberFormat="1" fontId="1" applyFont="1" fillId="0" applyFill="1" borderId="0" applyBorder="1" xfId="116"/>
    <xf numFmtId="189" applyNumberFormat="1" fontId="29" applyFont="1" fillId="0" applyFill="1" borderId="0" applyBorder="1" xfId="117"/>
    <xf numFmtId="190" applyNumberFormat="1" fontId="29" applyFont="1" fillId="0" applyFill="1" borderId="0" applyBorder="1" xfId="118"/>
    <xf numFmtId="191" applyNumberFormat="1" fontId="1" applyFont="1" fillId="0" applyFill="1" borderId="0" applyBorder="1" xfId="119"/>
    <xf numFmtId="192" applyNumberFormat="1" fontId="1" applyFont="1" fillId="0" applyFill="1" borderId="0" applyBorder="1" xfId="120"/>
    <xf numFmtId="0" applyNumberFormat="1" fontId="44" applyFont="1" fillId="0" applyFill="1" borderId="0" applyBorder="1" xfId="121"/>
    <xf numFmtId="0" applyNumberFormat="1" fontId="10" applyFont="1" fillId="4" applyFill="1" borderId="0" applyBorder="1" xfId="122"/>
    <xf numFmtId="37" applyNumberFormat="1" fontId="45" applyFont="1" fillId="0" applyFill="1" borderId="0" applyBorder="1" xfId="123"/>
    <xf numFmtId="193" applyNumberFormat="1" fontId="46" applyFont="1" fillId="0" applyFill="1" borderId="0" applyBorder="1" xfId="124"/>
    <xf numFmtId="0" applyNumberFormat="1" fontId="47" applyFont="1" fillId="0" applyFill="1" borderId="0" applyBorder="1" xfId="125"/>
    <xf numFmtId="0" applyNumberFormat="1" fontId="3" applyFont="1" fillId="0" applyFill="1" borderId="0" applyBorder="1" xfId="126"/>
    <xf numFmtId="0" applyNumberFormat="1" fontId="1" applyFont="1" fillId="0" applyFill="1" borderId="0" applyBorder="1" xfId="127"/>
    <xf numFmtId="0" applyNumberFormat="1" fontId="90" applyFont="1" fillId="0" applyFill="1" borderId="0" applyBorder="1" xfId="128"/>
    <xf numFmtId="0" applyNumberFormat="1" fontId="1" applyFont="1" fillId="0" applyFill="1" borderId="0" applyBorder="1" xfId="129"/>
    <xf numFmtId="0" applyNumberFormat="1" fontId="48" applyFont="1" fillId="0" applyFill="1" borderId="0" applyBorder="1" xfId="130"/>
    <xf numFmtId="14" applyNumberFormat="1" fontId="25" applyFont="1" fillId="0" applyFill="1" borderId="0" applyBorder="1" xfId="131">
      <alignment horizontal="center" wrapText="1"/>
      <protection locked="0"/>
    </xf>
    <xf numFmtId="182" applyNumberFormat="1" fontId="1" applyFont="1" fillId="0" applyFill="1" borderId="0" applyBorder="1" xfId="132"/>
    <xf numFmtId="194" applyNumberFormat="1" fontId="1" applyFont="1" fillId="0" applyFill="1" borderId="0" applyBorder="1" xfId="133"/>
    <xf numFmtId="10" applyNumberFormat="1" fontId="1" applyFont="1" fillId="0" applyFill="1" borderId="0" applyBorder="1" xfId="134"/>
    <xf numFmtId="9" applyNumberFormat="1" fontId="29" applyFont="1" fillId="0" applyFill="1" borderId="7" applyBorder="1" xfId="135"/>
    <xf numFmtId="165" applyNumberFormat="1" fontId="30" applyFont="1" fillId="0" applyFill="1" borderId="0" applyBorder="1" xfId="136"/>
    <xf numFmtId="179" applyNumberFormat="1" fontId="30" applyFont="1" fillId="0" applyFill="1" borderId="0" applyBorder="1" xfId="137"/>
    <xf numFmtId="165" applyNumberFormat="1" fontId="30" applyFont="1" fillId="0" applyFill="1" borderId="0" applyBorder="1" xfId="138"/>
    <xf numFmtId="183" applyNumberFormat="1" fontId="30" applyFont="1" fillId="0" applyFill="1" borderId="0" applyBorder="1" xfId="139"/>
    <xf numFmtId="179" applyNumberFormat="1" fontId="30" applyFont="1" fillId="0" applyFill="1" borderId="0" applyBorder="1" xfId="140"/>
    <xf numFmtId="0" applyNumberFormat="1" fontId="49" applyFont="1" fillId="0" applyFill="1" borderId="0" applyBorder="1" xfId="141"/>
    <xf numFmtId="0" applyNumberFormat="1" fontId="29" applyFont="1" fillId="0" applyFill="1" borderId="0" applyBorder="1" xfId="142">
      <alignment horizontal="left"/>
    </xf>
    <xf numFmtId="0" applyNumberFormat="1" fontId="50" applyFont="1" fillId="0" applyFill="1" borderId="6" applyBorder="1" xfId="143">
      <alignment horizontal="center"/>
    </xf>
    <xf numFmtId="1" applyNumberFormat="1" fontId="1" applyFont="1" fillId="0" applyFill="1" borderId="8" applyBorder="1" xfId="144">
      <alignment horizontal="center" vertical="center"/>
    </xf>
    <xf numFmtId="0" applyNumberFormat="1" fontId="51" applyFont="1" fillId="25" applyFill="1" borderId="0" applyBorder="1" xfId="145">
      <alignment horizontal="center"/>
    </xf>
    <xf numFmtId="14" applyNumberFormat="1" fontId="52" applyFont="1" fillId="0" applyFill="1" borderId="0" applyBorder="1" xfId="146">
      <alignment horizontal="left"/>
    </xf>
    <xf numFmtId="0" applyNumberFormat="1" fontId="51" applyFont="1" fillId="1" applyFill="1" borderId="5" applyBorder="1" xfId="147">
      <alignment horizontal="center"/>
    </xf>
    <xf numFmtId="0" applyNumberFormat="1" fontId="53" applyFont="1" fillId="0" applyFill="1" borderId="0" applyBorder="1" xfId="148"/>
    <xf numFmtId="0" applyNumberFormat="1" fontId="54" applyFont="1" fillId="0" applyFill="1" borderId="0" applyBorder="1" xfId="149">
      <alignment horizontal="center"/>
    </xf>
    <xf numFmtId="0" applyNumberFormat="1" fontId="1" applyFont="1" fillId="26" applyFill="1" borderId="0" applyBorder="1" xfId="150"/>
    <xf numFmtId="0" applyNumberFormat="1" fontId="35" applyFont="1" fillId="0" applyFill="1" borderId="0" applyBorder="1" xfId="151">
      <alignment vertical="top"/>
    </xf>
    <xf numFmtId="40" applyNumberFormat="1" fontId="55" applyFont="1" fillId="0" applyFill="1" borderId="0" applyBorder="1" xfId="152">
      <alignment horizontal="right"/>
    </xf>
    <xf numFmtId="49" applyNumberFormat="1" fontId="35" applyFont="1" fillId="0" applyFill="1" borderId="0" applyBorder="1" xfId="153"/>
    <xf numFmtId="195" applyNumberFormat="1" fontId="1" applyFont="1" fillId="0" applyFill="1" borderId="0" applyBorder="1" xfId="154"/>
    <xf numFmtId="196" applyNumberFormat="1" fontId="1" applyFont="1" fillId="0" applyFill="1" borderId="0" applyBorder="1" xfId="155"/>
    <xf numFmtId="0" applyNumberFormat="1" fontId="34" applyFont="1" fillId="0" applyFill="1" borderId="0" applyBorder="1" xfId="156">
      <alignment vertical="center" wrapText="1"/>
      <protection locked="0"/>
    </xf>
    <xf numFmtId="0" applyNumberFormat="1" fontId="56" applyFont="1" fillId="0" applyFill="1" borderId="9" applyBorder="1" xfId="157"/>
    <xf numFmtId="0" applyNumberFormat="1" fontId="48" applyFont="1" fillId="0" applyFill="1" borderId="0" applyBorder="1" xfId="158"/>
    <xf numFmtId="0" applyNumberFormat="1" fontId="57" applyFont="1" fillId="0" applyFill="1" borderId="10" applyBorder="1" xfId="159">
      <alignment horizontal="center"/>
    </xf>
    <xf numFmtId="0" applyNumberFormat="1" fontId="34" applyFont="1" fillId="0" applyFill="1" borderId="0" applyBorder="1" xfId="160"/>
    <xf numFmtId="5" applyNumberFormat="1" fontId="58" applyFont="1" fillId="27" applyFill="1" borderId="2" applyBorder="1" xfId="161">
      <alignment vertical="top"/>
    </xf>
    <xf numFmtId="0" applyNumberFormat="1" fontId="59" applyFont="1" fillId="28" applyFill="1" borderId="1" applyBorder="1" xfId="162">
      <alignment horizontal="left" vertical="center"/>
    </xf>
    <xf numFmtId="6" applyNumberFormat="1" fontId="60" applyFont="1" fillId="29" applyFill="1" borderId="2" applyBorder="1" xfId="163"/>
    <xf numFmtId="5" applyNumberFormat="1" fontId="43" applyFont="1" fillId="0" applyFill="1" borderId="2" applyBorder="1" xfId="164">
      <alignment horizontal="left" vertical="top"/>
    </xf>
    <xf numFmtId="0" applyNumberFormat="1" fontId="61" applyFont="1" fillId="30" applyFill="1" borderId="0" applyBorder="1" xfId="165">
      <alignment horizontal="left" vertical="center"/>
    </xf>
    <xf numFmtId="5" applyNumberFormat="1" fontId="62" applyFont="1" fillId="0" applyFill="1" borderId="8" applyBorder="1" xfId="166">
      <alignment horizontal="left" vertical="top"/>
    </xf>
    <xf numFmtId="0" applyNumberFormat="1" fontId="63" applyFont="1" fillId="0" applyFill="1" borderId="8" applyBorder="1" xfId="167">
      <alignment horizontal="left" vertical="center"/>
    </xf>
    <xf numFmtId="166" applyNumberFormat="1" fontId="1" applyFont="1" fillId="0" applyFill="1" borderId="0" applyBorder="1" xfId="168"/>
    <xf numFmtId="167" applyNumberFormat="1" fontId="1" applyFont="1" fillId="0" applyFill="1" borderId="0" applyBorder="1" xfId="169"/>
    <xf numFmtId="0" applyNumberFormat="1" fontId="64" applyFont="1" fillId="0" applyFill="1" borderId="0" applyBorder="1" xfId="170"/>
    <xf numFmtId="0" applyNumberFormat="1" fontId="65" applyFont="1" fillId="0" applyFill="1" borderId="0" applyBorder="1" xfId="171"/>
    <xf numFmtId="0" applyNumberFormat="1" fontId="65" applyFont="1" fillId="0" applyFill="1" borderId="0" applyBorder="1" xfId="172"/>
    <xf numFmtId="0" applyNumberFormat="1" fontId="4" applyFont="1" fillId="0" applyFill="1" borderId="0" applyBorder="1" xfId="173">
      <alignment vertical="center"/>
    </xf>
    <xf numFmtId="40" applyNumberFormat="1" fontId="66" applyFont="1" fillId="0" applyFill="1" borderId="0" applyBorder="1" xfId="174"/>
    <xf numFmtId="38" applyNumberFormat="1" fontId="66" applyFont="1" fillId="0" applyFill="1" borderId="0" applyBorder="1" xfId="175"/>
    <xf numFmtId="0" applyNumberFormat="1" fontId="66" applyFont="1" fillId="0" applyFill="1" borderId="0" applyBorder="1" xfId="176"/>
    <xf numFmtId="0" applyNumberFormat="1" fontId="66" applyFont="1" fillId="0" applyFill="1" borderId="0" applyBorder="1" xfId="177"/>
    <xf numFmtId="9" applyNumberFormat="1" fontId="67" applyFont="1" fillId="0" applyFill="1" borderId="0" applyBorder="1" xfId="178"/>
    <xf numFmtId="0" applyNumberFormat="1" fontId="68" applyFont="1" fillId="0" applyFill="1" borderId="0" applyBorder="1" xfId="179"/>
    <xf numFmtId="0" applyNumberFormat="1" fontId="69" applyFont="1" fillId="0" applyFill="1" borderId="0" applyBorder="1" xfId="180"/>
    <xf numFmtId="0" applyNumberFormat="1" fontId="69" applyFont="1" fillId="0" applyFill="1" borderId="0" applyBorder="1" xfId="181"/>
    <xf numFmtId="0" applyNumberFormat="1" fontId="69" applyFont="1" fillId="0" applyFill="1" borderId="0" applyBorder="1" xfId="182"/>
    <xf numFmtId="0" applyNumberFormat="1" fontId="69" applyFont="1" fillId="0" applyFill="1" borderId="0" applyBorder="1" xfId="183"/>
    <xf numFmtId="0" applyNumberFormat="1" fontId="69" applyFont="1" fillId="0" applyFill="1" borderId="0" applyBorder="1" xfId="184"/>
    <xf numFmtId="0" applyNumberFormat="1" fontId="69" applyFont="1" fillId="0" applyFill="1" borderId="0" applyBorder="1" xfId="185"/>
    <xf numFmtId="0" applyNumberFormat="1" fontId="69" applyFont="1" fillId="0" applyFill="1" borderId="0" applyBorder="1" xfId="186"/>
    <xf numFmtId="0" applyNumberFormat="1" fontId="69" applyFont="1" fillId="0" applyFill="1" borderId="0" applyBorder="1" xfId="187"/>
    <xf numFmtId="41" applyNumberFormat="1" fontId="70" applyFont="1" fillId="0" applyFill="1" borderId="0" applyBorder="1" xfId="188"/>
    <xf numFmtId="43" applyNumberFormat="1" fontId="70" applyFont="1" fillId="0" applyFill="1" borderId="0" applyBorder="1" xfId="189"/>
    <xf numFmtId="197" applyNumberFormat="1" fontId="71" applyFont="1" fillId="0" applyFill="1" borderId="0" applyBorder="1" xfId="190"/>
    <xf numFmtId="198" applyNumberFormat="1" fontId="71" applyFont="1" fillId="0" applyFill="1" borderId="0" applyBorder="1" xfId="191"/>
    <xf numFmtId="0" applyNumberFormat="1" fontId="72" applyFont="1" fillId="0" applyFill="1" borderId="0" applyBorder="1" xfId="192"/>
    <xf numFmtId="0" applyNumberFormat="1" fontId="44" applyFont="1" fillId="0" applyFill="1" borderId="0" applyBorder="1" xfId="193"/>
    <xf numFmtId="41" applyNumberFormat="1" fontId="73" applyFont="1" fillId="0" applyFill="1" borderId="0" applyBorder="1" xfId="194"/>
    <xf numFmtId="43" applyNumberFormat="1" fontId="73" applyFont="1" fillId="0" applyFill="1" borderId="0" applyBorder="1" xfId="195"/>
    <xf numFmtId="41" applyNumberFormat="1" fontId="1" applyFont="1" fillId="0" applyFill="1" borderId="0" applyBorder="1" xfId="196"/>
    <xf numFmtId="0" applyNumberFormat="1" fontId="1" applyFont="1" fillId="0" applyFill="1" borderId="0" applyBorder="1" xfId="197"/>
    <xf numFmtId="164" applyNumberFormat="1" fontId="73" applyFont="1" fillId="0" applyFill="1" borderId="0" applyBorder="1" xfId="198"/>
    <xf numFmtId="6" applyNumberFormat="1" fontId="74" applyFont="1" fillId="0" applyFill="1" borderId="0" applyBorder="1" xfId="199"/>
    <xf numFmtId="165" applyNumberFormat="1" fontId="73" applyFont="1" fillId="0" applyFill="1" borderId="0" applyBorder="1" xfId="200"/>
    <xf numFmtId="0" applyNumberFormat="1" fontId="77" applyFont="1" fillId="34" applyFill="1" borderId="0" applyBorder="1" xfId="0">
      <alignment horizontal="center" vertical="center"/>
      <protection locked="0"/>
    </xf>
    <xf numFmtId="0" applyNumberFormat="1" fontId="77" applyFont="1" fillId="34" applyFill="1" borderId="0" applyBorder="1" xfId="0">
      <alignment horizontal="left"/>
      <protection locked="0"/>
    </xf>
    <xf numFmtId="0" applyNumberFormat="1" fontId="97" applyFont="1" fillId="5" applyFill="1" borderId="1" applyBorder="1" xfId="0">
      <alignment horizontal="center" vertical="center" wrapText="1"/>
      <protection locked="0"/>
    </xf>
    <xf numFmtId="0" applyNumberFormat="1" fontId="97" applyFont="1" fillId="5" applyFill="1" borderId="2" applyBorder="1" xfId="0">
      <alignment horizontal="center" vertical="center" wrapText="1"/>
      <protection locked="0"/>
    </xf>
    <xf numFmtId="0" applyNumberFormat="1" fontId="97" applyFont="1" fillId="39" applyFill="1" borderId="2" applyBorder="1" xfId="0">
      <alignment horizontal="center" vertical="center" wrapText="1"/>
      <protection locked="0"/>
    </xf>
    <xf numFmtId="0" applyNumberFormat="1" fontId="2" applyFont="1" fillId="0" applyFill="1" borderId="0" applyBorder="1" xfId="0">
      <protection locked="0"/>
    </xf>
    <xf numFmtId="0" applyNumberFormat="1" fontId="77" applyFont="1" fillId="0" applyFill="1" borderId="0" applyBorder="1" xfId="0">
      <protection locked="0"/>
    </xf>
    <xf numFmtId="0" applyNumberFormat="1" fontId="77" applyFont="1" fillId="0" applyFill="1" borderId="0" applyBorder="1" xfId="0">
      <alignment horizontal="left"/>
      <protection locked="0"/>
    </xf>
    <xf numFmtId="0" applyNumberFormat="1" fontId="0" applyFont="1" fillId="0" applyFill="1" borderId="0" applyBorder="1" xfId="0">
      <protection locked="0"/>
    </xf>
    <xf numFmtId="0" applyNumberFormat="1" fontId="99" applyFont="1" fillId="8" applyFill="1" borderId="0" applyBorder="1" xfId="0">
      <alignment horizontal="center"/>
      <protection locked="0"/>
    </xf>
    <xf numFmtId="0" applyNumberFormat="1" fontId="100" applyFont="1" fillId="0" applyFill="1" borderId="0" applyBorder="1" xfId="0">
      <alignment horizontal="center"/>
      <protection locked="0"/>
    </xf>
    <xf numFmtId="0" applyNumberFormat="1" fontId="100" applyFont="1" fillId="0" applyFill="1" borderId="0" applyBorder="1" xfId="0">
      <alignment horizontal="center" vertical="center" wrapText="1"/>
      <protection locked="0"/>
    </xf>
    <xf numFmtId="0" applyNumberFormat="1" fontId="100" applyFont="1" fillId="0" applyFill="1" borderId="0" applyBorder="1" xfId="0">
      <alignment vertical="center" wrapText="1"/>
      <protection locked="0"/>
    </xf>
    <xf numFmtId="0" applyNumberFormat="1" fontId="99" applyFont="1" fillId="8" applyFill="1" borderId="0" applyBorder="1" xfId="0">
      <alignment horizontal="center" vertical="center" wrapText="1"/>
      <protection locked="0"/>
    </xf>
    <xf numFmtId="0" applyNumberFormat="1" fontId="99" applyFont="1" fillId="8" applyFill="1" borderId="0" applyBorder="1" xfId="0">
      <alignment vertical="center" wrapText="1"/>
      <protection locked="0"/>
    </xf>
    <xf numFmtId="49" applyNumberFormat="1" fontId="100" applyFont="1" fillId="0" applyFill="1" borderId="0" applyBorder="1" xfId="0">
      <alignment horizontal="center" vertical="center" wrapText="1"/>
      <protection locked="0"/>
    </xf>
    <xf numFmtId="0" applyNumberFormat="1" fontId="99" applyFont="1" fillId="6" applyFill="1" borderId="0" applyBorder="1" xfId="0">
      <alignment horizontal="center" vertical="center"/>
      <protection locked="0"/>
    </xf>
    <xf numFmtId="0" applyNumberFormat="1" fontId="99" applyFont="1" fillId="5" applyFill="1" borderId="0" applyBorder="1" xfId="0">
      <alignment horizontal="center" vertical="center"/>
      <protection locked="0"/>
    </xf>
    <xf numFmtId="0" applyNumberFormat="1" fontId="100" applyFont="1" fillId="0" applyFill="1" borderId="0" applyBorder="1" xfId="0">
      <alignment vertical="center"/>
      <protection locked="0"/>
    </xf>
    <xf numFmtId="14" applyNumberFormat="1" fontId="100" applyFont="1" fillId="0" applyFill="1" borderId="0" applyBorder="1" xfId="0">
      <alignment vertical="center"/>
      <protection locked="0"/>
    </xf>
    <xf numFmtId="14" applyNumberFormat="1" fontId="100" applyFont="1" fillId="0" applyFill="1" borderId="0" applyBorder="1" xfId="0">
      <alignment horizontal="center" vertical="center"/>
      <protection locked="0"/>
    </xf>
    <xf numFmtId="0" applyNumberFormat="1" fontId="100" applyFont="1" fillId="0" applyFill="1" borderId="0" applyBorder="1" xfId="0">
      <alignment horizontal="center" vertical="center"/>
      <protection locked="0"/>
    </xf>
    <xf numFmtId="0" applyNumberFormat="1" fontId="101" applyFont="1" fillId="6" applyFill="1" borderId="0" applyBorder="1" xfId="0">
      <alignment horizontal="center" vertical="center"/>
      <protection locked="0"/>
    </xf>
    <xf numFmtId="0" applyNumberFormat="1" fontId="101" applyFont="1" fillId="6" applyFill="1" borderId="0" applyBorder="1" xfId="0">
      <alignment horizontal="center"/>
      <protection locked="0"/>
    </xf>
    <xf numFmtId="0" applyNumberFormat="1" fontId="101" applyFont="1" fillId="5" applyFill="1" borderId="0" applyBorder="1" xfId="0">
      <alignment horizontal="center"/>
      <protection locked="0"/>
    </xf>
    <xf numFmtId="0" applyNumberFormat="1" fontId="101" applyFont="1" fillId="0" applyFill="1" borderId="0" applyBorder="1" xfId="0">
      <alignment horizontal="center"/>
      <protection locked="0"/>
    </xf>
    <xf numFmtId="0" applyNumberFormat="1" fontId="100" applyFont="1" fillId="0" applyFill="1" borderId="0" applyBorder="1" xfId="0">
      <protection locked="0"/>
    </xf>
    <xf numFmtId="0" applyNumberFormat="1" fontId="102" applyFont="1" fillId="0" applyFill="1" borderId="0" applyBorder="1" xfId="0">
      <protection locked="0"/>
    </xf>
    <xf numFmtId="0" applyNumberFormat="1" fontId="102" applyFont="1" fillId="0" applyFill="1" borderId="0" applyBorder="1" xfId="0">
      <alignment horizontal="center" vertical="center"/>
      <protection locked="0"/>
    </xf>
    <xf numFmtId="0" applyNumberFormat="1" fontId="102" applyFont="1" fillId="0" applyFill="1" borderId="0" applyBorder="1" xfId="0">
      <alignment horizontal="center"/>
      <protection locked="0"/>
    </xf>
    <xf numFmtId="0" applyNumberFormat="1" fontId="102" applyFont="1" fillId="36" applyFill="1" borderId="0" applyBorder="1" xfId="0">
      <alignment horizontal="center" vertical="center"/>
      <protection locked="0"/>
    </xf>
    <xf numFmtId="1" applyNumberFormat="1" fontId="2" applyFont="1" fillId="5" applyFill="1" borderId="1" applyBorder="1" xfId="127">
      <alignment horizontal="center" vertical="center" wrapText="1"/>
      <protection locked="0"/>
    </xf>
    <xf numFmtId="1" applyNumberFormat="1" fontId="2" applyFont="1" fillId="2" applyFill="1" borderId="1" applyBorder="1" xfId="127">
      <alignment horizontal="center" vertical="center" wrapText="1"/>
      <protection locked="0"/>
    </xf>
    <xf numFmtId="0" applyNumberFormat="1" fontId="2" applyFont="1" fillId="2" applyFill="1" borderId="1" applyBorder="1" xfId="127">
      <alignment horizontal="center" vertical="center" wrapText="1"/>
      <protection locked="0"/>
    </xf>
    <xf numFmtId="0" applyNumberFormat="1" fontId="6" applyFont="1" fillId="3" applyFill="1" borderId="1" applyBorder="1" xfId="127">
      <alignment horizontal="center" vertical="center" wrapText="1"/>
      <protection locked="0"/>
    </xf>
    <xf numFmtId="0" applyNumberFormat="1" fontId="1" applyFont="1" fillId="0" applyFill="1" borderId="1" applyBorder="1" xfId="127">
      <alignment horizontal="center" vertical="center" wrapText="1"/>
      <protection locked="0"/>
    </xf>
    <xf numFmtId="199" applyNumberFormat="1" fontId="76" applyFont="1" fillId="0" applyFill="1" borderId="1" applyBorder="1" xfId="127">
      <alignment horizontal="left" vertical="center" wrapText="1"/>
      <protection locked="0"/>
    </xf>
    <xf numFmtId="1" applyNumberFormat="1" fontId="76" applyFont="1" fillId="0" applyFill="1" borderId="1" applyBorder="1" xfId="127">
      <alignment horizontal="left" vertical="center"/>
      <protection locked="0"/>
    </xf>
    <xf numFmtId="1" applyNumberFormat="1" fontId="76" applyFont="1" fillId="0" applyFill="1" borderId="1" applyBorder="1" xfId="127">
      <alignment horizontal="center" vertical="center"/>
      <protection locked="0"/>
    </xf>
    <xf numFmtId="200" applyNumberFormat="1" fontId="76" applyFont="1" fillId="0" applyFill="1" borderId="1" applyBorder="1" xfId="127">
      <alignment horizontal="left" vertical="center"/>
      <protection locked="0"/>
    </xf>
    <xf numFmtId="0" applyNumberFormat="1" fontId="76" applyFont="1" fillId="0" applyFill="1" borderId="1" applyBorder="1" xfId="127">
      <alignment horizontal="left" vertical="center"/>
      <protection locked="0"/>
    </xf>
    <xf numFmtId="2" applyNumberFormat="1" fontId="76" applyFont="1" fillId="0" applyFill="1" borderId="1" applyBorder="1" xfId="127">
      <alignment horizontal="left" vertical="center"/>
      <protection locked="0"/>
    </xf>
    <xf numFmtId="2" applyNumberFormat="1" fontId="76" applyFont="1" fillId="0" applyFill="1" borderId="1" applyBorder="1" xfId="127">
      <alignment horizontal="left" vertical="center" wrapText="1"/>
      <protection locked="0"/>
    </xf>
    <xf numFmtId="14" applyNumberFormat="1" fontId="76" applyFont="1" fillId="0" applyFill="1" borderId="1" applyBorder="1" xfId="127">
      <alignment horizontal="left" vertical="center" wrapText="1"/>
      <protection locked="0"/>
    </xf>
    <xf numFmtId="0" applyNumberFormat="1" fontId="76" applyFont="1" fillId="0" applyFill="1" borderId="1" applyBorder="1" xfId="127">
      <alignment horizontal="left" vertical="center" wrapText="1"/>
      <protection locked="0"/>
    </xf>
    <xf numFmtId="168" applyNumberFormat="1" fontId="75" applyFont="1" fillId="0" applyFill="1" borderId="1" applyBorder="1" xfId="73">
      <alignment horizontal="left" vertical="center"/>
      <protection locked="0"/>
    </xf>
    <xf numFmtId="0" applyNumberFormat="1" fontId="1" applyFont="1" fillId="0" applyFill="1" borderId="1" applyBorder="1" xfId="127">
      <alignment vertical="center" wrapText="1"/>
      <protection locked="0"/>
    </xf>
    <xf numFmtId="1" applyNumberFormat="1" fontId="2" applyFont="1" fillId="2" applyFill="1" borderId="2" applyBorder="1" xfId="127">
      <alignment horizontal="center" vertical="center" wrapText="1"/>
      <protection locked="0"/>
    </xf>
    <xf numFmtId="0" applyNumberFormat="1" fontId="2" applyFont="1" fillId="2" applyFill="1" borderId="2" applyBorder="1" xfId="127">
      <alignment horizontal="center" vertical="center" wrapText="1"/>
      <protection locked="0"/>
    </xf>
    <xf numFmtId="203" applyNumberFormat="1" fontId="2" applyFont="1" fillId="2" applyFill="1" borderId="2" applyBorder="1" xfId="127">
      <alignment horizontal="center" vertical="center" wrapText="1"/>
      <protection locked="0"/>
    </xf>
    <xf numFmtId="1" applyNumberFormat="1" fontId="2" applyFont="1" fillId="41" applyFill="1" borderId="2" applyBorder="1" xfId="127">
      <alignment horizontal="center" vertical="center" wrapText="1"/>
      <protection locked="0"/>
    </xf>
    <xf numFmtId="0" applyNumberFormat="1" fontId="2" applyFont="1" fillId="41" applyFill="1" borderId="2" applyBorder="1" xfId="127">
      <alignment horizontal="center" vertical="center" wrapText="1"/>
      <protection locked="0"/>
    </xf>
    <xf numFmtId="0" applyNumberFormat="1" fontId="2" applyFont="1" fillId="40" applyFill="1" borderId="2" applyBorder="1" xfId="127">
      <alignment horizontal="center" vertical="center" wrapText="1"/>
      <protection locked="0"/>
    </xf>
    <xf numFmtId="0" applyNumberFormat="1" fontId="2" applyFont="1" fillId="5" applyFill="1" borderId="2" applyBorder="1" xfId="127">
      <alignment horizontal="center" vertical="center" wrapText="1"/>
      <protection locked="0"/>
    </xf>
    <xf numFmtId="0" applyNumberFormat="1" fontId="2" applyFont="1" fillId="37" applyFill="1" borderId="2" applyBorder="1" xfId="127">
      <alignment horizontal="center" vertical="center" wrapText="1"/>
      <protection locked="0"/>
    </xf>
    <xf numFmtId="0" applyNumberFormat="1" fontId="81" applyFont="1" fillId="7" applyFill="1" borderId="2" applyBorder="1" xfId="127">
      <alignment horizontal="center" vertical="center" wrapText="1"/>
      <protection locked="0"/>
    </xf>
    <xf numFmtId="0" applyNumberFormat="1" fontId="2" applyFont="1" fillId="38" applyFill="1" borderId="2" applyBorder="1" xfId="0">
      <alignment vertical="center" wrapText="1"/>
      <protection locked="0"/>
    </xf>
    <xf numFmtId="0" applyNumberFormat="1" fontId="98" applyFont="1" fillId="38" applyFill="1" borderId="2" applyBorder="1" xfId="0">
      <alignment vertical="center" wrapText="1"/>
      <protection locked="0"/>
    </xf>
    <xf numFmtId="203" applyNumberFormat="1" fontId="1" applyFont="1" fillId="0" applyFill="1" borderId="1" applyBorder="1" xfId="127">
      <alignment horizontal="center" vertical="center" wrapText="1"/>
      <protection locked="0"/>
    </xf>
    <xf numFmtId="0" applyNumberFormat="1" fontId="81" applyFont="1" fillId="7" applyFill="1" borderId="0" applyBorder="1" xfId="127">
      <alignment horizontal="center" vertical="center" wrapText="1"/>
      <protection locked="0"/>
    </xf>
    <xf numFmtId="0" applyNumberFormat="1" fontId="7" applyFont="1" fillId="8" applyFill="1" borderId="1" applyBorder="1" xfId="0">
      <alignment horizontal="center" vertical="center" wrapText="1"/>
      <protection locked="0"/>
    </xf>
    <xf numFmtId="49" applyNumberFormat="1" fontId="7" applyFont="1" fillId="8" applyFill="1" borderId="1" applyBorder="1" xfId="0">
      <alignment horizontal="center" vertical="center" wrapText="1"/>
      <protection locked="0"/>
    </xf>
    <xf numFmtId="0" applyNumberFormat="1" fontId="7" applyFont="1" fillId="0" applyFill="1" borderId="1" applyBorder="1" xfId="0">
      <alignment horizontal="center" vertical="center" wrapText="1"/>
      <protection locked="0"/>
    </xf>
    <xf numFmtId="0" applyNumberFormat="1" fontId="8" applyFont="1" fillId="8" applyFill="1" borderId="1" applyBorder="1" xfId="0">
      <alignment horizontal="center" vertical="center" wrapText="1"/>
      <protection locked="0"/>
    </xf>
    <xf numFmtId="0" applyNumberFormat="1" fontId="4" applyFont="1" fillId="0" applyFill="1" borderId="1" applyBorder="1" xfId="127">
      <alignment horizontal="center" vertical="center" wrapText="1"/>
      <protection locked="0"/>
    </xf>
    <xf numFmtId="199" applyNumberFormat="1" fontId="9" applyFont="1" fillId="0" applyFill="1" borderId="1" applyBorder="1" xfId="127">
      <alignment horizontal="center" vertical="center" wrapText="1"/>
      <protection locked="0"/>
    </xf>
    <xf numFmtId="14" applyNumberFormat="1" fontId="4" applyFont="1" fillId="0" applyFill="1" borderId="1" applyBorder="1" xfId="127">
      <alignment horizontal="center" vertical="center" wrapText="1"/>
      <protection locked="0"/>
    </xf>
    <xf numFmtId="49" applyNumberFormat="1" fontId="9" applyFont="1" fillId="0" applyFill="1" borderId="1" applyBorder="1" xfId="0">
      <alignment horizontal="center" vertical="center" wrapText="1"/>
      <protection locked="0"/>
    </xf>
    <xf numFmtId="0" applyNumberFormat="1" fontId="4" applyFont="1" fillId="0" applyFill="1" borderId="1" applyBorder="1" xfId="127">
      <alignment horizontal="center" vertical="center" wrapText="1"/>
      <protection locked="0"/>
    </xf>
    <xf numFmtId="0" applyNumberFormat="1" fontId="5" applyFont="1" fillId="0" applyFill="1" borderId="1" applyBorder="1" xfId="0">
      <alignment horizontal="center" vertical="center" wrapText="1"/>
      <protection locked="0"/>
    </xf>
    <xf numFmtId="0" applyNumberFormat="1" fontId="5" applyFont="1" fillId="0" applyFill="1" borderId="1" applyBorder="1" xfId="0">
      <alignment horizontal="center" vertical="center"/>
      <protection locked="0"/>
    </xf>
    <xf numFmtId="0" applyNumberFormat="1" fontId="0" applyFont="1" fillId="6" applyFill="1" borderId="1" applyBorder="1" xfId="0">
      <alignment horizontal="center"/>
      <protection locked="0"/>
    </xf>
    <xf numFmtId="0" applyNumberFormat="1" fontId="0" applyFont="1" fillId="0" applyFill="1" borderId="1" applyBorder="1" xfId="0">
      <alignment horizontal="center"/>
      <protection locked="0"/>
    </xf>
    <xf numFmtId="0" applyNumberFormat="1" fontId="5" applyFont="1" fillId="0" applyFill="1" borderId="0" applyBorder="1" xfId="0">
      <alignment vertical="center"/>
      <protection locked="0"/>
    </xf>
    <xf numFmtId="0" applyNumberFormat="1" fontId="8" applyFont="1" fillId="0" applyFill="1" borderId="0" applyBorder="1" xfId="0">
      <alignment vertical="center"/>
      <protection locked="0"/>
    </xf>
    <xf numFmtId="0" applyNumberFormat="1" fontId="5" applyFont="1" fillId="0" applyFill="1" borderId="0" applyBorder="1" xfId="0">
      <alignment vertical="center"/>
      <protection locked="0"/>
    </xf>
    <xf numFmtId="0" applyNumberFormat="1" fontId="5" applyFont="1" fillId="0" applyFill="1" borderId="0" applyBorder="1" xfId="0">
      <alignment vertical="center"/>
      <protection locked="0"/>
    </xf>
    <xf numFmtId="14" applyNumberFormat="1" fontId="5" applyFont="1" fillId="0" applyFill="1" borderId="0" applyBorder="1" xfId="0">
      <alignment vertical="center"/>
      <protection locked="0"/>
    </xf>
    <xf numFmtId="0" applyNumberFormat="1" fontId="77" applyFont="1" fillId="0" applyFill="1" borderId="0" applyBorder="1" xfId="0">
      <alignment vertical="center"/>
      <protection locked="0"/>
    </xf>
    <xf numFmtId="0" applyNumberFormat="1" fontId="77" applyFont="1" fillId="0" applyFill="1" borderId="0" applyBorder="1" xfId="0">
      <alignment vertical="center" wrapText="1"/>
      <protection locked="0"/>
    </xf>
    <xf numFmtId="3" applyNumberFormat="1" fontId="5" applyFont="1" fillId="0" applyFill="1" borderId="0" applyBorder="1" xfId="0">
      <alignment vertical="center"/>
      <protection locked="0"/>
    </xf>
    <xf numFmtId="0" applyNumberFormat="1" fontId="1" applyFont="1" fillId="0" applyFill="1" borderId="0" applyBorder="1" xfId="127">
      <protection locked="0"/>
    </xf>
    <xf numFmtId="0" applyNumberFormat="1" fontId="77" applyFont="1" fillId="0" applyFill="1" borderId="0" applyBorder="1" xfId="0" quotePrefix="1">
      <alignment vertical="center"/>
      <protection locked="0"/>
    </xf>
    <xf numFmtId="0" applyNumberFormat="1" fontId="86" applyFont="1" fillId="0" applyFill="1" borderId="0" applyBorder="1" xfId="0">
      <alignment vertical="center"/>
      <protection locked="0"/>
    </xf>
    <xf numFmtId="0" applyNumberFormat="1" fontId="0" applyFont="1" fillId="0" applyFill="1" borderId="0" applyBorder="1" xfId="0">
      <alignment vertical="top"/>
      <protection locked="0"/>
    </xf>
    <xf numFmtId="0" applyNumberFormat="1" fontId="8" applyFont="1" fillId="31" applyFill="1" borderId="14" applyBorder="1" xfId="0">
      <alignment horizontal="center" vertical="center" wrapText="1"/>
      <protection locked="0"/>
    </xf>
    <xf numFmtId="0" applyNumberFormat="1" fontId="95" applyFont="1" fillId="35" applyFill="1" borderId="1" applyBorder="1" xfId="0">
      <alignment horizontal="center" vertical="center" wrapText="1"/>
      <protection locked="0"/>
    </xf>
    <xf numFmtId="0" applyNumberFormat="1" fontId="93" applyFont="1" fillId="0" applyFill="1" borderId="1" applyBorder="1" xfId="0">
      <alignment horizontal="center" vertical="center" wrapText="1"/>
      <protection locked="0"/>
    </xf>
    <xf numFmtId="0" applyNumberFormat="1" fontId="93" applyFont="1" fillId="0" applyFill="1" borderId="1" applyBorder="1" xfId="0">
      <alignment horizontal="left" vertical="center" wrapText="1"/>
      <protection locked="0"/>
    </xf>
    <xf numFmtId="0" applyNumberFormat="1" fontId="94" applyFont="1" fillId="0" applyFill="1" borderId="1" applyBorder="1" xfId="0">
      <alignment horizontal="center" vertical="center" wrapText="1"/>
      <protection locked="0"/>
    </xf>
    <xf numFmtId="0" applyNumberFormat="1" fontId="96" applyFont="1" fillId="0" applyFill="1" borderId="1" applyBorder="1" xfId="0">
      <alignment horizontal="center" vertical="center" wrapText="1"/>
      <protection locked="0"/>
    </xf>
    <xf numFmtId="0" applyNumberFormat="1" fontId="96" applyFont="1" fillId="0" applyFill="1" borderId="1" applyBorder="1" xfId="0">
      <alignment horizontal="justify" vertical="center" wrapText="1"/>
      <protection locked="0"/>
    </xf>
    <xf numFmtId="0" applyNumberFormat="1" fontId="77" applyFont="1" fillId="34" applyFill="1" borderId="0" applyBorder="1" xfId="0">
      <protection locked="0"/>
    </xf>
    <xf numFmtId="0" applyNumberFormat="1" fontId="77" applyFont="1" fillId="0" applyFill="1" borderId="0" applyBorder="1" xfId="0">
      <alignment horizontal="center" vertical="center"/>
      <protection locked="0"/>
    </xf>
    <xf numFmtId="0" applyNumberFormat="1" fontId="77" applyFont="1" fillId="33" applyFill="1" borderId="13" applyBorder="1" xfId="0">
      <alignment horizontal="center" vertical="center"/>
      <protection locked="0"/>
    </xf>
    <xf numFmtId="0" applyNumberFormat="1" fontId="77" applyFont="1" fillId="33" applyFill="1" borderId="13" applyBorder="1" xfId="0">
      <alignment horizontal="left"/>
      <protection locked="0"/>
    </xf>
    <xf numFmtId="0" applyNumberFormat="1" fontId="77" applyFont="1" fillId="33" applyFill="1" borderId="13" applyBorder="1" xfId="0">
      <alignment horizontal="center"/>
      <protection locked="0"/>
    </xf>
    <xf numFmtId="0" applyNumberFormat="1" fontId="2" applyFont="1" fillId="32" applyFill="1" borderId="12" applyBorder="1" xfId="0">
      <alignment horizontal="center" vertical="center" wrapText="1"/>
      <protection locked="0"/>
    </xf>
    <xf numFmtId="0" applyNumberFormat="1" fontId="2" applyFont="1" fillId="32" applyFill="1" borderId="12" applyBorder="1" xfId="0">
      <alignment horizontal="left" vertical="center" wrapText="1"/>
      <protection locked="0"/>
    </xf>
    <xf numFmtId="0" applyNumberFormat="1" fontId="2" applyFont="1" fillId="32" applyFill="1" borderId="2" applyBorder="1" xfId="0">
      <alignment horizontal="center" vertical="center" wrapText="1"/>
      <protection locked="0"/>
    </xf>
    <xf numFmtId="0" applyNumberFormat="1" fontId="6" applyFont="1" fillId="32" applyFill="1" borderId="2" applyBorder="1" xfId="0">
      <alignment horizontal="center" vertical="center" wrapText="1"/>
      <protection locked="0"/>
    </xf>
    <xf numFmtId="0" applyNumberFormat="1" fontId="7" applyFont="1" fillId="0" applyFill="1" borderId="0" applyBorder="1" xfId="127">
      <protection locked="0"/>
    </xf>
    <xf numFmtId="0" applyNumberFormat="1" fontId="78" applyFont="1" fillId="0" applyFill="1" borderId="0" applyBorder="1" xfId="127">
      <alignment vertical="top"/>
      <protection locked="0"/>
    </xf>
    <xf numFmtId="0" applyNumberFormat="1" fontId="1" applyFont="1" fillId="0" applyFill="1" borderId="0" applyBorder="1" xfId="127">
      <protection locked="0"/>
    </xf>
    <xf numFmtId="0" applyNumberFormat="1" fontId="79" applyFont="1" fillId="0" applyFill="1" borderId="0" applyBorder="1" xfId="127">
      <protection locked="0"/>
    </xf>
    <xf numFmtId="0" applyNumberFormat="1" fontId="79" applyFont="1" fillId="0" applyFill="1" borderId="11" applyBorder="1" xfId="127">
      <protection locked="0"/>
    </xf>
    <xf numFmtId="0" applyNumberFormat="1" fontId="79" applyFont="1" fillId="0" applyFill="1" borderId="0" applyBorder="1" xfId="127">
      <protection locked="0"/>
    </xf>
    <xf numFmtId="0" applyNumberFormat="1" fontId="79" applyFont="1" fillId="0" applyFill="1" borderId="0" applyBorder="1" xfId="127">
      <alignment vertical="center"/>
      <protection locked="0"/>
    </xf>
    <xf numFmtId="0" applyNumberFormat="1" fontId="78" applyFont="1" fillId="0" applyFill="1" borderId="0" applyBorder="1" xfId="127">
      <alignment vertical="center"/>
      <protection locked="0"/>
    </xf>
    <xf numFmtId="0" applyNumberFormat="1" fontId="79" applyFont="1" fillId="0" applyFill="1" borderId="0" applyBorder="1" xfId="127">
      <alignment vertical="center"/>
      <protection locked="0"/>
    </xf>
    <xf numFmtId="0" applyNumberFormat="1" fontId="78" applyFont="1" fillId="0" applyFill="1" borderId="0" applyBorder="1" xfId="127">
      <protection locked="0"/>
    </xf>
    <xf numFmtId="0" applyNumberFormat="1" fontId="78" applyFont="1" fillId="0" applyFill="1" borderId="0" applyBorder="1" xfId="127">
      <alignment horizontal="center" vertical="top" wrapText="1"/>
      <protection locked="0"/>
    </xf>
    <xf numFmtId="0" applyNumberFormat="1" fontId="79" applyFont="1" fillId="0" applyFill="1" borderId="0" applyBorder="1" xfId="127">
      <alignment horizontal="center" vertical="center"/>
      <protection locked="0"/>
    </xf>
    <xf numFmtId="0" applyNumberFormat="1" fontId="79" applyFont="1" fillId="0" applyFill="1" borderId="0" applyBorder="1" xfId="127">
      <alignment vertical="center"/>
      <protection locked="0"/>
    </xf>
    <xf numFmtId="0" applyNumberFormat="1" fontId="1" applyFont="1" fillId="0" applyFill="1" borderId="0" applyBorder="1" xfId="127">
      <alignment vertical="center"/>
      <protection locked="0"/>
    </xf>
    <xf numFmtId="0" applyNumberFormat="1" fontId="1" applyFont="1" fillId="0" applyFill="1" borderId="0" applyBorder="1" xfId="127">
      <protection locked="0"/>
    </xf>
    <xf numFmtId="0" applyNumberFormat="1" fontId="78" applyFont="1" fillId="0" applyFill="1" borderId="0" applyBorder="1" xfId="127">
      <alignment horizontal="left" vertical="center"/>
      <protection locked="0"/>
    </xf>
    <xf numFmtId="0" applyNumberFormat="1" fontId="78" applyFont="1" fillId="0" applyFill="1" borderId="0" applyBorder="1" xfId="127">
      <alignment horizontal="center"/>
      <protection locked="0"/>
    </xf>
    <xf numFmtId="0" applyNumberFormat="1" fontId="78" applyFont="1" fillId="0" applyFill="1" borderId="0" applyBorder="1" xfId="127">
      <alignment horizontal="left"/>
      <protection locked="0"/>
    </xf>
    <xf numFmtId="0" applyNumberFormat="1" fontId="4" applyFont="1" fillId="0" applyFill="1" borderId="0" applyBorder="1" xfId="127">
      <alignment vertical="top" wrapText="1"/>
      <protection locked="0"/>
    </xf>
    <xf numFmtId="0" applyNumberFormat="1" fontId="1" applyFont="1" fillId="0" applyFill="1" borderId="0" applyBorder="1" xfId="127">
      <alignment horizontal="left"/>
      <protection locked="0"/>
    </xf>
    <xf numFmtId="0" applyNumberFormat="1" fontId="81" applyFont="1" fillId="0" applyFill="1" borderId="0" applyBorder="1" xfId="127">
      <alignment horizontal="left" vertical="center"/>
      <protection locked="0"/>
    </xf>
    <xf numFmtId="0" applyNumberFormat="1" fontId="4" applyFont="1" fillId="0" applyFill="1" borderId="0" applyBorder="1" xfId="127">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2" applyFont="1" fillId="0" applyFill="1" borderId="0" applyBorder="1" xfId="127">
      <alignment vertical="top" wrapText="1"/>
      <protection locked="0"/>
    </xf>
    <xf numFmtId="0" applyNumberFormat="1" fontId="4" applyFont="1" fillId="0" applyFill="1" borderId="0" applyBorder="1" xfId="127">
      <alignment horizontal="center" vertical="center"/>
      <protection locked="0"/>
    </xf>
    <xf numFmtId="0" applyNumberFormat="1" fontId="4" applyFont="1" fillId="0" applyFill="1" borderId="0" applyBorder="1" xfId="127">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9" applyFont="1" fillId="0" applyFill="1" borderId="0" applyBorder="1" xfId="127">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lignment horizontal="left"/>
      <protection locked="0"/>
    </xf>
    <xf numFmtId="0" applyNumberFormat="1" fontId="78" applyFont="1" fillId="0" applyFill="1" borderId="0" applyBorder="1" xfId="127">
      <alignment vertical="center"/>
      <protection locked="0"/>
    </xf>
    <xf numFmtId="0" applyNumberFormat="1" fontId="79" applyFont="1" fillId="0" applyFill="1" borderId="11" applyBorder="1" xfId="127">
      <alignment vertical="center"/>
      <protection locked="0"/>
    </xf>
    <xf numFmtId="0" applyNumberFormat="1" fontId="78" applyFont="1" fillId="0" applyFill="1" borderId="0" applyBorder="1" xfId="127">
      <alignment horizontal="center" vertical="center" wrapText="1"/>
      <protection locked="0"/>
    </xf>
    <xf numFmtId="0" applyNumberFormat="1" fontId="81"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lignment horizontal="center" vertical="center"/>
      <protection locked="0"/>
    </xf>
    <xf numFmtId="0" applyNumberFormat="1" fontId="1" applyFont="1" fillId="0" applyFill="1" borderId="11" applyBorder="1" xfId="127">
      <alignment vertical="center"/>
      <protection locked="0"/>
    </xf>
    <xf numFmtId="0" applyNumberFormat="1" fontId="1" applyFont="1" fillId="0" applyFill="1" borderId="0" applyBorder="1" xfId="127">
      <alignment vertical="center"/>
      <protection locked="0"/>
    </xf>
    <xf numFmtId="0" applyNumberFormat="1" fontId="83" applyFont="1" fillId="0" applyFill="1" borderId="0" applyBorder="1" xfId="127">
      <alignment horizontal="center" vertical="top" wrapText="1"/>
      <protection locked="0"/>
    </xf>
    <xf numFmtId="0" applyNumberFormat="1" fontId="83" applyFont="1" fillId="0" applyFill="1" borderId="0" applyBorder="1" xfId="127">
      <alignment horizontal="left" vertical="top" wrapText="1"/>
      <protection locked="0"/>
    </xf>
    <xf numFmtId="0" applyNumberFormat="1" fontId="83" applyFont="1" fillId="0" applyFill="1" borderId="0" applyBorder="1" xfId="127">
      <alignment horizontal="center"/>
      <protection locked="0"/>
    </xf>
    <xf numFmtId="0" applyNumberFormat="1" fontId="8" applyFont="1" fillId="31" applyFill="1" borderId="1" applyBorder="1" xfId="0">
      <alignment horizontal="center" vertical="center" wrapText="1"/>
      <protection locked="0"/>
    </xf>
    <xf numFmtId="0" applyNumberFormat="1" fontId="77" applyFont="1" fillId="0" applyFill="1" borderId="1" applyBorder="1" xfId="0">
      <alignment horizontal="center" vertical="center" wrapText="1"/>
      <protection locked="0"/>
    </xf>
    <xf numFmtId="0" applyNumberFormat="1" fontId="77" applyFont="1" fillId="0" applyFill="1" borderId="1" applyBorder="1" xfId="0">
      <alignment horizontal="left" vertical="center" wrapText="1"/>
      <protection locked="0"/>
    </xf>
    <xf numFmtId="0" applyNumberFormat="1" fontId="77" applyFont="1" fillId="0" applyFill="1" borderId="1" applyBorder="1" xfId="0">
      <alignment horizontal="center" vertical="center"/>
      <protection locked="0"/>
    </xf>
    <xf numFmtId="14" applyNumberFormat="1" fontId="77" applyFont="1" fillId="0" applyFill="1" borderId="1" applyBorder="1" xfId="0">
      <alignment horizontal="center" vertical="center"/>
      <protection locked="0"/>
    </xf>
    <xf numFmtId="0" applyNumberFormat="1" fontId="77" applyFont="1" fillId="0" applyFill="1" borderId="1" applyBorder="1" xfId="0">
      <alignment horizontal="left" vertical="center"/>
      <protection locked="0"/>
    </xf>
    <xf numFmtId="49" applyNumberFormat="1" fontId="2" applyFont="1" fillId="2" applyFill="1" borderId="2" applyBorder="1" xfId="127">
      <alignment horizontal="center" vertical="center" wrapText="1"/>
      <protection locked="0"/>
    </xf>
    <xf numFmtId="0" applyNumberFormat="1" fontId="76" applyFont="1" fillId="0" applyFill="1" borderId="1" applyBorder="1" xfId="127">
      <alignment horizontal="center" vertical="center" wrapText="1"/>
      <protection locked="0"/>
    </xf>
    <xf numFmtId="0" applyNumberFormat="1" fontId="76" applyFont="1" fillId="0" applyFill="1" borderId="1" applyBorder="1" xfId="127">
      <alignment vertical="center" wrapText="1"/>
      <protection locked="0"/>
    </xf>
    <xf numFmtId="0" applyNumberFormat="1" fontId="99" applyFont="1" fillId="5" applyFill="1" borderId="0" applyBorder="1" xfId="0">
      <alignment horizontal="center" vertical="center" wrapText="1"/>
      <protection locked="0"/>
    </xf>
    <xf numFmtId="0" applyNumberFormat="1" fontId="1" applyFont="1" fillId="0" applyFill="1" borderId="0" applyBorder="1" xfId="127">
      <protection locked="0"/>
    </xf>
    <xf numFmtId="0" applyNumberFormat="1" fontId="99" applyFont="1" fillId="0" applyFill="1" borderId="0" applyBorder="1" xfId="0">
      <alignment vertical="center" wrapText="1"/>
      <protection locked="0"/>
    </xf>
    <xf numFmtId="0" applyNumberFormat="1" fontId="99" applyFont="1" fillId="0" applyFill="1" borderId="0" applyBorder="1" xfId="0">
      <alignment vertical="center"/>
      <protection locked="0"/>
    </xf>
    <xf numFmtId="0" applyNumberFormat="1" fontId="99" applyFont="1" fillId="0" applyFill="1" borderId="0" applyBorder="1" xfId="0">
      <protection locked="0"/>
    </xf>
    <xf numFmtId="0" applyNumberFormat="1" fontId="101" applyFont="1" fillId="0" applyFill="1" borderId="0" applyBorder="1" xfId="0">
      <protection locked="0"/>
    </xf>
    <xf numFmtId="0" applyNumberFormat="1" fontId="76" applyFont="1" fillId="0" applyFill="1" borderId="0" applyBorder="1" xfId="127">
      <alignment horizontal="center"/>
      <protection locked="0"/>
    </xf>
    <xf numFmtId="0" applyNumberFormat="1" fontId="76" applyFont="1" fillId="0" applyFill="1" borderId="0" applyBorder="1" xfId="127">
      <alignment vertical="center" wrapText="1"/>
      <protection locked="0"/>
    </xf>
    <xf numFmtId="0" applyNumberFormat="1" fontId="76" applyFont="1" fillId="0" applyFill="1" borderId="0" applyBorder="1" xfId="127">
      <protection locked="0"/>
    </xf>
    <xf numFmtId="0" applyNumberFormat="1" fontId="25" applyFont="1" fillId="0" applyFill="1" borderId="0" applyBorder="1" xfId="127">
      <alignment horizontal="center"/>
      <protection locked="0"/>
    </xf>
    <xf numFmtId="0" applyNumberFormat="1" fontId="76" applyFont="1" fillId="0" applyFill="1" borderId="0" applyBorder="1" xfId="127">
      <alignment horizontal="center" vertical="center"/>
      <protection locked="0"/>
    </xf>
    <xf numFmtId="0" applyNumberFormat="1" fontId="1" applyFont="1" fillId="0" applyFill="1" borderId="0" applyBorder="1" xfId="127">
      <alignment horizontal="center"/>
      <protection locked="0"/>
    </xf>
    <xf numFmtId="0" applyNumberFormat="1" fontId="1" applyFont="1" fillId="0" applyFill="1" borderId="0" applyBorder="1" xfId="127">
      <alignment vertical="center" wrapText="1"/>
      <protection locked="0"/>
    </xf>
    <xf numFmtId="0" applyNumberFormat="1" fontId="38" applyFont="1" fillId="0" applyFill="1" borderId="0" applyBorder="1" xfId="127">
      <alignment horizontal="center"/>
      <protection locked="0"/>
    </xf>
    <xf numFmtId="0" applyNumberFormat="1" fontId="1" applyFont="1" fillId="0" applyFill="1" borderId="0" applyBorder="1" xfId="127">
      <alignment horizontal="center" vertical="center"/>
      <protection locked="0"/>
    </xf>
    <xf numFmtId="203" applyNumberFormat="1" fontId="1" applyFont="1" fillId="0" applyFill="1" borderId="0" applyBorder="1" xfId="127">
      <protection locked="0"/>
    </xf>
    <xf numFmtId="0" applyNumberFormat="1" fontId="1" applyFont="1" fillId="0" applyFill="1" borderId="0" applyBorder="1" xfId="127">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lignment horizontal="center"/>
      <protection locked="0"/>
    </xf>
    <xf numFmtId="0" applyNumberFormat="1" fontId="0" applyFont="1" fillId="0" applyFill="1" borderId="0" applyBorder="1" xfId="0">
      <alignment wrapText="1"/>
      <protection locked="0"/>
    </xf>
    <xf numFmtId="0" applyNumberFormat="1" fontId="77" applyFont="1" fillId="0" applyFill="1" borderId="0" applyBorder="1" xfId="0">
      <protection locked="0"/>
    </xf>
    <xf numFmtId="0" applyNumberFormat="1" fontId="105" applyFont="1" fillId="0" applyFill="1" borderId="1" applyBorder="1" xfId="127">
      <alignment horizontal="center" vertical="center" wrapText="1"/>
      <protection locked="0"/>
    </xf>
    <xf numFmtId="204" applyNumberFormat="1" fontId="105" applyFont="1" fillId="0" applyFill="1" borderId="1" applyBorder="1" xfId="127">
      <alignment horizontal="left" vertical="center" wrapText="1"/>
      <protection locked="0"/>
    </xf>
    <xf numFmtId="0" applyNumberFormat="1" fontId="105" applyFont="1" fillId="0" applyFill="1" borderId="1" applyBorder="1" xfId="127">
      <alignment horizontal="center" vertical="center" wrapText="1"/>
      <protection locked="0"/>
    </xf>
    <xf numFmtId="2" applyNumberFormat="1" fontId="105" applyFont="1" fillId="0" applyFill="1" borderId="1" applyBorder="1" xfId="127">
      <alignment horizontal="center" vertical="center" wrapText="1"/>
      <protection locked="0"/>
    </xf>
    <xf numFmtId="0" applyNumberFormat="1" fontId="105" applyFont="1" fillId="5" applyFill="1" borderId="1" applyBorder="1" xfId="127">
      <alignment horizontal="center" vertical="center" wrapText="1"/>
      <protection locked="0"/>
    </xf>
    <xf numFmtId="1" applyNumberFormat="1" fontId="105" applyFont="1" fillId="0" applyFill="1" borderId="1" applyBorder="1" xfId="127">
      <alignment horizontal="center" vertical="center" wrapText="1"/>
      <protection locked="0"/>
    </xf>
    <xf numFmtId="204" applyNumberFormat="1" fontId="105" applyFont="1" fillId="5" applyFill="1" borderId="1" applyBorder="1" xfId="127">
      <alignment horizontal="left" vertical="center" wrapText="1"/>
      <protection locked="0"/>
    </xf>
    <xf numFmtId="1" applyNumberFormat="1" fontId="105" applyFont="1" fillId="5" applyFill="1" borderId="1" applyBorder="1" xfId="127">
      <alignment horizontal="center" vertical="center" wrapText="1"/>
      <protection locked="0"/>
    </xf>
    <xf numFmtId="0" applyNumberFormat="1" fontId="105" applyFont="1" fillId="45" applyFill="1" borderId="1" applyBorder="1" xfId="127">
      <alignment horizontal="center" vertical="center" wrapText="1"/>
      <protection locked="0"/>
    </xf>
    <xf numFmtId="0" applyNumberFormat="1" fontId="105" applyFont="1" fillId="45" applyFill="1" borderId="1" applyBorder="1" xfId="127">
      <alignment horizontal="center" vertical="center"/>
      <protection locked="0"/>
    </xf>
    <xf numFmtId="0" applyNumberFormat="1" fontId="106" applyFont="1" fillId="45" applyFill="1" borderId="1" applyBorder="1" xfId="127">
      <alignment horizontal="center" vertical="center"/>
      <protection locked="0"/>
    </xf>
    <xf numFmtId="0" applyNumberFormat="1" fontId="106" applyFont="1" fillId="45" applyFill="1" borderId="1" applyBorder="1" xfId="127">
      <alignment horizontal="center" vertical="center" wrapText="1"/>
      <protection locked="0"/>
    </xf>
    <xf numFmtId="204" applyNumberFormat="1" fontId="105" applyFont="1" fillId="46" applyFill="1" borderId="1" applyBorder="1" xfId="127">
      <alignment horizontal="left" vertical="center" wrapText="1"/>
      <protection locked="0"/>
    </xf>
    <xf numFmtId="0" applyNumberFormat="1" fontId="105" applyFont="1" fillId="0" applyFill="1" borderId="1" applyBorder="1" xfId="127">
      <alignment horizontal="center" vertical="center"/>
      <protection locked="0"/>
    </xf>
    <xf numFmtId="0" applyNumberFormat="1" fontId="106" applyFont="1" fillId="0" applyFill="1" borderId="2" applyBorder="1" xfId="127">
      <alignment horizontal="center" vertical="center"/>
      <protection locked="0"/>
    </xf>
    <xf numFmtId="0" applyNumberFormat="1" fontId="106" applyFont="1" fillId="0" applyFill="1" borderId="2" applyBorder="1" xfId="127">
      <alignment horizontal="center" vertical="center" wrapText="1"/>
      <protection locked="0"/>
    </xf>
    <xf numFmtId="1" applyNumberFormat="1" fontId="105" applyFont="1" fillId="46" applyFill="1" borderId="1" applyBorder="1" xfId="127">
      <alignment horizontal="center" vertical="center" wrapText="1"/>
      <protection locked="0"/>
    </xf>
    <xf numFmtId="2" applyNumberFormat="1" fontId="105" applyFont="1" fillId="46" applyFill="1" borderId="1" applyBorder="1" xfId="127">
      <alignment horizontal="center" vertical="center" wrapText="1"/>
      <protection locked="0"/>
    </xf>
    <xf numFmtId="0" applyNumberFormat="1" fontId="106" applyFont="1" fillId="0" applyFill="1" borderId="1" applyBorder="1" xfId="127">
      <alignment horizontal="center" vertical="center"/>
      <protection locked="0"/>
    </xf>
    <xf numFmtId="0" applyNumberFormat="1" fontId="106" applyFont="1" fillId="0" applyFill="1" borderId="1" applyBorder="1" xfId="127">
      <alignment horizontal="center" vertical="center" wrapText="1"/>
      <protection locked="0"/>
    </xf>
    <xf numFmtId="0" applyNumberFormat="1" fontId="0" applyFont="1" fillId="0" applyFill="1" borderId="0" applyBorder="1" xfId="0">
      <protection locked="0"/>
    </xf>
    <xf numFmtId="0" applyNumberFormat="1" fontId="0" applyFont="1" fillId="0" applyFill="1" borderId="0" applyBorder="1" xfId="0">
      <alignment horizontal="left"/>
      <protection locked="0"/>
    </xf>
    <xf numFmtId="0" applyNumberFormat="1" fontId="0" applyFont="1" fillId="0" applyFill="1" borderId="0" applyBorder="1" xfId="0">
      <protection locked="0"/>
    </xf>
    <xf numFmtId="0" applyNumberFormat="1" fontId="103" applyFont="1" fillId="0" applyFill="1" borderId="13" applyBorder="1" xfId="127">
      <alignment vertical="center"/>
      <protection locked="0"/>
    </xf>
    <xf numFmtId="0" applyNumberFormat="1" fontId="104" applyFont="1" fillId="42" applyFill="1" borderId="0" applyBorder="1" xfId="127">
      <alignment horizontal="center" vertical="center"/>
      <protection locked="0"/>
    </xf>
    <xf numFmtId="0" applyNumberFormat="1" fontId="103" applyFont="1" fillId="0" applyFill="1" borderId="0" applyBorder="1" xfId="127">
      <alignment horizontal="center" vertical="center"/>
      <protection locked="0"/>
    </xf>
    <xf numFmtId="0" applyNumberFormat="1" fontId="105" applyFont="1" fillId="0" applyFill="1" borderId="0" applyBorder="1" xfId="127">
      <alignment vertical="center"/>
      <protection locked="0"/>
    </xf>
    <xf numFmtId="0" applyNumberFormat="1" fontId="105" applyFont="1" fillId="3" applyFill="1" borderId="0" applyBorder="1" xfId="127">
      <alignment vertical="center"/>
      <protection locked="0"/>
    </xf>
    <xf numFmtId="0" applyNumberFormat="1" fontId="103" applyFont="1" fillId="0" applyFill="1" borderId="1" applyBorder="1" xfId="127">
      <alignment horizontal="center" vertical="center"/>
      <protection locked="0"/>
    </xf>
    <xf numFmtId="0" applyNumberFormat="1" fontId="103" applyFont="1" fillId="3" applyFill="1" borderId="0" applyBorder="1" xfId="127">
      <alignment horizontal="center" vertical="center"/>
      <protection locked="0"/>
    </xf>
    <xf numFmtId="0" applyNumberFormat="1" fontId="105" applyFont="1" fillId="0" applyFill="1" borderId="0" applyBorder="1" xfId="127">
      <alignment vertical="center"/>
      <protection locked="0"/>
    </xf>
    <xf numFmtId="0" applyNumberFormat="1" fontId="105" applyFont="1" fillId="0" applyFill="1" borderId="0" applyBorder="1" xfId="127">
      <alignment horizontal="center" vertical="center"/>
      <protection locked="0"/>
    </xf>
    <xf numFmtId="0" applyNumberFormat="1" fontId="103" applyFont="1" fillId="3" applyFill="1" borderId="0" applyBorder="1" xfId="127">
      <alignment horizontal="center" vertical="center"/>
      <protection locked="0"/>
    </xf>
    <xf numFmtId="0" applyNumberFormat="1" fontId="105" applyFont="1" fillId="6" applyFill="1" borderId="1" applyBorder="1" xfId="127">
      <alignment horizontal="center" vertical="center" wrapText="1"/>
      <protection locked="0"/>
    </xf>
    <xf numFmtId="0" applyNumberFormat="1" fontId="105" applyFont="1" fillId="3" applyFill="1" borderId="1" applyBorder="1" xfId="127">
      <alignment horizontal="center" vertical="center" wrapText="1"/>
      <protection locked="0"/>
    </xf>
    <xf numFmtId="2" applyNumberFormat="1" fontId="105" applyFont="1" fillId="43" applyFill="1" borderId="1" applyBorder="1" xfId="127">
      <alignment horizontal="center" vertical="center" wrapText="1"/>
      <protection locked="0"/>
    </xf>
    <xf numFmtId="0" applyNumberFormat="1" fontId="105" applyFont="1" fillId="43" applyFill="1" borderId="1" applyBorder="1" xfId="127">
      <alignment horizontal="center" vertical="center" wrapText="1"/>
      <protection locked="0"/>
    </xf>
    <xf numFmtId="2" applyNumberFormat="1" fontId="105" applyFont="1" fillId="8" applyFill="1" borderId="1" applyBorder="1" xfId="127">
      <alignment horizontal="center" vertical="center" wrapText="1"/>
      <protection locked="0"/>
    </xf>
    <xf numFmtId="0" applyNumberFormat="1" fontId="105" applyFont="1" fillId="8" applyFill="1" borderId="1" applyBorder="1" xfId="127">
      <alignment horizontal="center" vertical="center" wrapText="1"/>
      <protection locked="0"/>
    </xf>
    <xf numFmtId="0" applyNumberFormat="1" fontId="105" applyFont="1" fillId="7" applyFill="1" borderId="1" applyBorder="1" xfId="127">
      <alignment horizontal="center" vertical="center" wrapText="1"/>
      <protection locked="0"/>
    </xf>
    <xf numFmtId="0" applyNumberFormat="1" fontId="106" applyFont="1" fillId="44" applyFill="1" borderId="1" applyBorder="1" xfId="127">
      <alignment horizontal="center" vertical="center" wrapText="1"/>
      <protection locked="0"/>
    </xf>
    <xf numFmtId="0" applyNumberFormat="1" fontId="106" applyFont="1" fillId="0" applyFill="1" borderId="1" applyBorder="1" xfId="127">
      <alignment horizontal="center" vertical="center" wrapText="1"/>
      <protection locked="0"/>
    </xf>
    <xf numFmtId="0" applyNumberFormat="1" fontId="106" applyFont="1" fillId="42" applyFill="1" borderId="1" applyBorder="1" xfId="127">
      <alignment horizontal="center" vertical="center" wrapText="1"/>
      <protection locked="0"/>
    </xf>
    <xf numFmtId="0" applyNumberFormat="1" fontId="105" applyFont="1" fillId="0" applyFill="1" borderId="1" applyBorder="1" xfId="127">
      <alignment horizontal="left" vertical="center" wrapText="1"/>
      <protection locked="0"/>
    </xf>
    <xf numFmtId="0" applyNumberFormat="1" fontId="105" applyFont="1" fillId="5" applyFill="1" borderId="1" applyBorder="1" xfId="127">
      <alignment horizontal="center" vertical="center" wrapText="1"/>
      <protection locked="0"/>
    </xf>
    <xf numFmtId="0" applyNumberFormat="1" fontId="105" applyFont="1" fillId="5" applyFill="1" borderId="1" applyBorder="1" xfId="127">
      <alignment horizontal="center" vertical="center"/>
      <protection locked="0"/>
    </xf>
    <xf numFmtId="2" applyNumberFormat="1" fontId="105" applyFont="1" fillId="5" applyFill="1" borderId="1" applyBorder="1" xfId="127">
      <alignment horizontal="center" vertical="center" wrapText="1"/>
      <protection locked="0"/>
    </xf>
    <xf numFmtId="0" applyNumberFormat="1" fontId="105" applyFont="1" fillId="9" applyFill="1" borderId="1" applyBorder="1" xfId="127">
      <alignment horizontal="center" vertical="center" wrapText="1"/>
      <protection locked="0"/>
    </xf>
    <xf numFmtId="2" applyNumberFormat="1" fontId="105" applyFont="1" fillId="9" applyFill="1" borderId="1" applyBorder="1" xfId="127">
      <alignment horizontal="center" vertical="center" wrapText="1"/>
      <protection locked="0"/>
    </xf>
    <xf numFmtId="0" applyNumberFormat="1" fontId="105" applyFont="1" fillId="3" applyFill="1" borderId="1" applyBorder="1" xfId="127">
      <alignment vertical="center"/>
      <protection locked="0"/>
    </xf>
    <xf numFmtId="0" applyNumberFormat="1" fontId="105" applyFont="1" fillId="44" applyFill="1" borderId="1" applyBorder="1" xfId="127">
      <alignment horizontal="center" vertical="center" wrapText="1"/>
      <protection locked="0"/>
    </xf>
    <xf numFmtId="0" applyNumberFormat="1" fontId="105" applyFont="1" fillId="44" applyFill="1" borderId="1" applyBorder="1" xfId="127">
      <alignment horizontal="center" vertical="center"/>
      <protection locked="0"/>
    </xf>
    <xf numFmtId="0" applyNumberFormat="1" fontId="103" applyFont="1" fillId="8" applyFill="1" borderId="1" applyBorder="1" xfId="127">
      <alignment horizontal="center" vertical="center" wrapText="1"/>
      <protection locked="0"/>
    </xf>
    <xf numFmtId="0" applyNumberFormat="1" fontId="103" applyFont="1" fillId="3" applyFill="1" borderId="1" applyBorder="1" xfId="127">
      <alignment horizontal="center" vertical="center" wrapText="1"/>
      <protection locked="0"/>
    </xf>
    <xf numFmtId="0" applyNumberFormat="1" fontId="105" applyFont="1" fillId="43" applyFill="1" borderId="1" applyBorder="1" xfId="127">
      <alignment horizontal="center" vertical="center"/>
      <protection locked="0"/>
    </xf>
    <xf numFmtId="0" applyNumberFormat="1" fontId="104" applyFont="1" fillId="0" applyFill="1" borderId="1" applyBorder="1" xfId="127">
      <alignment horizontal="center" vertical="center" wrapText="1"/>
      <protection locked="0"/>
    </xf>
    <xf numFmtId="2" applyNumberFormat="1" fontId="104" applyFont="1" fillId="0" applyFill="1" borderId="1" applyBorder="1" xfId="127">
      <alignment horizontal="center" vertical="center" wrapText="1"/>
      <protection locked="0"/>
    </xf>
    <xf numFmtId="0" applyNumberFormat="1" fontId="104" applyFont="1" fillId="42" applyFill="1" borderId="1" applyBorder="1" xfId="127">
      <alignment horizontal="center" vertical="center" wrapText="1"/>
      <protection locked="0"/>
    </xf>
    <xf numFmtId="0" applyNumberFormat="1" fontId="104" applyFont="1" fillId="0" applyFill="1" borderId="1" applyBorder="1" xfId="127">
      <alignment horizontal="center" vertical="center"/>
      <protection locked="0"/>
    </xf>
    <xf numFmtId="1" applyNumberFormat="1" fontId="104" applyFont="1" fillId="0" applyFill="1" borderId="1" applyBorder="1" xfId="127">
      <alignment horizontal="center" vertical="center" wrapText="1"/>
      <protection locked="0"/>
    </xf>
    <xf numFmtId="0" applyNumberFormat="1" fontId="104" applyFont="1" fillId="0" applyFill="1" borderId="0" applyBorder="1" xfId="127">
      <alignment vertical="center"/>
      <protection locked="0"/>
    </xf>
    <xf numFmtId="0" applyNumberFormat="1" fontId="104" applyFont="1" fillId="0" applyFill="1" borderId="1" applyBorder="1" xfId="127">
      <alignment vertical="center"/>
      <protection locked="0"/>
    </xf>
    <xf numFmtId="0" applyNumberFormat="1" fontId="104" applyFont="1" fillId="0" applyFill="1" borderId="1" applyBorder="1" xfId="127">
      <alignment vertical="center" wrapText="1"/>
      <protection locked="0"/>
    </xf>
    <xf numFmtId="0" applyNumberFormat="1" fontId="104" applyFont="1" fillId="3" applyFill="1" borderId="1" applyBorder="1" xfId="127">
      <alignment vertical="center" wrapText="1"/>
      <protection locked="0"/>
    </xf>
    <xf numFmtId="0" applyNumberFormat="1" fontId="104" applyFont="1" fillId="0" applyFill="1" borderId="0" applyBorder="1" xfId="127">
      <alignment horizontal="right" vertical="center"/>
      <protection locked="0"/>
    </xf>
    <xf numFmtId="2" applyNumberFormat="1" fontId="105" applyFont="1" fillId="0" applyFill="1" borderId="1" applyBorder="1" xfId="0">
      <alignment horizontal="center" vertical="center" wrapText="1"/>
      <protection locked="0"/>
    </xf>
    <xf numFmtId="2" applyNumberFormat="1" fontId="106" applyFont="1" fillId="42" applyFill="1" borderId="1" applyBorder="1" xfId="127">
      <alignment horizontal="center" vertical="center" wrapText="1"/>
      <protection locked="0"/>
    </xf>
    <xf numFmtId="2" applyNumberFormat="1" fontId="106" applyFont="1" fillId="3" applyFill="1" borderId="1" applyBorder="1" xfId="127">
      <alignment horizontal="center" vertical="center" wrapText="1"/>
      <protection locked="0"/>
    </xf>
    <xf numFmtId="2" applyNumberFormat="1" fontId="105" applyFont="1" fillId="0" applyFill="1" borderId="1" applyBorder="1" xfId="127">
      <alignment horizontal="left" vertical="center" wrapText="1"/>
      <protection locked="0"/>
    </xf>
    <xf numFmtId="2" applyNumberFormat="1" fontId="107" applyFont="1" fillId="0" applyFill="1" borderId="1" applyBorder="1" xfId="127">
      <alignment horizontal="left" vertical="center" wrapText="1"/>
      <protection locked="0"/>
    </xf>
    <xf numFmtId="2" applyNumberFormat="1" fontId="106" applyFont="1" fillId="3" applyFill="1" borderId="1" applyBorder="1" xfId="127">
      <alignment horizontal="left" vertical="center" wrapText="1"/>
      <protection locked="0"/>
    </xf>
    <xf numFmtId="0" applyNumberFormat="1" fontId="105" applyFont="1" fillId="0" applyFill="1" borderId="1" applyBorder="1" xfId="127">
      <alignment horizontal="center" vertical="center"/>
      <protection locked="0"/>
    </xf>
    <xf numFmtId="0" applyNumberFormat="1" fontId="105" applyFont="1" fillId="0" applyFill="1" borderId="1" applyBorder="1" xfId="127">
      <alignment vertical="center"/>
      <protection locked="0"/>
    </xf>
    <xf numFmtId="0" applyNumberFormat="1" fontId="105" applyFont="1" fillId="0" applyFill="1" borderId="1" applyBorder="1" xfId="127">
      <alignment horizontal="center" vertical="center"/>
      <protection locked="0"/>
    </xf>
    <xf numFmtId="0" applyNumberFormat="1" fontId="105" applyFont="1" fillId="0" applyFill="1" borderId="1" applyBorder="1" xfId="127">
      <alignment vertical="center" wrapText="1"/>
      <protection locked="0"/>
    </xf>
    <xf numFmtId="0" applyNumberFormat="1" fontId="105" applyFont="1" fillId="3" applyFill="1" borderId="1" applyBorder="1" xfId="127">
      <alignment vertical="center" wrapText="1"/>
      <protection locked="0"/>
    </xf>
    <xf numFmtId="2" applyNumberFormat="1" fontId="106" applyFont="1" fillId="0" applyFill="1" borderId="1" applyBorder="1" xfId="127">
      <alignment horizontal="center" vertical="center" wrapText="1"/>
      <protection locked="0"/>
    </xf>
    <xf numFmtId="0" applyNumberFormat="1" fontId="107" applyFont="1" fillId="0" applyFill="1" borderId="1" applyBorder="1" xfId="127">
      <alignment vertical="center"/>
      <protection locked="0"/>
    </xf>
    <xf numFmtId="0" applyNumberFormat="1" fontId="106" applyFont="1" fillId="3" applyFill="1" borderId="1" applyBorder="1" xfId="127">
      <alignment horizontal="left" vertical="center"/>
      <protection locked="0"/>
    </xf>
    <xf numFmtId="0" applyNumberFormat="1" fontId="107" applyFont="1" fillId="0" applyFill="1" borderId="1" applyBorder="1" xfId="127">
      <alignment horizontal="left" vertical="center" wrapText="1"/>
      <protection locked="0"/>
    </xf>
    <xf numFmtId="2" applyNumberFormat="1" fontId="105" applyFont="1" fillId="0" applyFill="1" borderId="1" applyBorder="1" xfId="127">
      <alignment horizontal="center" vertical="center"/>
      <protection locked="0"/>
    </xf>
    <xf numFmtId="0" applyNumberFormat="1" fontId="105" applyFont="1" fillId="0" applyFill="1" borderId="0" applyBorder="1" xfId="127">
      <alignment horizontal="right" vertical="center"/>
      <protection locked="0"/>
    </xf>
    <xf numFmtId="2" applyNumberFormat="1" fontId="105" applyFont="1" fillId="0" applyFill="1" borderId="1" applyBorder="1" xfId="127">
      <alignment horizontal="center" vertical="center"/>
      <protection locked="0"/>
    </xf>
    <xf numFmtId="0" applyNumberFormat="1" fontId="105" applyFont="1" fillId="0" applyFill="1" borderId="0" applyBorder="1" xfId="127">
      <alignment vertical="center"/>
      <protection locked="0"/>
    </xf>
    <xf numFmtId="0" applyNumberFormat="1" fontId="107" applyFont="1" fillId="0" applyFill="1" borderId="1" applyBorder="1" xfId="127">
      <alignment horizontal="left" vertical="center"/>
      <protection locked="0"/>
    </xf>
    <xf numFmtId="0" applyNumberFormat="1" fontId="105" applyFont="1" fillId="0" applyFill="1" borderId="1" applyBorder="1" xfId="127">
      <alignment horizontal="left" vertical="center"/>
      <protection locked="0"/>
    </xf>
    <xf numFmtId="2" applyNumberFormat="1" fontId="105" applyFont="1" fillId="3" applyFill="1" borderId="1" applyBorder="1" xfId="127">
      <alignment horizontal="left" vertical="center" wrapText="1"/>
      <protection locked="0"/>
    </xf>
    <xf numFmtId="0" applyNumberFormat="1" fontId="105" applyFont="1" fillId="0" applyFill="1" borderId="1" applyBorder="1" xfId="127">
      <alignment vertical="center"/>
      <protection locked="0"/>
    </xf>
    <xf numFmtId="2" applyNumberFormat="1" fontId="105" applyFont="1" fillId="3" applyFill="1" borderId="1" applyBorder="1" xfId="127">
      <alignment horizontal="center" vertical="center" wrapText="1"/>
      <protection locked="0"/>
    </xf>
    <xf numFmtId="2" applyNumberFormat="1" fontId="106" applyFont="1" fillId="42" applyFill="1" borderId="0" applyBorder="1" xfId="127">
      <alignment horizontal="center" vertical="center" wrapText="1"/>
      <protection locked="0"/>
    </xf>
    <xf numFmtId="0" applyNumberFormat="1" fontId="105" applyFont="1" fillId="0" applyFill="1" borderId="1" applyBorder="1" xfId="127">
      <alignment horizontal="left" vertical="center"/>
      <protection locked="0"/>
    </xf>
    <xf numFmtId="0" applyNumberFormat="1" fontId="107" applyFont="1" fillId="3" applyFill="1" borderId="1" applyBorder="1" xfId="127">
      <alignment horizontal="left" vertical="center"/>
      <protection locked="0"/>
    </xf>
    <xf numFmtId="0" applyNumberFormat="1" fontId="107" applyFont="1" fillId="0" applyFill="1" borderId="1" applyBorder="1" xfId="127">
      <alignment horizontal="left" vertical="center"/>
      <protection locked="0"/>
    </xf>
    <xf numFmtId="2" applyNumberFormat="1" fontId="105" applyFont="1" fillId="5" applyFill="1" borderId="1" applyBorder="1" xfId="127">
      <alignment horizontal="center" vertical="center"/>
      <protection locked="0"/>
    </xf>
    <xf numFmtId="0" applyNumberFormat="1" fontId="105" applyFont="1" fillId="3" applyFill="1" borderId="0" applyBorder="1" xfId="127">
      <alignment vertical="center"/>
      <protection locked="0"/>
    </xf>
    <xf numFmtId="0" applyNumberFormat="1" fontId="105" applyFont="1" fillId="3" applyFill="1" borderId="0" applyBorder="1" xfId="127">
      <alignment vertical="center" wrapText="1"/>
      <protection locked="0"/>
    </xf>
    <xf numFmtId="204" applyNumberFormat="1" fontId="105" applyFont="1" fillId="45" applyFill="1" borderId="1" applyBorder="1" xfId="127">
      <alignment horizontal="left" vertical="center" wrapText="1"/>
      <protection locked="0"/>
    </xf>
    <xf numFmtId="0" applyNumberFormat="1" fontId="105" applyFont="1" fillId="0" applyFill="1" borderId="0" applyBorder="1" xfId="127">
      <alignment vertical="center" wrapText="1"/>
      <protection locked="0"/>
    </xf>
    <xf numFmtId="0" applyNumberFormat="1" fontId="105" applyFont="1" fillId="3" applyFill="1" borderId="0" applyBorder="1" xfId="127">
      <alignment vertical="center" wrapText="1"/>
      <protection locked="0"/>
    </xf>
    <xf numFmtId="0" applyNumberFormat="1" fontId="106" applyFont="1" fillId="0" applyFill="1" borderId="1" applyBorder="1" xfId="127">
      <alignment horizontal="center" vertical="center"/>
      <protection locked="0"/>
    </xf>
    <xf numFmtId="2" applyNumberFormat="1" fontId="107" applyFont="1" fillId="3" applyFill="1" borderId="1" applyBorder="1" xfId="127">
      <alignment horizontal="left" vertical="center" wrapText="1"/>
      <protection locked="0"/>
    </xf>
    <xf numFmtId="0" applyNumberFormat="1" fontId="105" applyFont="1" fillId="0" applyFill="1" borderId="0" applyBorder="1" xfId="127">
      <alignment vertical="center" wrapText="1"/>
      <protection locked="0"/>
    </xf>
    <xf numFmtId="0" applyNumberFormat="1" fontId="107" applyFont="1" fillId="0" applyFill="1" borderId="1" applyBorder="1" xfId="127">
      <alignment horizontal="center" vertical="center" wrapText="1"/>
      <protection locked="0"/>
    </xf>
    <xf numFmtId="2" applyNumberFormat="1" fontId="107" applyFont="1" fillId="0" applyFill="1" borderId="1" applyBorder="1" xfId="127">
      <alignment horizontal="center" vertical="center" wrapText="1"/>
      <protection locked="0"/>
    </xf>
    <xf numFmtId="2" applyNumberFormat="1" fontId="107" applyFont="1" fillId="5" applyFill="1" borderId="1" applyBorder="1" xfId="127">
      <alignment horizontal="center" vertical="center" wrapText="1"/>
      <protection locked="0"/>
    </xf>
    <xf numFmtId="0" applyNumberFormat="1" fontId="107" applyFont="1" fillId="0" applyFill="1" borderId="0" applyBorder="1" xfId="127">
      <alignment vertical="center"/>
      <protection locked="0"/>
    </xf>
    <xf numFmtId="1" applyNumberFormat="1" fontId="105" applyFont="1" fillId="0" applyFill="1" borderId="1" applyBorder="1" xfId="127">
      <alignment horizontal="center" vertical="center"/>
      <protection locked="0"/>
    </xf>
    <xf numFmtId="0" applyNumberFormat="1" fontId="107" applyFont="1" fillId="0" applyFill="1" borderId="1" applyBorder="1" xfId="127">
      <alignment vertical="center"/>
      <protection locked="0"/>
    </xf>
    <xf numFmtId="2" applyNumberFormat="1" fontId="107" applyFont="1" fillId="45" applyFill="1" borderId="1" applyBorder="1" xfId="127">
      <alignment horizontal="left" vertical="center" wrapText="1"/>
      <protection locked="0"/>
    </xf>
    <xf numFmtId="204" applyNumberFormat="1" fontId="105" applyFont="1" fillId="0" applyFill="1" borderId="1" applyBorder="1" xfId="127">
      <alignment vertical="center"/>
      <protection locked="0"/>
    </xf>
    <xf numFmtId="2" applyNumberFormat="1" fontId="108" applyFont="1" fillId="0" applyFill="1" borderId="1" applyBorder="1" xfId="127">
      <alignment horizontal="left" vertical="center" wrapText="1"/>
      <protection locked="0"/>
    </xf>
    <xf numFmtId="2" applyNumberFormat="1" fontId="108" applyFont="1" fillId="3" applyFill="1" borderId="1" applyBorder="1" xfId="127">
      <alignment horizontal="left" vertical="center" wrapText="1"/>
      <protection locked="0"/>
    </xf>
    <xf numFmtId="2" applyNumberFormat="1" fontId="105" applyFont="1" fillId="45" applyFill="1" borderId="1" applyBorder="1" xfId="127">
      <alignment horizontal="center" vertical="center" wrapText="1"/>
      <protection locked="0"/>
    </xf>
    <xf numFmtId="2" applyNumberFormat="1" fontId="106" applyFont="1" fillId="45" applyFill="1" borderId="1" applyBorder="1" xfId="127">
      <alignment horizontal="left" vertical="center" wrapText="1"/>
      <protection locked="0"/>
    </xf>
    <xf numFmtId="2" applyNumberFormat="1" fontId="106" applyFont="1" fillId="45" applyFill="1" borderId="1" applyBorder="1" xfId="127">
      <alignment horizontal="center" vertical="center" wrapText="1"/>
      <protection locked="0"/>
    </xf>
    <xf numFmtId="1" applyNumberFormat="1" fontId="106" applyFont="1" fillId="0" applyFill="1" borderId="1" applyBorder="1" xfId="127">
      <alignment horizontal="center" vertical="center" wrapText="1"/>
      <protection locked="0"/>
    </xf>
    <xf numFmtId="0" applyNumberFormat="1" fontId="105" applyFont="1" fillId="5" applyFill="1" borderId="1" applyBorder="1" xfId="127">
      <alignment horizontal="left" vertical="center"/>
      <protection locked="0"/>
    </xf>
    <xf numFmtId="2" applyNumberFormat="1" fontId="106" applyFont="1" fillId="0" applyFill="1" borderId="1" applyBorder="1" xfId="127">
      <alignment horizontal="left" vertical="center" wrapText="1"/>
      <protection locked="0"/>
    </xf>
    <xf numFmtId="2" applyNumberFormat="1" fontId="105" applyFont="1" fillId="45" applyFill="1" borderId="1" applyBorder="1" xfId="127">
      <alignment horizontal="left" vertical="center" wrapText="1"/>
      <protection locked="0"/>
    </xf>
    <xf numFmtId="1" applyNumberFormat="1" fontId="105" applyFont="1" fillId="45" applyFill="1" borderId="1" applyBorder="1" xfId="127">
      <alignment horizontal="center" vertical="center" wrapText="1"/>
      <protection locked="0"/>
    </xf>
    <xf numFmtId="2" applyNumberFormat="1" fontId="108" applyFont="1" fillId="45" applyFill="1" borderId="1" applyBorder="1" xfId="127">
      <alignment horizontal="left" vertical="center" wrapText="1"/>
      <protection locked="0"/>
    </xf>
    <xf numFmtId="2" applyNumberFormat="1" fontId="105" applyFont="1" fillId="0" applyFill="1" borderId="1" applyBorder="1" xfId="127">
      <alignment vertical="center"/>
      <protection locked="0"/>
    </xf>
    <xf numFmtId="0" applyNumberFormat="1" fontId="105" applyFont="1" fillId="46" applyFill="1" borderId="1" applyBorder="1" xfId="127">
      <alignment horizontal="center" vertical="center" wrapText="1"/>
      <protection locked="0"/>
    </xf>
    <xf numFmtId="0" applyNumberFormat="1" fontId="107" applyFont="1" fillId="46" applyFill="1" borderId="1" applyBorder="1" xfId="127">
      <alignment horizontal="center" vertical="center" wrapText="1"/>
      <protection locked="0"/>
    </xf>
    <xf numFmtId="2" applyNumberFormat="1" fontId="107" applyFont="1" fillId="46" applyFill="1" borderId="1" applyBorder="1" xfId="127">
      <alignment horizontal="center" vertical="center" wrapText="1"/>
      <protection locked="0"/>
    </xf>
    <xf numFmtId="2" applyNumberFormat="1" fontId="106" applyFont="1" fillId="45" applyFill="1" borderId="2" applyBorder="1" xfId="127">
      <alignment horizontal="left" vertical="center" wrapText="1"/>
      <protection locked="0"/>
    </xf>
    <xf numFmtId="2" applyNumberFormat="1" fontId="106" applyFont="1" fillId="45" applyFill="1" borderId="2" applyBorder="1" xfId="127">
      <alignment horizontal="center" vertical="center" wrapText="1"/>
      <protection locked="0"/>
    </xf>
    <xf numFmtId="1" applyNumberFormat="1" fontId="106" applyFont="1" fillId="45" applyFill="1" borderId="2" applyBorder="1" xfId="127">
      <alignment horizontal="center" vertical="center" wrapText="1"/>
      <protection locked="0"/>
    </xf>
    <xf numFmtId="2" applyNumberFormat="1" fontId="106" applyFont="1" fillId="3" applyFill="1" borderId="2" applyBorder="1" xfId="127">
      <alignment horizontal="left" vertical="center" wrapText="1"/>
      <protection locked="0"/>
    </xf>
    <xf numFmtId="2" applyNumberFormat="1" fontId="106" applyFont="1" fillId="0" applyFill="1" borderId="2" applyBorder="1" xfId="127">
      <alignment horizontal="center" vertical="center" wrapText="1"/>
      <protection locked="0"/>
    </xf>
    <xf numFmtId="0" applyNumberFormat="1" fontId="106" applyFont="1" fillId="0" applyFill="1" borderId="2" applyBorder="1" xfId="127">
      <alignment horizontal="center" vertical="center"/>
      <protection locked="0"/>
    </xf>
    <xf numFmtId="0" applyNumberFormat="1" fontId="105" applyFont="1" fillId="0" applyFill="1" borderId="2" applyBorder="1" xfId="127">
      <alignment horizontal="center" vertical="center"/>
      <protection locked="0"/>
    </xf>
    <xf numFmtId="0" applyNumberFormat="1" fontId="105" applyFont="1" fillId="3" applyFill="1" borderId="2" applyBorder="1" xfId="127">
      <alignment vertical="center"/>
      <protection locked="0"/>
    </xf>
    <xf numFmtId="0" applyNumberFormat="1" fontId="105" applyFont="1" fillId="0" applyFill="1" borderId="2" applyBorder="1" xfId="127">
      <alignment vertical="center"/>
      <protection locked="0"/>
    </xf>
    <xf numFmtId="0" applyNumberFormat="1" fontId="107" applyFont="1" fillId="0" applyFill="1" borderId="1" applyBorder="1" xfId="127">
      <alignment horizontal="center" vertical="center"/>
      <protection locked="0"/>
    </xf>
    <xf numFmtId="0" applyNumberFormat="1" fontId="106" applyFont="1" fillId="42" applyFill="1" borderId="1" applyBorder="1" xfId="127">
      <alignment horizontal="center" vertical="center"/>
      <protection locked="0"/>
    </xf>
    <xf numFmtId="0" applyNumberFormat="1" fontId="105" applyFont="1" fillId="46" applyFill="1" borderId="1" applyBorder="1" xfId="127">
      <alignment horizontal="center" vertical="center"/>
      <protection locked="0"/>
    </xf>
    <xf numFmtId="1" applyNumberFormat="1" fontId="106" applyFont="1" fillId="45" applyFill="1" borderId="1" applyBorder="1" xfId="127">
      <alignment horizontal="center" vertical="center" wrapText="1"/>
      <protection locked="0"/>
    </xf>
    <xf numFmtId="2" applyNumberFormat="1" fontId="107" applyFont="1" fillId="3" applyFill="1" borderId="1" applyBorder="1" xfId="127">
      <alignment horizontal="center" vertical="center" wrapText="1"/>
      <protection locked="0"/>
    </xf>
    <xf numFmtId="0" applyNumberFormat="1" fontId="105" applyFont="1" fillId="46" applyFill="1" borderId="0" applyBorder="1" xfId="127">
      <alignment horizontal="center" vertical="center"/>
      <protection locked="0"/>
    </xf>
    <xf numFmtId="0" applyNumberFormat="1" fontId="107" applyFont="1" fillId="46" applyFill="1" borderId="1" applyBorder="1" xfId="127">
      <alignment horizontal="left" vertical="center" wrapText="1"/>
      <protection locked="0"/>
    </xf>
    <xf numFmtId="2" applyNumberFormat="1" fontId="105" applyFont="1" fillId="0" applyFill="1" borderId="15" applyBorder="1" xfId="127">
      <alignment horizontal="center" vertical="center" wrapText="1"/>
      <protection locked="0"/>
    </xf>
    <xf numFmtId="0" applyNumberFormat="1" fontId="106" applyFont="1" fillId="3" applyFill="1" borderId="0" applyBorder="1" xfId="127">
      <alignment vertical="center"/>
      <protection locked="0"/>
    </xf>
    <xf numFmtId="2" applyNumberFormat="1" fontId="105" applyFont="1" fillId="0" applyFill="1" borderId="0" applyBorder="1" xfId="127">
      <alignment horizontal="center" vertical="center"/>
      <protection locked="0"/>
    </xf>
    <xf numFmtId="1" applyNumberFormat="1" fontId="105" applyFont="1" fillId="0" applyFill="1" borderId="0" applyBorder="1" xfId="127">
      <alignment horizontal="center" vertical="center"/>
      <protection locked="0"/>
    </xf>
    <xf numFmtId="2" applyNumberFormat="1" fontId="105" applyFont="1" fillId="0" applyFill="1" borderId="0" applyBorder="1" xfId="127">
      <alignment vertical="center"/>
      <protection locked="0"/>
    </xf>
    <xf numFmtId="0" applyNumberFormat="1" fontId="107" applyFont="1" fillId="46" applyFill="1" borderId="1" applyBorder="1" xfId="0">
      <alignment horizontal="left" vertical="center" wrapText="1"/>
      <protection locked="0"/>
    </xf>
    <xf numFmtId="0" applyNumberFormat="1" fontId="107" applyFont="1" fillId="46" applyFill="1" borderId="1" applyBorder="1" xfId="0">
      <alignment horizontal="center" vertical="center" wrapText="1"/>
      <protection locked="0"/>
    </xf>
    <xf numFmtId="0" applyNumberFormat="1" fontId="107" applyFont="1" fillId="46" applyFill="1" borderId="1" applyBorder="1" xfId="127">
      <alignment horizontal="center" vertical="center"/>
      <protection locked="0"/>
    </xf>
    <xf numFmtId="2" applyNumberFormat="1" fontId="107" applyFont="1" fillId="46" applyFill="1" borderId="1" applyBorder="1" xfId="127">
      <alignment horizontal="center" vertical="center"/>
      <protection locked="0"/>
    </xf>
    <xf numFmtId="0" applyNumberFormat="1" fontId="105" applyFont="1" fillId="46" applyFill="1" borderId="1" applyBorder="1" xfId="127">
      <alignment horizontal="left" vertical="center"/>
      <protection locked="0"/>
    </xf>
    <xf numFmtId="2" applyNumberFormat="1" fontId="105" applyFont="1" fillId="46" applyFill="1" borderId="1" applyBorder="1" xfId="127">
      <alignment horizontal="center" vertical="center"/>
      <protection locked="0"/>
    </xf>
    <xf numFmtId="0" applyNumberFormat="1" fontId="105" applyFont="1" fillId="46" applyFill="1" borderId="1" applyBorder="1" xfId="127">
      <alignment vertical="center"/>
      <protection locked="0"/>
    </xf>
    <xf numFmtId="0" applyNumberFormat="1" fontId="107" applyFont="1" fillId="7" applyFill="1" borderId="1" applyBorder="1" xfId="0">
      <alignment horizontal="left" vertical="center" wrapText="1"/>
      <protection locked="0"/>
    </xf>
    <xf numFmtId="2" applyNumberFormat="1" fontId="105" applyFont="1" fillId="7" applyFill="1" borderId="1" applyBorder="1" xfId="127">
      <alignment horizontal="center" vertical="center" wrapText="1"/>
      <protection locked="0"/>
    </xf>
    <xf numFmtId="0" applyNumberFormat="1" fontId="105" applyFont="1" fillId="7" applyFill="1" borderId="1" applyBorder="1" xfId="127">
      <alignment horizontal="center" vertical="center" wrapText="1"/>
      <protection locked="0"/>
    </xf>
    <xf numFmtId="0" applyNumberFormat="1" fontId="107" applyFont="1" fillId="7" applyFill="1" borderId="1" applyBorder="1" xfId="0">
      <alignment horizontal="center" vertical="center" wrapText="1"/>
      <protection locked="0"/>
    </xf>
    <xf numFmtId="2" applyNumberFormat="1" fontId="107" applyFont="1" fillId="7" applyFill="1" borderId="1" applyBorder="1" xfId="127">
      <alignment horizontal="center" vertical="center"/>
      <protection locked="0"/>
    </xf>
    <xf numFmtId="0" applyNumberFormat="1" fontId="107" applyFont="1" fillId="7" applyFill="1" borderId="1" applyBorder="1" xfId="127">
      <alignment horizontal="center" vertical="center"/>
      <protection locked="0"/>
    </xf>
    <xf numFmtId="0" applyNumberFormat="1" fontId="107" applyFont="1" fillId="7" applyFill="1" borderId="1" applyBorder="1" xfId="127">
      <alignment horizontal="left" vertical="center" wrapText="1"/>
      <protection locked="0"/>
    </xf>
    <xf numFmtId="0" applyNumberFormat="1" fontId="107" applyFont="1" fillId="7" applyFill="1" borderId="1" applyBorder="1" xfId="127">
      <alignment horizontal="center" vertical="center" wrapText="1"/>
      <protection locked="0"/>
    </xf>
    <xf numFmtId="2" applyNumberFormat="1" fontId="107" applyFont="1" fillId="7" applyFill="1" borderId="1" applyBorder="1" xfId="127">
      <alignment horizontal="center" vertical="center" wrapText="1"/>
      <protection locked="0"/>
    </xf>
    <xf numFmtId="0" applyNumberFormat="1" fontId="105" applyFont="1" fillId="7" applyFill="1" borderId="1" applyBorder="1" xfId="127">
      <alignment vertical="center"/>
      <protection locked="0"/>
    </xf>
    <xf numFmtId="2" applyNumberFormat="1" fontId="107" applyFont="1" fillId="5" applyFill="1" borderId="1" applyBorder="1" xfId="127">
      <alignment horizontal="center" vertical="center"/>
      <protection locked="0"/>
    </xf>
    <xf numFmtId="2" applyNumberFormat="1" fontId="105" applyFont="1" fillId="7" applyFill="1" borderId="1" applyBorder="1" xfId="127">
      <alignment horizontal="center" vertical="center"/>
      <protection locked="0"/>
    </xf>
    <xf numFmtId="2" applyNumberFormat="1" fontId="105" applyFont="1" fillId="7" applyFill="1" borderId="1" applyBorder="1" xfId="127">
      <alignment vertical="center"/>
      <protection locked="0"/>
    </xf>
    <xf numFmtId="204" applyNumberFormat="1" fontId="105" applyFont="1" fillId="7" applyFill="1" borderId="1" applyBorder="1" xfId="127">
      <alignment horizontal="left" vertical="center" wrapText="1"/>
      <protection locked="0"/>
    </xf>
    <xf numFmtId="0" applyNumberFormat="1" fontId="107" applyFont="1" fillId="7" applyFill="1" borderId="1" applyBorder="1" xfId="127">
      <alignment horizontal="left" vertical="center"/>
      <protection locked="0"/>
    </xf>
    <xf numFmtId="0" applyNumberFormat="1" fontId="105" applyFont="1" fillId="7" applyFill="1" borderId="1" applyBorder="1" xfId="127">
      <alignment horizontal="center" vertical="center"/>
      <protection locked="0"/>
    </xf>
    <xf numFmtId="0" applyNumberFormat="1" fontId="107" applyFont="1" fillId="5" applyFill="1" borderId="1" applyBorder="1" xfId="127">
      <alignment horizontal="center" vertical="center"/>
      <protection locked="0"/>
    </xf>
    <xf numFmtId="0" applyNumberFormat="1" fontId="105" applyFont="1" fillId="7" applyFill="1" borderId="1" applyBorder="1" xfId="127">
      <alignment horizontal="left" vertical="center"/>
      <protection locked="0"/>
    </xf>
    <xf numFmtId="204" applyNumberFormat="1" fontId="105" applyFont="1" fillId="47" applyFill="1" borderId="1" applyBorder="1" xfId="127">
      <alignment horizontal="left" vertical="center" wrapText="1"/>
      <protection locked="0"/>
    </xf>
    <xf numFmtId="2" applyNumberFormat="1" fontId="105" applyFont="1" fillId="47" applyFill="1" borderId="1" applyBorder="1" xfId="127">
      <alignment horizontal="center" vertical="center" wrapText="1"/>
      <protection locked="0"/>
    </xf>
    <xf numFmtId="0" applyNumberFormat="1" fontId="105" applyFont="1" fillId="47" applyFill="1" borderId="1" applyBorder="1" xfId="127">
      <alignment horizontal="center" vertical="center" wrapText="1"/>
      <protection locked="0"/>
    </xf>
    <xf numFmtId="0" applyNumberFormat="1" fontId="107" applyFont="1" fillId="47" applyFill="1" borderId="1" applyBorder="1" xfId="127">
      <alignment horizontal="center" vertical="center" wrapText="1"/>
      <protection locked="0"/>
    </xf>
    <xf numFmtId="2" applyNumberFormat="1" fontId="107" applyFont="1" fillId="47" applyFill="1" borderId="1" applyBorder="1" xfId="127">
      <alignment horizontal="center" vertical="center"/>
      <protection locked="0"/>
    </xf>
    <xf numFmtId="2" applyNumberFormat="1" fontId="107" applyFont="1" fillId="47" applyFill="1" borderId="1" applyBorder="1" xfId="127">
      <alignment horizontal="center" vertical="center" wrapText="1"/>
      <protection locked="0"/>
    </xf>
    <xf numFmtId="0" applyNumberFormat="1" fontId="105" applyFont="1" fillId="47" applyFill="1" borderId="1" applyBorder="1" xfId="127">
      <alignment vertical="center"/>
      <protection locked="0"/>
    </xf>
    <xf numFmtId="0" applyNumberFormat="1" fontId="105" applyFont="1" fillId="47" applyFill="1" borderId="1" applyBorder="1" xfId="127">
      <alignment horizontal="center" vertical="center"/>
      <protection locked="0"/>
    </xf>
    <xf numFmtId="2" applyNumberFormat="1" fontId="105" applyFont="1" fillId="47" applyFill="1" borderId="1" applyBorder="1" xfId="127">
      <alignment vertical="center"/>
      <protection locked="0"/>
    </xf>
    <xf numFmtId="0" applyNumberFormat="1" fontId="105" applyFont="1" fillId="47" applyFill="1" borderId="1" applyBorder="1" xfId="127">
      <alignment horizontal="left" vertical="center"/>
      <protection locked="0"/>
    </xf>
    <xf numFmtId="2" applyNumberFormat="1" fontId="105" applyFont="1" fillId="47" applyFill="1" borderId="1" applyBorder="1" xfId="127">
      <alignment horizontal="center" vertical="center"/>
      <protection locked="0"/>
    </xf>
    <xf numFmtId="0" applyNumberFormat="1" fontId="105" applyFont="1" fillId="48" applyFill="1" borderId="1" applyBorder="1" xfId="127">
      <alignment horizontal="left" vertical="center"/>
      <protection locked="0"/>
    </xf>
    <xf numFmtId="0" applyNumberFormat="1" fontId="105" applyFont="1" fillId="48" applyFill="1" borderId="1" applyBorder="1" xfId="127">
      <alignment vertical="center"/>
      <protection locked="0"/>
    </xf>
    <xf numFmtId="0" applyNumberFormat="1" fontId="105" applyFont="1" fillId="48" applyFill="1" borderId="1" applyBorder="1" xfId="127">
      <alignment horizontal="center" vertical="center"/>
      <protection locked="0"/>
    </xf>
    <xf numFmtId="2" applyNumberFormat="1" fontId="105" applyFont="1" fillId="48" applyFill="1" borderId="1" applyBorder="1" xfId="127">
      <alignment horizontal="center" vertical="center" wrapText="1"/>
      <protection locked="0"/>
    </xf>
    <xf numFmtId="2" applyNumberFormat="1" fontId="105" applyFont="1" fillId="48" applyFill="1" borderId="1" applyBorder="1" xfId="127">
      <alignment horizontal="center" vertical="center"/>
      <protection locked="0"/>
    </xf>
    <xf numFmtId="0" applyNumberFormat="1" fontId="105" applyFont="1" fillId="45" applyFill="1" borderId="1" applyBorder="1" xfId="127">
      <alignment horizontal="center" vertical="center"/>
      <protection locked="0"/>
    </xf>
    <xf numFmtId="2" applyNumberFormat="1" fontId="105" applyFont="1" fillId="45" applyFill="1" borderId="1" applyBorder="1" xfId="127">
      <alignment horizontal="center" vertical="center"/>
      <protection locked="0"/>
    </xf>
    <xf numFmtId="0" applyNumberFormat="1" fontId="105" applyFont="1" fillId="0" applyFill="1" borderId="0" applyBorder="1" xfId="127">
      <alignment horizontal="left" vertical="center"/>
      <protection locked="0"/>
    </xf>
    <xf numFmtId="0" applyNumberFormat="1" fontId="105" applyFont="1" fillId="0" applyFill="1" borderId="0" applyBorder="1" xfId="127">
      <alignment horizontal="center" vertical="center"/>
      <protection locked="0"/>
    </xf>
    <xf numFmtId="2" applyNumberFormat="1" fontId="105" applyFont="1" fillId="0" applyFill="1" borderId="0" applyBorder="1" xfId="127">
      <alignment horizontal="center" vertical="center"/>
      <protection locked="0"/>
    </xf>
    <xf numFmtId="0" applyNumberFormat="1" fontId="100" applyFont="1" fillId="0" applyFill="1" borderId="1" applyBorder="1" xfId="0">
      <alignment vertical="center" wrapText="1"/>
      <protection locked="0"/>
    </xf>
    <xf numFmtId="0" applyNumberFormat="1" fontId="100" applyFont="1" fillId="0" applyFill="1" borderId="0" applyBorder="1" xfId="0">
      <alignment vertical="center" wrapText="1"/>
    </xf>
    <xf numFmtId="3" applyNumberFormat="1" fontId="100" applyFont="1" fillId="0" applyFill="1" borderId="0" applyBorder="1" xfId="0">
      <alignment vertical="center"/>
    </xf>
    <xf numFmtId="0" applyNumberFormat="1" fontId="100" applyFont="1" fillId="0" applyFill="1" borderId="0" applyBorder="1" xfId="0">
      <alignment horizontal="center" vertical="center" wrapText="1"/>
    </xf>
    <xf numFmtId="0" applyNumberFormat="1" fontId="100" applyFont="1" fillId="0" applyFill="1" borderId="0" applyBorder="1" xfId="0">
      <alignment horizontal="center" vertical="center"/>
    </xf>
    <xf numFmtId="0" applyNumberFormat="1" fontId="100" applyFont="1" fillId="0" applyFill="1" borderId="0" applyBorder="1" xfId="0">
      <alignment horizontal="center"/>
    </xf>
    <xf numFmtId="0" applyNumberFormat="1" fontId="1" applyFont="1" fillId="0" applyFill="1" borderId="1" applyBorder="1" xfId="127">
      <alignment horizontal="center" vertical="center" wrapText="1"/>
    </xf>
    <xf numFmtId="203" applyNumberFormat="1" fontId="1" applyFont="1" fillId="0" applyFill="1" borderId="1" applyBorder="1" xfId="127">
      <alignment horizontal="center" vertical="center" wrapText="1"/>
    </xf>
    <xf numFmtId="0" applyNumberFormat="1" fontId="1" applyFont="1" fillId="0" applyFill="1" borderId="1" applyBorder="1" xfId="127">
      <alignment vertical="center" wrapText="1"/>
    </xf>
    <xf numFmtId="14" applyNumberFormat="1" fontId="4" applyFont="1" fillId="0" applyFill="1" borderId="1" applyBorder="1" xfId="127">
      <alignment horizontal="center" vertical="center" wrapText="1"/>
    </xf>
    <xf numFmtId="0" applyNumberFormat="1" fontId="4" applyFont="1" fillId="0" applyFill="1" borderId="1" applyBorder="1" xfId="127">
      <alignment horizontal="center" vertical="center" wrapText="1"/>
    </xf>
    <xf numFmtId="0" applyNumberFormat="1" fontId="5" applyFont="1" fillId="0" applyFill="1" borderId="1" applyBorder="1" xfId="0">
      <alignment horizontal="center" vertical="center" wrapText="1"/>
    </xf>
    <xf numFmtId="0" applyNumberFormat="1" fontId="5" applyFont="1" fillId="0" applyFill="1" borderId="1" applyBorder="1" xfId="0">
      <alignment horizontal="center" vertical="center"/>
    </xf>
    <xf numFmtId="0" applyNumberFormat="1" fontId="4" applyFont="1" fillId="0" applyFill="1" borderId="1" applyBorder="1" xfId="127">
      <alignment horizontal="center" vertical="center" wrapText="1"/>
    </xf>
    <xf numFmtId="0" applyNumberFormat="1" fontId="77" applyFont="1" fillId="0" applyFill="1" borderId="0" applyBorder="1" xfId="0">
      <alignment horizontal="left" vertical="center"/>
      <protection locked="0"/>
    </xf>
    <xf numFmtId="0" applyNumberFormat="1" fontId="103" applyFont="1" fillId="0" applyFill="1" borderId="0" applyBorder="1" xfId="127">
      <alignment horizontal="center" vertical="center"/>
      <protection locked="0"/>
    </xf>
    <xf numFmtId="0" applyNumberFormat="1" fontId="103" applyFont="1" fillId="0" applyFill="1" borderId="13" applyBorder="1" xfId="127">
      <alignment horizontal="center" vertical="center"/>
      <protection locked="0"/>
    </xf>
    <xf numFmtId="0" applyNumberFormat="1" fontId="77" applyFont="1" fillId="0" applyFill="1" borderId="0" applyBorder="1" xfId="0">
      <alignment horizontal="left" vertical="center"/>
      <protection locked="0"/>
    </xf>
    <xf numFmtId="0" applyNumberFormat="1" fontId="83" applyFont="1" fillId="0" applyFill="1" borderId="0" applyBorder="1" xfId="127">
      <alignment horizontal="center" vertical="center" wrapText="1"/>
      <protection locked="0"/>
    </xf>
    <xf numFmtId="0" applyNumberFormat="1" fontId="79" applyFont="1" fillId="0" applyFill="1" borderId="0" applyBorder="1" xfId="127">
      <alignment horizontal="center"/>
      <protection locked="0"/>
    </xf>
    <xf numFmtId="0" applyNumberFormat="1" fontId="6" applyFont="1" fillId="0" applyFill="1" borderId="0" applyBorder="1" xfId="127">
      <alignment horizontal="center" vertical="top"/>
      <protection locked="0"/>
    </xf>
    <xf numFmtId="0" applyNumberFormat="1" fontId="0" applyFont="1" fillId="0" applyFill="1" borderId="1" applyBorder="1" xfId="0">
      <protection locked="0"/>
    </xf>
    <xf numFmtId="0" applyNumberFormat="1" fontId="84" applyFont="1" fillId="0" applyFill="1" borderId="0" applyBorder="1" xfId="0">
      <alignment horizontal="left" wrapText="1"/>
      <protection locked="0"/>
    </xf>
    <xf numFmtId="0" applyNumberFormat="1" fontId="103" applyFont="1" fillId="0" applyFill="1" borderId="0" applyBorder="1" xfId="127">
      <alignment horizontal="center" vertical="center"/>
      <protection locked="0"/>
    </xf>
    <xf numFmtId="0" applyNumberFormat="1" fontId="103" applyFont="1" fillId="0" applyFill="1" borderId="17" applyBorder="1" xfId="127">
      <alignment horizontal="center" vertical="center"/>
      <protection locked="0"/>
    </xf>
    <xf numFmtId="0" applyNumberFormat="1" fontId="103" applyFont="1" fillId="0" applyFill="1" borderId="13" applyBorder="1" xfId="127">
      <alignment horizontal="center" vertical="center"/>
      <protection locked="0"/>
    </xf>
    <xf numFmtId="0" applyNumberFormat="1" fontId="103" applyFont="1" fillId="0" applyFill="1" borderId="14" applyBorder="1" xfId="127">
      <alignment horizontal="center" vertical="center"/>
      <protection locked="0"/>
    </xf>
    <xf numFmtId="0" applyNumberFormat="1" fontId="103" applyFont="1" fillId="0" applyFill="1" borderId="5" applyBorder="1" xfId="127">
      <alignment horizontal="center" vertical="center"/>
      <protection locked="0"/>
    </xf>
    <xf numFmtId="0" applyNumberFormat="1" fontId="103" applyFont="1" fillId="0" applyFill="1" borderId="15" applyBorder="1" xfId="127">
      <alignment horizontal="center" vertical="center"/>
      <protection locked="0"/>
    </xf>
    <xf numFmtId="0" applyNumberFormat="1" fontId="8" applyFont="1" fillId="0" applyFill="1" borderId="0" applyBorder="1" xfId="0">
      <alignment horizontal="center" vertical="center"/>
      <protection locked="0"/>
    </xf>
    <xf numFmtId="0" applyNumberFormat="1" fontId="86" applyFont="1" fillId="0" applyFill="1" borderId="0" applyBorder="1" xfId="0">
      <alignment horizontal="center" vertical="center"/>
      <protection locked="0"/>
    </xf>
    <xf numFmtId="0" applyNumberFormat="1" fontId="5" applyFont="1" fillId="0" applyFill="1" borderId="0" applyBorder="1" xfId="0">
      <alignment horizontal="left" vertical="center"/>
      <protection locked="0"/>
    </xf>
    <xf numFmtId="0" applyNumberFormat="1" fontId="5" applyFont="1" fillId="0" applyFill="1" borderId="0" applyBorder="1" xfId="0">
      <alignment horizontal="justify" vertical="center" wrapText="1"/>
      <protection locked="0"/>
    </xf>
    <xf numFmtId="0" applyNumberFormat="1" fontId="85" applyFont="1" fillId="0" applyFill="1" borderId="0" applyBorder="1" xfId="0">
      <alignment horizontal="center" vertical="center" wrapText="1"/>
      <protection locked="0"/>
    </xf>
    <xf numFmtId="0" applyNumberFormat="1" fontId="77" applyFont="1" fillId="0" applyFill="1" borderId="0" applyBorder="1" xfId="0">
      <alignment horizontal="left" vertical="top" wrapText="1"/>
      <protection locked="0"/>
    </xf>
    <xf numFmtId="0" applyNumberFormat="1" fontId="89" applyFont="1" fillId="0" applyFill="1" borderId="0" applyBorder="1" xfId="0">
      <alignment horizontal="left" vertical="center"/>
      <protection locked="0"/>
    </xf>
    <xf numFmtId="0" applyNumberFormat="1" fontId="5" applyFont="1" fillId="0" applyFill="1" borderId="0" applyBorder="1" xfId="0">
      <alignment horizontal="center" vertical="center"/>
      <protection locked="0"/>
    </xf>
    <xf numFmtId="0" applyNumberFormat="1" fontId="87" applyFont="1" fillId="0" applyFill="1" borderId="14" applyBorder="1" xfId="0">
      <alignment horizontal="right" vertical="center"/>
      <protection locked="0"/>
    </xf>
    <xf numFmtId="0" applyNumberFormat="1" fontId="87" applyFont="1" fillId="0" applyFill="1" borderId="5" applyBorder="1" xfId="0">
      <alignment horizontal="right" vertical="center"/>
      <protection locked="0"/>
    </xf>
    <xf numFmtId="0" applyNumberFormat="1" fontId="87" applyFont="1" fillId="0" applyFill="1" borderId="15" applyBorder="1" xfId="0">
      <alignment horizontal="right" vertical="center"/>
      <protection locked="0"/>
    </xf>
    <xf numFmtId="0" applyNumberFormat="1" fontId="89" applyFont="1" fillId="0" applyFill="1" borderId="1" applyBorder="1" xfId="0">
      <alignment horizontal="center" vertical="center" wrapText="1"/>
      <protection locked="0"/>
    </xf>
    <xf numFmtId="0" applyNumberFormat="1" fontId="89" applyFont="1" fillId="0" applyFill="1" borderId="14" applyBorder="1" xfId="0">
      <alignment horizontal="center" vertical="center"/>
      <protection locked="0"/>
    </xf>
    <xf numFmtId="0" applyNumberFormat="1" fontId="89" applyFont="1" fillId="0" applyFill="1" borderId="5" applyBorder="1" xfId="0">
      <alignment horizontal="center" vertical="center"/>
      <protection locked="0"/>
    </xf>
    <xf numFmtId="0" applyNumberFormat="1" fontId="89" applyFont="1" fillId="0" applyFill="1" borderId="15" applyBorder="1" xfId="0">
      <alignment horizontal="center" vertical="center"/>
      <protection locked="0"/>
    </xf>
    <xf numFmtId="0" applyNumberFormat="1" fontId="87" applyFont="1" fillId="0" applyFill="1" borderId="14" applyBorder="1" xfId="0">
      <alignment horizontal="left" vertical="center"/>
      <protection locked="0"/>
    </xf>
    <xf numFmtId="0" applyNumberFormat="1" fontId="87" applyFont="1" fillId="0" applyFill="1" borderId="5" applyBorder="1" xfId="0">
      <alignment horizontal="left" vertical="center"/>
      <protection locked="0"/>
    </xf>
    <xf numFmtId="3" applyNumberFormat="1" fontId="87" applyFont="1" fillId="0" applyFill="1" borderId="14" applyBorder="1" xfId="0">
      <alignment horizontal="right" vertical="center"/>
      <protection locked="0"/>
    </xf>
    <xf numFmtId="3" applyNumberFormat="1" fontId="87" applyFont="1" fillId="0" applyFill="1" borderId="5" applyBorder="1" xfId="0">
      <alignment horizontal="right" vertical="center"/>
      <protection locked="0"/>
    </xf>
    <xf numFmtId="3" applyNumberFormat="1" fontId="87" applyFont="1" fillId="0" applyFill="1" borderId="15" applyBorder="1" xfId="0">
      <alignment horizontal="right" vertical="center"/>
      <protection locked="0"/>
    </xf>
    <xf numFmtId="3" applyNumberFormat="1" fontId="89" applyFont="1" fillId="0" applyFill="1" borderId="14" applyBorder="1" xfId="0">
      <alignment horizontal="right" vertical="center"/>
      <protection locked="0"/>
    </xf>
    <xf numFmtId="3" applyNumberFormat="1" fontId="89" applyFont="1" fillId="0" applyFill="1" borderId="5" applyBorder="1" xfId="0">
      <alignment horizontal="right" vertical="center"/>
      <protection locked="0"/>
    </xf>
    <xf numFmtId="3" applyNumberFormat="1" fontId="89" applyFont="1" fillId="0" applyFill="1" borderId="15" applyBorder="1" xfId="0">
      <alignment horizontal="right" vertical="center"/>
      <protection locked="0"/>
    </xf>
    <xf numFmtId="0" applyNumberFormat="1" fontId="87" applyFont="1" fillId="0" applyFill="1" borderId="14" applyBorder="1" xfId="0">
      <alignment horizontal="center" vertical="center"/>
      <protection locked="0"/>
    </xf>
    <xf numFmtId="0" applyNumberFormat="1" fontId="87" applyFont="1" fillId="0" applyFill="1" borderId="15" applyBorder="1" xfId="0">
      <alignment horizontal="center" vertical="center"/>
      <protection locked="0"/>
    </xf>
    <xf numFmtId="0" applyNumberFormat="1" fontId="92" applyFont="1" fillId="0" applyFill="1" borderId="0" applyBorder="1" xfId="0">
      <alignment horizontal="center" vertical="center"/>
      <protection locked="0"/>
    </xf>
    <xf numFmtId="0" applyNumberFormat="1" fontId="5" applyFont="1" fillId="0" applyFill="1" borderId="0" applyBorder="1" xfId="0">
      <alignment horizontal="justify" vertical="center" wrapText="1" shrinkToFit="1"/>
      <protection locked="0"/>
    </xf>
    <xf numFmtId="0" applyNumberFormat="1" fontId="92" applyFont="1" fillId="0" applyFill="1" borderId="11" applyBorder="1" xfId="0">
      <alignment horizontal="center" vertical="center"/>
      <protection locked="0"/>
    </xf>
    <xf numFmtId="0" applyNumberFormat="1" fontId="77" applyFont="1" fillId="0" applyFill="1" borderId="0" applyBorder="1" xfId="0">
      <alignment horizontal="left" vertical="center"/>
      <protection locked="0"/>
    </xf>
    <xf numFmtId="0" applyNumberFormat="1" fontId="85" applyFont="1" fillId="0" applyFill="1" borderId="0" applyBorder="1" xfId="0">
      <alignment horizontal="center" vertical="center"/>
      <protection locked="0"/>
    </xf>
    <xf numFmtId="0" applyNumberFormat="1" fontId="88" applyFont="1" fillId="0" applyFill="1" borderId="0" applyBorder="1" xfId="0">
      <alignment horizontal="right" vertical="center"/>
      <protection locked="0"/>
    </xf>
    <xf numFmtId="0" applyNumberFormat="1" fontId="86" applyFont="1" fillId="0" applyFill="1" borderId="0" applyBorder="1" xfId="0">
      <alignment horizontal="center" wrapText="1"/>
      <protection locked="0"/>
    </xf>
    <xf numFmtId="0" applyNumberFormat="1" fontId="87" applyFont="1" fillId="0" applyFill="1" borderId="0" applyBorder="1" xfId="0">
      <alignment horizontal="center" wrapText="1"/>
      <protection locked="0"/>
    </xf>
    <xf numFmtId="0" applyNumberFormat="1" fontId="87" applyFont="1" fillId="0" applyFill="1" borderId="13" applyBorder="1" xfId="0">
      <alignment horizontal="center" vertical="top" wrapText="1"/>
      <protection locked="0"/>
    </xf>
    <xf numFmtId="0" applyNumberFormat="1" fontId="91" applyFont="1" fillId="0" applyFill="1" borderId="0" applyBorder="1" xfId="0">
      <alignment horizontal="center"/>
      <protection locked="0"/>
    </xf>
    <xf numFmtId="0" applyNumberFormat="1" fontId="83" applyFont="1" fillId="0" applyFill="1" borderId="0" applyBorder="1" xfId="127">
      <alignment horizontal="center" vertical="center" wrapText="1"/>
      <protection locked="0"/>
    </xf>
    <xf numFmtId="1" applyNumberFormat="1" fontId="83" applyFont="1" fillId="0" applyFill="1" borderId="0" applyBorder="1" xfId="127">
      <alignment horizontal="center" vertical="center" wrapText="1"/>
      <protection locked="0"/>
    </xf>
    <xf numFmtId="1" applyNumberFormat="1" fontId="83" applyFont="1" fillId="0" applyFill="1" borderId="0" applyBorder="1" xfId="127">
      <alignment horizontal="center" vertical="center"/>
      <protection locked="0"/>
    </xf>
    <xf numFmtId="0" applyNumberFormat="1" fontId="7" applyFont="1" fillId="0" applyFill="1" borderId="0" applyBorder="1" xfId="127">
      <alignment horizontal="center" vertical="center"/>
      <protection locked="0"/>
    </xf>
    <xf numFmtId="0" applyNumberFormat="1" fontId="7" applyFont="1" fillId="0" applyFill="1" borderId="0" applyBorder="1" xfId="127">
      <alignment horizontal="center"/>
      <protection locked="0"/>
    </xf>
    <xf numFmtId="0" applyNumberFormat="1" fontId="7" applyFont="1" fillId="0" applyFill="1" borderId="0" applyBorder="1" xfId="127">
      <alignment horizontal="left" vertical="top" wrapText="1"/>
      <protection locked="0"/>
    </xf>
    <xf numFmtId="14" applyNumberFormat="1" fontId="4" applyFont="1" fillId="0" applyFill="1" borderId="0" applyBorder="1" xfId="127">
      <alignment horizontal="left" vertical="center"/>
      <protection locked="0"/>
    </xf>
    <xf numFmtId="0" applyNumberFormat="1" fontId="4" applyFont="1" fillId="0" applyFill="1" borderId="0" applyBorder="1" xfId="127">
      <alignment horizontal="left" vertical="center"/>
      <protection locked="0"/>
    </xf>
    <xf numFmtId="0" applyNumberFormat="1" fontId="79" applyFont="1" fillId="0" applyFill="1" borderId="0" applyBorder="1" xfId="127">
      <alignment horizontal="center"/>
      <protection locked="0"/>
    </xf>
    <xf numFmtId="0" applyNumberFormat="1" fontId="7" applyFont="1" fillId="0" applyFill="1" borderId="0" applyBorder="1" xfId="127">
      <alignment horizontal="center" vertical="top" wrapText="1"/>
      <protection locked="0"/>
    </xf>
    <xf numFmtId="0" applyNumberFormat="1" fontId="4" applyFont="1" fillId="0" applyFill="1" borderId="0" applyBorder="1" xfId="127">
      <alignment horizontal="center"/>
      <protection locked="0"/>
    </xf>
    <xf numFmtId="0" applyNumberFormat="1" fontId="78" applyFont="1" fillId="0" applyFill="1" borderId="0" applyBorder="1" xfId="127">
      <alignment horizontal="center" vertical="top"/>
      <protection locked="0"/>
    </xf>
    <xf numFmtId="0" applyNumberFormat="1" fontId="4" applyFont="1" fillId="0" applyFill="1" borderId="14" applyBorder="1" xfId="127">
      <alignment horizontal="center" vertical="top" wrapText="1"/>
      <protection locked="0"/>
    </xf>
    <xf numFmtId="0" applyNumberFormat="1" fontId="4" applyFont="1" fillId="0" applyFill="1" borderId="5" applyBorder="1" xfId="127">
      <alignment horizontal="center" vertical="top" wrapText="1"/>
      <protection locked="0"/>
    </xf>
    <xf numFmtId="0" applyNumberFormat="1" fontId="4" applyFont="1" fillId="0" applyFill="1" borderId="15" applyBorder="1" xfId="127">
      <alignment horizontal="center" vertical="top" wrapText="1"/>
      <protection locked="0"/>
    </xf>
    <xf numFmtId="0" applyNumberFormat="1" fontId="80" applyFont="1" fillId="0" applyFill="1" borderId="0" applyBorder="1" xfId="127">
      <alignment horizontal="center" vertical="center"/>
      <protection locked="0"/>
    </xf>
    <xf numFmtId="0" applyNumberFormat="1" fontId="4" applyFont="1" fillId="0" applyFill="1" borderId="14" applyBorder="1" xfId="127">
      <alignment horizontal="center" vertical="center" wrapText="1"/>
      <protection locked="0"/>
    </xf>
    <xf numFmtId="0" applyNumberFormat="1" fontId="4" applyFont="1" fillId="0" applyFill="1" borderId="5" applyBorder="1" xfId="127">
      <alignment horizontal="center" vertical="center" wrapText="1"/>
      <protection locked="0"/>
    </xf>
    <xf numFmtId="0" applyNumberFormat="1" fontId="4" applyFont="1" fillId="0" applyFill="1" borderId="15" applyBorder="1" xfId="127">
      <alignment horizontal="center" vertical="center" wrapText="1"/>
      <protection locked="0"/>
    </xf>
    <xf numFmtId="0" applyNumberFormat="1" fontId="7" applyFont="1" fillId="0" applyFill="1" borderId="14" applyBorder="1" xfId="127">
      <alignment horizontal="left" vertical="top" wrapText="1"/>
      <protection locked="0"/>
    </xf>
    <xf numFmtId="0" applyNumberFormat="1" fontId="7" applyFont="1" fillId="0" applyFill="1" borderId="5" applyBorder="1" xfId="127">
      <alignment horizontal="left" vertical="top" wrapText="1"/>
      <protection locked="0"/>
    </xf>
    <xf numFmtId="0" applyNumberFormat="1" fontId="7" applyFont="1" fillId="0" applyFill="1" borderId="15" applyBorder="1" xfId="127">
      <alignment horizontal="left" vertical="top" wrapText="1"/>
      <protection locked="0"/>
    </xf>
    <xf numFmtId="0" applyNumberFormat="1" fontId="78" applyFont="1" fillId="0" applyFill="1" borderId="0" applyBorder="1" xfId="127">
      <alignment horizontal="center" vertical="center"/>
      <protection locked="0"/>
    </xf>
    <xf numFmtId="0" applyNumberFormat="1" fontId="78" applyFont="1" fillId="0" applyFill="1" borderId="0" applyBorder="1" xfId="127">
      <alignment horizontal="center" vertical="center"/>
      <protection locked="0"/>
    </xf>
    <xf numFmtId="0" applyNumberFormat="1" fontId="7" applyFont="1" fillId="0" applyFill="1" borderId="14" applyBorder="1" xfId="127">
      <alignment horizontal="left" vertical="center" wrapText="1"/>
      <protection locked="0"/>
    </xf>
    <xf numFmtId="0" applyNumberFormat="1" fontId="7" applyFont="1" fillId="0" applyFill="1" borderId="5" applyBorder="1" xfId="127">
      <alignment horizontal="left" vertical="center" wrapText="1"/>
      <protection locked="0"/>
    </xf>
    <xf numFmtId="0" applyNumberFormat="1" fontId="7" applyFont="1" fillId="0" applyFill="1" borderId="15" applyBorder="1" xfId="127">
      <alignment horizontal="left" vertical="center" wrapText="1"/>
      <protection locked="0"/>
    </xf>
    <xf numFmtId="0" applyNumberFormat="1" fontId="4" applyFont="1" fillId="0" applyFill="1" borderId="14" applyBorder="1" xfId="127">
      <alignment horizontal="left" vertical="center" wrapText="1"/>
      <protection locked="0"/>
    </xf>
    <xf numFmtId="0" applyNumberFormat="1" fontId="4" applyFont="1" fillId="0" applyFill="1" borderId="5" applyBorder="1" xfId="127">
      <alignment horizontal="left" vertical="center" wrapText="1"/>
      <protection locked="0"/>
    </xf>
    <xf numFmtId="0" applyNumberFormat="1" fontId="4" applyFont="1" fillId="0" applyFill="1" borderId="15" applyBorder="1" xfId="127">
      <alignment horizontal="left" vertical="center" wrapText="1"/>
      <protection locked="0"/>
    </xf>
    <xf numFmtId="0" applyNumberFormat="1" fontId="4" applyFont="1" fillId="0" applyFill="1" borderId="1" applyBorder="1" xfId="127">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lignment horizontal="left" vertical="center" wrapText="1"/>
      <protection locked="0"/>
    </xf>
    <xf numFmtId="49" applyNumberFormat="1" fontId="4" applyFont="1" fillId="0" applyFill="1" borderId="14" applyBorder="1" xfId="127">
      <alignment horizontal="center" vertical="top" wrapText="1"/>
      <protection locked="0"/>
    </xf>
    <xf numFmtId="49" applyNumberFormat="1" fontId="4" applyFont="1" fillId="0" applyFill="1" borderId="5" applyBorder="1" xfId="127">
      <alignment horizontal="center" vertical="top" wrapText="1"/>
      <protection locked="0"/>
    </xf>
    <xf numFmtId="49" applyNumberFormat="1" fontId="4" applyFont="1" fillId="0" applyFill="1" borderId="15" applyBorder="1" xfId="127">
      <alignment horizontal="center" vertical="top" wrapText="1"/>
      <protection locked="0"/>
    </xf>
    <xf numFmtId="0" applyNumberFormat="1" fontId="7" applyFont="1" fillId="0" applyFill="1" borderId="14" applyBorder="1" xfId="127">
      <alignment horizontal="center" vertical="center" wrapText="1"/>
      <protection locked="0"/>
    </xf>
    <xf numFmtId="0" applyNumberFormat="1" fontId="7" applyFont="1" fillId="0" applyFill="1" borderId="5" applyBorder="1" xfId="127">
      <alignment horizontal="center" vertical="center" wrapText="1"/>
      <protection locked="0"/>
    </xf>
    <xf numFmtId="0" applyNumberFormat="1" fontId="7" applyFont="1" fillId="0" applyFill="1" borderId="15" applyBorder="1" xfId="127">
      <alignment horizontal="center" vertical="center" wrapText="1"/>
      <protection locked="0"/>
    </xf>
    <xf numFmtId="0" applyNumberFormat="1" fontId="4" applyFont="1" fillId="0" applyFill="1" borderId="14" applyBorder="1" xfId="127">
      <alignment horizontal="left" vertical="top" wrapText="1"/>
      <protection locked="0"/>
    </xf>
    <xf numFmtId="0" applyNumberFormat="1" fontId="4" applyFont="1" fillId="0" applyFill="1" borderId="5" applyBorder="1" xfId="127">
      <alignment horizontal="left" vertical="top" wrapText="1"/>
      <protection locked="0"/>
    </xf>
    <xf numFmtId="0" applyNumberFormat="1" fontId="4" applyFont="1" fillId="0" applyFill="1" borderId="15" applyBorder="1" xfId="127">
      <alignment horizontal="left" vertical="top" wrapText="1"/>
      <protection locked="0"/>
    </xf>
    <xf numFmtId="0" applyNumberFormat="1" fontId="4" applyFont="1" fillId="0" applyFill="1" borderId="0" applyBorder="1" xfId="127">
      <alignment horizontal="left" vertical="center" wrapText="1"/>
      <protection locked="0"/>
    </xf>
    <xf numFmtId="0" applyNumberFormat="1" fontId="82" applyFont="1" fillId="0" applyFill="1" borderId="0" applyBorder="1" xfId="127">
      <alignment horizontal="left" vertical="top" wrapText="1"/>
      <protection locked="0"/>
    </xf>
    <xf numFmtId="49" applyNumberFormat="1" fontId="83" applyFont="1" fillId="0" applyFill="1" borderId="0" applyBorder="1" xfId="127">
      <alignment horizontal="center" vertical="center" wrapText="1"/>
      <protection locked="0"/>
    </xf>
    <xf numFmtId="0" applyNumberFormat="1" fontId="6" applyFont="1" fillId="0" applyFill="1" borderId="0" applyBorder="1" xfId="127">
      <alignment horizontal="center" vertical="center" wrapText="1"/>
      <protection locked="0"/>
    </xf>
    <xf numFmtId="0" applyNumberFormat="1" fontId="6" applyFont="1" fillId="0" applyFill="1" borderId="0" applyBorder="1" xfId="127">
      <alignment horizontal="center" vertical="top"/>
      <protection locked="0"/>
    </xf>
    <xf numFmtId="0" applyNumberFormat="1" fontId="7" applyFont="1" fillId="0" applyFill="1" borderId="12" applyBorder="1" xfId="127">
      <alignment horizontal="left" vertical="center" wrapText="1"/>
      <protection locked="0"/>
    </xf>
    <xf numFmtId="0" applyNumberFormat="1" fontId="7" applyFont="1" fillId="0" applyFill="1" borderId="11" applyBorder="1" xfId="127">
      <alignment horizontal="left" vertical="center" wrapText="1"/>
      <protection locked="0"/>
    </xf>
    <xf numFmtId="0" applyNumberFormat="1" fontId="7" applyFont="1" fillId="0" applyFill="1" borderId="16" applyBorder="1" xfId="127">
      <alignment horizontal="left" vertical="center" wrapText="1"/>
      <protection locked="0"/>
    </xf>
    <xf numFmtId="0" applyNumberFormat="1" fontId="4" applyFont="1" fillId="0" applyFill="1" borderId="1" applyBorder="1" xfId="127">
      <alignment horizontal="center" vertical="top" wrapText="1"/>
      <protection locked="0"/>
    </xf>
    <xf numFmtId="0" applyNumberFormat="1" fontId="4" applyFont="1" fillId="0" applyFill="1" borderId="5" applyBorder="1" xfId="127">
      <alignment horizontal="center" vertical="top" wrapText="1"/>
      <protection locked="0"/>
    </xf>
    <xf numFmtId="0" applyNumberFormat="1" fontId="4" applyFont="1" fillId="0" applyFill="1" borderId="15" applyBorder="1" xfId="127">
      <alignment horizontal="center" vertical="top" wrapText="1"/>
      <protection locked="0"/>
    </xf>
    <xf numFmtId="49" applyNumberFormat="1" fontId="4" applyFont="1" fillId="0" applyFill="1" borderId="1" applyBorder="1" xfId="127">
      <alignment horizontal="center" vertical="top" wrapText="1"/>
      <protection locked="0"/>
    </xf>
    <xf numFmtId="0" applyNumberFormat="1" fontId="4" applyFont="1" fillId="0" applyFill="1" borderId="1" applyBorder="1" xfId="127">
      <alignment horizontal="center" vertical="top" wrapText="1"/>
      <protection locked="0"/>
    </xf>
    <xf numFmtId="0" applyNumberFormat="1" fontId="6" applyFont="1" fillId="0" applyFill="1" borderId="14" applyBorder="1" xfId="127">
      <alignment horizontal="center" vertical="center" wrapText="1"/>
      <protection locked="0"/>
    </xf>
    <xf numFmtId="0" applyNumberFormat="1" fontId="6" applyFont="1" fillId="0" applyFill="1" borderId="5" applyBorder="1" xfId="127">
      <alignment horizontal="center" vertical="center" wrapText="1"/>
      <protection locked="0"/>
    </xf>
    <xf numFmtId="0" applyNumberFormat="1" fontId="6" applyFont="1" fillId="0" applyFill="1" borderId="15" applyBorder="1" xfId="127">
      <alignment horizontal="center" vertical="center" wrapText="1"/>
      <protection locked="0"/>
    </xf>
    <xf numFmtId="0" applyNumberFormat="1" fontId="6" applyFont="1" fillId="0" applyFill="1" borderId="14" applyBorder="1" xfId="127">
      <alignment horizontal="left" vertical="center" wrapText="1"/>
      <protection locked="0"/>
    </xf>
    <xf numFmtId="0" applyNumberFormat="1" fontId="6" applyFont="1" fillId="0" applyFill="1" borderId="5" applyBorder="1" xfId="127">
      <alignment horizontal="left" vertical="center" wrapText="1"/>
      <protection locked="0"/>
    </xf>
    <xf numFmtId="0" applyNumberFormat="1" fontId="6" applyFont="1" fillId="0" applyFill="1" borderId="15" applyBorder="1" xfId="127">
      <alignment horizontal="left" vertical="center" wrapText="1"/>
      <protection locked="0"/>
    </xf>
    <xf numFmtId="0" applyNumberFormat="1" fontId="83" applyFont="1" fillId="0" applyFill="1" borderId="14" applyBorder="1" xfId="127">
      <alignment horizontal="left" vertical="center" wrapText="1"/>
      <protection locked="0"/>
    </xf>
    <xf numFmtId="0" applyNumberFormat="1" fontId="83" applyFont="1" fillId="0" applyFill="1" borderId="5" applyBorder="1" xfId="127">
      <alignment horizontal="left" vertical="center" wrapText="1"/>
      <protection locked="0"/>
    </xf>
    <xf numFmtId="0" applyNumberFormat="1" fontId="83" applyFont="1" fillId="0" applyFill="1" borderId="15" applyBorder="1" xfId="127">
      <alignment horizontal="left" vertical="center" wrapText="1"/>
      <protection locked="0"/>
    </xf>
    <xf numFmtId="0" applyNumberFormat="1" fontId="83" applyFont="1" fillId="0" applyFill="1" borderId="14" applyBorder="1" xfId="127">
      <alignment horizontal="center" vertical="center" wrapText="1"/>
      <protection locked="0"/>
    </xf>
    <xf numFmtId="0" applyNumberFormat="1" fontId="83" applyFont="1" fillId="0" applyFill="1" borderId="5" applyBorder="1" xfId="127">
      <alignment horizontal="center" vertical="center" wrapText="1"/>
      <protection locked="0"/>
    </xf>
    <xf numFmtId="0" applyNumberFormat="1" fontId="83" applyFont="1" fillId="0" applyFill="1" borderId="15" applyBorder="1" xfId="127">
      <alignment horizontal="center" vertical="center" wrapText="1"/>
      <protection locked="0"/>
    </xf>
    <xf numFmtId="0" applyNumberFormat="1" fontId="81" applyFont="1" fillId="0" applyFill="1" borderId="0" applyBorder="1" xfId="127">
      <alignment horizontal="center" wrapText="1"/>
      <protection locked="0"/>
    </xf>
    <xf numFmtId="0" applyNumberFormat="1" fontId="83" applyFont="1" fillId="0" applyFill="1" borderId="1" applyBorder="1" xfId="127">
      <alignment horizontal="center" vertical="top" wrapText="1"/>
      <protection locked="0"/>
    </xf>
    <xf numFmtId="0" applyNumberFormat="1" fontId="83" applyFont="1" fillId="0" applyFill="1" borderId="14" applyBorder="1" xfId="127">
      <alignment horizontal="left" vertical="top" wrapText="1"/>
      <protection locked="0"/>
    </xf>
    <xf numFmtId="0" applyNumberFormat="1" fontId="83" applyFont="1" fillId="0" applyFill="1" borderId="5" applyBorder="1" xfId="127">
      <alignment horizontal="left" vertical="top" wrapText="1"/>
      <protection locked="0"/>
    </xf>
    <xf numFmtId="0" applyNumberFormat="1" fontId="83" applyFont="1" fillId="0" applyFill="1" borderId="15" applyBorder="1" xfId="127">
      <alignment horizontal="left" vertical="top" wrapText="1"/>
      <protection locked="0"/>
    </xf>
    <xf numFmtId="0" applyNumberFormat="1" fontId="83" applyFont="1" fillId="0" applyFill="1" borderId="1" applyBorder="1" xfId="127">
      <alignment horizontal="left" vertical="top" wrapText="1"/>
      <protection locked="0"/>
    </xf>
    <xf numFmtId="49" applyNumberFormat="1" fontId="83" applyFont="1" fillId="0" applyFill="1" borderId="1" applyBorder="1" xfId="127">
      <alignment horizontal="center" vertical="top" wrapText="1"/>
      <protection locked="0"/>
    </xf>
    <xf numFmtId="0" applyNumberFormat="1" fontId="83" applyFont="1" fillId="0" applyFill="1" borderId="1" applyBorder="1" xfId="127">
      <alignment horizontal="center" vertical="center" wrapText="1"/>
      <protection locked="0"/>
    </xf>
    <xf numFmtId="0" applyNumberFormat="1" fontId="6" applyFont="1" fillId="0" applyFill="1" borderId="14" applyBorder="1" xfId="127">
      <alignment horizontal="left" vertical="top" wrapText="1"/>
      <protection locked="0"/>
    </xf>
    <xf numFmtId="0" applyNumberFormat="1" fontId="6" applyFont="1" fillId="0" applyFill="1" borderId="5" applyBorder="1" xfId="127">
      <alignment horizontal="left" vertical="top" wrapText="1"/>
      <protection locked="0"/>
    </xf>
    <xf numFmtId="0" applyNumberFormat="1" fontId="6" applyFont="1" fillId="0" applyFill="1" borderId="15" applyBorder="1" xfId="127">
      <alignment horizontal="left" vertical="top" wrapText="1"/>
      <protection locked="0"/>
    </xf>
    <xf numFmtId="0" applyNumberFormat="1" fontId="83" applyFont="1" fillId="0" applyFill="1" borderId="14" applyBorder="1" xfId="127">
      <alignment horizontal="center" vertical="top" wrapText="1"/>
      <protection locked="0"/>
    </xf>
    <xf numFmtId="0" applyNumberFormat="1" fontId="83" applyFont="1" fillId="0" applyFill="1" borderId="5" applyBorder="1" xfId="127">
      <alignment horizontal="center" vertical="top" wrapText="1"/>
      <protection locked="0"/>
    </xf>
    <xf numFmtId="0" applyNumberFormat="1" fontId="83" applyFont="1" fillId="0" applyFill="1" borderId="15" applyBorder="1" xfId="127">
      <alignment horizontal="center" vertical="top" wrapText="1"/>
      <protection locked="0"/>
    </xf>
    <xf numFmtId="0" applyNumberFormat="1" fontId="2" applyFont="1" fillId="0" applyFill="1" borderId="14" applyBorder="1" xfId="0">
      <alignment horizontal="left" vertical="center"/>
      <protection locked="0"/>
    </xf>
    <xf numFmtId="0" applyNumberFormat="1" fontId="2" applyFont="1" fillId="0" applyFill="1" borderId="5" applyBorder="1" xfId="0">
      <alignment horizontal="left" vertical="center"/>
      <protection locked="0"/>
    </xf>
    <xf numFmtId="0" applyNumberFormat="1" fontId="2" applyFont="1" fillId="0" applyFill="1" borderId="15" applyBorder="1" xfId="0">
      <alignment horizontal="left" vertical="center"/>
      <protection locked="0"/>
    </xf>
    <xf numFmtId="0" applyNumberFormat="1" fontId="76" applyFont="1" fillId="0" applyFill="1" borderId="1" applyBorder="1" xfId="127">
      <alignment horizontal="center" vertical="top" wrapText="1"/>
      <protection locked="0"/>
    </xf>
    <xf numFmtId="0" applyNumberFormat="1" fontId="83" applyFont="1" fillId="0" applyFill="1" borderId="0" applyBorder="1" xfId="127">
      <alignment horizontal="center" vertical="center" wrapText="1"/>
      <protection locked="0"/>
    </xf>
    <xf numFmtId="49" applyNumberFormat="1" fontId="76" applyFont="1" fillId="0" applyFill="1" borderId="1" applyBorder="1" xfId="127">
      <alignment horizontal="center" vertical="top" wrapText="1"/>
      <protection locked="0"/>
    </xf>
    <xf numFmtId="0" applyNumberFormat="1" fontId="7" applyFont="1" fillId="0" applyFill="1" borderId="0" applyBorder="1" xfId="127">
      <alignment wrapText="1"/>
      <protection locked="0"/>
    </xf>
    <xf numFmtId="0" applyNumberFormat="1" fontId="6" applyFont="1" fillId="0" applyFill="1" borderId="1" applyBorder="1" xfId="127">
      <alignment horizontal="left" vertical="top" wrapText="1"/>
      <protection locked="0"/>
    </xf>
    <xf numFmtId="0" applyNumberFormat="1" fontId="0" applyFont="1" fillId="0" applyFill="1" borderId="1" applyBorder="1" xfId="0">
      <protection locked="0"/>
    </xf>
    <xf numFmtId="49" applyNumberFormat="1" fontId="102" applyFont="1" fillId="0" applyFill="1" borderId="0" applyBorder="1" xfId="0">
      <protection locked="0"/>
    </xf>
    <xf numFmtId="49" applyNumberFormat="1" fontId="101" applyFont="1" fillId="6" applyFill="1" borderId="0" applyBorder="1" xfId="0">
      <alignment horizontal="center"/>
      <protection locked="0"/>
    </xf>
    <xf numFmtId="49" applyNumberFormat="1" fontId="100" applyFont="1" fillId="0" applyFill="1" borderId="0" applyBorder="1" xfId="0">
      <protection locked="0"/>
    </xf>
    <xf numFmtId="49" applyNumberFormat="1" fontId="76" applyFont="1" fillId="0" applyFill="1" borderId="0" applyBorder="1" xfId="127">
      <alignment horizontal="center"/>
      <protection locked="0"/>
    </xf>
    <xf numFmtId="49" applyNumberFormat="1" fontId="6" applyFont="1" fillId="7" applyFill="1" borderId="1" applyBorder="1" xfId="127">
      <alignment horizontal="center" vertical="center" wrapText="1"/>
      <protection locked="0"/>
    </xf>
    <xf numFmtId="49" applyNumberFormat="1" fontId="76" applyFont="1" fillId="0" applyFill="1" borderId="1" applyBorder="1" xfId="127">
      <alignment horizontal="center" vertical="center" wrapText="1"/>
    </xf>
    <xf numFmtId="49" applyNumberFormat="1" fontId="76" applyFont="1" fillId="0" applyFill="1" borderId="1" applyBorder="1" xfId="127">
      <alignment horizontal="center" vertical="center" wrapText="1"/>
      <protection locked="0"/>
    </xf>
    <xf numFmtId="49" applyNumberFormat="1" fontId="2" applyFont="1" fillId="2" applyFill="1" borderId="1" applyBorder="1" xfId="127">
      <alignment horizontal="center" vertical="center" wrapText="1"/>
      <protection locked="0"/>
    </xf>
    <xf numFmtId="49" applyNumberFormat="1" fontId="76" applyFont="1" fillId="0" applyFill="1" borderId="1" applyBorder="1" xfId="127">
      <alignment horizontal="left" vertical="center"/>
      <protection locked="0"/>
    </xf>
    <xf numFmtId="49" applyNumberFormat="1" fontId="76" applyFont="1" fillId="0" applyFill="1" borderId="0" applyBorder="1" xfId="127">
      <protection locked="0"/>
    </xf>
    <xf numFmtId="49" applyNumberFormat="1" fontId="6" applyFont="1" fillId="3" applyFill="1" borderId="1" applyBorder="1" xfId="127">
      <alignment horizontal="center" vertical="center" wrapText="1"/>
      <protection locked="0"/>
    </xf>
    <xf numFmtId="49" applyNumberFormat="1" fontId="76" applyFont="1" fillId="0" applyFill="1" borderId="1" applyBorder="1" xfId="127">
      <alignment vertical="center" wrapText="1"/>
    </xf>
    <xf numFmtId="49" applyNumberFormat="1" fontId="76" applyFont="1" fillId="0" applyFill="1" borderId="1" applyBorder="1" xfId="127">
      <alignment vertical="center" wrapText="1"/>
      <protection locked="0"/>
    </xf>
    <xf numFmtId="49" applyNumberFormat="1" fontId="1" applyFont="1" fillId="0" applyFill="1" borderId="0" applyBorder="1" xfId="127">
      <alignment horizontal="center"/>
      <protection locked="0"/>
    </xf>
    <xf numFmtId="49" applyNumberFormat="1" fontId="1" applyFont="1" fillId="0" applyFill="1" borderId="1" applyBorder="1" xfId="127">
      <alignment horizontal="center" vertical="center" wrapText="1"/>
    </xf>
    <xf numFmtId="49" applyNumberFormat="1" fontId="1" applyFont="1" fillId="0" applyFill="1" borderId="1" applyBorder="1" xfId="127">
      <alignment horizontal="center" vertical="center" wrapText="1"/>
      <protection locked="0"/>
    </xf>
    <xf numFmtId="49" applyNumberFormat="1" fontId="6" applyFont="1" fillId="7" applyFill="1" borderId="2" applyBorder="1" xfId="127">
      <alignment horizontal="center" vertical="center" wrapText="1"/>
      <protection locked="0"/>
    </xf>
  </cellXfs>
  <cellStyles count="201">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5" xfId="129"/>
    <cellStyle name="oft Excel]_x000d__x000a_Comment=open=/f ‚ðw’è‚·‚é‚ÆAƒ†[ƒU[’è‹`ŠÖ”‚ðŠÖ”“\‚è•t‚¯‚Ìˆê——‚É“o˜^‚·‚é‚±‚Æ‚ª‚Å‚«‚Ü‚·B_x000d__x000a_Maximized" xfId="130"/>
    <cellStyle name="per.style" xfId="131"/>
    <cellStyle name="Percent [0]" xfId="132"/>
    <cellStyle name="Percent [00]" xfId="133"/>
    <cellStyle name="Percent [2]" xfId="134"/>
    <cellStyle name="PERCENTAGE" xfId="135"/>
    <cellStyle name="PrePop Currency (0)" xfId="136"/>
    <cellStyle name="PrePop Currency (2)" xfId="137"/>
    <cellStyle name="PrePop Units (0)" xfId="138"/>
    <cellStyle name="PrePop Units (1)" xfId="139"/>
    <cellStyle name="PrePop Units (2)" xfId="140"/>
    <cellStyle name="pricing" xfId="141"/>
    <cellStyle name="PSChar" xfId="142"/>
    <cellStyle name="PSHeading" xfId="143"/>
    <cellStyle name="Quantity" xfId="144"/>
    <cellStyle name="regstoresfromspecstores" xfId="145"/>
    <cellStyle name="RevList" xfId="146"/>
    <cellStyle name="SHADEDSTORES" xfId="147"/>
    <cellStyle name="Sheet Title" xfId="148"/>
    <cellStyle name="specstores" xfId="149"/>
    <cellStyle name="Standard_Anpassen der Amortisation" xfId="150"/>
    <cellStyle name="Style 1" xfId="151"/>
    <cellStyle name="Subtotal" xfId="152"/>
    <cellStyle name="Text Indent A" xfId="153"/>
    <cellStyle name="Text Indent B" xfId="154"/>
    <cellStyle name="Text Indent C" xfId="155"/>
    <cellStyle name="Thanh" xfId="156"/>
    <cellStyle name="þ_x001d_ð¤_x000c_¯þ_x0014__x000d_¨þU_x0001_À_x0004_ _x0015__x000f__x0001__x0001_" xfId="157"/>
    <cellStyle name="þ_x001d_ðK_x000c_Fý_x001b__x000d_9ýU_x0001_Ð_x0008_¦)_x0007__x0001__x0001_" xfId="158"/>
    <cellStyle name="trang" xfId="159"/>
    <cellStyle name="Trang 1" xfId="160"/>
    <cellStyle name="vnbo" xfId="161"/>
    <cellStyle name="vnhead1" xfId="162"/>
    <cellStyle name="vnhead2" xfId="163"/>
    <cellStyle name="vnhead3" xfId="164"/>
    <cellStyle name="vnhead4" xfId="165"/>
    <cellStyle name="vntxt1" xfId="166"/>
    <cellStyle name="vntxt2" xfId="167"/>
    <cellStyle name="Währung [0]_Compiling Utility Macros" xfId="168"/>
    <cellStyle name="Währung_Compiling Utility Macros" xfId="169"/>
    <cellStyle name="xuan" xfId="170"/>
    <cellStyle name=" [0.00]_ Att. 1- Cover" xfId="171"/>
    <cellStyle name="_ Att. 1- Cover" xfId="172"/>
    <cellStyle name="?_ Att. 1- Cover" xfId="173"/>
    <cellStyle name="똿뗦먛귟 [0.00]_PRODUCT DETAIL Q1" xfId="174"/>
    <cellStyle name="똿뗦먛귟_PRODUCT DETAIL Q1" xfId="175"/>
    <cellStyle name="믅됞 [0.00]_PRODUCT DETAIL Q1" xfId="176"/>
    <cellStyle name="믅됞_PRODUCT DETAIL Q1" xfId="177"/>
    <cellStyle name="백분율_95" xfId="178"/>
    <cellStyle name="뷭?_BOOKSHIP" xfId="179"/>
    <cellStyle name="콤마 [ - 유형1" xfId="180"/>
    <cellStyle name="콤마 [ - 유형2" xfId="181"/>
    <cellStyle name="콤마 [ - 유형3" xfId="182"/>
    <cellStyle name="콤마 [ - 유형4" xfId="183"/>
    <cellStyle name="콤마 [ - 유형5" xfId="184"/>
    <cellStyle name="콤마 [ - 유형6" xfId="185"/>
    <cellStyle name="콤마 [ - 유형7" xfId="186"/>
    <cellStyle name="콤마 [ - 유형8" xfId="187"/>
    <cellStyle name="콤마 [0]_0004 MECH COST  " xfId="188"/>
    <cellStyle name="콤마_0004 MECH COST  " xfId="189"/>
    <cellStyle name="통화 [0]_1202" xfId="190"/>
    <cellStyle name="통화_1202" xfId="191"/>
    <cellStyle name="표준_(정보부문)월별인원계획" xfId="192"/>
    <cellStyle name="一般_00Q3902REV.1" xfId="193"/>
    <cellStyle name="千分位[0]_00Q3902REV.1" xfId="194"/>
    <cellStyle name="千分位_00Q3902REV.1" xfId="195"/>
    <cellStyle name="桁区切り_工費" xfId="196"/>
    <cellStyle name="標準_工費" xfId="197"/>
    <cellStyle name="貨幣 [0]_00Q3902REV.1" xfId="198"/>
    <cellStyle name="貨幣[0]_BRE" xfId="199"/>
    <cellStyle name="貨幣_00Q3902REV.1" xfId="200"/>
  </cellStyles>
  <dxfs count="131">
    <dxf>
      <protection locked="0"/>
    </dxf>
    <dxf>
      <protection locked="0"/>
    </dxf>
    <dxf>
      <protection locked="0"/>
    </dxf>
    <dxf>
      <protection locked="0"/>
    </dxf>
    <dxf>
      <protection locked="0"/>
    </dxf>
    <dxf>
      <protection locked="0"/>
    </dxf>
    <dxf>
      <protection locked="0"/>
    </dxf>
    <dxf>
      <protection locked="0"/>
    </dxf>
    <dxf>
      <protection locked="0"/>
    </dxf>
    <dxf>
      <protection locked="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5.xml"/><Relationship Id="rId30"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8\Phong%20Kiem%20dinh\1.%20Kiem%20dinh\Soft\V11\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pivotCache/_rels/pivotCacheDefinition1.xml.rels><?xml version="1.0" encoding="UTF-8" standalone="yes"?><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ll" refreshedDate="43550.528434027779" createdVersion="6" refreshedVersion="6" minRefreshableVersion="3" recordCount="331">
  <cacheSource type="worksheet">
    <worksheetSource ref="A2:D333" sheet="Equipment"/>
  </cacheSource>
  <cacheFields count="4">
    <cacheField name="Equipment" numFmtId="0">
      <sharedItems containsBlank="1" count="42">
        <m/>
        <s v="ERICSSON RBS 2111"/>
        <s v="ERICSSON RBS 2116"/>
        <s v="ERICSSON RBS 2202"/>
        <s v="ERICSSON RBS 2206"/>
        <s v="ERICSSON RBS 2216"/>
        <s v="ERICSSON RBS 6202"/>
        <s v="ERICSSON RBS 6601"/>
        <s v="ALCATEL EVOLIUM A9100"/>
        <s v="HUAWEI BTS3012"/>
        <s v="HUAWEI BTS312"/>
        <s v="HUAWEI BTS3900"/>
        <s v="HUAWEI BTS3900A"/>
        <s v="HUAWEI DBS3900"/>
        <s v="MOTOROLA HORIZON II MACRO"/>
        <s v="MOTOROLA HORIZON MACRO"/>
        <s v="ZTE ZXSDR BS8700"/>
        <s v="ZTE ZXSDR BS8800"/>
        <s v="ZTE ZXSDR BS8900A"/>
        <s v="NOKIA Flexi EDGE BTS"/>
        <s v="NSN FLEXI MULTIRADIO EDGE BTS"/>
        <s v="NSN FLEXI MULTIRADIO 10"/>
        <s v="FWP-7416000MOD"/>
        <s v="FWP-9416000MOD"/>
        <s v="ERICSSON RBS 3206"/>
        <s v="ERICSSON RBS 3216"/>
        <s v="ZTE ZXSDR BS8800A"/>
        <s v="ERICSSON RBS 3418"/>
        <s v="NOKIA Flexi WCDMA BTS"/>
        <s v="NSN FLEXI MULTIRADIO WCDMA BTS"/>
        <s v="ALCATEL LUCENT D2U"/>
        <s v="ERICSSON RBS 2206 &amp; ERICSSON RBS 2216"/>
        <s v="ERICSSON RBS 2216 &amp; ERICSSON RBS 2206"/>
        <s v="ERICSSON RBS 2202 &amp; ERICSSON RBS 2116"/>
        <s v="ERICSSON RBS 2202 &amp; ERICSSON RBS 2206"/>
        <s v="NSN FLEXI MULTIRADIO EDGE BTS &amp; NSN FLEXI MULTIRADIO WCDMA BTS"/>
        <s v="ERICSSON RBS 2111 &amp; ERICSSON RBS 3206"/>
        <s v="ERICSSON RBS 2116 &amp; ERICSSON RBS 6601"/>
        <s v="ERICSSON RBS 2116 &amp; ERICSSON RBS 3418"/>
        <s v="ERICSSON RBS 2216 &amp; ERICSSON RBS 3418"/>
        <s v="NSN FLEXI MULTIRADIO LTE BTS"/>
        <s v="NSN FLEXI MULTIRADIO AIRSCALE"/>
      </sharedItems>
    </cacheField>
    <cacheField name="Công suất phát danh định/ máy phát" numFmtId="0">
      <sharedItems/>
    </cacheField>
    <cacheField name="Band" numFmtId="0">
      <sharedItems containsBlank="1" count="10">
        <s v="MHz"/>
        <s v="G900"/>
        <m/>
        <s v="G1800"/>
        <s v="U2100"/>
        <s v="U900"/>
        <s v="G900 &amp; G1800"/>
        <s v="G900 &amp; U2100"/>
        <s v="G1800 &amp; U2100"/>
        <s v="L1800"/>
      </sharedItems>
    </cacheField>
    <cacheField name="TXs" numFmtId="0">
      <sharedItems containsBlank="1" containsMixedTypes="1" containsNumber="1" containsInteger="1" minValue="1" maxValue="12" count="18">
        <m/>
        <n v="2"/>
        <n v="4"/>
        <n v="1"/>
        <n v="3"/>
        <n v="6"/>
        <n v="8"/>
        <s v="4 (1/3)"/>
        <s v="1 (1/3)"/>
        <s v="6 (2&amp;4)"/>
        <s v="6 (4&amp;2)"/>
        <s v="5 (4&amp;1)"/>
        <s v="5 (1&amp;4)"/>
        <s v="7 (4&amp;3)"/>
        <s v="7 (3&amp;4)"/>
        <n v="10"/>
        <n v="12"/>
        <s v="6 (3&amp;3)"/>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31">
  <r>
    <x v="0"/>
    <s v="W"/>
    <x v="0"/>
    <x v="0"/>
  </r>
  <r>
    <x v="1"/>
    <s v="NA"/>
    <x v="1"/>
    <x v="1"/>
  </r>
  <r>
    <x v="1"/>
    <s v="NA"/>
    <x v="1"/>
    <x v="2"/>
  </r>
  <r>
    <x v="2"/>
    <s v="NA"/>
    <x v="1"/>
    <x v="1"/>
  </r>
  <r>
    <x v="2"/>
    <s v="NA"/>
    <x v="1"/>
    <x v="2"/>
  </r>
  <r>
    <x v="3"/>
    <s v="NA"/>
    <x v="1"/>
    <x v="3"/>
  </r>
  <r>
    <x v="3"/>
    <s v="NA"/>
    <x v="1"/>
    <x v="1"/>
  </r>
  <r>
    <x v="3"/>
    <s v="NA"/>
    <x v="1"/>
    <x v="4"/>
  </r>
  <r>
    <x v="3"/>
    <s v="NA"/>
    <x v="1"/>
    <x v="2"/>
  </r>
  <r>
    <x v="4"/>
    <s v="NA"/>
    <x v="1"/>
    <x v="1"/>
  </r>
  <r>
    <x v="4"/>
    <s v="NA"/>
    <x v="1"/>
    <x v="2"/>
  </r>
  <r>
    <x v="5"/>
    <s v="NA"/>
    <x v="1"/>
    <x v="1"/>
  </r>
  <r>
    <x v="5"/>
    <s v="NA"/>
    <x v="1"/>
    <x v="4"/>
  </r>
  <r>
    <x v="5"/>
    <s v="NA"/>
    <x v="1"/>
    <x v="2"/>
  </r>
  <r>
    <x v="6"/>
    <s v="NA"/>
    <x v="1"/>
    <x v="3"/>
  </r>
  <r>
    <x v="6"/>
    <s v="NA"/>
    <x v="1"/>
    <x v="1"/>
  </r>
  <r>
    <x v="6"/>
    <s v="NA"/>
    <x v="1"/>
    <x v="4"/>
  </r>
  <r>
    <x v="6"/>
    <s v="NA"/>
    <x v="1"/>
    <x v="2"/>
  </r>
  <r>
    <x v="7"/>
    <s v="NA"/>
    <x v="1"/>
    <x v="1"/>
  </r>
  <r>
    <x v="7"/>
    <s v="NA"/>
    <x v="1"/>
    <x v="2"/>
  </r>
  <r>
    <x v="7"/>
    <s v="NA"/>
    <x v="1"/>
    <x v="5"/>
  </r>
  <r>
    <x v="8"/>
    <s v="NA"/>
    <x v="1"/>
    <x v="3"/>
  </r>
  <r>
    <x v="8"/>
    <s v="NA"/>
    <x v="1"/>
    <x v="1"/>
  </r>
  <r>
    <x v="8"/>
    <s v="NA"/>
    <x v="1"/>
    <x v="4"/>
  </r>
  <r>
    <x v="8"/>
    <s v="NA"/>
    <x v="1"/>
    <x v="2"/>
  </r>
  <r>
    <x v="9"/>
    <s v="NA"/>
    <x v="1"/>
    <x v="1"/>
  </r>
  <r>
    <x v="9"/>
    <s v="NA"/>
    <x v="1"/>
    <x v="2"/>
  </r>
  <r>
    <x v="10"/>
    <s v="NA"/>
    <x v="1"/>
    <x v="3"/>
  </r>
  <r>
    <x v="10"/>
    <s v="NA"/>
    <x v="1"/>
    <x v="1"/>
  </r>
  <r>
    <x v="10"/>
    <s v="NA"/>
    <x v="1"/>
    <x v="4"/>
  </r>
  <r>
    <x v="10"/>
    <s v="NA"/>
    <x v="1"/>
    <x v="2"/>
  </r>
  <r>
    <x v="11"/>
    <s v="NA"/>
    <x v="1"/>
    <x v="1"/>
  </r>
  <r>
    <x v="11"/>
    <s v="NA"/>
    <x v="1"/>
    <x v="4"/>
  </r>
  <r>
    <x v="11"/>
    <s v="NA"/>
    <x v="1"/>
    <x v="2"/>
  </r>
  <r>
    <x v="11"/>
    <s v="NA"/>
    <x v="1"/>
    <x v="5"/>
  </r>
  <r>
    <x v="12"/>
    <s v="NA"/>
    <x v="1"/>
    <x v="3"/>
  </r>
  <r>
    <x v="12"/>
    <s v="NA"/>
    <x v="1"/>
    <x v="1"/>
  </r>
  <r>
    <x v="12"/>
    <s v="NA"/>
    <x v="1"/>
    <x v="4"/>
  </r>
  <r>
    <x v="12"/>
    <s v="NA"/>
    <x v="1"/>
    <x v="2"/>
  </r>
  <r>
    <x v="12"/>
    <s v="NA"/>
    <x v="1"/>
    <x v="5"/>
  </r>
  <r>
    <x v="13"/>
    <s v="NA"/>
    <x v="1"/>
    <x v="1"/>
  </r>
  <r>
    <x v="13"/>
    <s v="NA"/>
    <x v="1"/>
    <x v="2"/>
  </r>
  <r>
    <x v="14"/>
    <s v="NA"/>
    <x v="1"/>
    <x v="1"/>
  </r>
  <r>
    <x v="14"/>
    <s v="NA"/>
    <x v="1"/>
    <x v="4"/>
  </r>
  <r>
    <x v="14"/>
    <s v="NA"/>
    <x v="1"/>
    <x v="2"/>
  </r>
  <r>
    <x v="15"/>
    <s v="NA"/>
    <x v="1"/>
    <x v="3"/>
  </r>
  <r>
    <x v="15"/>
    <s v="NA"/>
    <x v="1"/>
    <x v="1"/>
  </r>
  <r>
    <x v="15"/>
    <s v="NA"/>
    <x v="1"/>
    <x v="4"/>
  </r>
  <r>
    <x v="15"/>
    <s v="NA"/>
    <x v="1"/>
    <x v="2"/>
  </r>
  <r>
    <x v="16"/>
    <s v="NA"/>
    <x v="1"/>
    <x v="3"/>
  </r>
  <r>
    <x v="16"/>
    <s v="NA"/>
    <x v="1"/>
    <x v="1"/>
  </r>
  <r>
    <x v="16"/>
    <s v="NA"/>
    <x v="1"/>
    <x v="2"/>
  </r>
  <r>
    <x v="17"/>
    <s v="NA"/>
    <x v="1"/>
    <x v="3"/>
  </r>
  <r>
    <x v="17"/>
    <s v="NA"/>
    <x v="1"/>
    <x v="1"/>
  </r>
  <r>
    <x v="17"/>
    <s v="NA"/>
    <x v="1"/>
    <x v="2"/>
  </r>
  <r>
    <x v="18"/>
    <s v="NA"/>
    <x v="1"/>
    <x v="3"/>
  </r>
  <r>
    <x v="18"/>
    <s v="NA"/>
    <x v="1"/>
    <x v="1"/>
  </r>
  <r>
    <x v="18"/>
    <s v="NA"/>
    <x v="1"/>
    <x v="2"/>
  </r>
  <r>
    <x v="19"/>
    <s v="NA"/>
    <x v="1"/>
    <x v="1"/>
  </r>
  <r>
    <x v="19"/>
    <s v="NA"/>
    <x v="1"/>
    <x v="4"/>
  </r>
  <r>
    <x v="19"/>
    <s v="NA"/>
    <x v="1"/>
    <x v="2"/>
  </r>
  <r>
    <x v="20"/>
    <s v="NA"/>
    <x v="1"/>
    <x v="1"/>
  </r>
  <r>
    <x v="20"/>
    <s v="NA"/>
    <x v="1"/>
    <x v="2"/>
  </r>
  <r>
    <x v="20"/>
    <s v="NA"/>
    <x v="1"/>
    <x v="5"/>
  </r>
  <r>
    <x v="21"/>
    <s v="NA"/>
    <x v="1"/>
    <x v="1"/>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1"/>
    <s v="NA"/>
    <x v="3"/>
    <x v="1"/>
  </r>
  <r>
    <x v="1"/>
    <s v="NA"/>
    <x v="3"/>
    <x v="2"/>
  </r>
  <r>
    <x v="2"/>
    <s v="NA"/>
    <x v="3"/>
    <x v="1"/>
  </r>
  <r>
    <x v="2"/>
    <s v="NA"/>
    <x v="3"/>
    <x v="2"/>
  </r>
  <r>
    <x v="3"/>
    <s v="NA"/>
    <x v="3"/>
    <x v="3"/>
  </r>
  <r>
    <x v="3"/>
    <s v="NA"/>
    <x v="3"/>
    <x v="1"/>
  </r>
  <r>
    <x v="3"/>
    <s v="NA"/>
    <x v="3"/>
    <x v="4"/>
  </r>
  <r>
    <x v="3"/>
    <s v="NA"/>
    <x v="3"/>
    <x v="2"/>
  </r>
  <r>
    <x v="4"/>
    <s v="NA"/>
    <x v="3"/>
    <x v="1"/>
  </r>
  <r>
    <x v="4"/>
    <s v="NA"/>
    <x v="3"/>
    <x v="2"/>
  </r>
  <r>
    <x v="5"/>
    <s v="NA"/>
    <x v="3"/>
    <x v="1"/>
  </r>
  <r>
    <x v="5"/>
    <s v="NA"/>
    <x v="3"/>
    <x v="4"/>
  </r>
  <r>
    <x v="5"/>
    <s v="NA"/>
    <x v="3"/>
    <x v="2"/>
  </r>
  <r>
    <x v="6"/>
    <s v="NA"/>
    <x v="3"/>
    <x v="3"/>
  </r>
  <r>
    <x v="6"/>
    <s v="NA"/>
    <x v="3"/>
    <x v="1"/>
  </r>
  <r>
    <x v="6"/>
    <s v="NA"/>
    <x v="3"/>
    <x v="4"/>
  </r>
  <r>
    <x v="6"/>
    <s v="NA"/>
    <x v="3"/>
    <x v="2"/>
  </r>
  <r>
    <x v="8"/>
    <s v="NA"/>
    <x v="3"/>
    <x v="3"/>
  </r>
  <r>
    <x v="8"/>
    <s v="NA"/>
    <x v="3"/>
    <x v="1"/>
  </r>
  <r>
    <x v="8"/>
    <s v="NA"/>
    <x v="3"/>
    <x v="4"/>
  </r>
  <r>
    <x v="8"/>
    <s v="NA"/>
    <x v="3"/>
    <x v="2"/>
  </r>
  <r>
    <x v="9"/>
    <s v="NA"/>
    <x v="3"/>
    <x v="1"/>
  </r>
  <r>
    <x v="9"/>
    <s v="NA"/>
    <x v="3"/>
    <x v="2"/>
  </r>
  <r>
    <x v="10"/>
    <s v="NA"/>
    <x v="3"/>
    <x v="3"/>
  </r>
  <r>
    <x v="10"/>
    <s v="NA"/>
    <x v="3"/>
    <x v="1"/>
  </r>
  <r>
    <x v="10"/>
    <s v="NA"/>
    <x v="3"/>
    <x v="4"/>
  </r>
  <r>
    <x v="10"/>
    <s v="NA"/>
    <x v="3"/>
    <x v="2"/>
  </r>
  <r>
    <x v="11"/>
    <s v="NA"/>
    <x v="3"/>
    <x v="3"/>
  </r>
  <r>
    <x v="11"/>
    <s v="NA"/>
    <x v="3"/>
    <x v="1"/>
  </r>
  <r>
    <x v="11"/>
    <s v="NA"/>
    <x v="3"/>
    <x v="2"/>
  </r>
  <r>
    <x v="12"/>
    <s v="NA"/>
    <x v="3"/>
    <x v="3"/>
  </r>
  <r>
    <x v="12"/>
    <s v="NA"/>
    <x v="3"/>
    <x v="1"/>
  </r>
  <r>
    <x v="12"/>
    <s v="NA"/>
    <x v="3"/>
    <x v="2"/>
  </r>
  <r>
    <x v="13"/>
    <s v="NA"/>
    <x v="3"/>
    <x v="3"/>
  </r>
  <r>
    <x v="13"/>
    <s v="NA"/>
    <x v="3"/>
    <x v="1"/>
  </r>
  <r>
    <x v="13"/>
    <s v="NA"/>
    <x v="3"/>
    <x v="2"/>
  </r>
  <r>
    <x v="14"/>
    <s v="NA"/>
    <x v="3"/>
    <x v="1"/>
  </r>
  <r>
    <x v="14"/>
    <s v="NA"/>
    <x v="3"/>
    <x v="4"/>
  </r>
  <r>
    <x v="14"/>
    <s v="NA"/>
    <x v="3"/>
    <x v="2"/>
  </r>
  <r>
    <x v="15"/>
    <s v="NA"/>
    <x v="3"/>
    <x v="3"/>
  </r>
  <r>
    <x v="15"/>
    <s v="NA"/>
    <x v="3"/>
    <x v="1"/>
  </r>
  <r>
    <x v="15"/>
    <s v="NA"/>
    <x v="3"/>
    <x v="4"/>
  </r>
  <r>
    <x v="15"/>
    <s v="NA"/>
    <x v="3"/>
    <x v="2"/>
  </r>
  <r>
    <x v="16"/>
    <s v="NA"/>
    <x v="3"/>
    <x v="1"/>
  </r>
  <r>
    <x v="16"/>
    <s v="NA"/>
    <x v="3"/>
    <x v="2"/>
  </r>
  <r>
    <x v="17"/>
    <s v="NA"/>
    <x v="3"/>
    <x v="1"/>
  </r>
  <r>
    <x v="17"/>
    <s v="NA"/>
    <x v="3"/>
    <x v="2"/>
  </r>
  <r>
    <x v="18"/>
    <s v="NA"/>
    <x v="3"/>
    <x v="1"/>
  </r>
  <r>
    <x v="18"/>
    <s v="NA"/>
    <x v="3"/>
    <x v="2"/>
  </r>
  <r>
    <x v="19"/>
    <s v="NA"/>
    <x v="3"/>
    <x v="1"/>
  </r>
  <r>
    <x v="19"/>
    <s v="NA"/>
    <x v="3"/>
    <x v="4"/>
  </r>
  <r>
    <x v="19"/>
    <s v="NA"/>
    <x v="3"/>
    <x v="2"/>
  </r>
  <r>
    <x v="20"/>
    <s v="NA"/>
    <x v="3"/>
    <x v="1"/>
  </r>
  <r>
    <x v="20"/>
    <s v="NA"/>
    <x v="3"/>
    <x v="2"/>
  </r>
  <r>
    <x v="20"/>
    <s v="NA"/>
    <x v="3"/>
    <x v="5"/>
  </r>
  <r>
    <x v="20"/>
    <s v="NA"/>
    <x v="3"/>
    <x v="6"/>
  </r>
  <r>
    <x v="22"/>
    <s v="NA"/>
    <x v="3"/>
    <x v="7"/>
  </r>
  <r>
    <x v="22"/>
    <s v="NA"/>
    <x v="3"/>
    <x v="2"/>
  </r>
  <r>
    <x v="7"/>
    <s v="NA"/>
    <x v="3"/>
    <x v="1"/>
  </r>
  <r>
    <x v="7"/>
    <s v="NA"/>
    <x v="3"/>
    <x v="2"/>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23"/>
    <s v="NA"/>
    <x v="4"/>
    <x v="8"/>
  </r>
  <r>
    <x v="23"/>
    <s v="NA"/>
    <x v="4"/>
    <x v="3"/>
  </r>
  <r>
    <x v="24"/>
    <s v="NA"/>
    <x v="4"/>
    <x v="3"/>
  </r>
  <r>
    <x v="24"/>
    <s v="NA"/>
    <x v="4"/>
    <x v="1"/>
  </r>
  <r>
    <x v="24"/>
    <s v="NA"/>
    <x v="4"/>
    <x v="4"/>
  </r>
  <r>
    <x v="25"/>
    <s v="NA"/>
    <x v="4"/>
    <x v="3"/>
  </r>
  <r>
    <x v="25"/>
    <s v="NA"/>
    <x v="4"/>
    <x v="1"/>
  </r>
  <r>
    <x v="16"/>
    <s v="NA"/>
    <x v="4"/>
    <x v="3"/>
  </r>
  <r>
    <x v="16"/>
    <s v="NA"/>
    <x v="4"/>
    <x v="1"/>
  </r>
  <r>
    <x v="26"/>
    <s v="NA"/>
    <x v="4"/>
    <x v="4"/>
  </r>
  <r>
    <x v="27"/>
    <s v="NA"/>
    <x v="4"/>
    <x v="3"/>
  </r>
  <r>
    <x v="27"/>
    <s v="NA"/>
    <x v="4"/>
    <x v="1"/>
  </r>
  <r>
    <x v="27"/>
    <s v="NA"/>
    <x v="4"/>
    <x v="4"/>
  </r>
  <r>
    <x v="7"/>
    <s v="NA"/>
    <x v="4"/>
    <x v="3"/>
  </r>
  <r>
    <x v="7"/>
    <s v="NA"/>
    <x v="4"/>
    <x v="1"/>
  </r>
  <r>
    <x v="7"/>
    <s v="NA"/>
    <x v="4"/>
    <x v="4"/>
  </r>
  <r>
    <x v="6"/>
    <s v="NA"/>
    <x v="4"/>
    <x v="3"/>
  </r>
  <r>
    <x v="6"/>
    <s v="NA"/>
    <x v="4"/>
    <x v="1"/>
  </r>
  <r>
    <x v="6"/>
    <s v="NA"/>
    <x v="4"/>
    <x v="4"/>
  </r>
  <r>
    <x v="11"/>
    <s v="NA"/>
    <x v="4"/>
    <x v="3"/>
  </r>
  <r>
    <x v="11"/>
    <s v="NA"/>
    <x v="4"/>
    <x v="1"/>
  </r>
  <r>
    <x v="13"/>
    <s v="NA"/>
    <x v="4"/>
    <x v="3"/>
  </r>
  <r>
    <x v="13"/>
    <s v="NA"/>
    <x v="4"/>
    <x v="1"/>
  </r>
  <r>
    <x v="28"/>
    <s v="NA"/>
    <x v="4"/>
    <x v="3"/>
  </r>
  <r>
    <x v="28"/>
    <s v="NA"/>
    <x v="4"/>
    <x v="1"/>
  </r>
  <r>
    <x v="29"/>
    <s v="NA"/>
    <x v="4"/>
    <x v="3"/>
  </r>
  <r>
    <x v="29"/>
    <s v="NA"/>
    <x v="4"/>
    <x v="1"/>
  </r>
  <r>
    <x v="29"/>
    <s v="NA"/>
    <x v="4"/>
    <x v="1"/>
  </r>
  <r>
    <x v="21"/>
    <s v="NA"/>
    <x v="4"/>
    <x v="3"/>
  </r>
  <r>
    <x v="21"/>
    <s v="NA"/>
    <x v="4"/>
    <x v="1"/>
  </r>
  <r>
    <x v="21"/>
    <s v="NA"/>
    <x v="4"/>
    <x v="4"/>
  </r>
  <r>
    <x v="21"/>
    <s v="NA"/>
    <x v="5"/>
    <x v="3"/>
  </r>
  <r>
    <x v="21"/>
    <s v="NA"/>
    <x v="5"/>
    <x v="1"/>
  </r>
  <r>
    <x v="30"/>
    <s v="NA"/>
    <x v="4"/>
    <x v="1"/>
  </r>
  <r>
    <x v="7"/>
    <s v="NA"/>
    <x v="4"/>
    <x v="3"/>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4"/>
    <s v="NA"/>
    <x v="6"/>
    <x v="2"/>
  </r>
  <r>
    <x v="4"/>
    <s v="NA"/>
    <x v="6"/>
    <x v="9"/>
  </r>
  <r>
    <x v="4"/>
    <s v="NA"/>
    <x v="6"/>
    <x v="10"/>
  </r>
  <r>
    <x v="4"/>
    <s v="NA"/>
    <x v="6"/>
    <x v="6"/>
  </r>
  <r>
    <x v="31"/>
    <s v="NA"/>
    <x v="6"/>
    <x v="2"/>
  </r>
  <r>
    <x v="31"/>
    <s v="NA"/>
    <x v="6"/>
    <x v="9"/>
  </r>
  <r>
    <x v="31"/>
    <s v="NA"/>
    <x v="6"/>
    <x v="10"/>
  </r>
  <r>
    <x v="31"/>
    <s v="NA"/>
    <x v="6"/>
    <x v="6"/>
  </r>
  <r>
    <x v="5"/>
    <s v="NA"/>
    <x v="6"/>
    <x v="2"/>
  </r>
  <r>
    <x v="5"/>
    <s v="NA"/>
    <x v="6"/>
    <x v="9"/>
  </r>
  <r>
    <x v="5"/>
    <s v="NA"/>
    <x v="6"/>
    <x v="10"/>
  </r>
  <r>
    <x v="5"/>
    <s v="NA"/>
    <x v="6"/>
    <x v="6"/>
  </r>
  <r>
    <x v="32"/>
    <s v="NA"/>
    <x v="6"/>
    <x v="2"/>
  </r>
  <r>
    <x v="32"/>
    <s v="NA"/>
    <x v="6"/>
    <x v="9"/>
  </r>
  <r>
    <x v="32"/>
    <s v="NA"/>
    <x v="6"/>
    <x v="10"/>
  </r>
  <r>
    <x v="32"/>
    <s v="NA"/>
    <x v="6"/>
    <x v="6"/>
  </r>
  <r>
    <x v="3"/>
    <s v="NA"/>
    <x v="6"/>
    <x v="2"/>
  </r>
  <r>
    <x v="3"/>
    <s v="NA"/>
    <x v="6"/>
    <x v="9"/>
  </r>
  <r>
    <x v="3"/>
    <s v="NA"/>
    <x v="6"/>
    <x v="10"/>
  </r>
  <r>
    <x v="3"/>
    <s v="NA"/>
    <x v="6"/>
    <x v="6"/>
  </r>
  <r>
    <x v="33"/>
    <s v="NA"/>
    <x v="6"/>
    <x v="2"/>
  </r>
  <r>
    <x v="33"/>
    <s v="NA"/>
    <x v="6"/>
    <x v="9"/>
  </r>
  <r>
    <x v="33"/>
    <s v="NA"/>
    <x v="6"/>
    <x v="10"/>
  </r>
  <r>
    <x v="33"/>
    <s v="NA"/>
    <x v="6"/>
    <x v="6"/>
  </r>
  <r>
    <x v="34"/>
    <s v="NA"/>
    <x v="6"/>
    <x v="2"/>
  </r>
  <r>
    <x v="34"/>
    <s v="NA"/>
    <x v="6"/>
    <x v="9"/>
  </r>
  <r>
    <x v="34"/>
    <s v="NA"/>
    <x v="6"/>
    <x v="10"/>
  </r>
  <r>
    <x v="34"/>
    <s v="NA"/>
    <x v="6"/>
    <x v="6"/>
  </r>
  <r>
    <x v="6"/>
    <s v="NA"/>
    <x v="6"/>
    <x v="2"/>
  </r>
  <r>
    <x v="6"/>
    <s v="NA"/>
    <x v="6"/>
    <x v="9"/>
  </r>
  <r>
    <x v="6"/>
    <s v="NA"/>
    <x v="6"/>
    <x v="10"/>
  </r>
  <r>
    <x v="6"/>
    <s v="NA"/>
    <x v="6"/>
    <x v="6"/>
  </r>
  <r>
    <x v="16"/>
    <s v="NA"/>
    <x v="6"/>
    <x v="2"/>
  </r>
  <r>
    <x v="16"/>
    <s v="NA"/>
    <x v="6"/>
    <x v="9"/>
  </r>
  <r>
    <x v="16"/>
    <s v="NA"/>
    <x v="6"/>
    <x v="10"/>
  </r>
  <r>
    <x v="16"/>
    <s v="NA"/>
    <x v="6"/>
    <x v="6"/>
  </r>
  <r>
    <x v="17"/>
    <s v="NA"/>
    <x v="6"/>
    <x v="2"/>
  </r>
  <r>
    <x v="17"/>
    <s v="NA"/>
    <x v="6"/>
    <x v="9"/>
  </r>
  <r>
    <x v="17"/>
    <s v="NA"/>
    <x v="6"/>
    <x v="10"/>
  </r>
  <r>
    <x v="17"/>
    <s v="NA"/>
    <x v="6"/>
    <x v="6"/>
  </r>
  <r>
    <x v="18"/>
    <s v="NA"/>
    <x v="6"/>
    <x v="2"/>
  </r>
  <r>
    <x v="18"/>
    <s v="NA"/>
    <x v="6"/>
    <x v="9"/>
  </r>
  <r>
    <x v="18"/>
    <s v="NA"/>
    <x v="6"/>
    <x v="10"/>
  </r>
  <r>
    <x v="18"/>
    <s v="NA"/>
    <x v="6"/>
    <x v="6"/>
  </r>
  <r>
    <x v="8"/>
    <s v="NA"/>
    <x v="6"/>
    <x v="2"/>
  </r>
  <r>
    <x v="8"/>
    <s v="NA"/>
    <x v="6"/>
    <x v="11"/>
  </r>
  <r>
    <x v="8"/>
    <s v="NA"/>
    <x v="6"/>
    <x v="12"/>
  </r>
  <r>
    <x v="8"/>
    <s v="NA"/>
    <x v="6"/>
    <x v="10"/>
  </r>
  <r>
    <x v="8"/>
    <s v="NA"/>
    <x v="6"/>
    <x v="9"/>
  </r>
  <r>
    <x v="8"/>
    <s v="NA"/>
    <x v="6"/>
    <x v="13"/>
  </r>
  <r>
    <x v="8"/>
    <s v="NA"/>
    <x v="6"/>
    <x v="14"/>
  </r>
  <r>
    <x v="8"/>
    <s v="NA"/>
    <x v="6"/>
    <x v="6"/>
  </r>
  <r>
    <x v="20"/>
    <s v="NA"/>
    <x v="6"/>
    <x v="5"/>
  </r>
  <r>
    <x v="20"/>
    <s v="NA"/>
    <x v="6"/>
    <x v="6"/>
  </r>
  <r>
    <x v="20"/>
    <s v="NA"/>
    <x v="6"/>
    <x v="15"/>
  </r>
  <r>
    <x v="20"/>
    <s v="NA"/>
    <x v="6"/>
    <x v="16"/>
  </r>
  <r>
    <x v="9"/>
    <s v="NA"/>
    <x v="6"/>
    <x v="2"/>
  </r>
  <r>
    <x v="9"/>
    <s v="NA"/>
    <x v="6"/>
    <x v="17"/>
  </r>
  <r>
    <x v="9"/>
    <s v="NA"/>
    <x v="6"/>
    <x v="6"/>
  </r>
  <r>
    <x v="10"/>
    <s v="NA"/>
    <x v="6"/>
    <x v="2"/>
  </r>
  <r>
    <x v="10"/>
    <s v="NA"/>
    <x v="6"/>
    <x v="9"/>
  </r>
  <r>
    <x v="10"/>
    <s v="NA"/>
    <x v="6"/>
    <x v="10"/>
  </r>
  <r>
    <x v="10"/>
    <s v="NA"/>
    <x v="6"/>
    <x v="17"/>
  </r>
  <r>
    <x v="10"/>
    <s v="NA"/>
    <x v="6"/>
    <x v="6"/>
  </r>
  <r>
    <x v="11"/>
    <s v="NA"/>
    <x v="6"/>
    <x v="2"/>
  </r>
  <r>
    <x v="11"/>
    <s v="NA"/>
    <x v="6"/>
    <x v="9"/>
  </r>
  <r>
    <x v="11"/>
    <s v="NA"/>
    <x v="6"/>
    <x v="10"/>
  </r>
  <r>
    <x v="11"/>
    <s v="NA"/>
    <x v="6"/>
    <x v="6"/>
  </r>
  <r>
    <x v="14"/>
    <s v="NA"/>
    <x v="6"/>
    <x v="2"/>
  </r>
  <r>
    <x v="14"/>
    <s v="NA"/>
    <x v="6"/>
    <x v="10"/>
  </r>
  <r>
    <x v="14"/>
    <s v="NA"/>
    <x v="6"/>
    <x v="6"/>
  </r>
  <r>
    <x v="35"/>
    <s v="NA"/>
    <x v="7"/>
    <x v="10"/>
  </r>
  <r>
    <x v="35"/>
    <s v="NA"/>
    <x v="7"/>
    <x v="13"/>
  </r>
  <r>
    <x v="36"/>
    <s v="NA"/>
    <x v="8"/>
    <x v="10"/>
  </r>
  <r>
    <x v="36"/>
    <s v="NA"/>
    <x v="8"/>
    <x v="13"/>
  </r>
  <r>
    <x v="37"/>
    <s v="NA"/>
    <x v="8"/>
    <x v="10"/>
  </r>
  <r>
    <x v="37"/>
    <s v="NA"/>
    <x v="8"/>
    <x v="13"/>
  </r>
  <r>
    <x v="38"/>
    <s v="NA"/>
    <x v="8"/>
    <x v="10"/>
  </r>
  <r>
    <x v="38"/>
    <s v="NA"/>
    <x v="8"/>
    <x v="13"/>
  </r>
  <r>
    <x v="39"/>
    <s v="NA"/>
    <x v="8"/>
    <x v="10"/>
  </r>
  <r>
    <x v="39"/>
    <s v="NA"/>
    <x v="8"/>
    <x v="13"/>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0"/>
    <s v="x"/>
    <x v="2"/>
    <x v="0"/>
  </r>
  <r>
    <x v="40"/>
    <s v="NA"/>
    <x v="9"/>
    <x v="3"/>
  </r>
  <r>
    <x v="21"/>
    <s v="NA"/>
    <x v="9"/>
    <x v="3"/>
  </r>
  <r>
    <x v="7"/>
    <s v="NA"/>
    <x v="9"/>
    <x v="3"/>
  </r>
  <r>
    <x v="41"/>
    <s v="NA"/>
    <x v="9"/>
    <x v="3"/>
  </r>
</pivotCacheRecords>
</file>

<file path=xl/pivotTables/_rels/pivotTable1.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C7" firstHeaderRow="1" firstDataRow="2" firstDataCol="1" rowPageCount="1" colPageCount="1"/>
  <pivotFields count="4">
    <pivotField axis="axisPage" showAll="0">
      <items count="43">
        <item x="8"/>
        <item x="30"/>
        <item x="1"/>
        <item x="36"/>
        <item x="2"/>
        <item x="38"/>
        <item x="37"/>
        <item x="3"/>
        <item x="33"/>
        <item x="34"/>
        <item x="4"/>
        <item x="31"/>
        <item x="5"/>
        <item x="32"/>
        <item x="39"/>
        <item x="24"/>
        <item x="25"/>
        <item x="27"/>
        <item x="6"/>
        <item x="7"/>
        <item x="22"/>
        <item x="23"/>
        <item x="9"/>
        <item x="10"/>
        <item x="11"/>
        <item x="12"/>
        <item x="13"/>
        <item x="14"/>
        <item x="15"/>
        <item x="19"/>
        <item x="28"/>
        <item x="21"/>
        <item x="41"/>
        <item x="20"/>
        <item x="35"/>
        <item x="40"/>
        <item x="29"/>
        <item x="16"/>
        <item x="17"/>
        <item x="26"/>
        <item x="18"/>
        <item x="0"/>
        <item t="default"/>
      </items>
    </pivotField>
    <pivotField showAll="0"/>
    <pivotField axis="axisCol" showAll="0">
      <items count="11">
        <item sd="0" x="3"/>
        <item x="8"/>
        <item sd="0" x="1"/>
        <item sd="0" x="6"/>
        <item x="7"/>
        <item x="9"/>
        <item x="0"/>
        <item x="4"/>
        <item x="5"/>
        <item x="2"/>
        <item t="default"/>
      </items>
    </pivotField>
    <pivotField axis="axisRow" dataField="1" showAll="0">
      <items count="19">
        <item x="3"/>
        <item x="1"/>
        <item x="4"/>
        <item x="2"/>
        <item x="5"/>
        <item x="6"/>
        <item x="15"/>
        <item x="16"/>
        <item x="8"/>
        <item x="7"/>
        <item x="12"/>
        <item x="11"/>
        <item x="9"/>
        <item x="17"/>
        <item x="10"/>
        <item x="14"/>
        <item x="13"/>
        <item x="0"/>
        <item t="default"/>
      </items>
    </pivotField>
  </pivotFields>
  <rowFields count="1">
    <field x="3"/>
  </rowFields>
  <rowItems count="3">
    <i>
      <x/>
    </i>
    <i>
      <x v="8"/>
    </i>
    <i t="grand">
      <x/>
    </i>
  </rowItems>
  <colFields count="1">
    <field x="2"/>
  </colFields>
  <colItems count="2">
    <i>
      <x v="7"/>
    </i>
    <i t="grand">
      <x/>
    </i>
  </colItems>
  <pageFields count="1">
    <pageField fld="0" item="21" hier="-1"/>
  </pageFields>
  <dataFields count="1">
    <dataField name="Count of TXs" fld="3" subtotal="count" baseField="0"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2" type="button" dataOnly="0" labelOnly="1" outline="0" axis="axisCol" fieldPosition="0"/>
    </format>
    <format dxfId="5">
      <pivotArea type="topRight" dataOnly="0" labelOnly="1" outline="0" fieldPosition="0"/>
    </format>
    <format dxfId="4">
      <pivotArea field="3" type="button" dataOnly="0" labelOnly="1" outline="0" axis="axisRow" fieldPosition="0"/>
    </format>
    <format dxfId="3">
      <pivotArea dataOnly="0" labelOnly="1" fieldPosition="0">
        <references count="1">
          <reference field="3" count="2">
            <x v="0"/>
            <x v="8"/>
          </reference>
        </references>
      </pivotArea>
    </format>
    <format dxfId="2">
      <pivotArea dataOnly="0" labelOnly="1" grandRow="1" outline="0" fieldPosition="0"/>
    </format>
    <format dxfId="1">
      <pivotArea dataOnly="0" labelOnly="1" fieldPosition="0">
        <references count="1">
          <reference field="2" count="1">
            <x v="7"/>
          </reference>
        </references>
      </pivotArea>
    </format>
    <format dxfId="0">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1.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4.xml.rels><?xml version="1.0" encoding="UTF-8" standalone="yes"?><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6.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2.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topLeftCell="ACO1" workbookViewId="0">
      <selection activeCell="G4" sqref="G4"/>
    </sheetView>
  </sheetViews>
  <sheetFormatPr defaultRowHeight="15"/>
  <cols>
    <col min="1" max="24" width="3.7109375" customWidth="1" style="207"/>
    <col min="25" max="26" width="2.28515625" customWidth="1" style="209"/>
    <col min="27" max="16384" width="9.140625" customWidth="1" style="209"/>
  </cols>
  <sheetData>
    <row r="1" ht="45.75" customHeight="1">
      <c r="A1" s="593" t="s">
        <v>59</v>
      </c>
      <c r="B1" s="593"/>
      <c r="C1" s="593"/>
      <c r="D1" s="593"/>
      <c r="E1" s="593"/>
      <c r="F1" s="593"/>
      <c r="G1" s="593"/>
      <c r="H1" s="593"/>
      <c r="I1" s="593"/>
      <c r="J1" s="593"/>
      <c r="K1" s="593"/>
      <c r="L1" s="593"/>
      <c r="M1" s="593"/>
      <c r="N1" s="593"/>
      <c r="O1" s="593"/>
      <c r="P1" s="593"/>
      <c r="Q1" s="593"/>
      <c r="R1" s="593"/>
      <c r="S1" s="593"/>
      <c r="T1" s="593"/>
      <c r="U1" s="593"/>
      <c r="V1" s="593"/>
      <c r="W1" s="593"/>
      <c r="X1" s="593"/>
    </row>
    <row r="2">
      <c r="A2" s="206" t="s">
        <v>60</v>
      </c>
    </row>
    <row r="3">
      <c r="A3" s="206" t="s">
        <v>61</v>
      </c>
      <c r="C3" s="208">
        <v>1</v>
      </c>
      <c r="D3" s="207" t="s">
        <v>62</v>
      </c>
    </row>
    <row r="4">
      <c r="A4" s="206"/>
      <c r="D4" s="207" t="s">
        <v>63</v>
      </c>
    </row>
    <row r="5">
      <c r="A5" s="206"/>
      <c r="C5" s="208">
        <v>2</v>
      </c>
      <c r="D5" s="207" t="s">
        <v>64</v>
      </c>
    </row>
    <row r="6">
      <c r="A6" s="206"/>
      <c r="D6" s="207" t="s">
        <v>65</v>
      </c>
    </row>
    <row r="7">
      <c r="A7" s="208" t="s">
        <v>66</v>
      </c>
      <c r="B7" s="207" t="s">
        <v>67</v>
      </c>
    </row>
    <row r="8">
      <c r="A8" s="208"/>
      <c r="B8" s="207" t="s">
        <v>68</v>
      </c>
    </row>
    <row r="9">
      <c r="A9" s="208"/>
      <c r="B9" s="207" t="s">
        <v>69</v>
      </c>
    </row>
    <row r="10">
      <c r="A10" s="208"/>
      <c r="B10" s="207" t="s">
        <v>70</v>
      </c>
    </row>
    <row r="11">
      <c r="A11" s="208" t="s">
        <v>71</v>
      </c>
      <c r="B11" s="207" t="s">
        <v>72</v>
      </c>
    </row>
    <row r="12">
      <c r="A12" s="208" t="s">
        <v>73</v>
      </c>
      <c r="B12" s="207" t="s">
        <v>74</v>
      </c>
    </row>
    <row r="13">
      <c r="A13" s="208"/>
      <c r="B13" s="207" t="s">
        <v>75</v>
      </c>
    </row>
    <row r="14">
      <c r="A14" s="208"/>
      <c r="B14" s="207" t="s">
        <v>76</v>
      </c>
    </row>
    <row r="15">
      <c r="A15" s="208"/>
      <c r="B15" s="207" t="s">
        <v>77</v>
      </c>
    </row>
    <row r="16">
      <c r="A16" s="208"/>
      <c r="B16" s="207" t="s">
        <v>78</v>
      </c>
    </row>
    <row r="17">
      <c r="A17" s="208" t="s">
        <v>79</v>
      </c>
      <c r="B17" s="207" t="s">
        <v>80</v>
      </c>
      <c r="C17" s="209"/>
      <c r="D17" s="209"/>
      <c r="E17" s="209"/>
      <c r="F17" s="209"/>
      <c r="G17" s="209"/>
      <c r="H17" s="209"/>
      <c r="I17" s="209"/>
      <c r="J17" s="209"/>
      <c r="K17" s="209"/>
      <c r="L17" s="209"/>
      <c r="M17" s="209"/>
      <c r="N17" s="209"/>
      <c r="O17" s="209"/>
      <c r="P17" s="209"/>
      <c r="Q17" s="209"/>
      <c r="R17" s="209"/>
      <c r="S17" s="209"/>
      <c r="T17" s="209"/>
      <c r="U17" s="209"/>
      <c r="V17" s="209"/>
      <c r="W17" s="209"/>
      <c r="X17" s="209"/>
    </row>
    <row r="18">
      <c r="A18" s="208"/>
      <c r="B18" s="207" t="s">
        <v>81</v>
      </c>
      <c r="C18" s="209"/>
      <c r="D18" s="209"/>
      <c r="E18" s="209"/>
      <c r="F18" s="209"/>
      <c r="G18" s="209"/>
      <c r="H18" s="209"/>
      <c r="I18" s="209"/>
      <c r="J18" s="209"/>
      <c r="K18" s="209"/>
      <c r="L18" s="209"/>
      <c r="M18" s="209"/>
      <c r="N18" s="209"/>
      <c r="O18" s="209"/>
      <c r="P18" s="209"/>
      <c r="Q18" s="209"/>
      <c r="R18" s="209"/>
      <c r="S18" s="209"/>
      <c r="T18" s="209"/>
      <c r="U18" s="209"/>
      <c r="V18" s="209"/>
      <c r="W18" s="209"/>
      <c r="X18" s="209"/>
    </row>
    <row r="19">
      <c r="A19" s="208"/>
      <c r="B19" s="207" t="s">
        <v>82</v>
      </c>
      <c r="C19" s="209"/>
      <c r="D19" s="209"/>
      <c r="E19" s="209"/>
      <c r="F19" s="209"/>
      <c r="G19" s="209"/>
      <c r="H19" s="209"/>
      <c r="I19" s="209"/>
      <c r="J19" s="209"/>
      <c r="K19" s="209"/>
      <c r="L19" s="209"/>
      <c r="M19" s="209"/>
      <c r="N19" s="209"/>
      <c r="O19" s="209"/>
      <c r="P19" s="209"/>
      <c r="Q19" s="209"/>
      <c r="R19" s="209"/>
      <c r="S19" s="209"/>
      <c r="T19" s="209"/>
      <c r="U19" s="209"/>
      <c r="V19" s="209"/>
      <c r="W19" s="209"/>
      <c r="X19" s="209"/>
    </row>
    <row r="20">
      <c r="A20" s="208"/>
      <c r="B20" s="207" t="s">
        <v>78</v>
      </c>
      <c r="C20" s="209"/>
      <c r="D20" s="209"/>
      <c r="E20" s="209"/>
      <c r="F20" s="209"/>
      <c r="G20" s="209"/>
      <c r="H20" s="209"/>
      <c r="I20" s="209"/>
      <c r="J20" s="209"/>
      <c r="K20" s="209"/>
      <c r="L20" s="209"/>
      <c r="M20" s="209"/>
      <c r="N20" s="209"/>
      <c r="O20" s="209"/>
      <c r="P20" s="209"/>
      <c r="Q20" s="209"/>
      <c r="R20" s="209"/>
      <c r="S20" s="209"/>
      <c r="T20" s="209"/>
      <c r="U20" s="209"/>
      <c r="V20" s="209"/>
      <c r="W20" s="209"/>
      <c r="X20" s="209"/>
    </row>
    <row r="21">
      <c r="A21" s="208"/>
      <c r="B21" s="207" t="s">
        <v>83</v>
      </c>
      <c r="C21" s="209"/>
      <c r="D21" s="209"/>
      <c r="E21" s="209"/>
      <c r="F21" s="209"/>
      <c r="G21" s="209"/>
      <c r="H21" s="209"/>
      <c r="I21" s="209"/>
      <c r="J21" s="209"/>
      <c r="K21" s="209"/>
      <c r="L21" s="209"/>
      <c r="M21" s="209"/>
      <c r="N21" s="209"/>
      <c r="O21" s="209"/>
      <c r="P21" s="209"/>
      <c r="Q21" s="209"/>
      <c r="R21" s="209"/>
      <c r="S21" s="209"/>
      <c r="T21" s="209"/>
      <c r="U21" s="209"/>
      <c r="V21" s="209"/>
      <c r="W21" s="209"/>
      <c r="X21" s="209"/>
    </row>
    <row r="22">
      <c r="A22" s="208"/>
      <c r="C22" s="209"/>
      <c r="D22" s="209"/>
      <c r="E22" s="209"/>
      <c r="F22" s="209"/>
      <c r="G22" s="209"/>
      <c r="H22" s="209"/>
      <c r="I22" s="209"/>
      <c r="J22" s="209"/>
      <c r="K22" s="209"/>
      <c r="L22" s="209"/>
      <c r="M22" s="209"/>
      <c r="N22" s="209"/>
      <c r="O22" s="209"/>
      <c r="P22" s="209"/>
      <c r="Q22" s="209"/>
      <c r="R22" s="209"/>
      <c r="S22" s="209"/>
      <c r="T22" s="209"/>
      <c r="U22" s="209"/>
      <c r="V22" s="209"/>
      <c r="W22" s="209"/>
      <c r="X22" s="209"/>
    </row>
    <row r="23">
      <c r="A23" s="208"/>
      <c r="C23" s="209"/>
      <c r="D23" s="209"/>
      <c r="E23" s="209"/>
      <c r="F23" s="209"/>
      <c r="G23" s="209"/>
      <c r="H23" s="209"/>
      <c r="I23" s="209"/>
      <c r="J23" s="209"/>
      <c r="K23" s="209"/>
      <c r="L23" s="209"/>
      <c r="M23" s="209"/>
      <c r="N23" s="209"/>
      <c r="O23" s="209"/>
      <c r="P23" s="209"/>
      <c r="Q23" s="209"/>
      <c r="R23" s="209"/>
      <c r="S23" s="209"/>
      <c r="T23" s="209"/>
      <c r="U23" s="209"/>
      <c r="V23" s="209"/>
      <c r="W23" s="209"/>
      <c r="X23" s="209"/>
    </row>
    <row r="24">
      <c r="A24" s="208"/>
      <c r="C24" s="209"/>
      <c r="D24" s="209"/>
      <c r="E24" s="209"/>
      <c r="F24" s="209"/>
      <c r="G24" s="209"/>
      <c r="H24" s="209"/>
      <c r="I24" s="209"/>
      <c r="J24" s="209"/>
      <c r="K24" s="209"/>
      <c r="L24" s="209"/>
      <c r="M24" s="209"/>
      <c r="N24" s="209"/>
      <c r="O24" s="209"/>
      <c r="P24" s="209"/>
      <c r="Q24" s="209"/>
      <c r="R24" s="209"/>
      <c r="S24" s="209"/>
      <c r="T24" s="209"/>
      <c r="U24" s="209"/>
      <c r="V24" s="209"/>
      <c r="W24" s="209"/>
      <c r="X24" s="209"/>
    </row>
  </sheetData>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5"/>
  <sheetViews>
    <sheetView workbookViewId="0">
      <selection activeCell="B6" sqref="B6"/>
    </sheetView>
  </sheetViews>
  <sheetFormatPr defaultRowHeight="16.5"/>
  <cols>
    <col min="1" max="1" width="5.7109375" customWidth="1" style="211"/>
    <col min="2" max="2" width="8.85546875" customWidth="1" style="211"/>
    <col min="3" max="3" width="26.42578125" customWidth="1" style="227"/>
    <col min="4" max="16384" width="9.140625" customWidth="1" style="227"/>
  </cols>
  <sheetData>
    <row r="1" s="362" customFormat="1">
      <c r="A1" s="210" t="s">
        <v>0</v>
      </c>
      <c r="B1" s="210" t="s">
        <v>1</v>
      </c>
      <c r="C1" s="210" t="s">
        <v>2</v>
      </c>
    </row>
    <row r="2">
      <c r="A2" s="211">
        <v>1</v>
      </c>
      <c r="B2" s="212">
        <v>1</v>
      </c>
      <c r="C2" s="213" t="s">
        <v>55</v>
      </c>
    </row>
    <row r="3">
      <c r="A3" s="211">
        <v>2</v>
      </c>
      <c r="B3" s="212">
        <v>2</v>
      </c>
      <c r="C3" s="213" t="s">
        <v>56</v>
      </c>
    </row>
    <row r="4">
      <c r="A4" s="211">
        <v>3</v>
      </c>
      <c r="B4" s="212">
        <v>3</v>
      </c>
      <c r="C4" s="213" t="s">
        <v>57</v>
      </c>
    </row>
    <row r="5">
      <c r="A5" s="211">
        <v>4</v>
      </c>
      <c r="B5" s="212">
        <v>4</v>
      </c>
      <c r="C5" s="213" t="s">
        <v>58</v>
      </c>
    </row>
  </sheetData>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F2"/>
  <sheetViews>
    <sheetView workbookViewId="0">
      <selection activeCell="C3" sqref="C3"/>
    </sheetView>
  </sheetViews>
  <sheetFormatPr defaultRowHeight="16.5"/>
  <cols>
    <col min="1" max="1" width="5.7109375" customWidth="1" style="212"/>
    <col min="2" max="2" width="12" customWidth="1" style="212"/>
    <col min="3" max="3" width="35" customWidth="1" style="213"/>
    <col min="4" max="4" width="33.42578125" customWidth="1" style="213"/>
    <col min="5" max="5" width="16.7109375" customWidth="1" style="213"/>
    <col min="6" max="6" width="17.7109375" customWidth="1" style="213"/>
    <col min="7" max="16384" width="9.140625" customWidth="1" style="213"/>
  </cols>
  <sheetData>
    <row r="1" s="360" customFormat="1">
      <c r="A1" s="214" t="s">
        <v>0</v>
      </c>
      <c r="B1" s="214" t="s">
        <v>1</v>
      </c>
      <c r="C1" s="214" t="s">
        <v>2</v>
      </c>
      <c r="D1" s="215" t="s">
        <v>47</v>
      </c>
      <c r="E1" s="215" t="s">
        <v>48</v>
      </c>
      <c r="F1" s="215" t="s">
        <v>49</v>
      </c>
    </row>
    <row r="2" ht="33" customHeight="1">
      <c r="A2" s="212">
        <v>1</v>
      </c>
      <c r="B2" s="212" t="s">
        <v>50</v>
      </c>
      <c r="C2" s="213" t="s">
        <v>51</v>
      </c>
      <c r="D2" s="213" t="s">
        <v>52</v>
      </c>
      <c r="E2" s="213" t="s">
        <v>53</v>
      </c>
      <c r="F2" s="213" t="s">
        <v>54</v>
      </c>
    </row>
  </sheetData>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92D050"/>
  </sheetPr>
  <dimension ref="A1:C23"/>
  <sheetViews>
    <sheetView workbookViewId="0">
      <selection activeCell="C2" sqref="C2"/>
    </sheetView>
  </sheetViews>
  <sheetFormatPr defaultRowHeight="16.5"/>
  <cols>
    <col min="1" max="1" width="5.7109375" customWidth="1" style="211"/>
    <col min="2" max="2" width="15.7109375" customWidth="1" style="227"/>
    <col min="3" max="3" width="22.42578125" customWidth="1" style="227"/>
    <col min="4" max="16384" width="9.140625" customWidth="1" style="227"/>
  </cols>
  <sheetData>
    <row r="1" s="362" customFormat="1">
      <c r="A1" s="210" t="s">
        <v>0</v>
      </c>
      <c r="B1" s="210" t="s">
        <v>1</v>
      </c>
      <c r="C1" s="210" t="s">
        <v>2</v>
      </c>
    </row>
    <row r="2">
      <c r="A2" s="211">
        <v>1</v>
      </c>
      <c r="B2" s="213" t="s">
        <v>3</v>
      </c>
      <c r="C2" s="213" t="s">
        <v>4</v>
      </c>
    </row>
    <row r="3">
      <c r="A3" s="211">
        <v>2</v>
      </c>
      <c r="B3" s="213" t="s">
        <v>5</v>
      </c>
      <c r="C3" s="213" t="s">
        <v>6</v>
      </c>
    </row>
    <row r="4">
      <c r="A4" s="211">
        <v>3</v>
      </c>
      <c r="B4" s="213" t="s">
        <v>7</v>
      </c>
      <c r="C4" s="213" t="s">
        <v>8</v>
      </c>
    </row>
    <row r="5">
      <c r="A5" s="211">
        <v>4</v>
      </c>
      <c r="B5" s="213" t="s">
        <v>9</v>
      </c>
      <c r="C5" s="213" t="s">
        <v>10</v>
      </c>
    </row>
    <row r="6">
      <c r="A6" s="211">
        <v>5</v>
      </c>
      <c r="B6" s="213" t="s">
        <v>11</v>
      </c>
      <c r="C6" s="213" t="s">
        <v>12</v>
      </c>
    </row>
    <row r="7">
      <c r="A7" s="211">
        <v>6</v>
      </c>
      <c r="B7" s="213" t="s">
        <v>13</v>
      </c>
      <c r="C7" s="213" t="s">
        <v>14</v>
      </c>
    </row>
    <row r="8">
      <c r="A8" s="211">
        <v>7</v>
      </c>
      <c r="B8" s="213" t="s">
        <v>15</v>
      </c>
      <c r="C8" s="213" t="s">
        <v>16</v>
      </c>
    </row>
    <row r="9">
      <c r="A9" s="211">
        <v>8</v>
      </c>
      <c r="B9" s="213" t="s">
        <v>17</v>
      </c>
      <c r="C9" s="213" t="s">
        <v>18</v>
      </c>
    </row>
    <row r="10">
      <c r="A10" s="211">
        <v>9</v>
      </c>
      <c r="B10" s="213" t="s">
        <v>19</v>
      </c>
      <c r="C10" s="213" t="s">
        <v>20</v>
      </c>
    </row>
    <row r="11">
      <c r="A11" s="211">
        <v>10</v>
      </c>
      <c r="B11" s="213" t="s">
        <v>21</v>
      </c>
      <c r="C11" s="213" t="s">
        <v>22</v>
      </c>
    </row>
    <row r="12">
      <c r="A12" s="211">
        <v>11</v>
      </c>
      <c r="B12" s="213" t="s">
        <v>23</v>
      </c>
      <c r="C12" s="213" t="s">
        <v>24</v>
      </c>
    </row>
    <row r="13">
      <c r="A13" s="211">
        <v>12</v>
      </c>
      <c r="B13" s="213" t="s">
        <v>25</v>
      </c>
      <c r="C13" s="213" t="s">
        <v>26</v>
      </c>
    </row>
    <row r="14">
      <c r="A14" s="211">
        <v>13</v>
      </c>
      <c r="B14" s="213" t="s">
        <v>27</v>
      </c>
      <c r="C14" s="213" t="s">
        <v>28</v>
      </c>
    </row>
    <row r="15">
      <c r="A15" s="211">
        <v>14</v>
      </c>
      <c r="B15" s="213" t="s">
        <v>29</v>
      </c>
      <c r="C15" s="213" t="s">
        <v>30</v>
      </c>
    </row>
    <row r="16">
      <c r="A16" s="211">
        <v>15</v>
      </c>
      <c r="B16" s="213" t="s">
        <v>31</v>
      </c>
      <c r="C16" s="213" t="s">
        <v>32</v>
      </c>
    </row>
    <row r="17">
      <c r="A17" s="211">
        <v>16</v>
      </c>
      <c r="B17" s="213" t="s">
        <v>33</v>
      </c>
      <c r="C17" s="213" t="s">
        <v>34</v>
      </c>
    </row>
    <row r="18">
      <c r="A18" s="211">
        <v>17</v>
      </c>
      <c r="B18" s="213" t="s">
        <v>35</v>
      </c>
      <c r="C18" s="213" t="s">
        <v>36</v>
      </c>
    </row>
    <row r="19">
      <c r="A19" s="211">
        <v>18</v>
      </c>
      <c r="B19" s="213" t="s">
        <v>37</v>
      </c>
      <c r="C19" s="213" t="s">
        <v>38</v>
      </c>
    </row>
    <row r="20">
      <c r="A20" s="211">
        <v>19</v>
      </c>
      <c r="B20" s="213" t="s">
        <v>39</v>
      </c>
      <c r="C20" s="213" t="s">
        <v>40</v>
      </c>
    </row>
    <row r="21">
      <c r="A21" s="211">
        <v>20</v>
      </c>
      <c r="B21" s="213" t="s">
        <v>41</v>
      </c>
      <c r="C21" s="213" t="s">
        <v>42</v>
      </c>
    </row>
    <row r="22">
      <c r="A22" s="211">
        <v>21</v>
      </c>
      <c r="B22" s="213" t="s">
        <v>43</v>
      </c>
      <c r="C22" s="213" t="s">
        <v>44</v>
      </c>
    </row>
    <row r="23">
      <c r="A23" s="211">
        <v>22</v>
      </c>
      <c r="B23" s="213" t="s">
        <v>45</v>
      </c>
      <c r="C23" s="213" t="s">
        <v>46</v>
      </c>
    </row>
  </sheetData>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perator">
    <tabColor rgb="FF92D050"/>
  </sheetPr>
  <dimension ref="A1:C6"/>
  <sheetViews>
    <sheetView zoomScale="145" zoomScaleNormal="145" workbookViewId="0">
      <selection activeCell="B5" sqref="B5"/>
    </sheetView>
  </sheetViews>
  <sheetFormatPr defaultRowHeight="16.5"/>
  <cols>
    <col min="1" max="1" width="5.7109375" customWidth="1" style="211"/>
    <col min="2" max="2" width="16.140625" customWidth="1" style="227"/>
    <col min="3" max="3" width="55.85546875" customWidth="1" style="227"/>
    <col min="4" max="16384" width="9.140625" customWidth="1" style="227"/>
  </cols>
  <sheetData>
    <row r="1" s="362" customFormat="1">
      <c r="A1" s="210" t="s">
        <v>0</v>
      </c>
      <c r="B1" s="210" t="s">
        <v>1</v>
      </c>
      <c r="C1" s="210" t="s">
        <v>2</v>
      </c>
    </row>
    <row r="2">
      <c r="A2" s="211">
        <v>1</v>
      </c>
      <c r="B2" s="213" t="s">
        <v>163</v>
      </c>
      <c r="C2" s="213" t="s">
        <v>99</v>
      </c>
    </row>
    <row r="3">
      <c r="A3" s="211">
        <v>2</v>
      </c>
      <c r="B3" s="213" t="s">
        <v>159</v>
      </c>
      <c r="C3" s="213" t="s">
        <v>635</v>
      </c>
    </row>
    <row r="4">
      <c r="A4" s="211">
        <v>3</v>
      </c>
      <c r="B4" s="213" t="s">
        <v>840</v>
      </c>
      <c r="C4" s="213" t="s">
        <v>841</v>
      </c>
    </row>
    <row r="5">
      <c r="A5" s="211">
        <v>4</v>
      </c>
      <c r="B5" s="213" t="s">
        <v>160</v>
      </c>
      <c r="C5" s="213" t="s">
        <v>636</v>
      </c>
    </row>
    <row r="6">
      <c r="A6" s="211">
        <v>5</v>
      </c>
      <c r="B6" s="213" t="s">
        <v>162</v>
      </c>
      <c r="C6" s="213" t="s">
        <v>842</v>
      </c>
    </row>
  </sheetData>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I2"/>
  <sheetViews>
    <sheetView topLeftCell="C1" workbookViewId="0">
      <selection activeCell="F7" sqref="F7"/>
    </sheetView>
  </sheetViews>
  <sheetFormatPr defaultRowHeight="16.5"/>
  <cols>
    <col min="1" max="1" width="4.5703125" customWidth="1" style="212"/>
    <col min="2" max="2" width="19.85546875" customWidth="1" style="213"/>
    <col min="3" max="3" width="40.42578125" customWidth="1" style="213"/>
    <col min="4" max="4" width="30" customWidth="1" style="213"/>
    <col min="5" max="5" width="15.42578125" customWidth="1" style="213"/>
    <col min="6" max="6" width="15.5703125" customWidth="1" style="213"/>
    <col min="7" max="7" width="17.85546875" customWidth="1" style="213"/>
    <col min="8" max="8" width="14.5703125" customWidth="1" style="212"/>
    <col min="9" max="9" width="48" customWidth="1" style="213"/>
    <col min="10" max="16384" width="9.140625" customWidth="1" style="213"/>
  </cols>
  <sheetData>
    <row r="1" s="360" customFormat="1">
      <c r="A1" s="214" t="s">
        <v>0</v>
      </c>
      <c r="B1" s="214" t="s">
        <v>1</v>
      </c>
      <c r="C1" s="214" t="s">
        <v>2</v>
      </c>
      <c r="D1" s="214" t="s">
        <v>47</v>
      </c>
      <c r="E1" s="214" t="s">
        <v>48</v>
      </c>
      <c r="F1" s="214" t="s">
        <v>49</v>
      </c>
      <c r="G1" s="214" t="s">
        <v>847</v>
      </c>
      <c r="H1" s="214" t="s">
        <v>403</v>
      </c>
      <c r="I1" s="358" t="s">
        <v>434</v>
      </c>
    </row>
    <row r="2">
      <c r="A2" s="212">
        <v>1</v>
      </c>
      <c r="B2" s="213" t="s">
        <v>839</v>
      </c>
      <c r="C2" s="213" t="s">
        <v>848</v>
      </c>
      <c r="D2" s="213" t="s">
        <v>849</v>
      </c>
      <c r="E2" s="216" t="s">
        <v>850</v>
      </c>
      <c r="F2" s="216" t="s">
        <v>851</v>
      </c>
      <c r="G2" s="213" t="s">
        <v>852</v>
      </c>
      <c r="H2" s="213" t="s">
        <v>160</v>
      </c>
      <c r="I2" s="572" t="str">
        <f>INDEX(OperatorNameList,MATCH(H2,OperatorIDList,0))</f>
        <v>TỔNG CÔNG TY HẠ TẦNG MẠNG</v>
      </c>
    </row>
  </sheetData>
  <sheetProtection sheet="1" objects="1" scenarios="1" formatCells="0" formatColumns="0" formatRows="0" sort="0" autoFilter="0" pivotTables="0"/>
  <dataConsolidate/>
  <conditionalFormatting sqref="I1:I1048576">
    <cfRule type="containsErrors" dxfId="10" priority="1">
      <formula>ISERROR(I1)</formula>
    </cfRule>
  </conditionalFormatting>
  <dataValidations count="1">
    <dataValidation type="list" allowBlank="1" showInputMessage="1" showErrorMessage="1" sqref="H1:H1048576">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3"/>
  <sheetViews>
    <sheetView workbookViewId="0">
      <selection activeCell="C2" sqref="C2"/>
    </sheetView>
  </sheetViews>
  <sheetFormatPr defaultRowHeight="16.5"/>
  <cols>
    <col min="1" max="1" width="18" customWidth="1" style="219"/>
    <col min="2" max="2" width="34.28515625" customWidth="1" style="219"/>
    <col min="3" max="3" bestFit="1" width="23.140625" customWidth="1" style="219"/>
    <col min="4" max="5" width="14.42578125" customWidth="1" style="219"/>
    <col min="6" max="6" width="19.5703125" customWidth="1" style="219"/>
    <col min="7" max="7" width="15" customWidth="1" style="219"/>
    <col min="8" max="8" width="12.42578125" customWidth="1" style="219"/>
    <col min="9" max="9" width="20.28515625" customWidth="1" style="219"/>
    <col min="10" max="10" width="19.7109375" customWidth="1" style="219"/>
    <col min="11" max="11" bestFit="1" width="17.7109375" customWidth="1" style="219"/>
    <col min="12" max="12" width="19.85546875" customWidth="1" style="222"/>
    <col min="13" max="13" bestFit="1" width="42.140625" customWidth="1" style="222"/>
    <col min="14" max="16384" width="9.140625" customWidth="1" style="219"/>
  </cols>
  <sheetData>
    <row r="1" s="361" customFormat="1">
      <c r="A1" s="217" t="s">
        <v>402</v>
      </c>
      <c r="B1" s="218" t="s">
        <v>433</v>
      </c>
      <c r="C1" s="217" t="s">
        <v>857</v>
      </c>
      <c r="D1" s="217" t="s">
        <v>858</v>
      </c>
      <c r="E1" s="217" t="s">
        <v>859</v>
      </c>
      <c r="F1" s="217" t="s">
        <v>860</v>
      </c>
      <c r="G1" s="217" t="s">
        <v>861</v>
      </c>
      <c r="H1" s="218" t="s">
        <v>862</v>
      </c>
      <c r="I1" s="217" t="s">
        <v>863</v>
      </c>
      <c r="J1" s="217" t="s">
        <v>864</v>
      </c>
      <c r="K1" s="217" t="s">
        <v>865</v>
      </c>
      <c r="L1" s="218" t="s">
        <v>403</v>
      </c>
      <c r="M1" s="218" t="s">
        <v>434</v>
      </c>
    </row>
    <row r="2">
      <c r="A2" s="213" t="s">
        <v>839</v>
      </c>
      <c r="B2" s="572" t="str">
        <f>INDEX(ApplicantNameList,MATCH(A2,ApplicantIDList,0))</f>
        <v>CHI NHÁNH VINAPHONE TẠI TPHCM</v>
      </c>
      <c r="C2" s="219" t="s">
        <v>866</v>
      </c>
      <c r="D2" s="220">
        <v>42962</v>
      </c>
      <c r="E2" s="219">
        <v>4</v>
      </c>
      <c r="F2" s="219">
        <v>4</v>
      </c>
      <c r="G2" s="220">
        <v>42963</v>
      </c>
      <c r="H2" s="573">
        <f>F2*2500000</f>
        <v>10000000</v>
      </c>
      <c r="I2" s="221" t="s">
        <v>867</v>
      </c>
      <c r="J2" s="220">
        <v>42964</v>
      </c>
      <c r="K2" s="220">
        <v>42972</v>
      </c>
      <c r="L2" s="574" t="str">
        <f>INDEX(Applicant!$H:$H,MATCH(A2,ApplicantIDList,0))</f>
        <v>VINAPHONE</v>
      </c>
      <c r="M2" s="575" t="str">
        <f>INDEX(OperatorNameList,MATCH(L2,OperatorIDList,0))</f>
        <v>TỔNG CÔNG TY HẠ TẦNG MẠNG</v>
      </c>
    </row>
    <row r="3">
      <c r="A3" s="213"/>
    </row>
  </sheetData>
  <sheetProtection sheet="1" objects="1" scenarios="1" formatCells="0" formatColumns="0" formatRows="0" sort="0" autoFilter="0" pivotTables="0"/>
  <dataValidations count="1">
    <dataValidation type="list" allowBlank="1" showInputMessage="1" showErrorMessage="1" sqref="A2">
      <formula1>ApplicantIDList</formula1>
    </dataValidation>
  </dataValidations>
  <pageMargins left="0.7" right="0.7" top="0.75" bottom="0.75" header="0.3" footer="0.3"/>
  <pageSetup paperSize="9" orientation="portrait"/>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6"/>
  <sheetViews>
    <sheetView topLeftCell="B1" workbookViewId="0">
      <selection activeCell="F5" sqref="F5"/>
    </sheetView>
  </sheetViews>
  <sheetFormatPr defaultColWidth="9" defaultRowHeight="12.75"/>
  <cols>
    <col min="1" max="1" width="6.140625" customWidth="1" style="229"/>
    <col min="2" max="2" width="9" customWidth="1" style="725"/>
    <col min="3" max="3" bestFit="1" width="81.5703125" customWidth="1" style="228"/>
    <col min="4" max="4" width="14" customWidth="1" style="228"/>
    <col min="5" max="5" width="10.7624914986747" customWidth="1" style="725"/>
    <col min="6" max="6" width="9" customWidth="1" style="725"/>
    <col min="7" max="8" width="14" customWidth="1" style="228"/>
    <col min="9" max="10" width="12.140625" customWidth="1" style="228"/>
    <col min="11" max="11" width="12.42578125" customWidth="1" style="228"/>
    <col min="12" max="12" width="14.5703125" customWidth="1" style="228"/>
    <col min="13" max="13" width="12" customWidth="1" style="228"/>
    <col min="14" max="16384" width="9" customWidth="1" style="228"/>
  </cols>
  <sheetData>
    <row r="1" s="363" customFormat="1">
      <c r="A1" s="223" t="s">
        <v>0</v>
      </c>
      <c r="B1" s="726" t="s">
        <v>404</v>
      </c>
      <c r="C1" s="224" t="s">
        <v>47</v>
      </c>
      <c r="D1" s="224" t="s">
        <v>405</v>
      </c>
      <c r="E1" s="726" t="s">
        <v>406</v>
      </c>
      <c r="F1" s="726" t="s">
        <v>407</v>
      </c>
      <c r="G1" s="224" t="s">
        <v>420</v>
      </c>
      <c r="H1" s="225" t="s">
        <v>435</v>
      </c>
      <c r="I1" s="226"/>
      <c r="J1" s="226"/>
    </row>
    <row r="2" ht="16.5">
      <c r="A2" s="227">
        <v>1</v>
      </c>
      <c r="B2" s="727">
        <v>359018</v>
      </c>
      <c r="C2" s="227" t="s">
        <v>853</v>
      </c>
      <c r="D2" s="213" t="s">
        <v>26</v>
      </c>
      <c r="E2" s="727">
        <v>106.698889</v>
      </c>
      <c r="F2" s="727">
        <v>10.759444</v>
      </c>
      <c r="G2" s="227">
        <v>1</v>
      </c>
      <c r="H2" s="576" t="str">
        <f>INDEX(CityIDList,MATCH(D2,CityNameList,0))</f>
        <v>HCM</v>
      </c>
    </row>
    <row r="3" ht="16.5">
      <c r="A3" s="227">
        <v>2</v>
      </c>
      <c r="B3" s="727">
        <v>359184</v>
      </c>
      <c r="C3" s="227" t="s">
        <v>854</v>
      </c>
      <c r="D3" s="213" t="s">
        <v>26</v>
      </c>
      <c r="E3" s="727">
        <v>106.6932</v>
      </c>
      <c r="F3" s="727">
        <v>10.77212</v>
      </c>
      <c r="G3" s="227">
        <v>1</v>
      </c>
      <c r="H3" s="211" t="str">
        <f>INDEX(CityIDList,MATCH(D3,CityNameList,0))</f>
        <v>HCM</v>
      </c>
    </row>
    <row r="4" ht="16.5">
      <c r="A4" s="227">
        <v>3</v>
      </c>
      <c r="B4" s="727">
        <v>359356</v>
      </c>
      <c r="C4" s="227" t="s">
        <v>855</v>
      </c>
      <c r="D4" s="213" t="s">
        <v>26</v>
      </c>
      <c r="E4" s="727">
        <v>106.68681</v>
      </c>
      <c r="F4" s="727">
        <v>10.76398</v>
      </c>
      <c r="G4" s="227">
        <v>1</v>
      </c>
      <c r="H4" s="211" t="str">
        <f>INDEX(CityIDList,MATCH(D4,CityNameList,0))</f>
        <v>HCM</v>
      </c>
    </row>
    <row r="5" ht="16.5">
      <c r="A5" s="227">
        <v>4</v>
      </c>
      <c r="B5" s="727">
        <v>359389</v>
      </c>
      <c r="C5" s="227" t="s">
        <v>856</v>
      </c>
      <c r="D5" s="213" t="s">
        <v>26</v>
      </c>
      <c r="E5" s="727">
        <v>106.702</v>
      </c>
      <c r="F5" s="727">
        <v>10.7772</v>
      </c>
      <c r="G5" s="227">
        <v>1</v>
      </c>
      <c r="H5" s="211" t="str">
        <f>INDEX(CityIDList,MATCH(D5,CityNameList,0))</f>
        <v>HCM</v>
      </c>
    </row>
    <row r="6" ht="16.5">
      <c r="B6" s="727"/>
      <c r="C6" s="227"/>
      <c r="D6" s="213"/>
      <c r="E6" s="727"/>
      <c r="F6" s="727"/>
      <c r="G6" s="227"/>
      <c r="H6" s="211"/>
    </row>
    <row r="7">
      <c r="D7" s="230"/>
      <c r="G7" s="229"/>
      <c r="H7" s="230"/>
    </row>
    <row r="8">
      <c r="D8" s="230"/>
      <c r="G8" s="229"/>
      <c r="H8" s="230"/>
    </row>
    <row r="9">
      <c r="D9" s="230"/>
      <c r="G9" s="229"/>
      <c r="H9" s="230"/>
    </row>
    <row r="10">
      <c r="D10" s="230"/>
      <c r="G10" s="229"/>
      <c r="H10" s="230"/>
    </row>
    <row r="11" ht="16.5">
      <c r="C11" s="227"/>
      <c r="D11" s="230"/>
      <c r="G11" s="229"/>
      <c r="H11" s="230"/>
    </row>
    <row r="12">
      <c r="D12" s="230"/>
      <c r="G12" s="229"/>
      <c r="H12" s="230"/>
    </row>
    <row r="13">
      <c r="D13" s="230"/>
      <c r="G13" s="229"/>
      <c r="H13" s="230"/>
    </row>
    <row r="14">
      <c r="D14" s="230"/>
      <c r="G14" s="229"/>
      <c r="H14" s="230"/>
    </row>
    <row r="15">
      <c r="D15" s="230"/>
      <c r="G15" s="229"/>
      <c r="H15" s="230"/>
    </row>
    <row r="16">
      <c r="D16" s="230"/>
      <c r="G16" s="229"/>
      <c r="H16" s="230"/>
    </row>
    <row r="17">
      <c r="D17" s="230"/>
      <c r="G17" s="229"/>
      <c r="H17" s="230"/>
    </row>
    <row r="18">
      <c r="D18" s="230"/>
      <c r="G18" s="229"/>
      <c r="H18" s="230"/>
    </row>
    <row r="19">
      <c r="D19" s="230"/>
      <c r="G19" s="229"/>
      <c r="H19" s="230"/>
    </row>
    <row r="20">
      <c r="D20" s="230"/>
      <c r="G20" s="229"/>
      <c r="H20" s="230"/>
    </row>
    <row r="21">
      <c r="D21" s="230"/>
      <c r="G21" s="229"/>
      <c r="H21" s="230"/>
    </row>
    <row r="22">
      <c r="D22" s="230"/>
      <c r="G22" s="229"/>
      <c r="H22" s="230"/>
    </row>
    <row r="23">
      <c r="D23" s="230"/>
      <c r="G23" s="229"/>
      <c r="H23" s="230"/>
    </row>
    <row r="24">
      <c r="D24" s="230"/>
      <c r="G24" s="229"/>
      <c r="H24" s="230"/>
    </row>
    <row r="25">
      <c r="D25" s="230"/>
      <c r="G25" s="229"/>
      <c r="H25" s="230"/>
    </row>
    <row r="26">
      <c r="D26" s="230"/>
      <c r="G26" s="229"/>
      <c r="H26" s="230"/>
    </row>
    <row r="27">
      <c r="D27" s="230"/>
      <c r="G27" s="229"/>
      <c r="H27" s="230"/>
    </row>
    <row r="28">
      <c r="D28" s="230"/>
      <c r="G28" s="229"/>
      <c r="H28" s="230"/>
    </row>
    <row r="29">
      <c r="D29" s="230"/>
      <c r="G29" s="229"/>
      <c r="H29" s="230"/>
    </row>
    <row r="30">
      <c r="D30" s="230"/>
      <c r="G30" s="229"/>
      <c r="H30" s="230"/>
    </row>
    <row r="31">
      <c r="D31" s="230"/>
      <c r="G31" s="229"/>
      <c r="H31" s="230"/>
    </row>
    <row r="32">
      <c r="D32" s="230"/>
      <c r="G32" s="229"/>
      <c r="H32" s="230"/>
    </row>
    <row r="33">
      <c r="D33" s="230"/>
      <c r="G33" s="229"/>
      <c r="H33" s="230"/>
    </row>
    <row r="34">
      <c r="D34" s="230"/>
      <c r="G34" s="229"/>
      <c r="H34" s="230"/>
    </row>
    <row r="35">
      <c r="D35" s="230"/>
      <c r="G35" s="229"/>
      <c r="H35" s="230"/>
    </row>
    <row r="36">
      <c r="D36" s="230"/>
      <c r="G36" s="229"/>
      <c r="H36" s="230"/>
    </row>
    <row r="37">
      <c r="D37" s="230"/>
      <c r="G37" s="229"/>
      <c r="H37" s="230"/>
    </row>
    <row r="38">
      <c r="D38" s="230"/>
      <c r="G38" s="229"/>
      <c r="H38" s="230"/>
    </row>
    <row r="39">
      <c r="D39" s="230"/>
      <c r="G39" s="229"/>
      <c r="H39" s="230"/>
    </row>
    <row r="40">
      <c r="D40" s="230"/>
      <c r="G40" s="229"/>
      <c r="H40" s="230"/>
    </row>
    <row r="41">
      <c r="D41" s="230"/>
      <c r="G41" s="229"/>
      <c r="H41" s="230"/>
    </row>
    <row r="42">
      <c r="D42" s="230"/>
      <c r="G42" s="229"/>
      <c r="H42" s="230"/>
    </row>
    <row r="43">
      <c r="D43" s="230"/>
      <c r="G43" s="229"/>
      <c r="H43" s="230"/>
    </row>
    <row r="44">
      <c r="D44" s="230"/>
      <c r="G44" s="229"/>
      <c r="H44" s="230"/>
    </row>
    <row r="45">
      <c r="D45" s="230"/>
      <c r="G45" s="229"/>
      <c r="H45" s="230"/>
    </row>
    <row r="46">
      <c r="D46" s="230"/>
      <c r="G46" s="229"/>
      <c r="H46" s="230"/>
    </row>
    <row r="47">
      <c r="D47" s="230"/>
      <c r="G47" s="229"/>
      <c r="H47" s="230"/>
    </row>
    <row r="48">
      <c r="D48" s="230"/>
      <c r="G48" s="229"/>
      <c r="H48" s="230"/>
    </row>
    <row r="49">
      <c r="D49" s="230"/>
      <c r="G49" s="229"/>
      <c r="H49" s="230"/>
    </row>
    <row r="50">
      <c r="D50" s="230"/>
      <c r="G50" s="229"/>
      <c r="H50" s="230"/>
    </row>
    <row r="51">
      <c r="D51" s="230"/>
      <c r="G51" s="229"/>
      <c r="H51" s="230"/>
    </row>
    <row r="52">
      <c r="D52" s="230"/>
      <c r="G52" s="229"/>
      <c r="H52" s="230"/>
    </row>
    <row r="53">
      <c r="D53" s="230"/>
      <c r="G53" s="229"/>
      <c r="H53" s="230"/>
    </row>
    <row r="54">
      <c r="D54" s="230"/>
      <c r="G54" s="229"/>
      <c r="H54" s="230"/>
    </row>
    <row r="55">
      <c r="D55" s="230"/>
      <c r="G55" s="229"/>
      <c r="H55" s="230"/>
    </row>
    <row r="56">
      <c r="D56" s="230"/>
      <c r="G56" s="229"/>
      <c r="H56" s="230"/>
    </row>
    <row r="57">
      <c r="D57" s="230"/>
      <c r="G57" s="229"/>
      <c r="H57" s="230"/>
    </row>
    <row r="58">
      <c r="D58" s="230"/>
      <c r="G58" s="229"/>
      <c r="H58" s="230"/>
    </row>
    <row r="59">
      <c r="D59" s="230"/>
      <c r="G59" s="229"/>
      <c r="H59" s="230"/>
    </row>
    <row r="60">
      <c r="D60" s="230"/>
      <c r="G60" s="229"/>
      <c r="H60" s="230"/>
    </row>
    <row r="61">
      <c r="D61" s="230"/>
      <c r="G61" s="229"/>
      <c r="H61" s="230"/>
    </row>
    <row r="62">
      <c r="D62" s="230"/>
      <c r="G62" s="229"/>
      <c r="H62" s="230"/>
    </row>
    <row r="63">
      <c r="D63" s="230"/>
      <c r="G63" s="229"/>
      <c r="H63" s="230"/>
    </row>
    <row r="64">
      <c r="D64" s="230"/>
      <c r="G64" s="229"/>
      <c r="H64" s="230"/>
    </row>
    <row r="65">
      <c r="D65" s="230"/>
      <c r="G65" s="229"/>
      <c r="H65" s="230"/>
    </row>
    <row r="66">
      <c r="D66" s="230"/>
      <c r="G66" s="229"/>
      <c r="H66" s="230"/>
    </row>
    <row r="67">
      <c r="D67" s="230"/>
      <c r="G67" s="229"/>
      <c r="H67" s="230"/>
    </row>
    <row r="68">
      <c r="D68" s="230"/>
      <c r="G68" s="229"/>
      <c r="H68" s="230"/>
    </row>
    <row r="69">
      <c r="D69" s="230"/>
      <c r="G69" s="229"/>
      <c r="H69" s="230"/>
    </row>
    <row r="70">
      <c r="D70" s="230"/>
      <c r="G70" s="229"/>
      <c r="H70" s="230"/>
    </row>
    <row r="71">
      <c r="D71" s="230"/>
      <c r="G71" s="229"/>
      <c r="H71" s="230"/>
    </row>
    <row r="72">
      <c r="D72" s="230"/>
      <c r="G72" s="229"/>
      <c r="H72" s="230"/>
    </row>
    <row r="73">
      <c r="D73" s="230"/>
      <c r="G73" s="229"/>
      <c r="H73" s="230"/>
    </row>
    <row r="74">
      <c r="D74" s="230"/>
      <c r="G74" s="229"/>
      <c r="H74" s="230"/>
    </row>
    <row r="75">
      <c r="D75" s="230"/>
      <c r="G75" s="229"/>
      <c r="H75" s="230"/>
    </row>
    <row r="76">
      <c r="D76" s="230"/>
      <c r="G76" s="229"/>
      <c r="H76" s="230"/>
    </row>
    <row r="77">
      <c r="D77" s="230"/>
      <c r="G77" s="229"/>
      <c r="H77" s="230"/>
    </row>
    <row r="78">
      <c r="D78" s="230"/>
      <c r="G78" s="229"/>
      <c r="H78" s="230"/>
    </row>
    <row r="79">
      <c r="D79" s="230"/>
      <c r="G79" s="229"/>
      <c r="H79" s="230"/>
    </row>
    <row r="80">
      <c r="D80" s="230"/>
      <c r="G80" s="229"/>
      <c r="H80" s="230"/>
    </row>
    <row r="81">
      <c r="D81" s="230"/>
      <c r="G81" s="229"/>
      <c r="H81" s="230"/>
    </row>
    <row r="82">
      <c r="D82" s="230"/>
      <c r="G82" s="229"/>
      <c r="H82" s="230"/>
    </row>
    <row r="83">
      <c r="D83" s="230"/>
      <c r="G83" s="229"/>
      <c r="H83" s="230"/>
    </row>
    <row r="84">
      <c r="D84" s="230"/>
      <c r="G84" s="229"/>
      <c r="H84" s="230"/>
    </row>
    <row r="85">
      <c r="D85" s="230"/>
      <c r="G85" s="229"/>
      <c r="H85" s="230"/>
    </row>
    <row r="86">
      <c r="D86" s="230"/>
      <c r="G86" s="229"/>
      <c r="H86" s="230"/>
    </row>
    <row r="87">
      <c r="D87" s="230"/>
      <c r="G87" s="229"/>
      <c r="H87" s="230"/>
    </row>
    <row r="88">
      <c r="D88" s="230"/>
      <c r="G88" s="229"/>
      <c r="H88" s="230"/>
    </row>
    <row r="89">
      <c r="D89" s="230"/>
      <c r="G89" s="229"/>
      <c r="H89" s="230"/>
    </row>
    <row r="90">
      <c r="D90" s="230"/>
      <c r="G90" s="229"/>
      <c r="H90" s="230"/>
    </row>
    <row r="91">
      <c r="D91" s="230"/>
      <c r="G91" s="229"/>
      <c r="H91" s="230"/>
    </row>
    <row r="92">
      <c r="D92" s="230"/>
      <c r="G92" s="229"/>
      <c r="H92" s="230"/>
    </row>
    <row r="93">
      <c r="D93" s="230"/>
      <c r="G93" s="229"/>
      <c r="H93" s="230"/>
    </row>
    <row r="94">
      <c r="D94" s="230"/>
      <c r="G94" s="229"/>
      <c r="H94" s="230"/>
    </row>
    <row r="95">
      <c r="D95" s="230"/>
      <c r="G95" s="229"/>
      <c r="H95" s="230"/>
    </row>
    <row r="96">
      <c r="D96" s="230"/>
      <c r="G96" s="229"/>
      <c r="H96" s="230"/>
    </row>
    <row r="97">
      <c r="D97" s="230"/>
      <c r="G97" s="229"/>
      <c r="H97" s="230"/>
    </row>
    <row r="98">
      <c r="D98" s="230"/>
      <c r="G98" s="229"/>
      <c r="H98" s="230"/>
    </row>
    <row r="99">
      <c r="D99" s="230"/>
      <c r="G99" s="229"/>
      <c r="H99" s="230"/>
    </row>
    <row r="100">
      <c r="D100" s="230"/>
      <c r="G100" s="229"/>
      <c r="H100" s="230"/>
    </row>
    <row r="101">
      <c r="D101" s="230"/>
      <c r="G101" s="229"/>
      <c r="H101" s="230"/>
    </row>
    <row r="102">
      <c r="D102" s="230"/>
      <c r="G102" s="229"/>
      <c r="H102" s="230"/>
    </row>
    <row r="103">
      <c r="D103" s="230"/>
      <c r="G103" s="229"/>
      <c r="H103" s="230"/>
    </row>
    <row r="104">
      <c r="D104" s="230"/>
      <c r="G104" s="229"/>
      <c r="H104" s="230"/>
    </row>
    <row r="105">
      <c r="D105" s="230"/>
      <c r="G105" s="229"/>
      <c r="H105" s="230"/>
    </row>
    <row r="106">
      <c r="D106" s="230"/>
      <c r="G106" s="229"/>
      <c r="H106" s="230"/>
    </row>
    <row r="107">
      <c r="D107" s="230"/>
      <c r="G107" s="229"/>
      <c r="H107" s="230"/>
    </row>
    <row r="108">
      <c r="D108" s="230"/>
      <c r="G108" s="229"/>
      <c r="H108" s="230"/>
    </row>
    <row r="109">
      <c r="D109" s="230"/>
      <c r="G109" s="229"/>
      <c r="H109" s="230"/>
    </row>
    <row r="110">
      <c r="D110" s="230"/>
      <c r="G110" s="229"/>
      <c r="H110" s="230"/>
    </row>
    <row r="111">
      <c r="D111" s="230"/>
      <c r="G111" s="229"/>
      <c r="H111" s="230"/>
    </row>
    <row r="112">
      <c r="D112" s="230"/>
      <c r="G112" s="229"/>
      <c r="H112" s="230"/>
    </row>
    <row r="113">
      <c r="D113" s="230"/>
      <c r="G113" s="229"/>
      <c r="H113" s="230"/>
    </row>
    <row r="114">
      <c r="D114" s="230"/>
      <c r="G114" s="229"/>
      <c r="H114" s="230"/>
    </row>
    <row r="115">
      <c r="D115" s="230"/>
      <c r="G115" s="229"/>
      <c r="H115" s="230"/>
    </row>
    <row r="116">
      <c r="D116" s="230"/>
      <c r="G116" s="229"/>
      <c r="H116" s="230"/>
    </row>
    <row r="117">
      <c r="D117" s="230"/>
      <c r="G117" s="229"/>
      <c r="H117" s="230"/>
    </row>
    <row r="118">
      <c r="D118" s="230"/>
      <c r="G118" s="229"/>
      <c r="H118" s="230"/>
    </row>
    <row r="119">
      <c r="D119" s="230"/>
      <c r="G119" s="229"/>
      <c r="H119" s="230"/>
    </row>
    <row r="120">
      <c r="D120" s="230"/>
      <c r="G120" s="229"/>
      <c r="H120" s="230"/>
    </row>
    <row r="121">
      <c r="D121" s="230"/>
      <c r="G121" s="229"/>
      <c r="H121" s="230"/>
    </row>
    <row r="122">
      <c r="D122" s="230"/>
      <c r="G122" s="229"/>
      <c r="H122" s="230"/>
    </row>
    <row r="123">
      <c r="D123" s="230"/>
      <c r="G123" s="229"/>
      <c r="H123" s="230"/>
    </row>
    <row r="124">
      <c r="D124" s="230"/>
      <c r="G124" s="229"/>
      <c r="H124" s="230"/>
    </row>
    <row r="125">
      <c r="D125" s="230"/>
      <c r="G125" s="229"/>
      <c r="H125" s="230"/>
    </row>
    <row r="126">
      <c r="D126" s="230"/>
      <c r="G126" s="229"/>
      <c r="H126" s="230"/>
    </row>
    <row r="127">
      <c r="D127" s="230"/>
      <c r="G127" s="229"/>
      <c r="H127" s="230"/>
    </row>
    <row r="128">
      <c r="D128" s="230"/>
      <c r="G128" s="229"/>
      <c r="H128" s="230"/>
    </row>
    <row r="129">
      <c r="D129" s="230"/>
      <c r="G129" s="229"/>
      <c r="H129" s="230"/>
    </row>
    <row r="130">
      <c r="D130" s="230"/>
      <c r="G130" s="229"/>
      <c r="H130" s="230"/>
    </row>
    <row r="131">
      <c r="D131" s="230"/>
      <c r="G131" s="229"/>
      <c r="H131" s="230"/>
    </row>
    <row r="132">
      <c r="D132" s="230"/>
      <c r="G132" s="229"/>
      <c r="H132" s="230"/>
    </row>
    <row r="133">
      <c r="D133" s="230"/>
      <c r="G133" s="229"/>
      <c r="H133" s="230"/>
    </row>
    <row r="134">
      <c r="D134" s="230"/>
      <c r="G134" s="229"/>
      <c r="H134" s="230"/>
    </row>
    <row r="135">
      <c r="D135" s="230"/>
      <c r="G135" s="229"/>
      <c r="H135" s="230"/>
    </row>
    <row r="136">
      <c r="D136" s="230"/>
      <c r="G136" s="229"/>
      <c r="H136" s="230"/>
    </row>
    <row r="137">
      <c r="D137" s="230"/>
      <c r="G137" s="229"/>
      <c r="H137" s="230"/>
    </row>
    <row r="138">
      <c r="D138" s="230"/>
      <c r="G138" s="229"/>
      <c r="H138" s="230"/>
    </row>
    <row r="139">
      <c r="D139" s="230"/>
      <c r="G139" s="229"/>
      <c r="H139" s="230"/>
    </row>
    <row r="140">
      <c r="D140" s="230"/>
      <c r="G140" s="229"/>
      <c r="H140" s="230"/>
    </row>
    <row r="141">
      <c r="D141" s="230"/>
      <c r="G141" s="229"/>
      <c r="H141" s="230"/>
    </row>
    <row r="142">
      <c r="D142" s="230"/>
      <c r="G142" s="229"/>
      <c r="H142" s="230"/>
    </row>
    <row r="143">
      <c r="D143" s="230"/>
      <c r="G143" s="229"/>
      <c r="H143" s="230"/>
    </row>
    <row r="144">
      <c r="D144" s="230"/>
      <c r="G144" s="229"/>
      <c r="H144" s="230"/>
    </row>
    <row r="145">
      <c r="D145" s="230"/>
      <c r="G145" s="229"/>
      <c r="H145" s="230"/>
    </row>
    <row r="146">
      <c r="D146" s="230"/>
      <c r="G146" s="229"/>
      <c r="H146" s="230"/>
    </row>
    <row r="147">
      <c r="D147" s="230"/>
      <c r="G147" s="229"/>
      <c r="H147" s="230"/>
    </row>
    <row r="148">
      <c r="D148" s="230"/>
      <c r="G148" s="229"/>
      <c r="H148" s="230"/>
    </row>
    <row r="149">
      <c r="D149" s="230"/>
      <c r="G149" s="229"/>
      <c r="H149" s="230"/>
    </row>
    <row r="150">
      <c r="D150" s="230"/>
      <c r="G150" s="229"/>
      <c r="H150" s="230"/>
    </row>
    <row r="151">
      <c r="D151" s="230"/>
      <c r="G151" s="229"/>
      <c r="H151" s="230"/>
    </row>
    <row r="152">
      <c r="D152" s="230"/>
      <c r="G152" s="229"/>
      <c r="H152" s="230"/>
    </row>
    <row r="153">
      <c r="D153" s="230"/>
      <c r="G153" s="229"/>
      <c r="H153" s="230"/>
    </row>
    <row r="154">
      <c r="D154" s="230"/>
      <c r="G154" s="229"/>
      <c r="H154" s="230"/>
    </row>
    <row r="155">
      <c r="D155" s="230"/>
      <c r="G155" s="229"/>
      <c r="H155" s="230"/>
    </row>
    <row r="156">
      <c r="D156" s="230"/>
      <c r="G156" s="229"/>
      <c r="H156" s="230"/>
    </row>
    <row r="157">
      <c r="D157" s="230"/>
      <c r="G157" s="229"/>
      <c r="H157" s="230"/>
    </row>
    <row r="158">
      <c r="D158" s="230"/>
      <c r="G158" s="229"/>
      <c r="H158" s="230"/>
    </row>
    <row r="159">
      <c r="D159" s="230"/>
      <c r="G159" s="229"/>
      <c r="H159" s="230"/>
    </row>
    <row r="160">
      <c r="D160" s="230"/>
      <c r="G160" s="229"/>
      <c r="H160" s="230"/>
    </row>
    <row r="161">
      <c r="D161" s="230"/>
      <c r="G161" s="229"/>
      <c r="H161" s="230"/>
    </row>
    <row r="162">
      <c r="D162" s="230"/>
      <c r="G162" s="229"/>
      <c r="H162" s="230"/>
    </row>
    <row r="163">
      <c r="D163" s="230"/>
      <c r="G163" s="229"/>
      <c r="H163" s="230"/>
    </row>
    <row r="164">
      <c r="D164" s="230"/>
      <c r="G164" s="229"/>
      <c r="H164" s="230"/>
    </row>
    <row r="165">
      <c r="D165" s="230"/>
      <c r="G165" s="229"/>
      <c r="H165" s="230"/>
    </row>
    <row r="166">
      <c r="D166" s="230"/>
      <c r="G166" s="229"/>
      <c r="H166" s="230"/>
    </row>
    <row r="167">
      <c r="D167" s="230"/>
      <c r="G167" s="229"/>
      <c r="H167" s="230"/>
    </row>
    <row r="168">
      <c r="D168" s="230"/>
      <c r="G168" s="229"/>
      <c r="H168" s="230"/>
    </row>
    <row r="169">
      <c r="D169" s="230"/>
      <c r="G169" s="229"/>
      <c r="H169" s="230"/>
    </row>
    <row r="170">
      <c r="D170" s="230"/>
      <c r="G170" s="229"/>
      <c r="H170" s="230"/>
    </row>
    <row r="171">
      <c r="D171" s="230"/>
      <c r="G171" s="229"/>
      <c r="H171" s="230"/>
    </row>
    <row r="172">
      <c r="D172" s="230"/>
      <c r="G172" s="229"/>
      <c r="H172" s="230"/>
    </row>
    <row r="173">
      <c r="D173" s="230"/>
      <c r="G173" s="229"/>
      <c r="H173" s="230"/>
    </row>
    <row r="174">
      <c r="D174" s="230"/>
      <c r="G174" s="229"/>
      <c r="H174" s="230"/>
    </row>
    <row r="175">
      <c r="D175" s="230"/>
      <c r="G175" s="229"/>
      <c r="H175" s="230"/>
    </row>
    <row r="176">
      <c r="D176" s="230"/>
      <c r="G176" s="229"/>
      <c r="H176" s="230"/>
    </row>
    <row r="177">
      <c r="D177" s="230"/>
      <c r="G177" s="229"/>
      <c r="H177" s="230"/>
    </row>
    <row r="178">
      <c r="D178" s="230"/>
      <c r="G178" s="229"/>
      <c r="H178" s="230"/>
    </row>
    <row r="179">
      <c r="D179" s="230"/>
      <c r="G179" s="229"/>
      <c r="H179" s="230"/>
    </row>
    <row r="180">
      <c r="D180" s="230"/>
      <c r="G180" s="229"/>
      <c r="H180" s="230"/>
    </row>
    <row r="181">
      <c r="D181" s="230"/>
      <c r="G181" s="229"/>
      <c r="H181" s="230"/>
    </row>
    <row r="182">
      <c r="D182" s="230"/>
      <c r="G182" s="229"/>
      <c r="H182" s="230"/>
    </row>
    <row r="183">
      <c r="D183" s="230"/>
      <c r="G183" s="229"/>
      <c r="H183" s="230"/>
    </row>
    <row r="184">
      <c r="D184" s="230"/>
      <c r="G184" s="229"/>
      <c r="H184" s="230"/>
    </row>
    <row r="185">
      <c r="D185" s="230"/>
      <c r="G185" s="229"/>
      <c r="H185" s="230"/>
    </row>
    <row r="186">
      <c r="D186" s="230"/>
      <c r="G186" s="229"/>
      <c r="H186" s="230"/>
    </row>
    <row r="187">
      <c r="D187" s="230"/>
      <c r="G187" s="229"/>
      <c r="H187" s="230"/>
    </row>
    <row r="188">
      <c r="D188" s="230"/>
      <c r="G188" s="229"/>
      <c r="H188" s="230"/>
    </row>
    <row r="189">
      <c r="D189" s="230"/>
      <c r="G189" s="229"/>
      <c r="H189" s="230"/>
    </row>
    <row r="190">
      <c r="D190" s="230"/>
      <c r="G190" s="229"/>
      <c r="H190" s="230"/>
    </row>
    <row r="191">
      <c r="D191" s="230"/>
      <c r="G191" s="229"/>
      <c r="H191" s="230"/>
    </row>
    <row r="192">
      <c r="D192" s="230"/>
      <c r="G192" s="229"/>
      <c r="H192" s="230"/>
    </row>
    <row r="193">
      <c r="D193" s="230"/>
      <c r="G193" s="229"/>
      <c r="H193" s="230"/>
    </row>
    <row r="194">
      <c r="D194" s="230"/>
      <c r="G194" s="229"/>
      <c r="H194" s="230"/>
    </row>
    <row r="195">
      <c r="D195" s="230"/>
      <c r="G195" s="229"/>
      <c r="H195" s="230"/>
    </row>
    <row r="196">
      <c r="D196" s="230"/>
      <c r="G196" s="229"/>
      <c r="H196" s="230"/>
    </row>
    <row r="197">
      <c r="D197" s="230"/>
      <c r="G197" s="229"/>
      <c r="H197" s="230"/>
    </row>
    <row r="198">
      <c r="D198" s="230"/>
      <c r="G198" s="229"/>
      <c r="H198" s="230"/>
    </row>
    <row r="199">
      <c r="D199" s="230"/>
      <c r="G199" s="229"/>
      <c r="H199" s="230"/>
    </row>
    <row r="200">
      <c r="D200" s="230"/>
      <c r="G200" s="229"/>
      <c r="H200" s="230"/>
    </row>
    <row r="201">
      <c r="D201" s="230"/>
      <c r="G201" s="229"/>
      <c r="H201" s="230"/>
    </row>
    <row r="202">
      <c r="D202" s="230"/>
      <c r="G202" s="229"/>
      <c r="H202" s="230"/>
    </row>
    <row r="203">
      <c r="D203" s="230"/>
      <c r="G203" s="229"/>
      <c r="H203" s="230"/>
    </row>
    <row r="204">
      <c r="D204" s="230"/>
      <c r="G204" s="229"/>
      <c r="H204" s="230"/>
    </row>
    <row r="205">
      <c r="D205" s="230"/>
      <c r="G205" s="229"/>
      <c r="H205" s="230"/>
    </row>
    <row r="206">
      <c r="D206" s="230"/>
      <c r="G206" s="229"/>
      <c r="H206" s="230"/>
    </row>
    <row r="207">
      <c r="D207" s="230"/>
      <c r="G207" s="229"/>
      <c r="H207" s="230"/>
    </row>
    <row r="208">
      <c r="D208" s="230"/>
      <c r="G208" s="229"/>
      <c r="H208" s="230"/>
    </row>
    <row r="209">
      <c r="D209" s="230"/>
      <c r="G209" s="229"/>
      <c r="H209" s="230"/>
    </row>
    <row r="210">
      <c r="D210" s="230"/>
      <c r="G210" s="229"/>
      <c r="H210" s="230"/>
    </row>
    <row r="211">
      <c r="D211" s="230"/>
      <c r="G211" s="229"/>
      <c r="H211" s="230"/>
    </row>
    <row r="212">
      <c r="D212" s="230"/>
      <c r="G212" s="229"/>
      <c r="H212" s="230"/>
    </row>
    <row r="213">
      <c r="D213" s="230"/>
      <c r="G213" s="229"/>
      <c r="H213" s="230"/>
    </row>
    <row r="214">
      <c r="D214" s="230"/>
      <c r="G214" s="229"/>
      <c r="H214" s="230"/>
    </row>
    <row r="215">
      <c r="D215" s="230"/>
      <c r="G215" s="229"/>
      <c r="H215" s="230"/>
    </row>
    <row r="216">
      <c r="D216" s="230"/>
      <c r="G216" s="229"/>
      <c r="H216" s="230"/>
    </row>
    <row r="217">
      <c r="D217" s="230"/>
      <c r="G217" s="229"/>
      <c r="H217" s="230"/>
    </row>
    <row r="218">
      <c r="D218" s="230"/>
      <c r="G218" s="229"/>
      <c r="H218" s="230"/>
    </row>
    <row r="219">
      <c r="D219" s="230"/>
      <c r="G219" s="229"/>
      <c r="H219" s="230"/>
    </row>
    <row r="220">
      <c r="D220" s="230"/>
      <c r="G220" s="229"/>
      <c r="H220" s="230"/>
    </row>
    <row r="221">
      <c r="D221" s="230"/>
      <c r="G221" s="229"/>
      <c r="H221" s="230"/>
    </row>
    <row r="222">
      <c r="D222" s="230"/>
      <c r="G222" s="229"/>
      <c r="H222" s="230"/>
    </row>
    <row r="223">
      <c r="D223" s="230"/>
      <c r="G223" s="229"/>
      <c r="H223" s="230"/>
    </row>
    <row r="224">
      <c r="D224" s="230"/>
      <c r="G224" s="229"/>
      <c r="H224" s="230"/>
    </row>
    <row r="225">
      <c r="D225" s="230"/>
      <c r="G225" s="229"/>
      <c r="H225" s="230"/>
    </row>
    <row r="226">
      <c r="D226" s="230"/>
      <c r="G226" s="229"/>
      <c r="H226" s="230"/>
    </row>
    <row r="227">
      <c r="D227" s="230"/>
      <c r="G227" s="229"/>
      <c r="H227" s="230"/>
    </row>
    <row r="228">
      <c r="D228" s="230"/>
      <c r="G228" s="229"/>
      <c r="H228" s="230"/>
    </row>
    <row r="229">
      <c r="D229" s="230"/>
      <c r="G229" s="229"/>
      <c r="H229" s="230"/>
    </row>
    <row r="230">
      <c r="D230" s="230"/>
      <c r="G230" s="229"/>
      <c r="H230" s="230"/>
    </row>
    <row r="231">
      <c r="D231" s="230"/>
      <c r="G231" s="229"/>
      <c r="H231" s="230"/>
    </row>
    <row r="232">
      <c r="D232" s="230"/>
      <c r="G232" s="229"/>
      <c r="H232" s="230"/>
    </row>
    <row r="233">
      <c r="D233" s="230"/>
      <c r="G233" s="229"/>
      <c r="H233" s="230"/>
    </row>
    <row r="234">
      <c r="D234" s="230"/>
      <c r="G234" s="229"/>
      <c r="H234" s="230"/>
    </row>
    <row r="235">
      <c r="D235" s="230"/>
      <c r="G235" s="229"/>
      <c r="H235" s="230"/>
    </row>
    <row r="236">
      <c r="D236" s="230"/>
      <c r="G236" s="229"/>
      <c r="H236" s="230"/>
    </row>
    <row r="237">
      <c r="D237" s="230"/>
      <c r="G237" s="229"/>
      <c r="H237" s="230"/>
    </row>
    <row r="238">
      <c r="D238" s="230"/>
      <c r="G238" s="229"/>
      <c r="H238" s="230"/>
    </row>
    <row r="239">
      <c r="D239" s="230"/>
      <c r="G239" s="229"/>
      <c r="H239" s="230"/>
    </row>
    <row r="240">
      <c r="D240" s="230"/>
      <c r="G240" s="229"/>
      <c r="H240" s="230"/>
    </row>
    <row r="241">
      <c r="D241" s="230"/>
      <c r="G241" s="229"/>
      <c r="H241" s="230"/>
    </row>
    <row r="242">
      <c r="D242" s="230"/>
      <c r="G242" s="229"/>
      <c r="H242" s="230"/>
    </row>
    <row r="243">
      <c r="D243" s="230"/>
      <c r="G243" s="229"/>
      <c r="H243" s="230"/>
    </row>
    <row r="244">
      <c r="D244" s="230"/>
      <c r="G244" s="229"/>
      <c r="H244" s="230"/>
    </row>
    <row r="245">
      <c r="D245" s="230"/>
      <c r="G245" s="229"/>
      <c r="H245" s="230"/>
    </row>
    <row r="246">
      <c r="D246" s="230"/>
      <c r="G246" s="229"/>
      <c r="H246" s="230"/>
    </row>
    <row r="247">
      <c r="D247" s="230"/>
      <c r="G247" s="229"/>
      <c r="H247" s="230"/>
    </row>
    <row r="248">
      <c r="D248" s="230"/>
      <c r="G248" s="229"/>
      <c r="H248" s="230"/>
    </row>
    <row r="249">
      <c r="D249" s="230"/>
      <c r="G249" s="229"/>
      <c r="H249" s="230"/>
    </row>
    <row r="250">
      <c r="D250" s="230"/>
      <c r="G250" s="229"/>
      <c r="H250" s="230"/>
    </row>
    <row r="251">
      <c r="D251" s="230"/>
      <c r="G251" s="229"/>
      <c r="H251" s="230"/>
    </row>
    <row r="252">
      <c r="D252" s="230"/>
      <c r="G252" s="229"/>
      <c r="H252" s="230"/>
    </row>
    <row r="253">
      <c r="D253" s="230"/>
      <c r="G253" s="229"/>
      <c r="H253" s="230"/>
    </row>
    <row r="254">
      <c r="D254" s="230"/>
      <c r="G254" s="229"/>
      <c r="H254" s="230"/>
    </row>
    <row r="255">
      <c r="D255" s="230"/>
      <c r="G255" s="229"/>
      <c r="H255" s="230"/>
    </row>
    <row r="256">
      <c r="D256" s="230"/>
      <c r="G256" s="229"/>
      <c r="H256" s="230"/>
    </row>
    <row r="257">
      <c r="D257" s="230"/>
      <c r="G257" s="229"/>
      <c r="H257" s="230"/>
    </row>
    <row r="258">
      <c r="D258" s="230"/>
      <c r="G258" s="229"/>
      <c r="H258" s="230"/>
    </row>
    <row r="259">
      <c r="D259" s="230"/>
      <c r="G259" s="229"/>
      <c r="H259" s="230"/>
    </row>
    <row r="260">
      <c r="D260" s="230"/>
      <c r="G260" s="229"/>
      <c r="H260" s="230"/>
    </row>
    <row r="261">
      <c r="D261" s="230"/>
      <c r="G261" s="229"/>
      <c r="H261" s="230"/>
    </row>
    <row r="262">
      <c r="D262" s="230"/>
      <c r="G262" s="229"/>
      <c r="H262" s="230"/>
    </row>
    <row r="263">
      <c r="D263" s="230"/>
      <c r="G263" s="229"/>
      <c r="H263" s="230"/>
    </row>
    <row r="264">
      <c r="D264" s="230"/>
      <c r="G264" s="229"/>
      <c r="H264" s="230"/>
    </row>
    <row r="265">
      <c r="D265" s="230"/>
      <c r="G265" s="229"/>
      <c r="H265" s="230"/>
    </row>
    <row r="266">
      <c r="D266" s="230"/>
      <c r="G266" s="229"/>
      <c r="H266" s="230"/>
    </row>
    <row r="267">
      <c r="D267" s="230"/>
      <c r="G267" s="229"/>
      <c r="H267" s="230"/>
    </row>
    <row r="268">
      <c r="D268" s="230"/>
      <c r="G268" s="229"/>
      <c r="H268" s="230"/>
    </row>
    <row r="269">
      <c r="D269" s="230"/>
      <c r="G269" s="229"/>
      <c r="H269" s="230"/>
    </row>
    <row r="270">
      <c r="D270" s="230"/>
      <c r="G270" s="229"/>
      <c r="H270" s="230"/>
    </row>
    <row r="271">
      <c r="D271" s="230"/>
      <c r="G271" s="229"/>
      <c r="H271" s="230"/>
    </row>
    <row r="272">
      <c r="D272" s="230"/>
      <c r="G272" s="229"/>
      <c r="H272" s="230"/>
    </row>
    <row r="273">
      <c r="D273" s="230"/>
      <c r="G273" s="229"/>
      <c r="H273" s="230"/>
    </row>
    <row r="274">
      <c r="D274" s="230"/>
      <c r="G274" s="229"/>
      <c r="H274" s="230"/>
    </row>
    <row r="275">
      <c r="D275" s="230"/>
      <c r="G275" s="229"/>
      <c r="H275" s="230"/>
    </row>
    <row r="276">
      <c r="D276" s="230"/>
      <c r="G276" s="229"/>
      <c r="H276" s="230"/>
    </row>
    <row r="277">
      <c r="D277" s="230"/>
      <c r="G277" s="229"/>
      <c r="H277" s="230"/>
    </row>
    <row r="278">
      <c r="D278" s="230"/>
      <c r="G278" s="229"/>
      <c r="H278" s="230"/>
    </row>
    <row r="279">
      <c r="D279" s="230"/>
      <c r="G279" s="229"/>
      <c r="H279" s="230"/>
    </row>
    <row r="280">
      <c r="D280" s="230"/>
      <c r="G280" s="229"/>
      <c r="H280" s="230"/>
    </row>
    <row r="281">
      <c r="D281" s="230"/>
      <c r="G281" s="231"/>
      <c r="H281" s="230"/>
    </row>
    <row r="282">
      <c r="D282" s="230"/>
      <c r="G282" s="231"/>
      <c r="H282" s="230"/>
    </row>
    <row r="283">
      <c r="D283" s="230"/>
      <c r="G283" s="231"/>
      <c r="H283" s="230"/>
    </row>
    <row r="284">
      <c r="D284" s="230"/>
      <c r="G284" s="231"/>
      <c r="H284" s="230"/>
    </row>
    <row r="285">
      <c r="D285" s="230"/>
      <c r="G285" s="231"/>
      <c r="H285" s="230"/>
    </row>
    <row r="286">
      <c r="D286" s="230"/>
      <c r="G286" s="231"/>
      <c r="H286" s="230"/>
    </row>
    <row r="287">
      <c r="D287" s="230"/>
      <c r="G287" s="231"/>
      <c r="H287" s="230"/>
    </row>
    <row r="288">
      <c r="D288" s="230"/>
      <c r="G288" s="231"/>
      <c r="H288" s="230"/>
    </row>
    <row r="289">
      <c r="D289" s="230"/>
      <c r="G289" s="231"/>
      <c r="H289" s="230"/>
    </row>
    <row r="290">
      <c r="D290" s="230"/>
      <c r="G290" s="231"/>
      <c r="H290" s="230"/>
    </row>
    <row r="291">
      <c r="D291" s="230"/>
      <c r="G291" s="231"/>
      <c r="H291" s="230"/>
    </row>
    <row r="292">
      <c r="D292" s="230"/>
      <c r="G292" s="231"/>
      <c r="H292" s="230"/>
    </row>
    <row r="293">
      <c r="D293" s="230"/>
      <c r="G293" s="231"/>
      <c r="H293" s="230"/>
    </row>
    <row r="294">
      <c r="D294" s="230"/>
      <c r="G294" s="231"/>
      <c r="H294" s="230"/>
    </row>
    <row r="295">
      <c r="D295" s="230"/>
      <c r="G295" s="231"/>
      <c r="H295" s="230"/>
    </row>
    <row r="296">
      <c r="D296" s="230"/>
      <c r="G296" s="231"/>
      <c r="H296" s="230"/>
    </row>
    <row r="297">
      <c r="D297" s="230"/>
      <c r="G297" s="231"/>
      <c r="H297" s="230"/>
    </row>
    <row r="298">
      <c r="D298" s="230"/>
      <c r="G298" s="231"/>
      <c r="H298" s="230"/>
    </row>
    <row r="299">
      <c r="D299" s="230"/>
      <c r="G299" s="231"/>
      <c r="H299" s="230"/>
    </row>
    <row r="300">
      <c r="D300" s="230"/>
      <c r="G300" s="231"/>
      <c r="H300" s="230"/>
    </row>
    <row r="301">
      <c r="D301" s="230"/>
      <c r="G301" s="231"/>
      <c r="H301" s="230"/>
    </row>
    <row r="302">
      <c r="D302" s="230"/>
      <c r="G302" s="231"/>
      <c r="H302" s="230"/>
    </row>
    <row r="303">
      <c r="D303" s="230"/>
      <c r="G303" s="231"/>
      <c r="H303" s="230"/>
    </row>
    <row r="304">
      <c r="D304" s="230"/>
      <c r="G304" s="231"/>
      <c r="H304" s="230"/>
    </row>
    <row r="305">
      <c r="D305" s="230"/>
      <c r="G305" s="231"/>
      <c r="H305" s="230"/>
    </row>
    <row r="306">
      <c r="D306" s="230"/>
      <c r="G306" s="231"/>
      <c r="H306" s="230"/>
    </row>
    <row r="307">
      <c r="D307" s="230"/>
      <c r="G307" s="231"/>
      <c r="H307" s="230"/>
    </row>
    <row r="308">
      <c r="D308" s="230"/>
      <c r="G308" s="231"/>
      <c r="H308" s="230"/>
    </row>
    <row r="309">
      <c r="D309" s="230"/>
      <c r="G309" s="231"/>
      <c r="H309" s="230"/>
    </row>
    <row r="310">
      <c r="D310" s="230"/>
      <c r="G310" s="231"/>
      <c r="H310" s="230"/>
    </row>
    <row r="311">
      <c r="D311" s="230"/>
      <c r="G311" s="231"/>
      <c r="H311" s="230"/>
    </row>
    <row r="312">
      <c r="D312" s="230"/>
      <c r="G312" s="231"/>
      <c r="H312" s="230"/>
    </row>
    <row r="313">
      <c r="D313" s="230"/>
      <c r="G313" s="231"/>
      <c r="H313" s="230"/>
    </row>
    <row r="314">
      <c r="D314" s="230"/>
      <c r="G314" s="231"/>
      <c r="H314" s="230"/>
    </row>
    <row r="315">
      <c r="D315" s="230"/>
      <c r="G315" s="231"/>
      <c r="H315" s="230"/>
    </row>
    <row r="316">
      <c r="D316" s="230"/>
      <c r="G316" s="231"/>
      <c r="H316" s="230"/>
    </row>
    <row r="317">
      <c r="D317" s="230"/>
      <c r="G317" s="231"/>
      <c r="H317" s="230"/>
    </row>
    <row r="318">
      <c r="D318" s="230"/>
      <c r="G318" s="231"/>
      <c r="H318" s="230"/>
    </row>
    <row r="319">
      <c r="D319" s="230"/>
      <c r="G319" s="231"/>
      <c r="H319" s="230"/>
    </row>
    <row r="320">
      <c r="D320" s="230"/>
      <c r="G320" s="231"/>
      <c r="H320" s="230"/>
    </row>
    <row r="321">
      <c r="D321" s="230"/>
      <c r="G321" s="231"/>
      <c r="H321" s="230"/>
    </row>
    <row r="322">
      <c r="D322" s="230"/>
      <c r="G322" s="231"/>
      <c r="H322" s="230"/>
    </row>
    <row r="323">
      <c r="D323" s="230"/>
      <c r="G323" s="231"/>
      <c r="H323" s="230"/>
    </row>
    <row r="324">
      <c r="D324" s="230"/>
      <c r="G324" s="231"/>
      <c r="H324" s="230"/>
    </row>
    <row r="325">
      <c r="D325" s="230"/>
      <c r="G325" s="231"/>
      <c r="H325" s="230"/>
    </row>
    <row r="326">
      <c r="D326" s="230"/>
      <c r="G326" s="231"/>
      <c r="H326" s="230"/>
    </row>
    <row r="327">
      <c r="D327" s="230"/>
      <c r="G327" s="231"/>
      <c r="H327" s="230"/>
    </row>
    <row r="328">
      <c r="D328" s="230"/>
      <c r="G328" s="231"/>
      <c r="H328" s="230"/>
    </row>
    <row r="329">
      <c r="D329" s="230"/>
      <c r="G329" s="231"/>
      <c r="H329" s="230"/>
    </row>
    <row r="330">
      <c r="D330" s="230"/>
      <c r="G330" s="231"/>
      <c r="H330" s="230"/>
    </row>
    <row r="331">
      <c r="D331" s="230"/>
      <c r="G331" s="231"/>
      <c r="H331" s="230"/>
    </row>
    <row r="332">
      <c r="D332" s="230"/>
      <c r="G332" s="231"/>
      <c r="H332" s="230"/>
    </row>
    <row r="333">
      <c r="D333" s="230"/>
      <c r="G333" s="231"/>
      <c r="H333" s="230"/>
    </row>
    <row r="334">
      <c r="D334" s="230"/>
      <c r="G334" s="231"/>
      <c r="H334" s="230"/>
    </row>
    <row r="335">
      <c r="D335" s="230"/>
      <c r="G335" s="231"/>
      <c r="H335" s="230"/>
    </row>
    <row r="336">
      <c r="D336" s="230"/>
      <c r="G336" s="231"/>
      <c r="H336" s="230"/>
    </row>
    <row r="337">
      <c r="D337" s="230"/>
      <c r="G337" s="231"/>
      <c r="H337" s="230"/>
    </row>
    <row r="338">
      <c r="D338" s="230"/>
      <c r="G338" s="231"/>
      <c r="H338" s="230"/>
    </row>
    <row r="339">
      <c r="D339" s="230"/>
      <c r="G339" s="231"/>
      <c r="H339" s="230"/>
    </row>
    <row r="340">
      <c r="D340" s="230"/>
      <c r="G340" s="231"/>
      <c r="H340" s="230"/>
    </row>
    <row r="341">
      <c r="D341" s="230"/>
      <c r="G341" s="231"/>
      <c r="H341" s="230"/>
    </row>
    <row r="342">
      <c r="D342" s="230"/>
      <c r="G342" s="231"/>
      <c r="H342" s="230"/>
    </row>
    <row r="343">
      <c r="D343" s="230"/>
      <c r="G343" s="231"/>
      <c r="H343" s="230"/>
    </row>
    <row r="344">
      <c r="D344" s="230"/>
      <c r="G344" s="231"/>
      <c r="H344" s="230"/>
    </row>
    <row r="345">
      <c r="D345" s="230"/>
      <c r="G345" s="231"/>
      <c r="H345" s="230"/>
    </row>
    <row r="346">
      <c r="D346" s="230"/>
      <c r="G346" s="231"/>
      <c r="H346" s="230"/>
    </row>
    <row r="347">
      <c r="D347" s="230"/>
      <c r="G347" s="231"/>
      <c r="H347" s="230"/>
    </row>
    <row r="348">
      <c r="D348" s="230"/>
      <c r="G348" s="231"/>
      <c r="H348" s="230"/>
    </row>
    <row r="349">
      <c r="D349" s="230"/>
      <c r="G349" s="231"/>
      <c r="H349" s="230"/>
    </row>
    <row r="350">
      <c r="D350" s="230"/>
      <c r="G350" s="231"/>
      <c r="H350" s="230"/>
    </row>
    <row r="351">
      <c r="D351" s="230"/>
      <c r="G351" s="231"/>
      <c r="H351" s="230"/>
    </row>
    <row r="352">
      <c r="D352" s="230"/>
      <c r="G352" s="231"/>
      <c r="H352" s="230"/>
    </row>
    <row r="353">
      <c r="D353" s="230"/>
      <c r="G353" s="231"/>
      <c r="H353" s="230"/>
    </row>
    <row r="354">
      <c r="D354" s="230"/>
      <c r="G354" s="231"/>
      <c r="H354" s="230"/>
    </row>
    <row r="355">
      <c r="D355" s="230"/>
      <c r="G355" s="231"/>
      <c r="H355" s="230"/>
    </row>
    <row r="356">
      <c r="D356" s="230"/>
      <c r="G356" s="231"/>
      <c r="H356" s="230"/>
    </row>
    <row r="357">
      <c r="D357" s="230"/>
      <c r="G357" s="231"/>
      <c r="H357" s="230"/>
    </row>
    <row r="358">
      <c r="D358" s="230"/>
      <c r="G358" s="231"/>
      <c r="H358" s="230"/>
    </row>
    <row r="359">
      <c r="D359" s="230"/>
      <c r="G359" s="231"/>
      <c r="H359" s="230"/>
    </row>
    <row r="360">
      <c r="D360" s="230"/>
      <c r="G360" s="231"/>
      <c r="H360" s="230"/>
    </row>
    <row r="361">
      <c r="D361" s="230"/>
      <c r="G361" s="231"/>
      <c r="H361" s="230"/>
    </row>
    <row r="362">
      <c r="D362" s="230"/>
      <c r="G362" s="231"/>
      <c r="H362" s="230"/>
    </row>
    <row r="363">
      <c r="D363" s="230"/>
      <c r="G363" s="231"/>
      <c r="H363" s="230"/>
    </row>
    <row r="364">
      <c r="D364" s="230"/>
      <c r="G364" s="231"/>
      <c r="H364" s="230"/>
    </row>
    <row r="365">
      <c r="D365" s="230"/>
      <c r="G365" s="231"/>
      <c r="H365" s="230"/>
    </row>
    <row r="366">
      <c r="D366" s="230"/>
      <c r="G366" s="231"/>
      <c r="H366" s="230"/>
    </row>
    <row r="367">
      <c r="D367" s="230"/>
      <c r="G367" s="231"/>
      <c r="H367" s="230"/>
    </row>
    <row r="368">
      <c r="D368" s="230"/>
      <c r="G368" s="231"/>
      <c r="H368" s="230"/>
    </row>
    <row r="369">
      <c r="D369" s="230"/>
      <c r="G369" s="231"/>
      <c r="H369" s="230"/>
    </row>
    <row r="370">
      <c r="D370" s="230"/>
      <c r="G370" s="231"/>
      <c r="H370" s="230"/>
    </row>
    <row r="371">
      <c r="D371" s="230"/>
      <c r="G371" s="231"/>
      <c r="H371" s="230"/>
    </row>
    <row r="372">
      <c r="D372" s="230"/>
      <c r="G372" s="231"/>
      <c r="H372" s="230"/>
    </row>
    <row r="373">
      <c r="D373" s="230"/>
      <c r="G373" s="231"/>
      <c r="H373" s="230"/>
    </row>
    <row r="374">
      <c r="D374" s="230"/>
      <c r="G374" s="231"/>
      <c r="H374" s="230"/>
    </row>
    <row r="375">
      <c r="D375" s="230"/>
      <c r="G375" s="231"/>
      <c r="H375" s="230"/>
    </row>
    <row r="376">
      <c r="D376" s="230"/>
      <c r="G376" s="231"/>
      <c r="H376" s="230"/>
    </row>
    <row r="377">
      <c r="D377" s="230"/>
      <c r="G377" s="231"/>
      <c r="H377" s="230"/>
    </row>
    <row r="378">
      <c r="D378" s="230"/>
      <c r="G378" s="231"/>
      <c r="H378" s="230"/>
    </row>
    <row r="379">
      <c r="D379" s="230"/>
      <c r="G379" s="231"/>
      <c r="H379" s="230"/>
    </row>
    <row r="380">
      <c r="D380" s="230"/>
      <c r="G380" s="231"/>
      <c r="H380" s="230"/>
    </row>
    <row r="381">
      <c r="D381" s="230"/>
      <c r="G381" s="231"/>
      <c r="H381" s="230"/>
    </row>
    <row r="382">
      <c r="D382" s="230"/>
      <c r="G382" s="231"/>
      <c r="H382" s="230"/>
    </row>
    <row r="383">
      <c r="D383" s="230"/>
      <c r="G383" s="231"/>
      <c r="H383" s="230"/>
    </row>
    <row r="384">
      <c r="D384" s="230"/>
      <c r="G384" s="231"/>
      <c r="H384" s="230"/>
    </row>
    <row r="385">
      <c r="D385" s="230"/>
      <c r="G385" s="231"/>
      <c r="H385" s="230"/>
    </row>
    <row r="386">
      <c r="D386" s="230"/>
      <c r="G386" s="231"/>
      <c r="H386" s="230"/>
    </row>
    <row r="387">
      <c r="D387" s="230"/>
      <c r="G387" s="231"/>
      <c r="H387" s="230"/>
    </row>
    <row r="388">
      <c r="D388" s="230"/>
      <c r="G388" s="231"/>
      <c r="H388" s="230"/>
    </row>
    <row r="389">
      <c r="D389" s="230"/>
      <c r="G389" s="231"/>
      <c r="H389" s="230"/>
    </row>
    <row r="390">
      <c r="D390" s="230"/>
      <c r="G390" s="231"/>
      <c r="H390" s="230"/>
    </row>
    <row r="391">
      <c r="D391" s="230"/>
      <c r="G391" s="231"/>
      <c r="H391" s="230"/>
    </row>
    <row r="392">
      <c r="D392" s="230"/>
      <c r="G392" s="231"/>
      <c r="H392" s="230"/>
    </row>
    <row r="393">
      <c r="D393" s="230"/>
      <c r="G393" s="231"/>
      <c r="H393" s="230"/>
    </row>
    <row r="394">
      <c r="D394" s="230"/>
      <c r="G394" s="231"/>
      <c r="H394" s="230"/>
    </row>
    <row r="395">
      <c r="D395" s="230"/>
      <c r="G395" s="231"/>
      <c r="H395" s="230"/>
    </row>
    <row r="396">
      <c r="D396" s="230"/>
      <c r="G396" s="231"/>
      <c r="H396" s="230"/>
    </row>
    <row r="397">
      <c r="D397" s="230"/>
      <c r="G397" s="231"/>
      <c r="H397" s="230"/>
    </row>
    <row r="398">
      <c r="D398" s="230"/>
      <c r="G398" s="231"/>
      <c r="H398" s="230"/>
    </row>
    <row r="399">
      <c r="D399" s="230"/>
      <c r="G399" s="231"/>
      <c r="H399" s="230"/>
    </row>
    <row r="400">
      <c r="D400" s="230"/>
      <c r="G400" s="231"/>
      <c r="H400" s="230"/>
    </row>
    <row r="401">
      <c r="D401" s="230"/>
      <c r="G401" s="231"/>
      <c r="H401" s="230"/>
    </row>
    <row r="402">
      <c r="D402" s="230"/>
      <c r="G402" s="231"/>
      <c r="H402" s="230"/>
    </row>
    <row r="403">
      <c r="D403" s="230"/>
      <c r="G403" s="231"/>
      <c r="H403" s="230"/>
    </row>
    <row r="404">
      <c r="D404" s="230"/>
      <c r="G404" s="231"/>
      <c r="H404" s="230"/>
    </row>
    <row r="405">
      <c r="D405" s="230"/>
      <c r="G405" s="231"/>
      <c r="H405" s="230"/>
    </row>
    <row r="406">
      <c r="D406" s="230"/>
      <c r="G406" s="231"/>
      <c r="H406" s="230"/>
    </row>
  </sheetData>
  <sheetProtection sheet="1" objects="1" scenarios="1" formatCells="0" formatColumns="0" formatRows="0" sort="0" autoFilter="0" pivotTables="0"/>
  <conditionalFormatting sqref="H1:H1048576">
    <cfRule type="expression" dxfId="10" priority="1">
      <formula>ISNA(H1)</formula>
    </cfRule>
  </conditionalFormatting>
  <pageMargins left="0.7" right="0.7" top="0.75" bottom="0.75" header="0.3" footer="0.3"/>
  <pageSetup paperSize="9"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I11"/>
  <sheetViews>
    <sheetView topLeftCell="A7" zoomScaleNormal="100" workbookViewId="0">
      <selection activeCell="Y3" sqref="Y3"/>
    </sheetView>
  </sheetViews>
  <sheetFormatPr defaultColWidth="9.140625" defaultRowHeight="12.75"/>
  <cols>
    <col min="1" max="1" bestFit="1" width="5" customWidth="1" style="364"/>
    <col min="2" max="2" width="19" customWidth="1" style="367"/>
    <col min="3" max="3" width="16.5703125" customWidth="1" style="364"/>
    <col min="4" max="4" width="9.140625" customWidth="1" style="728"/>
    <col min="5" max="5" width="54.140625" customWidth="1" style="364"/>
    <col min="6" max="6" width="16.5703125" customWidth="1" style="364"/>
    <col min="7" max="7" bestFit="1" width="10.6702608380999" customWidth="1" style="728"/>
    <col min="8" max="8" bestFit="1" width="9.68904876708984" customWidth="1" style="734"/>
    <col min="9" max="9" width="10.5703125" customWidth="1" style="368"/>
    <col min="10" max="10" width="23.140625" customWidth="1" style="366"/>
    <col min="11" max="12" bestFit="1" width="11.28515625" customWidth="1" style="366"/>
    <col min="13" max="13" width="33.28515625" customWidth="1" style="366"/>
    <col min="14" max="15" width="15.28515625" customWidth="1" style="366"/>
    <col min="16" max="16" width="9.140625" customWidth="1" style="366"/>
    <col min="17" max="17" bestFit="1" width="15.42578125" customWidth="1" style="366"/>
    <col min="18" max="18" width="42.140625" customWidth="1" style="366"/>
    <col min="19" max="19" width="27.28515625" customWidth="1" style="366"/>
    <col min="20" max="20" width="14.28515625" customWidth="1" style="366"/>
    <col min="21" max="21" width="9.85546875" customWidth="1" style="366"/>
    <col min="22" max="22" width="20.42578125" customWidth="1" style="366"/>
    <col min="23" max="24" width="13" customWidth="1" style="366"/>
    <col min="25" max="25" width="9.140625" customWidth="1" style="734"/>
    <col min="26" max="26" width="13" customWidth="1" style="366"/>
    <col min="27" max="27" width="9.140625" customWidth="1" style="734"/>
    <col min="28" max="29" width="13" customWidth="1" style="366"/>
    <col min="30" max="30" width="32.28515625" customWidth="1" style="366"/>
    <col min="31" max="31" width="11.7109375" customWidth="1" style="366"/>
    <col min="32" max="32" width="10.7109375" customWidth="1" style="366"/>
    <col min="33" max="33" width="24.7109375" customWidth="1" style="366"/>
    <col min="34" max="34" width="9.140625" customWidth="1" style="734"/>
    <col min="35" max="35" width="9.140625" customWidth="1" style="734"/>
    <col min="36" max="16384" width="9.140625" customWidth="1" style="366"/>
  </cols>
  <sheetData>
    <row r="1" ht="42.75" s="364" customFormat="1">
      <c r="A1" s="232" t="s">
        <v>0</v>
      </c>
      <c r="B1" s="232" t="s">
        <v>402</v>
      </c>
      <c r="C1" s="232" t="s">
        <v>403</v>
      </c>
      <c r="D1" s="729" t="s">
        <v>404</v>
      </c>
      <c r="E1" s="233" t="s">
        <v>47</v>
      </c>
      <c r="F1" s="233" t="s">
        <v>405</v>
      </c>
      <c r="G1" s="732" t="s">
        <v>406</v>
      </c>
      <c r="H1" s="732" t="s">
        <v>407</v>
      </c>
      <c r="I1" s="234" t="s">
        <v>408</v>
      </c>
      <c r="J1" s="234" t="s">
        <v>409</v>
      </c>
      <c r="K1" s="234" t="s">
        <v>410</v>
      </c>
      <c r="L1" s="234" t="s">
        <v>411</v>
      </c>
      <c r="M1" s="234" t="s">
        <v>412</v>
      </c>
      <c r="N1" s="234" t="s">
        <v>413</v>
      </c>
      <c r="O1" s="234" t="s">
        <v>414</v>
      </c>
      <c r="P1" s="234" t="s">
        <v>415</v>
      </c>
      <c r="Q1" s="234" t="s">
        <v>416</v>
      </c>
      <c r="R1" s="234" t="s">
        <v>417</v>
      </c>
      <c r="S1" s="234" t="s">
        <v>418</v>
      </c>
      <c r="T1" s="234" t="s">
        <v>419</v>
      </c>
      <c r="U1" s="234" t="s">
        <v>420</v>
      </c>
      <c r="V1" s="234" t="s">
        <v>421</v>
      </c>
      <c r="W1" s="235" t="s">
        <v>422</v>
      </c>
      <c r="X1" s="235" t="s">
        <v>423</v>
      </c>
      <c r="Y1" s="735" t="s">
        <v>424</v>
      </c>
      <c r="Z1" s="235" t="s">
        <v>425</v>
      </c>
      <c r="AA1" s="735" t="s">
        <v>426</v>
      </c>
      <c r="AB1" s="235" t="s">
        <v>427</v>
      </c>
      <c r="AC1" s="235" t="s">
        <v>428</v>
      </c>
      <c r="AD1" s="203" t="s">
        <v>429</v>
      </c>
      <c r="AE1" s="233" t="s">
        <v>430</v>
      </c>
      <c r="AF1" s="233" t="s">
        <v>431</v>
      </c>
      <c r="AG1" s="233" t="s">
        <v>432</v>
      </c>
      <c r="AH1" s="729" t="s">
        <v>589</v>
      </c>
      <c r="AI1" s="729" t="s">
        <v>590</v>
      </c>
    </row>
    <row r="2" ht="51" s="365" customFormat="1">
      <c r="A2" s="356">
        <v>1</v>
      </c>
      <c r="B2" s="571" t="s">
        <v>839</v>
      </c>
      <c r="C2" s="356" t="s">
        <v>160</v>
      </c>
      <c r="D2" s="730" t="str">
        <f>Check!D2</f>
        <v>BDGTDM002</v>
      </c>
      <c r="E2" s="237" t="s">
        <v>618</v>
      </c>
      <c r="F2" s="238" t="s">
        <v>6</v>
      </c>
      <c r="G2" s="733" t="s">
        <v>619</v>
      </c>
      <c r="H2" s="733" t="s">
        <v>620</v>
      </c>
      <c r="I2" s="239">
        <v>3</v>
      </c>
      <c r="J2" s="238" t="s">
        <v>621</v>
      </c>
      <c r="K2" s="240">
        <v>43423</v>
      </c>
      <c r="L2" s="240">
        <v>43395</v>
      </c>
      <c r="M2" s="241" t="s">
        <v>624</v>
      </c>
      <c r="N2" s="241" t="s">
        <v>625</v>
      </c>
      <c r="O2" s="242" t="s">
        <v>626</v>
      </c>
      <c r="P2" s="241" t="s">
        <v>627</v>
      </c>
      <c r="Q2" s="243" t="s">
        <v>628</v>
      </c>
      <c r="R2" s="244" t="s">
        <v>629</v>
      </c>
      <c r="S2" s="245" t="s">
        <v>630</v>
      </c>
      <c r="T2" s="245" t="s">
        <v>631</v>
      </c>
      <c r="U2" s="246">
        <v>1</v>
      </c>
      <c r="V2" s="241" t="s">
        <v>632</v>
      </c>
      <c r="W2" s="356" t="b">
        <v>1</v>
      </c>
      <c r="X2" s="356" t="b">
        <v>1</v>
      </c>
      <c r="Y2" s="731"/>
      <c r="Z2" s="356" t="b">
        <v>0</v>
      </c>
      <c r="AA2" s="731"/>
      <c r="AB2" s="356" t="b">
        <v>0</v>
      </c>
      <c r="AC2" s="356" t="b">
        <v>1</v>
      </c>
      <c r="AD2" s="357"/>
      <c r="AE2" s="357"/>
      <c r="AF2" s="357" t="s">
        <v>50</v>
      </c>
      <c r="AG2" s="357" t="s">
        <v>633</v>
      </c>
      <c r="AH2" s="736">
        <f>Check!GI2</f>
        <v>36</v>
      </c>
      <c r="AI2" s="736">
        <f>Check!GJ2</f>
        <v>36</v>
      </c>
    </row>
    <row r="3" ht="76.5">
      <c r="A3" s="356">
        <v>2</v>
      </c>
      <c r="B3" s="571" t="s">
        <v>839</v>
      </c>
      <c r="C3" s="356" t="s">
        <v>160</v>
      </c>
      <c r="D3" s="731" t="str">
        <f>Check!D3</f>
        <v>BDGTDM003</v>
      </c>
      <c r="E3" s="237" t="s">
        <v>725</v>
      </c>
      <c r="F3" s="238" t="s">
        <v>6</v>
      </c>
      <c r="G3" s="733" t="s">
        <v>743</v>
      </c>
      <c r="H3" s="733" t="s">
        <v>744</v>
      </c>
      <c r="I3" s="239">
        <v>5</v>
      </c>
      <c r="J3" s="238" t="s">
        <v>727</v>
      </c>
      <c r="K3" s="240">
        <v>43423</v>
      </c>
      <c r="L3" s="240">
        <v>43395</v>
      </c>
      <c r="M3" s="241" t="s">
        <v>745</v>
      </c>
      <c r="N3" s="241" t="s">
        <v>746</v>
      </c>
      <c r="O3" s="242" t="s">
        <v>747</v>
      </c>
      <c r="P3" s="241" t="s">
        <v>748</v>
      </c>
      <c r="Q3" s="243" t="s">
        <v>749</v>
      </c>
      <c r="R3" s="244" t="s">
        <v>750</v>
      </c>
      <c r="S3" s="245" t="s">
        <v>751</v>
      </c>
      <c r="T3" s="245" t="s">
        <v>752</v>
      </c>
      <c r="U3" s="246">
        <v>1</v>
      </c>
      <c r="V3" s="241" t="s">
        <v>753</v>
      </c>
      <c r="W3" s="356" t="b">
        <v>1</v>
      </c>
      <c r="X3" s="356" t="b">
        <v>1</v>
      </c>
      <c r="Y3" s="731">
        <v>34</v>
      </c>
      <c r="Z3" s="356" t="b">
        <v>1</v>
      </c>
      <c r="AA3" s="731">
        <v>10</v>
      </c>
      <c r="AB3" s="356" t="b">
        <v>0</v>
      </c>
      <c r="AC3" s="356" t="b">
        <v>1</v>
      </c>
      <c r="AD3" s="357"/>
      <c r="AE3" s="357"/>
      <c r="AF3" s="357" t="s">
        <v>50</v>
      </c>
      <c r="AG3" s="357" t="s">
        <v>728</v>
      </c>
      <c r="AH3" s="737">
        <f>Check!GI3</f>
        <v>34</v>
      </c>
      <c r="AI3" s="737">
        <f>Check!GJ3</f>
        <v>24</v>
      </c>
    </row>
    <row r="4" ht="51">
      <c r="A4" s="356">
        <v>3</v>
      </c>
      <c r="B4" s="571" t="s">
        <v>839</v>
      </c>
      <c r="C4" s="356" t="s">
        <v>160</v>
      </c>
      <c r="D4" s="731" t="str">
        <f>Check!D4</f>
        <v>BDGTDM004</v>
      </c>
      <c r="E4" s="237" t="s">
        <v>730</v>
      </c>
      <c r="F4" s="238" t="s">
        <v>6</v>
      </c>
      <c r="G4" s="733" t="s">
        <v>762</v>
      </c>
      <c r="H4" s="733" t="s">
        <v>763</v>
      </c>
      <c r="I4" s="239">
        <v>2</v>
      </c>
      <c r="J4" s="238" t="s">
        <v>732</v>
      </c>
      <c r="K4" s="240">
        <v>43423</v>
      </c>
      <c r="L4" s="240">
        <v>43395</v>
      </c>
      <c r="M4" s="241" t="s">
        <v>624</v>
      </c>
      <c r="N4" s="241" t="s">
        <v>764</v>
      </c>
      <c r="O4" s="242" t="s">
        <v>765</v>
      </c>
      <c r="P4" s="241" t="s">
        <v>627</v>
      </c>
      <c r="Q4" s="243" t="s">
        <v>628</v>
      </c>
      <c r="R4" s="244" t="s">
        <v>629</v>
      </c>
      <c r="S4" s="245" t="s">
        <v>630</v>
      </c>
      <c r="T4" s="245" t="s">
        <v>766</v>
      </c>
      <c r="U4" s="246">
        <v>1</v>
      </c>
      <c r="V4" s="241" t="s">
        <v>632</v>
      </c>
      <c r="W4" s="356" t="b">
        <v>1</v>
      </c>
      <c r="X4" s="356" t="b">
        <v>0</v>
      </c>
      <c r="Y4" s="731"/>
      <c r="Z4" s="356" t="b">
        <v>0</v>
      </c>
      <c r="AA4" s="731"/>
      <c r="AB4" s="356" t="b">
        <v>0</v>
      </c>
      <c r="AC4" s="356" t="b">
        <v>1</v>
      </c>
      <c r="AD4" s="357"/>
      <c r="AE4" s="357"/>
      <c r="AF4" s="357" t="s">
        <v>50</v>
      </c>
      <c r="AG4" s="357" t="s">
        <v>633</v>
      </c>
      <c r="AH4" s="737">
        <f>Check!GI4</f>
        <v>28</v>
      </c>
      <c r="AI4" s="737">
        <f>Check!GJ4</f>
        <v>28</v>
      </c>
    </row>
    <row r="5" ht="51">
      <c r="A5" s="356">
        <v>4</v>
      </c>
      <c r="B5" s="571" t="s">
        <v>839</v>
      </c>
      <c r="C5" s="356" t="s">
        <v>160</v>
      </c>
      <c r="D5" s="731" t="str">
        <f>Check!D5</f>
        <v>BDGTDM007</v>
      </c>
      <c r="E5" s="237" t="s">
        <v>692</v>
      </c>
      <c r="F5" s="238" t="s">
        <v>6</v>
      </c>
      <c r="G5" s="733" t="s">
        <v>772</v>
      </c>
      <c r="H5" s="733" t="s">
        <v>773</v>
      </c>
      <c r="I5" s="239">
        <v>1</v>
      </c>
      <c r="J5" s="238" t="s">
        <v>694</v>
      </c>
      <c r="K5" s="240">
        <v>43423</v>
      </c>
      <c r="L5" s="240">
        <v>43395</v>
      </c>
      <c r="M5" s="241" t="s">
        <v>624</v>
      </c>
      <c r="N5" s="241" t="s">
        <v>774</v>
      </c>
      <c r="O5" s="242" t="s">
        <v>626</v>
      </c>
      <c r="P5" s="241" t="s">
        <v>627</v>
      </c>
      <c r="Q5" s="243" t="s">
        <v>775</v>
      </c>
      <c r="R5" s="244" t="s">
        <v>776</v>
      </c>
      <c r="S5" s="245" t="s">
        <v>777</v>
      </c>
      <c r="T5" s="245" t="s">
        <v>778</v>
      </c>
      <c r="U5" s="246">
        <v>1</v>
      </c>
      <c r="V5" s="241" t="s">
        <v>779</v>
      </c>
      <c r="W5" s="356" t="b">
        <v>1</v>
      </c>
      <c r="X5" s="356" t="b">
        <v>0</v>
      </c>
      <c r="Y5" s="731"/>
      <c r="Z5" s="356" t="b">
        <v>0</v>
      </c>
      <c r="AA5" s="731"/>
      <c r="AB5" s="356" t="b">
        <v>0</v>
      </c>
      <c r="AC5" s="356" t="b">
        <v>1</v>
      </c>
      <c r="AD5" s="357"/>
      <c r="AE5" s="357"/>
      <c r="AF5" s="357" t="s">
        <v>50</v>
      </c>
      <c r="AG5" s="357"/>
      <c r="AH5" s="737">
        <f>Check!GI5</f>
        <v>27</v>
      </c>
      <c r="AI5" s="737">
        <f>Check!GJ5</f>
        <v>27</v>
      </c>
    </row>
    <row r="6" ht="51">
      <c r="A6" s="356">
        <v>5</v>
      </c>
      <c r="B6" s="571" t="s">
        <v>839</v>
      </c>
      <c r="C6" s="356" t="s">
        <v>160</v>
      </c>
      <c r="D6" s="731" t="str">
        <f>Check!D6</f>
        <v>BDGTDM013</v>
      </c>
      <c r="E6" s="237" t="s">
        <v>696</v>
      </c>
      <c r="F6" s="238" t="s">
        <v>6</v>
      </c>
      <c r="G6" s="733" t="s">
        <v>783</v>
      </c>
      <c r="H6" s="733" t="s">
        <v>784</v>
      </c>
      <c r="I6" s="239">
        <v>3</v>
      </c>
      <c r="J6" s="238" t="s">
        <v>698</v>
      </c>
      <c r="K6" s="240">
        <v>43423</v>
      </c>
      <c r="L6" s="240">
        <v>43395</v>
      </c>
      <c r="M6" s="241" t="s">
        <v>624</v>
      </c>
      <c r="N6" s="241" t="s">
        <v>785</v>
      </c>
      <c r="O6" s="242" t="s">
        <v>786</v>
      </c>
      <c r="P6" s="241" t="s">
        <v>627</v>
      </c>
      <c r="Q6" s="243" t="s">
        <v>787</v>
      </c>
      <c r="R6" s="244" t="s">
        <v>788</v>
      </c>
      <c r="S6" s="245" t="s">
        <v>630</v>
      </c>
      <c r="T6" s="245" t="s">
        <v>789</v>
      </c>
      <c r="U6" s="246">
        <v>1</v>
      </c>
      <c r="V6" s="241" t="s">
        <v>632</v>
      </c>
      <c r="W6" s="356" t="b">
        <v>1</v>
      </c>
      <c r="X6" s="356" t="b">
        <v>0</v>
      </c>
      <c r="Y6" s="731"/>
      <c r="Z6" s="356" t="b">
        <v>0</v>
      </c>
      <c r="AA6" s="731"/>
      <c r="AB6" s="356" t="b">
        <v>0</v>
      </c>
      <c r="AC6" s="356" t="b">
        <v>1</v>
      </c>
      <c r="AD6" s="357"/>
      <c r="AE6" s="357"/>
      <c r="AF6" s="357" t="s">
        <v>50</v>
      </c>
      <c r="AG6" s="357"/>
      <c r="AH6" s="737">
        <f>Check!GI6</f>
        <v>35</v>
      </c>
      <c r="AI6" s="737">
        <f>Check!GJ6</f>
        <v>35</v>
      </c>
    </row>
    <row r="7" ht="51">
      <c r="A7" s="356">
        <v>6</v>
      </c>
      <c r="B7" s="571" t="s">
        <v>839</v>
      </c>
      <c r="C7" s="356" t="s">
        <v>160</v>
      </c>
      <c r="D7" s="731" t="str">
        <f>Check!D7</f>
        <v>BDGTDM014</v>
      </c>
      <c r="E7" s="237" t="s">
        <v>700</v>
      </c>
      <c r="F7" s="238" t="s">
        <v>6</v>
      </c>
      <c r="G7" s="733" t="s">
        <v>793</v>
      </c>
      <c r="H7" s="733" t="s">
        <v>794</v>
      </c>
      <c r="I7" s="239">
        <v>3</v>
      </c>
      <c r="J7" s="238" t="s">
        <v>702</v>
      </c>
      <c r="K7" s="240">
        <v>43423</v>
      </c>
      <c r="L7" s="240">
        <v>43395</v>
      </c>
      <c r="M7" s="241" t="s">
        <v>624</v>
      </c>
      <c r="N7" s="241" t="s">
        <v>795</v>
      </c>
      <c r="O7" s="242" t="s">
        <v>786</v>
      </c>
      <c r="P7" s="241" t="s">
        <v>627</v>
      </c>
      <c r="Q7" s="243" t="s">
        <v>787</v>
      </c>
      <c r="R7" s="244" t="s">
        <v>788</v>
      </c>
      <c r="S7" s="245" t="s">
        <v>630</v>
      </c>
      <c r="T7" s="245" t="s">
        <v>796</v>
      </c>
      <c r="U7" s="246">
        <v>1</v>
      </c>
      <c r="V7" s="241" t="s">
        <v>632</v>
      </c>
      <c r="W7" s="356" t="b">
        <v>1</v>
      </c>
      <c r="X7" s="356" t="b">
        <v>0</v>
      </c>
      <c r="Y7" s="731"/>
      <c r="Z7" s="356" t="b">
        <v>0</v>
      </c>
      <c r="AA7" s="731"/>
      <c r="AB7" s="356" t="b">
        <v>0</v>
      </c>
      <c r="AC7" s="356" t="b">
        <v>1</v>
      </c>
      <c r="AD7" s="357"/>
      <c r="AE7" s="357"/>
      <c r="AF7" s="357" t="s">
        <v>50</v>
      </c>
      <c r="AG7" s="357"/>
      <c r="AH7" s="737">
        <f>Check!GI7</f>
        <v>26</v>
      </c>
      <c r="AI7" s="737">
        <f>Check!GJ7</f>
        <v>26</v>
      </c>
    </row>
    <row r="8" ht="51">
      <c r="A8" s="356">
        <v>7</v>
      </c>
      <c r="B8" s="571" t="s">
        <v>839</v>
      </c>
      <c r="C8" s="356" t="s">
        <v>160</v>
      </c>
      <c r="D8" s="731" t="str">
        <f>Check!D8</f>
        <v>BDGTDM017</v>
      </c>
      <c r="E8" s="237" t="s">
        <v>704</v>
      </c>
      <c r="F8" s="238" t="s">
        <v>6</v>
      </c>
      <c r="G8" s="733" t="s">
        <v>801</v>
      </c>
      <c r="H8" s="733" t="s">
        <v>802</v>
      </c>
      <c r="I8" s="239">
        <v>3</v>
      </c>
      <c r="J8" s="238" t="s">
        <v>706</v>
      </c>
      <c r="K8" s="240">
        <v>43423</v>
      </c>
      <c r="L8" s="240">
        <v>43395</v>
      </c>
      <c r="M8" s="241" t="s">
        <v>624</v>
      </c>
      <c r="N8" s="241" t="s">
        <v>803</v>
      </c>
      <c r="O8" s="242" t="s">
        <v>765</v>
      </c>
      <c r="P8" s="241" t="s">
        <v>627</v>
      </c>
      <c r="Q8" s="243" t="s">
        <v>628</v>
      </c>
      <c r="R8" s="244" t="s">
        <v>629</v>
      </c>
      <c r="S8" s="245" t="s">
        <v>630</v>
      </c>
      <c r="T8" s="245" t="s">
        <v>804</v>
      </c>
      <c r="U8" s="246">
        <v>1</v>
      </c>
      <c r="V8" s="241" t="s">
        <v>632</v>
      </c>
      <c r="W8" s="356" t="b">
        <v>1</v>
      </c>
      <c r="X8" s="356" t="b">
        <v>0</v>
      </c>
      <c r="Y8" s="731"/>
      <c r="Z8" s="356" t="b">
        <v>0</v>
      </c>
      <c r="AA8" s="731"/>
      <c r="AB8" s="356" t="b">
        <v>0</v>
      </c>
      <c r="AC8" s="356" t="b">
        <v>1</v>
      </c>
      <c r="AD8" s="357"/>
      <c r="AE8" s="357"/>
      <c r="AF8" s="357" t="s">
        <v>50</v>
      </c>
      <c r="AG8" s="357"/>
      <c r="AH8" s="737">
        <f>Check!GI8</f>
        <v>24</v>
      </c>
      <c r="AI8" s="737">
        <f>Check!GJ8</f>
        <v>24</v>
      </c>
    </row>
    <row r="9" ht="51">
      <c r="A9" s="356">
        <v>8</v>
      </c>
      <c r="B9" s="571" t="s">
        <v>839</v>
      </c>
      <c r="C9" s="356" t="s">
        <v>160</v>
      </c>
      <c r="D9" s="731" t="str">
        <f>Check!D9</f>
        <v>BDGTDM022</v>
      </c>
      <c r="E9" s="237" t="s">
        <v>708</v>
      </c>
      <c r="F9" s="238" t="s">
        <v>6</v>
      </c>
      <c r="G9" s="733" t="s">
        <v>807</v>
      </c>
      <c r="H9" s="733" t="s">
        <v>808</v>
      </c>
      <c r="I9" s="239">
        <v>3</v>
      </c>
      <c r="J9" s="238" t="s">
        <v>710</v>
      </c>
      <c r="K9" s="240">
        <v>43423</v>
      </c>
      <c r="L9" s="240">
        <v>43395</v>
      </c>
      <c r="M9" s="241" t="s">
        <v>624</v>
      </c>
      <c r="N9" s="241" t="s">
        <v>809</v>
      </c>
      <c r="O9" s="242" t="s">
        <v>786</v>
      </c>
      <c r="P9" s="241" t="s">
        <v>627</v>
      </c>
      <c r="Q9" s="243" t="s">
        <v>787</v>
      </c>
      <c r="R9" s="244" t="s">
        <v>788</v>
      </c>
      <c r="S9" s="245" t="s">
        <v>630</v>
      </c>
      <c r="T9" s="245" t="s">
        <v>810</v>
      </c>
      <c r="U9" s="246">
        <v>1</v>
      </c>
      <c r="V9" s="241" t="s">
        <v>632</v>
      </c>
      <c r="W9" s="356" t="b">
        <v>1</v>
      </c>
      <c r="X9" s="356" t="b">
        <v>0</v>
      </c>
      <c r="Y9" s="731"/>
      <c r="Z9" s="356" t="b">
        <v>0</v>
      </c>
      <c r="AA9" s="731"/>
      <c r="AB9" s="356" t="b">
        <v>0</v>
      </c>
      <c r="AC9" s="356" t="b">
        <v>1</v>
      </c>
      <c r="AD9" s="357"/>
      <c r="AE9" s="357"/>
      <c r="AF9" s="357" t="s">
        <v>50</v>
      </c>
      <c r="AG9" s="357"/>
      <c r="AH9" s="737">
        <f>Check!GI9</f>
        <v>28</v>
      </c>
      <c r="AI9" s="737">
        <f>Check!GJ9</f>
        <v>28</v>
      </c>
    </row>
    <row r="10" ht="63.75">
      <c r="A10" s="356">
        <v>9</v>
      </c>
      <c r="B10" s="571" t="s">
        <v>839</v>
      </c>
      <c r="C10" s="356" t="s">
        <v>160</v>
      </c>
      <c r="D10" s="731" t="str">
        <f>Check!D10</f>
        <v>BDGTDM025</v>
      </c>
      <c r="E10" s="237" t="s">
        <v>734</v>
      </c>
      <c r="F10" s="238" t="s">
        <v>6</v>
      </c>
      <c r="G10" s="733" t="s">
        <v>813</v>
      </c>
      <c r="H10" s="733" t="s">
        <v>814</v>
      </c>
      <c r="I10" s="239">
        <v>4</v>
      </c>
      <c r="J10" s="238" t="s">
        <v>736</v>
      </c>
      <c r="K10" s="240">
        <v>43423</v>
      </c>
      <c r="L10" s="240">
        <v>43396</v>
      </c>
      <c r="M10" s="241" t="s">
        <v>816</v>
      </c>
      <c r="N10" s="241" t="s">
        <v>817</v>
      </c>
      <c r="O10" s="242" t="s">
        <v>818</v>
      </c>
      <c r="P10" s="241" t="s">
        <v>819</v>
      </c>
      <c r="Q10" s="243" t="s">
        <v>820</v>
      </c>
      <c r="R10" s="244" t="s">
        <v>821</v>
      </c>
      <c r="S10" s="245" t="s">
        <v>822</v>
      </c>
      <c r="T10" s="245" t="s">
        <v>823</v>
      </c>
      <c r="U10" s="246">
        <v>1</v>
      </c>
      <c r="V10" s="241" t="s">
        <v>824</v>
      </c>
      <c r="W10" s="356" t="b">
        <v>1</v>
      </c>
      <c r="X10" s="356" t="b">
        <v>0</v>
      </c>
      <c r="Y10" s="731"/>
      <c r="Z10" s="356" t="b">
        <v>0</v>
      </c>
      <c r="AA10" s="731"/>
      <c r="AB10" s="356" t="b">
        <v>0</v>
      </c>
      <c r="AC10" s="356" t="b">
        <v>1</v>
      </c>
      <c r="AD10" s="357"/>
      <c r="AE10" s="357"/>
      <c r="AF10" s="357" t="s">
        <v>50</v>
      </c>
      <c r="AG10" s="357" t="s">
        <v>728</v>
      </c>
      <c r="AH10" s="737">
        <f>Check!GI10</f>
        <v>34</v>
      </c>
      <c r="AI10" s="737">
        <f>Check!GJ10</f>
        <v>34</v>
      </c>
    </row>
    <row r="11" ht="63.75">
      <c r="A11" s="356">
        <v>10</v>
      </c>
      <c r="B11" s="571" t="s">
        <v>839</v>
      </c>
      <c r="C11" s="356" t="s">
        <v>160</v>
      </c>
      <c r="D11" s="731" t="str">
        <f>Check!D11</f>
        <v>BDGTDM036</v>
      </c>
      <c r="E11" s="237" t="s">
        <v>712</v>
      </c>
      <c r="F11" s="238" t="s">
        <v>6</v>
      </c>
      <c r="G11" s="733" t="s">
        <v>828</v>
      </c>
      <c r="H11" s="733" t="s">
        <v>829</v>
      </c>
      <c r="I11" s="239">
        <v>3</v>
      </c>
      <c r="J11" s="238" t="s">
        <v>714</v>
      </c>
      <c r="K11" s="240">
        <v>43423</v>
      </c>
      <c r="L11" s="240">
        <v>43397</v>
      </c>
      <c r="M11" s="241" t="s">
        <v>624</v>
      </c>
      <c r="N11" s="241" t="s">
        <v>831</v>
      </c>
      <c r="O11" s="242" t="s">
        <v>786</v>
      </c>
      <c r="P11" s="241" t="s">
        <v>627</v>
      </c>
      <c r="Q11" s="243" t="s">
        <v>832</v>
      </c>
      <c r="R11" s="244" t="s">
        <v>788</v>
      </c>
      <c r="S11" s="245" t="s">
        <v>630</v>
      </c>
      <c r="T11" s="245" t="s">
        <v>833</v>
      </c>
      <c r="U11" s="246">
        <v>1</v>
      </c>
      <c r="V11" s="241" t="s">
        <v>632</v>
      </c>
      <c r="W11" s="356" t="b">
        <v>1</v>
      </c>
      <c r="X11" s="356" t="b">
        <v>0</v>
      </c>
      <c r="Y11" s="731"/>
      <c r="Z11" s="356" t="b">
        <v>0</v>
      </c>
      <c r="AA11" s="731"/>
      <c r="AB11" s="356" t="b">
        <v>0</v>
      </c>
      <c r="AC11" s="356" t="b">
        <v>1</v>
      </c>
      <c r="AD11" s="357"/>
      <c r="AE11" s="357"/>
      <c r="AF11" s="357" t="s">
        <v>50</v>
      </c>
      <c r="AG11" s="357"/>
      <c r="AH11" s="737">
        <f>Check!GI11</f>
        <v>23</v>
      </c>
      <c r="AI11" s="737">
        <f>Check!GJ11</f>
        <v>23</v>
      </c>
    </row>
  </sheetData>
  <sheetProtection sheet="1" objects="1" scenarios="1" formatCells="0" formatColumns="0" formatRows="0" sort="0" autoFilter="0" pivotTables="0"/>
  <autoFilter ref="A1:AI11"/>
  <conditionalFormatting sqref="W1:W1048576">
    <cfRule type="expression" dxfId="10" priority="5">
      <formula>AND(W1&lt;&gt; TRUE, W1&lt;&gt; FALSE)</formula>
    </cfRule>
  </conditionalFormatting>
  <conditionalFormatting sqref="X1:X1048576">
    <cfRule type="expression" dxfId="10" priority="4">
      <formula>AND(X1&lt;&gt; TRUE, X1&lt;&gt; FALSE)</formula>
    </cfRule>
  </conditionalFormatting>
  <conditionalFormatting sqref="Z1:Z1048576">
    <cfRule type="expression" dxfId="10" priority="3">
      <formula>AND(Z1&lt;&gt; TRUE, Z1&lt;&gt; FALSE)</formula>
    </cfRule>
  </conditionalFormatting>
  <conditionalFormatting sqref="AB1:AB1048576">
    <cfRule type="expression" dxfId="10" priority="2">
      <formula>AND(AB1&lt;&gt; TRUE, AB1&lt;&gt; FALSE)</formula>
    </cfRule>
  </conditionalFormatting>
  <conditionalFormatting sqref="AC1:AC1048576">
    <cfRule type="expression" dxfId="10" priority="1">
      <formula>AND(AC1&lt;&gt; TRUE, AC1&lt;&gt; FALSE)</formula>
    </cfRule>
  </conditionalFormatting>
  <dataValidations count="1">
    <dataValidation type="list" allowBlank="1" showInputMessage="1" showErrorMessage="1" sqref="AF2:AF1048576">
      <formula1>LabIDList</formula1>
    </dataValidation>
  </dataValidations>
  <pageMargins left="0.27" right="0.28999999999999998" top="0.74803149606299213" bottom="0.74803149606299213" header="0.31496062992125984" footer="0.31496062992125984"/>
  <pageSetup paperSize="9" orientation="landscape"/>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GN11"/>
  <sheetViews>
    <sheetView tabSelected="1" topLeftCell="FR1" zoomScale="85" zoomScaleNormal="85" workbookViewId="0">
      <selection activeCell="GL2" sqref="GL2"/>
    </sheetView>
  </sheetViews>
  <sheetFormatPr defaultColWidth="9.140625" defaultRowHeight="12.75"/>
  <cols>
    <col min="1" max="1" bestFit="1" width="5" customWidth="1" style="369"/>
    <col min="2" max="2" bestFit="1" width="17.140625" customWidth="1" style="371"/>
    <col min="3" max="3" bestFit="1" width="16.7109375" customWidth="1" style="369"/>
    <col min="4" max="4" width="9.140625" customWidth="1" style="738"/>
    <col min="5" max="5" width="54.140625" customWidth="1" style="369"/>
    <col min="6" max="6" width="16.5703125" customWidth="1" style="369"/>
    <col min="7" max="7" bestFit="1" width="9.140625" customWidth="1" style="738"/>
    <col min="8" max="8" bestFit="1" width="9.140625" customWidth="1" style="326"/>
    <col min="9" max="9" width="10.5703125" customWidth="1" style="372"/>
    <col min="10" max="10" width="23.140625" customWidth="1" style="359"/>
    <col min="11" max="12" bestFit="1" width="11.28515625" customWidth="1" style="373"/>
    <col min="13" max="13" width="33.28515625" customWidth="1" style="359"/>
    <col min="14" max="15" width="15.28515625" customWidth="1" style="359"/>
    <col min="16" max="16" width="9.140625" customWidth="1" style="359"/>
    <col min="17" max="17" bestFit="1" width="15.42578125" customWidth="1" style="359"/>
    <col min="18" max="18" width="42.140625" customWidth="1" style="359"/>
    <col min="19" max="19" width="27.28515625" customWidth="1" style="359"/>
    <col min="20" max="20" width="14.28515625" customWidth="1" style="359"/>
    <col min="21" max="21" width="7.7109375" customWidth="1" style="359"/>
    <col min="22" max="22" width="20.42578125" customWidth="1" style="359"/>
    <col min="23" max="24" width="10.5703125" customWidth="1" style="359"/>
    <col min="25" max="25" width="9.140625" customWidth="1" style="326"/>
    <col min="26" max="26" width="13" customWidth="1" style="359"/>
    <col min="27" max="27" width="9.140625" customWidth="1" style="326"/>
    <col min="28" max="29" width="13" customWidth="1" style="359"/>
    <col min="30" max="30" width="32.28515625" customWidth="1" style="359"/>
    <col min="31" max="31" width="15.7109375" customWidth="1" style="359"/>
    <col min="32" max="32" width="10.7109375" customWidth="1" style="359"/>
    <col min="33" max="33" width="24.7109375" customWidth="1" style="359"/>
    <col min="34" max="34" width="4.7109375" customWidth="1" style="359"/>
    <col min="35" max="35" bestFit="1" width="15.42578125" customWidth="1" style="359"/>
    <col min="36" max="36" width="15.85546875" customWidth="1" style="359"/>
    <col min="37" max="37" width="9.140625" customWidth="1" style="369"/>
    <col min="38" max="183" width="9.140625" customWidth="1" style="359"/>
    <col min="184" max="184" bestFit="1" width="9.5703125" customWidth="1" style="359"/>
    <col min="185" max="190" width="9.140625" customWidth="1" style="359"/>
    <col min="191" max="191" width="9.140625" customWidth="1" style="326"/>
    <col min="192" max="192" width="9.140625" customWidth="1" style="326"/>
    <col min="193" max="16384" width="9.140625" customWidth="1" style="359"/>
  </cols>
  <sheetData>
    <row r="1" ht="57" s="369" customFormat="1">
      <c r="A1" s="248" t="s">
        <v>0</v>
      </c>
      <c r="B1" s="248" t="s">
        <v>402</v>
      </c>
      <c r="C1" s="248" t="s">
        <v>403</v>
      </c>
      <c r="D1" s="355" t="s">
        <v>404</v>
      </c>
      <c r="E1" s="248" t="s">
        <v>47</v>
      </c>
      <c r="F1" s="248" t="s">
        <v>405</v>
      </c>
      <c r="G1" s="355" t="s">
        <v>406</v>
      </c>
      <c r="H1" s="355" t="s">
        <v>407</v>
      </c>
      <c r="I1" s="249" t="s">
        <v>408</v>
      </c>
      <c r="J1" s="249" t="s">
        <v>409</v>
      </c>
      <c r="K1" s="250" t="s">
        <v>410</v>
      </c>
      <c r="L1" s="250" t="s">
        <v>411</v>
      </c>
      <c r="M1" s="249" t="s">
        <v>412</v>
      </c>
      <c r="N1" s="249" t="s">
        <v>413</v>
      </c>
      <c r="O1" s="249" t="s">
        <v>414</v>
      </c>
      <c r="P1" s="249" t="s">
        <v>415</v>
      </c>
      <c r="Q1" s="249" t="s">
        <v>416</v>
      </c>
      <c r="R1" s="249" t="s">
        <v>417</v>
      </c>
      <c r="S1" s="249" t="s">
        <v>418</v>
      </c>
      <c r="T1" s="249" t="s">
        <v>419</v>
      </c>
      <c r="U1" s="249" t="s">
        <v>420</v>
      </c>
      <c r="V1" s="249" t="s">
        <v>421</v>
      </c>
      <c r="W1" s="235" t="s">
        <v>422</v>
      </c>
      <c r="X1" s="235" t="s">
        <v>423</v>
      </c>
      <c r="Y1" s="735" t="s">
        <v>424</v>
      </c>
      <c r="Z1" s="235" t="s">
        <v>425</v>
      </c>
      <c r="AA1" s="735" t="s">
        <v>426</v>
      </c>
      <c r="AB1" s="235" t="s">
        <v>427</v>
      </c>
      <c r="AC1" s="235" t="s">
        <v>428</v>
      </c>
      <c r="AD1" s="204" t="s">
        <v>429</v>
      </c>
      <c r="AE1" s="248" t="s">
        <v>430</v>
      </c>
      <c r="AF1" s="248" t="s">
        <v>431</v>
      </c>
      <c r="AG1" s="248" t="s">
        <v>432</v>
      </c>
      <c r="AH1" s="205"/>
      <c r="AI1" s="251" t="s">
        <v>433</v>
      </c>
      <c r="AJ1" s="251" t="s">
        <v>434</v>
      </c>
      <c r="AK1" s="252" t="s">
        <v>435</v>
      </c>
      <c r="AL1" s="253" t="s">
        <v>436</v>
      </c>
      <c r="AM1" s="253" t="s">
        <v>437</v>
      </c>
      <c r="AN1" s="253" t="s">
        <v>438</v>
      </c>
      <c r="AO1" s="253" t="s">
        <v>439</v>
      </c>
      <c r="AP1" s="253" t="s">
        <v>440</v>
      </c>
      <c r="AQ1" s="253" t="s">
        <v>441</v>
      </c>
      <c r="AR1" s="252" t="s">
        <v>442</v>
      </c>
      <c r="AS1" s="252" t="s">
        <v>443</v>
      </c>
      <c r="AT1" s="252" t="s">
        <v>444</v>
      </c>
      <c r="AU1" s="252" t="s">
        <v>445</v>
      </c>
      <c r="AV1" s="252" t="s">
        <v>446</v>
      </c>
      <c r="AW1" s="252" t="s">
        <v>447</v>
      </c>
      <c r="AX1" s="253" t="s">
        <v>448</v>
      </c>
      <c r="AY1" s="252" t="s">
        <v>449</v>
      </c>
      <c r="AZ1" s="252" t="s">
        <v>450</v>
      </c>
      <c r="BA1" s="252" t="s">
        <v>451</v>
      </c>
      <c r="BB1" s="252" t="s">
        <v>452</v>
      </c>
      <c r="BC1" s="252" t="s">
        <v>453</v>
      </c>
      <c r="BD1" s="252" t="s">
        <v>454</v>
      </c>
      <c r="BE1" s="253" t="s">
        <v>455</v>
      </c>
      <c r="BF1" s="253" t="s">
        <v>456</v>
      </c>
      <c r="BG1" s="253" t="s">
        <v>457</v>
      </c>
      <c r="BH1" s="253" t="s">
        <v>458</v>
      </c>
      <c r="BI1" s="253" t="s">
        <v>459</v>
      </c>
      <c r="BJ1" s="253" t="s">
        <v>460</v>
      </c>
      <c r="BK1" s="252" t="s">
        <v>461</v>
      </c>
      <c r="BL1" s="252" t="s">
        <v>462</v>
      </c>
      <c r="BM1" s="252" t="s">
        <v>463</v>
      </c>
      <c r="BN1" s="252" t="s">
        <v>464</v>
      </c>
      <c r="BO1" s="252" t="s">
        <v>465</v>
      </c>
      <c r="BP1" s="252" t="s">
        <v>466</v>
      </c>
      <c r="BQ1" s="253" t="s">
        <v>467</v>
      </c>
      <c r="BR1" s="252" t="s">
        <v>468</v>
      </c>
      <c r="BS1" s="252" t="s">
        <v>469</v>
      </c>
      <c r="BT1" s="252" t="s">
        <v>470</v>
      </c>
      <c r="BU1" s="252" t="s">
        <v>471</v>
      </c>
      <c r="BV1" s="253" t="s">
        <v>472</v>
      </c>
      <c r="BW1" s="252" t="s">
        <v>473</v>
      </c>
      <c r="BX1" s="252" t="s">
        <v>474</v>
      </c>
      <c r="BY1" s="252" t="s">
        <v>475</v>
      </c>
      <c r="BZ1" s="252" t="s">
        <v>476</v>
      </c>
      <c r="CA1" s="253" t="s">
        <v>477</v>
      </c>
      <c r="CB1" s="252" t="s">
        <v>478</v>
      </c>
      <c r="CC1" s="252" t="s">
        <v>479</v>
      </c>
      <c r="CD1" s="252" t="s">
        <v>480</v>
      </c>
      <c r="CE1" s="252" t="s">
        <v>481</v>
      </c>
      <c r="CF1" s="253" t="s">
        <v>482</v>
      </c>
      <c r="CG1" s="252" t="s">
        <v>483</v>
      </c>
      <c r="CH1" s="252" t="s">
        <v>484</v>
      </c>
      <c r="CI1" s="252" t="s">
        <v>485</v>
      </c>
      <c r="CJ1" s="252" t="s">
        <v>486</v>
      </c>
      <c r="CK1" s="253" t="s">
        <v>487</v>
      </c>
      <c r="CL1" s="252" t="s">
        <v>488</v>
      </c>
      <c r="CM1" s="252" t="s">
        <v>489</v>
      </c>
      <c r="CN1" s="252" t="s">
        <v>490</v>
      </c>
      <c r="CO1" s="252" t="s">
        <v>491</v>
      </c>
      <c r="CP1" s="253" t="s">
        <v>492</v>
      </c>
      <c r="CQ1" s="252" t="s">
        <v>493</v>
      </c>
      <c r="CR1" s="252" t="s">
        <v>494</v>
      </c>
      <c r="CS1" s="252" t="s">
        <v>495</v>
      </c>
      <c r="CT1" s="252" t="s">
        <v>496</v>
      </c>
      <c r="CU1" s="253" t="s">
        <v>497</v>
      </c>
      <c r="CV1" s="252" t="s">
        <v>498</v>
      </c>
      <c r="CW1" s="252" t="s">
        <v>499</v>
      </c>
      <c r="CX1" s="252" t="s">
        <v>500</v>
      </c>
      <c r="CY1" s="252" t="s">
        <v>501</v>
      </c>
      <c r="CZ1" s="254" t="s">
        <v>502</v>
      </c>
      <c r="DA1" s="254" t="s">
        <v>503</v>
      </c>
      <c r="DB1" s="253" t="s">
        <v>504</v>
      </c>
      <c r="DC1" s="252" t="s">
        <v>505</v>
      </c>
      <c r="DD1" s="252" t="s">
        <v>506</v>
      </c>
      <c r="DE1" s="252" t="s">
        <v>507</v>
      </c>
      <c r="DF1" s="252" t="s">
        <v>508</v>
      </c>
      <c r="DG1" s="254" t="s">
        <v>509</v>
      </c>
      <c r="DH1" s="254" t="s">
        <v>510</v>
      </c>
      <c r="DI1" s="253" t="s">
        <v>511</v>
      </c>
      <c r="DJ1" s="252" t="s">
        <v>512</v>
      </c>
      <c r="DK1" s="252" t="s">
        <v>513</v>
      </c>
      <c r="DL1" s="252" t="s">
        <v>514</v>
      </c>
      <c r="DM1" s="252" t="s">
        <v>515</v>
      </c>
      <c r="DN1" s="254" t="s">
        <v>516</v>
      </c>
      <c r="DO1" s="254" t="s">
        <v>517</v>
      </c>
      <c r="DP1" s="253" t="s">
        <v>518</v>
      </c>
      <c r="DQ1" s="252" t="s">
        <v>519</v>
      </c>
      <c r="DR1" s="252" t="s">
        <v>520</v>
      </c>
      <c r="DS1" s="252" t="s">
        <v>521</v>
      </c>
      <c r="DT1" s="252" t="s">
        <v>522</v>
      </c>
      <c r="DU1" s="254" t="s">
        <v>523</v>
      </c>
      <c r="DV1" s="254" t="s">
        <v>524</v>
      </c>
      <c r="DW1" s="253" t="s">
        <v>525</v>
      </c>
      <c r="DX1" s="252" t="s">
        <v>526</v>
      </c>
      <c r="DY1" s="252" t="s">
        <v>527</v>
      </c>
      <c r="DZ1" s="252" t="s">
        <v>528</v>
      </c>
      <c r="EA1" s="252" t="s">
        <v>529</v>
      </c>
      <c r="EB1" s="254" t="s">
        <v>530</v>
      </c>
      <c r="EC1" s="254" t="s">
        <v>531</v>
      </c>
      <c r="ED1" s="253" t="s">
        <v>532</v>
      </c>
      <c r="EE1" s="252" t="s">
        <v>533</v>
      </c>
      <c r="EF1" s="252" t="s">
        <v>534</v>
      </c>
      <c r="EG1" s="252" t="s">
        <v>535</v>
      </c>
      <c r="EH1" s="252" t="s">
        <v>536</v>
      </c>
      <c r="EI1" s="254" t="s">
        <v>537</v>
      </c>
      <c r="EJ1" s="254" t="s">
        <v>538</v>
      </c>
      <c r="EK1" s="254" t="s">
        <v>539</v>
      </c>
      <c r="EL1" s="255" t="s">
        <v>540</v>
      </c>
      <c r="EM1" s="255" t="s">
        <v>541</v>
      </c>
      <c r="EN1" s="255" t="s">
        <v>542</v>
      </c>
      <c r="EO1" s="255" t="s">
        <v>543</v>
      </c>
      <c r="EP1" s="255" t="s">
        <v>544</v>
      </c>
      <c r="EQ1" s="255" t="s">
        <v>545</v>
      </c>
      <c r="ER1" s="253" t="s">
        <v>546</v>
      </c>
      <c r="ES1" s="252" t="s">
        <v>547</v>
      </c>
      <c r="ET1" s="252" t="s">
        <v>548</v>
      </c>
      <c r="EU1" s="252" t="s">
        <v>549</v>
      </c>
      <c r="EV1" s="252" t="s">
        <v>550</v>
      </c>
      <c r="EW1" s="254" t="s">
        <v>551</v>
      </c>
      <c r="EX1" s="253" t="s">
        <v>552</v>
      </c>
      <c r="EY1" s="252" t="s">
        <v>553</v>
      </c>
      <c r="EZ1" s="252" t="s">
        <v>554</v>
      </c>
      <c r="FA1" s="252" t="s">
        <v>555</v>
      </c>
      <c r="FB1" s="252" t="s">
        <v>556</v>
      </c>
      <c r="FC1" s="254" t="s">
        <v>557</v>
      </c>
      <c r="FD1" s="253" t="s">
        <v>558</v>
      </c>
      <c r="FE1" s="252" t="s">
        <v>559</v>
      </c>
      <c r="FF1" s="252" t="s">
        <v>560</v>
      </c>
      <c r="FG1" s="252" t="s">
        <v>561</v>
      </c>
      <c r="FH1" s="252" t="s">
        <v>562</v>
      </c>
      <c r="FI1" s="254" t="s">
        <v>563</v>
      </c>
      <c r="FJ1" s="253" t="s">
        <v>564</v>
      </c>
      <c r="FK1" s="252" t="s">
        <v>565</v>
      </c>
      <c r="FL1" s="252" t="s">
        <v>566</v>
      </c>
      <c r="FM1" s="252" t="s">
        <v>567</v>
      </c>
      <c r="FN1" s="252" t="s">
        <v>568</v>
      </c>
      <c r="FO1" s="254" t="s">
        <v>569</v>
      </c>
      <c r="FP1" s="253" t="s">
        <v>570</v>
      </c>
      <c r="FQ1" s="252" t="s">
        <v>571</v>
      </c>
      <c r="FR1" s="252" t="s">
        <v>572</v>
      </c>
      <c r="FS1" s="252" t="s">
        <v>573</v>
      </c>
      <c r="FT1" s="252" t="s">
        <v>574</v>
      </c>
      <c r="FU1" s="254" t="s">
        <v>575</v>
      </c>
      <c r="FV1" s="253" t="s">
        <v>576</v>
      </c>
      <c r="FW1" s="252" t="s">
        <v>577</v>
      </c>
      <c r="FX1" s="252" t="s">
        <v>578</v>
      </c>
      <c r="FY1" s="252" t="s">
        <v>579</v>
      </c>
      <c r="FZ1" s="252" t="s">
        <v>580</v>
      </c>
      <c r="GA1" s="254" t="s">
        <v>581</v>
      </c>
      <c r="GB1" s="253" t="s">
        <v>582</v>
      </c>
      <c r="GC1" s="256" t="s">
        <v>583</v>
      </c>
      <c r="GD1" s="256" t="s">
        <v>584</v>
      </c>
      <c r="GE1" s="256" t="s">
        <v>585</v>
      </c>
      <c r="GF1" s="256" t="s">
        <v>586</v>
      </c>
      <c r="GG1" s="256" t="s">
        <v>587</v>
      </c>
      <c r="GH1" s="256" t="s">
        <v>588</v>
      </c>
      <c r="GI1" s="741" t="s">
        <v>589</v>
      </c>
      <c r="GJ1" s="741" t="s">
        <v>590</v>
      </c>
      <c r="GK1" s="257" t="s">
        <v>591</v>
      </c>
      <c r="GL1" s="258">
        <v>10</v>
      </c>
      <c r="GM1" s="257" t="s">
        <v>592</v>
      </c>
      <c r="GN1" s="258">
        <v>10</v>
      </c>
    </row>
    <row r="2" ht="89.25" s="370" customFormat="1">
      <c r="A2" s="577">
        <f>Input!A2</f>
        <v>1</v>
      </c>
      <c r="B2" s="577" t="str">
        <f>Input!B2</f>
        <v>VINAPHONE-HCM</v>
      </c>
      <c r="C2" s="577" t="str">
        <f>Input!C2</f>
        <v>VINAPHONE</v>
      </c>
      <c r="D2" s="739" t="str">
        <f>AY2</f>
        <v>BDGTDM002</v>
      </c>
      <c r="E2" s="577" t="str">
        <f>Input!E2</f>
        <v>Số 204, đường Huỳnh Văn Cù, phường Chánh Mỹ, thành phố Thủ Dầu Một, tỉnh Bình Dương.</v>
      </c>
      <c r="F2" s="577" t="str">
        <f>Input!F2</f>
        <v>Bình Dương</v>
      </c>
      <c r="G2" s="739" t="str">
        <f>Input!G2</f>
        <v>106,647723</v>
      </c>
      <c r="H2" s="739" t="str">
        <f>Input!H2</f>
        <v>10,991285</v>
      </c>
      <c r="I2" s="577">
        <f>Input!I2</f>
        <v>3</v>
      </c>
      <c r="J2" s="577" t="str">
        <f>Input!J2</f>
        <v>K00458221018D005</v>
      </c>
      <c r="K2" s="578" t="str">
        <f>TEXT(Input!K2,"dd/mm/yyyy")</f>
        <v>19/11/2018</v>
      </c>
      <c r="L2" s="578" t="str">
        <f>TEXT(Input!L2,"dd/mm/yyyy")</f>
        <v>22/10/2018</v>
      </c>
      <c r="M2" s="577" t="str">
        <f>Input!M2</f>
        <v>TỔNG CÔNG TY HẠ TẦNG MẠNG;TỔNG CÔNG TY HẠ TẦNG MẠNG;TỔNG CÔNG TY HẠ TẦNG MẠNG</v>
      </c>
      <c r="N2" s="577" t="str">
        <f>Input!N2</f>
        <v>BDGTDM002;BDGTDM002;BDGTDM002</v>
      </c>
      <c r="O2" s="577" t="str">
        <f>Input!O2</f>
        <v>MOTOROLA HORIZON II MACRO;ERICSSON RBS 6601;NSN FLEXI MULTIRADIO 10 (FHED)</v>
      </c>
      <c r="P2" s="577" t="str">
        <f>Input!P2</f>
        <v>3;3;3</v>
      </c>
      <c r="Q2" s="577" t="str">
        <f>Input!Q2</f>
        <v>4/4/4;2/2/2;1/1/1</v>
      </c>
      <c r="R2" s="577" t="str">
        <f>Input!R2</f>
        <v>20W/20W/20W;60W/60W/60W;160W/160W/160W</v>
      </c>
      <c r="S2" s="577" t="str">
        <f>Input!S2</f>
        <v>G900;U2100;L1800</v>
      </c>
      <c r="T2" s="577" t="str">
        <f>Input!T2</f>
        <v>36m/ 36m/ 36m;36m/ 36m/ 36m;36m/ 36m/ 36m</v>
      </c>
      <c r="U2" s="577">
        <f>Input!U2</f>
        <v>1</v>
      </c>
      <c r="V2" s="577" t="str">
        <f>Input!V2</f>
        <v>FX-X-CG-00T-900;S-Wave EW/EW/EW-65-18DV2/12I-F-64K-VN;S-Wave EW/EW/EW-65-18DV2/12I-F-64K-VN</v>
      </c>
      <c r="W2" s="577" t="b">
        <f>Input!W2</f>
        <v>1</v>
      </c>
      <c r="X2" s="577" t="b">
        <f>Input!X2</f>
        <v>1</v>
      </c>
      <c r="Y2" s="739">
        <f>Input!Y2</f>
        <v>0</v>
      </c>
      <c r="Z2" s="577" t="b">
        <f>Input!Z2</f>
        <v>0</v>
      </c>
      <c r="AA2" s="739">
        <f>Input!AA2</f>
        <v>0</v>
      </c>
      <c r="AB2" s="577" t="b">
        <f>Input!AB2</f>
        <v>0</v>
      </c>
      <c r="AC2" s="577" t="b">
        <f>Input!AC2</f>
        <v>1</v>
      </c>
      <c r="AD2" s="577">
        <f>Input!AD2</f>
        <v>0</v>
      </c>
      <c r="AE2" s="577">
        <f>Input!AE2</f>
        <v>0</v>
      </c>
      <c r="AF2" s="577" t="str">
        <f>Input!AF2</f>
        <v>VCC2</v>
      </c>
      <c r="AG2" s="577" t="str">
        <f>Input!AG2</f>
        <v>Trạm không còn hoạt động</v>
      </c>
      <c r="AH2" s="247"/>
      <c r="AI2" s="579" t="str">
        <f>INDEX(ApplicantNameList,MATCH(B2,ApplicantIDList,0))</f>
        <v>CHI NHÁNH VINAPHONE TẠI TPHCM</v>
      </c>
      <c r="AJ2" s="579" t="str">
        <f>INDEX(OperatorNameList,MATCH(C2,OperatorIDList,0))</f>
        <v>TỔNG CÔNG TY HẠ TẦNG MẠNG</v>
      </c>
      <c r="AK2" s="577" t="str">
        <f>INDEX(CityIDList,MATCH(F2,CityNameList,0))</f>
        <v>BDG</v>
      </c>
      <c r="AL2" s="579" t="str">
        <f>TRIM(IF(I2&gt;=1,MID(M2,1,IFERROR(FIND("~",SUBSTITUTE(M2,";","~",1))-1,LEN(M2))),""))</f>
        <v>TỔNG CÔNG TY HẠ TẦNG MẠNG</v>
      </c>
      <c r="AM2" s="579" t="str">
        <f>TRIM(IF(I2&gt;=2,MID(M2,FIND("~",SUBSTITUTE(M2,";","~",1))+1,IFERROR(FIND("~",SUBSTITUTE(M2,";","~",2))-1,LEN(M2))- FIND("~",SUBSTITUTE(M2,";","~",1))),""))</f>
        <v>TỔNG CÔNG TY HẠ TẦNG MẠNG</v>
      </c>
      <c r="AN2" s="579" t="str">
        <f>TRIM(IF(I2&gt;=3,MID(M2,FIND("~",SUBSTITUTE(M2,";","~",2))+1,IFERROR(FIND("~",SUBSTITUTE(M2,";","~",3))-1,LEN(M2))- FIND("~",SUBSTITUTE(M2,";","~",2))),""))</f>
        <v>TỔNG CÔNG TY HẠ TẦNG MẠNG</v>
      </c>
      <c r="AO2" s="579" t="str">
        <f>TRIM(IF(I2&gt;=4,MID(M2,FIND("~",SUBSTITUTE(M2,";","~",3))+1,IFERROR(FIND("~",SUBSTITUTE(M2,";","~",4))-1,LEN(M2))- FIND("~",SUBSTITUTE(M2,";","~",3))),""))</f>
      </c>
      <c r="AP2" s="579" t="str">
        <f>TRIM(IF(I2&gt;=5,MID(M2,FIND("~",SUBSTITUTE(M2,";","~",4))+1,IFERROR(FIND("~",SUBSTITUTE(M2,";","~",5))-1,LEN(M2))- FIND("~",SUBSTITUTE(M2,";","~",4))),""))</f>
      </c>
      <c r="AQ2" s="579" t="str">
        <f>TRIM(IF(I2&gt;=6,MID(M2,FIND("~",SUBSTITUTE(M2,";","~",5))+1,IFERROR(FIND("~",SUBSTITUTE(M2,";","~",6))-1,LEN(M2))- FIND("~",SUBSTITUTE(M2,";","~",5))),""))</f>
      </c>
      <c r="AR2" s="579" t="str">
        <f>IF(I2&gt;=1,INDEX(OperatorIDList,MATCH(AL2,OperatorNameList,0)),"")</f>
        <v>VINAPHONE</v>
      </c>
      <c r="AS2" s="579" t="str">
        <f>IF(I2&gt;=2,INDEX(OperatorIDList,MATCH(AM2,OperatorNameList,0)),"")</f>
        <v>VINAPHONE</v>
      </c>
      <c r="AT2" s="579" t="str">
        <f>IF(I2&gt;=3,INDEX(OperatorIDList,MATCH(AN2,OperatorNameList,0)),"")</f>
        <v>VINAPHONE</v>
      </c>
      <c r="AU2" s="579" t="str">
        <f>IF(I2&gt;=4,INDEX(OperatorIDList,MATCH(AO2,OperatorNameList,0)),"")</f>
      </c>
      <c r="AV2" s="579" t="str">
        <f>IF(I2&gt;=5,INDEX(OperatorIDList,MATCH(AP2,OperatorNameList,0)),"")</f>
      </c>
      <c r="AW2" s="579" t="str">
        <f>IF(I2&gt;=6,INDEX(OperatorIDList,MATCH(AQ2,OperatorNameList,0)),"")</f>
      </c>
      <c r="AX2" s="579" t="str">
        <f>ConcateMultiple(AR2:AW2,";",I2)</f>
        <v>VINAPHONE;VINAPHONE;VINAPHONE</v>
      </c>
      <c r="AY2" s="579" t="str">
        <f>IF(I2&gt;=1,MID(N2,1,IFERROR(FIND("~",SUBSTITUTE(N2,";","~",1))-1,LEN(N2))),"")</f>
        <v>BDGTDM002</v>
      </c>
      <c r="AZ2" s="579" t="str">
        <f>IF(I2&gt;=2,MID(N2,FIND("~",SUBSTITUTE(N2,";","~",1))+1,IFERROR(FIND("~",SUBSTITUTE(N2,";","~",2))-1,LEN(N2))- FIND("~",SUBSTITUTE(N2,";","~",1))),"")</f>
        <v>BDGTDM002</v>
      </c>
      <c r="BA2" s="579" t="str">
        <f>IF(I2&gt;=3,MID(N2,FIND("~",SUBSTITUTE(N2,";","~",2))+1,IFERROR(FIND("~",SUBSTITUTE(N2,";","~",3))-1,LEN(N2))- FIND("~",SUBSTITUTE(N2,";","~",2))),"")</f>
        <v>BDGTDM002</v>
      </c>
      <c r="BB2" s="579" t="str">
        <f>IF(I2&gt;=4,MID(N2,FIND("~",SUBSTITUTE(N2,";","~",3))+1,IFERROR(FIND("~",SUBSTITUTE(N2,";","~",4))-1,LEN(N2))- FIND("~",SUBSTITUTE(N2,";","~",3))),"")</f>
      </c>
      <c r="BC2" s="579" t="str">
        <f>IF(I2&gt;=5,MID(N2,FIND("~",SUBSTITUTE(N2,";","~",4))+1,IFERROR(FIND("~",SUBSTITUTE(N2,";","~",5))-1,LEN(N2))- FIND("~",SUBSTITUTE(N2,";","~",4))),"")</f>
      </c>
      <c r="BD2" s="579" t="str">
        <f>IF(I2&gt;=6,MID(N2,FIND("~",SUBSTITUTE(N2,";","~",5))+1,IFERROR(FIND("~",SUBSTITUTE(N2,";","~",6))-1,LEN(N2))- FIND("~",SUBSTITUTE(N2,";","~",5))),"")</f>
      </c>
      <c r="BE2" s="579" t="str">
        <f>IF(I2&gt;=1,MID(O2,1,IFERROR(FIND("~",SUBSTITUTE(O2,";","~",1))-1,LEN(O2))),"")</f>
        <v>MOTOROLA HORIZON II MACRO</v>
      </c>
      <c r="BF2" s="579" t="str">
        <f>IF(I2&gt;=2,MID(O2,FIND("~",SUBSTITUTE(O2,";","~",1))+1,IFERROR(FIND("~",SUBSTITUTE(O2,";","~",2))-1,LEN(O2))- FIND("~",SUBSTITUTE(O2,";","~",1))),"")</f>
        <v>ERICSSON RBS 6601</v>
      </c>
      <c r="BG2" s="579" t="str">
        <f>IF(I2&gt;=3,MID(O2,FIND("~",SUBSTITUTE(O2,";","~",2))+1,IFERROR(FIND("~",SUBSTITUTE(O2,";","~",3))-1,LEN(O2))- FIND("~",SUBSTITUTE(O2,";","~",2))),"")</f>
        <v>NSN FLEXI MULTIRADIO 10 (FHED)</v>
      </c>
      <c r="BH2" s="579" t="str">
        <f>IF(I2&gt;=4,MID(O2,FIND("~",SUBSTITUTE(O2,";","~",3))+1,IFERROR(FIND("~",SUBSTITUTE(O2,";","~",4))-1,LEN(O2))- FIND("~",SUBSTITUTE(O2,";","~",3))),"")</f>
      </c>
      <c r="BI2" s="579" t="str">
        <f>IF(I2&gt;=5,MID(O2,FIND("~",SUBSTITUTE(O2,";","~",4))+1,IFERROR(FIND("~",SUBSTITUTE(O2,";","~",5))-1,LEN(O2))- FIND("~",SUBSTITUTE(O2,";","~",4))),"")</f>
      </c>
      <c r="BJ2" s="579" t="str">
        <f>IF(I2&gt;=6,MID(O2,FIND("~",SUBSTITUTE(O2,";","~",5))+1,IFERROR(FIND("~",SUBSTITUTE(O2,";","~",6))-1,LEN(O2))- FIND("~",SUBSTITUTE(O2,";","~",5))),"")</f>
      </c>
      <c r="BK2" s="579">
        <f>IF(I2&gt;=1,MID(P2,1,IFERROR(FIND("~",SUBSTITUTE(P2,";","~",1))-1,LEN(P2))),"0")*1</f>
        <v>3</v>
      </c>
      <c r="BL2" s="579">
        <f>IF(I2&gt;=2,MID(P2,FIND("~",SUBSTITUTE(P2,";","~",1))+1,IFERROR(FIND("~",SUBSTITUTE(P2,";","~",2))-1,LEN(P2))- FIND("~",SUBSTITUTE(P2,";","~",1))),"0")*1</f>
        <v>3</v>
      </c>
      <c r="BM2" s="579">
        <f>IF(I2&gt;=3,MID(P2,FIND("~",SUBSTITUTE(P2,";","~",2))+1,IFERROR(FIND("~",SUBSTITUTE(P2,";","~",3))-1,LEN(P2))- FIND("~",SUBSTITUTE(P2,";","~",2))),"0")*1</f>
        <v>3</v>
      </c>
      <c r="BN2" s="579">
        <f>IF(I2&gt;=4,MID(P2,FIND("~",SUBSTITUTE(P2,";","~",3))+1,IFERROR(FIND("~",SUBSTITUTE(P2,";","~",4))-1,LEN(P2))- FIND("~",SUBSTITUTE(P2,";","~",3))),"0")*1</f>
        <v>0</v>
      </c>
      <c r="BO2" s="579">
        <f>IF(I2&gt;=5,MID(P2,FIND("~",SUBSTITUTE(P2,";","~",4))+1,IFERROR(FIND("~",SUBSTITUTE(P2,";","~",5))-1,LEN(P2))- FIND("~",SUBSTITUTE(P2,";","~",4))),"0")*1</f>
        <v>0</v>
      </c>
      <c r="BP2" s="579">
        <f>IF(I2&gt;=6,MID(P2,FIND("~",SUBSTITUTE(P2,";","~",5))+1,IFERROR(FIND("~",SUBSTITUTE(P2,";","~",6))-1,LEN(P2))- FIND("~",SUBSTITUTE(P2,";","~",5))),"0")*1</f>
        <v>0</v>
      </c>
      <c r="BQ2" s="579" t="str">
        <f>IF(I2&gt;=1,MID(Q2,1,IFERROR(FIND("~",SUBSTITUTE(Q2,";","~",1))-1,LEN(Q2))),"")</f>
        <v>4/4/4</v>
      </c>
      <c r="BR2" s="579">
        <f>IF(BK2&gt;=1,MID(BQ2,1,IFERROR(FIND("~",SUBSTITUTE(BQ2,"/","~",1))-1,LEN(BQ2))),"0")*1</f>
        <v>4</v>
      </c>
      <c r="BS2" s="579">
        <f>IF(BK2&gt;=2,MID(BQ2,FIND("~",SUBSTITUTE(BQ2,"/","~",1))+1,IFERROR(FIND("~",SUBSTITUTE(BQ2,"/","~",2))-1,LEN(BQ2))- FIND("~",SUBSTITUTE(BQ2,"/","~",1))),"0")*1</f>
        <v>4</v>
      </c>
      <c r="BT2" s="579">
        <f>IF(BK2&gt;=3,MID(BQ2,FIND("~",SUBSTITUTE(BQ2,"/","~",2))+1,IFERROR(FIND("~",SUBSTITUTE(BQ2,"/","~",3))-1,LEN(BQ2))- FIND("~",SUBSTITUTE(BQ2,"/","~",2))),"0")*1</f>
        <v>4</v>
      </c>
      <c r="BU2" s="579">
        <f>IF(BK2&gt;=4,MID(BQ2,FIND("~",SUBSTITUTE(BQ2,"/","~",3))+1,IFERROR(FIND("~",SUBSTITUTE(BQ2,"/","~",4))-1,LEN(BQ2))- FIND("~",SUBSTITUTE(BQ2,"/","~",3))),"0")*1</f>
        <v>0</v>
      </c>
      <c r="BV2" s="579" t="str">
        <f>IF(I2&gt;=2,MID(Q2,FIND("~",SUBSTITUTE(Q2,";","~",1))+1,IFERROR(FIND("~",SUBSTITUTE(Q2,";","~",2))-1,LEN(Q2))- FIND("~",SUBSTITUTE(Q2,";","~",1))),"")</f>
        <v>2/2/2</v>
      </c>
      <c r="BW2" s="579">
        <f>IF(BL2&gt;=1,MID(BV2,1,IFERROR(FIND("~",SUBSTITUTE(BV2,"/","~",1))-1,LEN(BV2))),"0")*1</f>
        <v>2</v>
      </c>
      <c r="BX2" s="579">
        <f>IF(BL2&gt;=2,MID(BV2,FIND("~",SUBSTITUTE(BV2,"/","~",1))+1,IFERROR(FIND("~",SUBSTITUTE(BV2,"/","~",2))-1,LEN(BV2))- FIND("~",SUBSTITUTE(BV2,"/","~",1))),"0")*1</f>
        <v>2</v>
      </c>
      <c r="BY2" s="579">
        <f>IF(BL2&gt;=3,MID(BV2,FIND("~",SUBSTITUTE(BV2,"/","~",2))+1,IFERROR(FIND("~",SUBSTITUTE(BV2,"/","~",3))-1,LEN(BV2))- FIND("~",SUBSTITUTE(BV2,"/","~",2))),"0")*1</f>
        <v>2</v>
      </c>
      <c r="BZ2" s="579">
        <f>IF(BL2&gt;=4,MID(BV2,FIND("~",SUBSTITUTE(BV2,"/","~",3))+1,IFERROR(FIND("~",SUBSTITUTE(BV2,"/","~",4))-1,LEN(BV2))- FIND("~",SUBSTITUTE(BV2,"/","~",3))),"0")*1</f>
        <v>0</v>
      </c>
      <c r="CA2" s="579" t="str">
        <f>IF(I2&gt;=3,MID(Q2,FIND("~",SUBSTITUTE(Q2,";","~",2))+1,IFERROR(FIND("~",SUBSTITUTE(Q2,";","~",3))-1,LEN(Q2))- FIND("~",SUBSTITUTE(Q2,";","~",2))),"")</f>
        <v>1/1/1</v>
      </c>
      <c r="CB2" s="579">
        <f>IF(BM2&gt;=1,MID(CA2,1,IFERROR(FIND("~",SUBSTITUTE(CA2,"/","~",1))-1,LEN(CA2))),"0")*1</f>
        <v>1</v>
      </c>
      <c r="CC2" s="579">
        <f>IF(BM2&gt;=2,MID(CA2,FIND("~",SUBSTITUTE(CA2,"/","~",1))+1,IFERROR(FIND("~",SUBSTITUTE(CA2,"/","~",2))-1,LEN(CA2))- FIND("~",SUBSTITUTE(CA2,"/","~",1))),"0")*1</f>
        <v>1</v>
      </c>
      <c r="CD2" s="579">
        <f>IF(BM2&gt;=3,MID(CA2,FIND("~",SUBSTITUTE(CA2,"/","~",2))+1,IFERROR(FIND("~",SUBSTITUTE(CA2,"/","~",3))-1,LEN(CA2))- FIND("~",SUBSTITUTE(CA2,"/","~",2))),"0")*1</f>
        <v>1</v>
      </c>
      <c r="CE2" s="579">
        <f>IF(BM2&gt;=4,MID(CA2,FIND("~",SUBSTITUTE(CA2,"/","~",3))+1,IFERROR(FIND("~",SUBSTITUTE(CA2,"/","~",4))-1,LEN(CA2))- FIND("~",SUBSTITUTE(CA2,"/","~",3))),"0")*1</f>
        <v>0</v>
      </c>
      <c r="CF2" s="579" t="str">
        <f>IF(I2&gt;=4,MID(Q2,FIND("~",SUBSTITUTE(Q2,";","~",3))+1,IFERROR(FIND("~",SUBSTITUTE(Q2,";","~",4))-1,LEN(Q2))- FIND("~",SUBSTITUTE(Q2,";","~",3))),"")</f>
      </c>
      <c r="CG2" s="579">
        <f>IF(BN2&gt;=1,MID(CF2,1,IFERROR(FIND("~",SUBSTITUTE(CF2,"/","~",1))-1,LEN(CF2))),"0")*1</f>
        <v>0</v>
      </c>
      <c r="CH2" s="579">
        <f>IF(BN2&gt;=2,MID(CF2,FIND("~",SUBSTITUTE(CF2,"/","~",1))+1,IFERROR(FIND("~",SUBSTITUTE(CF2,"/","~",2))-1,LEN(CF2))- FIND("~",SUBSTITUTE(CF2,"/","~",1))),"0")*1</f>
        <v>0</v>
      </c>
      <c r="CI2" s="579">
        <f>IF(BN2&gt;=3,MID(CF2,FIND("~",SUBSTITUTE(CF2,"/","~",2))+1,IFERROR(FIND("~",SUBSTITUTE(CF2,"/","~",3))-1,LEN(CF2))- FIND("~",SUBSTITUTE(CF2,"/","~",2))),"0")*1</f>
        <v>0</v>
      </c>
      <c r="CJ2" s="579">
        <f>IF(BN2&gt;=4,MID(CF2,FIND("~",SUBSTITUTE(CF2,"/","~",3))+1,IFERROR(FIND("~",SUBSTITUTE(CF2,"/","~",4))-1,LEN(CF2))- FIND("~",SUBSTITUTE(CF2,"/","~",3))),"0")*1</f>
        <v>0</v>
      </c>
      <c r="CK2" s="579" t="str">
        <f>IF(I2&gt;=5,MID(Q2,FIND("~",SUBSTITUTE(Q2,";","~",4))+1,IFERROR(FIND("~",SUBSTITUTE(Q2,";","~",5))-1,LEN(Q2))- FIND("~",SUBSTITUTE(Q2,";","~",4))),"")</f>
      </c>
      <c r="CL2" s="579">
        <f>IF(BO2&gt;=1,MID(CK2,1,IFERROR(FIND("~",SUBSTITUTE(CK2,"/","~",1))-1,LEN(CK2))),"0")*1</f>
        <v>0</v>
      </c>
      <c r="CM2" s="579">
        <f>IF(BO2&gt;=2,MID(CK2,FIND("~",SUBSTITUTE(CK2,"/","~",1))+1,IFERROR(FIND("~",SUBSTITUTE(CK2,"/","~",2))-1,LEN(CK2))- FIND("~",SUBSTITUTE(CK2,"/","~",1))),"0")*1</f>
        <v>0</v>
      </c>
      <c r="CN2" s="579">
        <f>IF(BO2&gt;=3,MID(CK2,FIND("~",SUBSTITUTE(CK2,"/","~",2))+1,IFERROR(FIND("~",SUBSTITUTE(CK2,"/","~",3))-1,LEN(CK2))- FIND("~",SUBSTITUTE(CK2,"/","~",2))),"0")*1</f>
        <v>0</v>
      </c>
      <c r="CO2" s="579">
        <f>IF(BO2&gt;=4,MID(CK2,FIND("~",SUBSTITUTE(CK2,"/","~",3))+1,IFERROR(FIND("~",SUBSTITUTE(CK2,"/","~",4))-1,LEN(CK2))- FIND("~",SUBSTITUTE(CK2,"/","~",3))),"0")*1</f>
        <v>0</v>
      </c>
      <c r="CP2" s="579" t="str">
        <f>IF(I2&gt;=6,MID(Q2,FIND("~",SUBSTITUTE(Q2,";","~",5))+1,IFERROR(FIND("~",SUBSTITUTE(Q2,";","~",6))-1,LEN(Q2))- FIND("~",SUBSTITUTE(Q2,";","~",5))),"")</f>
      </c>
      <c r="CQ2" s="579">
        <f>IF(BP2&gt;=1,MID(CP2,1,IFERROR(FIND("~",SUBSTITUTE(CP2,"/","~",1))-1,LEN(CP2))),"0")*1</f>
        <v>0</v>
      </c>
      <c r="CR2" s="579">
        <f>IF(BP2&gt;=2,MID(CP2,FIND("~",SUBSTITUTE(CP2,"/","~",1))+1,IFERROR(FIND("~",SUBSTITUTE(CP2,"/","~",2))-1,LEN(CP2))- FIND("~",SUBSTITUTE(CP2,"/","~",1))),"0")*1</f>
        <v>0</v>
      </c>
      <c r="CS2" s="579">
        <f>IF(BP2&gt;=3,MID(CP2,FIND("~",SUBSTITUTE(CP2,"/","~",2))+1,IFERROR(FIND("~",SUBSTITUTE(CP2,"/","~",3))-1,LEN(CP2))- FIND("~",SUBSTITUTE(CP2,"/","~",2))),"0")*1</f>
        <v>0</v>
      </c>
      <c r="CT2" s="579">
        <f>IF(BP2&gt;=4,MID(CP2,FIND("~",SUBSTITUTE(CP2,"/","~",3))+1,IFERROR(FIND("~",SUBSTITUTE(CP2,"/","~",4))-1,LEN(CP2))- FIND("~",SUBSTITUTE(CP2,"/","~",3))),"0")*1</f>
        <v>0</v>
      </c>
      <c r="CU2" s="579" t="str">
        <f>IF(I2&gt;=1,MID(R2,1,IFERROR(FIND("~",SUBSTITUTE(R2,";","~",1))-1,LEN(R2))),"")</f>
        <v>20W/20W/20W</v>
      </c>
      <c r="CV2" s="579">
        <f>SUBSTITUTE(IF(BK2&gt;=1,MID(CU2,1,IFERROR(FIND("~",SUBSTITUTE(CU2,"/","~",1))-1,LEN(CU2))),"0"),"W","")*1</f>
        <v>20</v>
      </c>
      <c r="CW2" s="579">
        <f>SUBSTITUTE(IF(BK2&gt;=2,MID(CU2,FIND("~",SUBSTITUTE(CU2,"/","~",1))+1,IFERROR(FIND("~",SUBSTITUTE(CU2,"/","~",2))-1,LEN(CU2))- FIND("~",SUBSTITUTE(CU2,"/","~",1))),"0"),"W","")*1</f>
        <v>20</v>
      </c>
      <c r="CX2" s="579">
        <f>SUBSTITUTE(IF(BK2&gt;=3,MID(CU2,FIND("~",SUBSTITUTE(CU2,"/","~",2))+1,IFERROR(FIND("~",SUBSTITUTE(CU2,"/","~",3))-1,LEN(CU2))- FIND("~",SUBSTITUTE(CU2,"/","~",2))),"0"),"W","")*1</f>
        <v>20</v>
      </c>
      <c r="CY2" s="579">
        <f>SUBSTITUTE(IF(BK2&gt;=4,MID(CU2,FIND("~",SUBSTITUTE(CU2,"/","~",3))+1,IFERROR(FIND("~",SUBSTITUTE(CU2,"/","~",4))-1,LEN(CU2))- FIND("~",SUBSTITUTE(CU2,"/","~",3))),"0"),"W","")*1</f>
        <v>0</v>
      </c>
      <c r="CZ2" s="579" t="str">
        <f>ConcateMultiple(CV2:CY2,"W/",BK2)</f>
        <v>20W/20W/20W</v>
      </c>
      <c r="DA2" s="579">
        <f>MAX(CV2:CY2)</f>
        <v>20</v>
      </c>
      <c r="DB2" s="579" t="str">
        <f>IF(I2&gt;=2,MID(R2,FIND("~",SUBSTITUTE(R2,";","~",1))+1,IFERROR(FIND("~",SUBSTITUTE(R2,";","~",2))-1,LEN(R2))- FIND("~",SUBSTITUTE(R2,";","~",1))),"")</f>
        <v>60W/60W/60W</v>
      </c>
      <c r="DC2" s="579">
        <f>SUBSTITUTE(IF(BL2&gt;=1,MID(DB2,1,IFERROR(FIND("~",SUBSTITUTE(DB2,"/","~",1))-1,LEN(DB2))),"0"),"W","")*1</f>
        <v>60</v>
      </c>
      <c r="DD2" s="579">
        <f>SUBSTITUTE(IF(BL2&gt;=2,MID(DB2,FIND("~",SUBSTITUTE(DB2,"/","~",1))+1,IFERROR(FIND("~",SUBSTITUTE(DB2,"/","~",2))-1,LEN(DB2))- FIND("~",SUBSTITUTE(DB2,"/","~",1))),"0"),"W","")*1*1</f>
        <v>60</v>
      </c>
      <c r="DE2" s="579">
        <f>SUBSTITUTE(IF(BL2&gt;=3,MID(DB2,FIND("~",SUBSTITUTE(DB2,"/","~",2))+1,IFERROR(FIND("~",SUBSTITUTE(DB2,"/","~",3))-1,LEN(DB2))- FIND("~",SUBSTITUTE(DB2,"/","~",2))),"0"),"W","")*1*1</f>
        <v>60</v>
      </c>
      <c r="DF2" s="579">
        <f>SUBSTITUTE(IF(BL2&gt;=4,MID(DB2,FIND("~",SUBSTITUTE(DB2,"/","~",3))+1,IFERROR(FIND("~",SUBSTITUTE(DB2,"/","~",4))-1,LEN(DB2))- FIND("~",SUBSTITUTE(DB2,"/","~",3))),"0"),"W","")*1*1</f>
        <v>0</v>
      </c>
      <c r="DG2" s="579" t="str">
        <f>ConcateMultiple(DC2:DF2,"W/",BL2)</f>
        <v>60W/60W/60W</v>
      </c>
      <c r="DH2" s="579">
        <f>MAX(DC2:DF2)</f>
        <v>60</v>
      </c>
      <c r="DI2" s="579" t="str">
        <f>IF(I2&gt;=3,MID(R2,FIND("~",SUBSTITUTE(R2,";","~",2))+1,IFERROR(FIND("~",SUBSTITUTE(R2,";","~",3))-1,LEN(R2))- FIND("~",SUBSTITUTE(R2,";","~",2))),"")</f>
        <v>160W/160W/160W</v>
      </c>
      <c r="DJ2" s="579">
        <f>SUBSTITUTE(IF(BM2&gt;=1,MID(DI2,1,IFERROR(FIND("~",SUBSTITUTE(DI2,"/","~",1))-1,LEN(DI2))),"0"),"W","")*1</f>
        <v>160</v>
      </c>
      <c r="DK2" s="579">
        <f>SUBSTITUTE(IF(BM2&gt;=2,MID(DI2,FIND("~",SUBSTITUTE(DI2,"/","~",1))+1,IFERROR(FIND("~",SUBSTITUTE(DI2,"/","~",2))-1,LEN(DI2))- FIND("~",SUBSTITUTE(DI2,"/","~",1))),"0"),"W","")*1</f>
        <v>160</v>
      </c>
      <c r="DL2" s="579">
        <f>SUBSTITUTE(IF(BM2&gt;=3,MID(DI2,FIND("~",SUBSTITUTE(DI2,"/","~",2))+1,IFERROR(FIND("~",SUBSTITUTE(DI2,"/","~",3))-1,LEN(DI2))- FIND("~",SUBSTITUTE(DI2,"/","~",2))),"0"),"W","")*1</f>
        <v>160</v>
      </c>
      <c r="DM2" s="579">
        <f>SUBSTITUTE(IF(BM2&gt;=4,MID(DI2,FIND("~",SUBSTITUTE(DI2,"/","~",3))+1,IFERROR(FIND("~",SUBSTITUTE(DI2,"/","~",4))-1,LEN(DI2))- FIND("~",SUBSTITUTE(DI2,"/","~",3))),"0"),"W","")*1*1</f>
        <v>0</v>
      </c>
      <c r="DN2" s="579" t="str">
        <f>ConcateMultiple(DJ2:DM2,"W/",BM2)</f>
        <v>160W/160W/160W</v>
      </c>
      <c r="DO2" s="579">
        <f>MAX(DJ2:DM2)</f>
        <v>160</v>
      </c>
      <c r="DP2" s="579" t="str">
        <f>IF(I2&gt;=4,MID(R2,FIND("~",SUBSTITUTE(R2,";","~",3))+1,IFERROR(FIND("~",SUBSTITUTE(R2,";","~",4))-1,LEN(R2))- FIND("~",SUBSTITUTE(R2,";","~",3))),"")</f>
      </c>
      <c r="DQ2" s="579">
        <f>SUBSTITUTE(IF(BN2&gt;=1,MID(DP2,1,IFERROR(FIND("~",SUBSTITUTE(DP2,"/","~",1))-1,LEN(DP2))),"0"),"W","")*1</f>
        <v>0</v>
      </c>
      <c r="DR2" s="579">
        <f>SUBSTITUTE(IF(BN2&gt;=2,MID(DP2,FIND("~",SUBSTITUTE(DP2,"/","~",1))+1,IFERROR(FIND("~",SUBSTITUTE(DP2,"/","~",2))-1,LEN(DP2))- FIND("~",SUBSTITUTE(DP2,"/","~",1))),"0"),"W","")*1</f>
        <v>0</v>
      </c>
      <c r="DS2" s="579">
        <f>SUBSTITUTE(IF(BN2&gt;=3,MID(DP2,FIND("~",SUBSTITUTE(DP2,"/","~",2))+1,IFERROR(FIND("~",SUBSTITUTE(DP2,"/","~",3))-1,LEN(DP2))- FIND("~",SUBSTITUTE(DP2,"/","~",2))),"0"),"W","")*1</f>
        <v>0</v>
      </c>
      <c r="DT2" s="579">
        <f>SUBSTITUTE(IF(BN2&gt;=4,MID(DP2,FIND("~",SUBSTITUTE(DP2,"/","~",3))+1,IFERROR(FIND("~",SUBSTITUTE(DP2,"/","~",4))-1,LEN(DP2))- FIND("~",SUBSTITUTE(DP2,"/","~",3))),"0"),"W","")*1</f>
        <v>0</v>
      </c>
      <c r="DU2" s="579" t="str">
        <f>ConcateMultiple(DQ2:DT2,"W/",BN2)</f>
      </c>
      <c r="DV2" s="579">
        <f>MAX(DQ2:DT2)</f>
        <v>0</v>
      </c>
      <c r="DW2" s="579" t="str">
        <f>IF(I2&gt;=5,MID(R2,FIND("~",SUBSTITUTE(R2,";","~",4))+1,IFERROR(FIND("~",SUBSTITUTE(R2,";","~",5))-1,LEN(R2))- FIND("~",SUBSTITUTE(R2,";","~",4))),"")</f>
      </c>
      <c r="DX2" s="579">
        <f>SUBSTITUTE(IF(BO2&gt;=1,MID(DW2,1,IFERROR(FIND("~",SUBSTITUTE(DW2,"/","~",1))-1,LEN(DW2))),"0"),"W","")*1</f>
        <v>0</v>
      </c>
      <c r="DY2" s="579">
        <f>SUBSTITUTE(IF(BO2&gt;=2,MID(DW2,FIND("~",SUBSTITUTE(DW2,"/","~",1))+1,IFERROR(FIND("~",SUBSTITUTE(DW2,"/","~",2))-1,LEN(DW2))- FIND("~",SUBSTITUTE(DW2,"/","~",1))),"0"),"W","")*1</f>
        <v>0</v>
      </c>
      <c r="DZ2" s="579">
        <f>SUBSTITUTE(IF(BO2&gt;=3,MID(DW2,FIND("~",SUBSTITUTE(DW2,"/","~",2))+1,IFERROR(FIND("~",SUBSTITUTE(DW2,"/","~",3))-1,LEN(DW2))- FIND("~",SUBSTITUTE(DW2,"/","~",2))),"0"),"W","")*1</f>
        <v>0</v>
      </c>
      <c r="EA2" s="579">
        <f>SUBSTITUTE(IF(BO2&gt;=4,MID(DW2,FIND("~",SUBSTITUTE(DW2,"/","~",3))+1,IFERROR(FIND("~",SUBSTITUTE(DW2,"/","~",4))-1,LEN(DW2))- FIND("~",SUBSTITUTE(DW2,"/","~",3))),"0"),"W","")*1</f>
        <v>0</v>
      </c>
      <c r="EB2" s="579" t="str">
        <f>ConcateMultiple(DX2:EA2,"W/",BO2)</f>
      </c>
      <c r="EC2" s="579">
        <f>MAX(DX2:EA2)</f>
        <v>0</v>
      </c>
      <c r="ED2" s="579" t="str">
        <f>IF(I2&gt;=6,MID(R2,FIND("~",SUBSTITUTE(R2,";","~",5))+1,IFERROR(FIND("~",SUBSTITUTE(R2,";","~",6))-1,LEN(R2))- FIND("~",SUBSTITUTE(R2,";","~",5))),"")</f>
      </c>
      <c r="EE2" s="579">
        <f>SUBSTITUTE(IF(BP2&gt;=1,MID(ED2,1,IFERROR(FIND("~",SUBSTITUTE(ED2,"/","~",1))-1,LEN(ED2))),"0"),"W","")*1</f>
        <v>0</v>
      </c>
      <c r="EF2" s="579">
        <f>SUBSTITUTE(IF(BP2&gt;=2,MID(ED2,FIND("~",SUBSTITUTE(ED2,"/","~",1))+1,IFERROR(FIND("~",SUBSTITUTE(ED2,"/","~",2))-1,LEN(ED2))- FIND("~",SUBSTITUTE(ED2,"/","~",1))),"0"),"W","")*1</f>
        <v>0</v>
      </c>
      <c r="EG2" s="579">
        <f>SUBSTITUTE(IF(BP2&gt;=3,MID(ED2,FIND("~",SUBSTITUTE(ED2,"/","~",2))+1,IFERROR(FIND("~",SUBSTITUTE(ED2,"/","~",3))-1,LEN(ED2))- FIND("~",SUBSTITUTE(ED2,"/","~",2))),"0"),"W","")*1</f>
        <v>0</v>
      </c>
      <c r="EH2" s="579">
        <f>SUBSTITUTE(IF(BP2&gt;=4,MID(ED2,FIND("~",SUBSTITUTE(ED2,"/","~",3))+1,IFERROR(FIND("~",SUBSTITUTE(ED2,"/","~",4))-1,LEN(ED2))- FIND("~",SUBSTITUTE(ED2,"/","~",3))),"0"),"W","")*1</f>
        <v>0</v>
      </c>
      <c r="EI2" s="579" t="str">
        <f>ConcateMultiple(EE2:EH2,"W/",BP2)</f>
      </c>
      <c r="EJ2" s="579">
        <f>MAX(EE2:EH2)</f>
        <v>0</v>
      </c>
      <c r="EK2" s="579">
        <f>MAX(DA2,DH2,DO2,DV2,EC2,EJ2)</f>
        <v>160</v>
      </c>
      <c r="EL2" s="579" t="str">
        <f>TRIM(IF(I2&gt;=1,MID(S2,1,IFERROR(FIND("~",SUBSTITUTE(S2,";","~",1))-1,LEN(S2))),""))</f>
        <v>G900</v>
      </c>
      <c r="EM2" s="579" t="str">
        <f>TRIM(IF(I2&gt;=2,MID(S2,FIND("~",SUBSTITUTE(S2,";","~",1))+1,IFERROR(FIND("~",SUBSTITUTE(S2,";","~",2))-1,LEN(S2))- FIND("~",SUBSTITUTE(S2,";","~",1))),""))</f>
        <v>U2100</v>
      </c>
      <c r="EN2" s="579" t="str">
        <f>TRIM(IF(I2&gt;=3,MID(S2,FIND("~",SUBSTITUTE(S2,";","~",2))+1,IFERROR(FIND("~",SUBSTITUTE(S2,";","~",3))-1,LEN(S2))- FIND("~",SUBSTITUTE(S2,";","~",2))),""))</f>
        <v>L1800</v>
      </c>
      <c r="EO2" s="579" t="str">
        <f>TRIM(IF(I2&gt;=4,MID(S2,FIND("~",SUBSTITUTE(S2,";","~",3))+1,IFERROR(FIND("~",SUBSTITUTE(S2,";","~",4))-1,LEN(S2))- FIND("~",SUBSTITUTE(S2,";","~",3))),""))</f>
      </c>
      <c r="EP2" s="579" t="str">
        <f>TRIM(IF(I2&gt;=5,MID(S2,FIND("~",SUBSTITUTE(S2,";","~",4))+1,IFERROR(FIND("~",SUBSTITUTE(S2,";","~",5))-1,LEN(S2))- FIND("~",SUBSTITUTE(S2,";","~",4))),""))</f>
      </c>
      <c r="EQ2" s="579" t="str">
        <f>TRIM(IF(I2&gt;=6,MID(S2,FIND("~",SUBSTITUTE(S2,";","~",5))+1,IFERROR(FIND("~",SUBSTITUTE(S2,";","~",6))-1,LEN(S2))- FIND("~",SUBSTITUTE(S2,";","~",5))),""))</f>
      </c>
      <c r="ER2" s="579" t="str">
        <f>TRIM(IF(I2&gt;=1,MID(T2,1,IFERROR(FIND("~",SUBSTITUTE(T2,";","~",1))-1,LEN(T2))),""))</f>
        <v>36m/ 36m/ 36m</v>
      </c>
      <c r="ES2" s="579">
        <f>SUBSTITUTE(IF(BK2&gt;=1,MID(ER2,1,IFERROR(FIND("~",SUBSTITUTE(ER2,"/","~",1))-1,LEN(ER2))),"0"),"m","")*1</f>
        <v>36</v>
      </c>
      <c r="ET2" s="579">
        <f>SUBSTITUTE(TRIM(IF(BK2&gt;=2,MID(ER2,FIND("~",SUBSTITUTE(ER2,"/","~",1))+1,IFERROR(FIND("~",SUBSTITUTE(ER2,"/","~",2))-1,LEN(ER2))- FIND("~",SUBSTITUTE(ER2,"/","~",1))),"0")),"m","")*1</f>
        <v>36</v>
      </c>
      <c r="EU2" s="579">
        <f>SUBSTITUTE(TRIM(IF(BK2&gt;=3,MID(ER2,FIND("~",SUBSTITUTE(ER2,"/","~",2))+1,IFERROR(FIND("~",SUBSTITUTE(ER2,"/","~",3))-1,LEN(ER2))- FIND("~",SUBSTITUTE(ER2,"/","~",2))),"0")),"m","")*1</f>
        <v>36</v>
      </c>
      <c r="EV2" s="579">
        <f>SUBSTITUTE(TRIM(IF(BK2&gt;=4,MID(ER2,FIND("~",SUBSTITUTE(ER2,"/","~",3))+1,IFERROR(FIND("~",SUBSTITUTE(ER2,"/","~",4))-1,LEN(ER2))- FIND("~",SUBSTITUTE(ER2,"/","~",3))),"0")),"m","")*1</f>
        <v>0</v>
      </c>
      <c r="EW2" s="579" t="str">
        <f>ConcateMultiple(ES2:EV2,"m/",BK2)</f>
        <v>36m/36m/36m</v>
      </c>
      <c r="EX2" s="579" t="str">
        <f>TRIM(IF(I2&gt;=2,MID(T2,FIND("~",SUBSTITUTE(T2,";","~",1))+1,IFERROR(FIND("~",SUBSTITUTE(T2,";","~",2))-1,LEN(T2))- FIND("~",SUBSTITUTE(T2,";","~",1))),""))</f>
        <v>36m/ 36m/ 36m</v>
      </c>
      <c r="EY2" s="579">
        <f>SUBSTITUTE(IF(BL2&gt;=1,MID(EX2,1,IFERROR(FIND("~",SUBSTITUTE(EX2,"/","~",1))-1,LEN(EX2))),"0"),"m","")*1</f>
        <v>36</v>
      </c>
      <c r="EZ2" s="579">
        <f>SUBSTITUTE(TRIM(IF(BL2&gt;=2,MID(EX2,FIND("~",SUBSTITUTE(EX2,"/","~",1))+1,IFERROR(FIND("~",SUBSTITUTE(EX2,"/","~",2))-1,LEN(EX2))- FIND("~",SUBSTITUTE(EX2,"/","~",1))),"0")),"m","")*1</f>
        <v>36</v>
      </c>
      <c r="FA2" s="579">
        <f>SUBSTITUTE(TRIM(IF(BL2&gt;=3,MID(EX2,FIND("~",SUBSTITUTE(EX2,"/","~",2))+1,IFERROR(FIND("~",SUBSTITUTE(EX2,"/","~",3))-1,LEN(EX2))- FIND("~",SUBSTITUTE(EX2,"/","~",2))),"0")),"m","")*1</f>
        <v>36</v>
      </c>
      <c r="FB2" s="579">
        <f>SUBSTITUTE(TRIM(IF(BL2&gt;=4,MID(EX2,FIND("~",SUBSTITUTE(EX2,"/","~",3))+1,IFERROR(FIND("~",SUBSTITUTE(EX2,"/","~",4))-1,LEN(EX2))- FIND("~",SUBSTITUTE(EX2,"/","~",3))),"0")),"m","")*1</f>
        <v>0</v>
      </c>
      <c r="FC2" s="579" t="str">
        <f>ConcateMultiple(EY2:FB2,"m/",BL2)</f>
        <v>36m/36m/36m</v>
      </c>
      <c r="FD2" s="579" t="str">
        <f>TRIM(IF(I2&gt;=3,MID(T2,FIND("~",SUBSTITUTE(T2,";","~",2))+1,IFERROR(FIND("~",SUBSTITUTE(T2,";","~",3))-1,LEN(T2))- FIND("~",SUBSTITUTE(T2,";","~",2))),""))</f>
        <v>36m/ 36m/ 36m</v>
      </c>
      <c r="FE2" s="579">
        <f>SUBSTITUTE(IF(BM2&gt;=1,MID(FD2,1,IFERROR(FIND("~",SUBSTITUTE(FD2,"/","~",1))-1,LEN(FD2))),"0"),"m","")*1</f>
        <v>36</v>
      </c>
      <c r="FF2" s="579">
        <f>SUBSTITUTE(TRIM(IF(BM2&gt;=2,MID(FD2,FIND("~",SUBSTITUTE(FD2,"/","~",1))+1,IFERROR(FIND("~",SUBSTITUTE(FD2,"/","~",2))-1,LEN(FD2))- FIND("~",SUBSTITUTE(FD2,"/","~",1))),"0")),"m","")*1</f>
        <v>36</v>
      </c>
      <c r="FG2" s="579">
        <f>SUBSTITUTE(TRIM(IF(BM2&gt;=3,MID(FD2,FIND("~",SUBSTITUTE(FD2,"/","~",2))+1,IFERROR(FIND("~",SUBSTITUTE(FD2,"/","~",3))-1,LEN(FD2))- FIND("~",SUBSTITUTE(FD2,"/","~",2))),"0")),"m","")*1</f>
        <v>36</v>
      </c>
      <c r="FH2" s="579">
        <f>SUBSTITUTE(TRIM(IF(BM2&gt;=4,MID(FD2,FIND("~",SUBSTITUTE(FD2,"/","~",3))+1,IFERROR(FIND("~",SUBSTITUTE(FD2,"/","~",4))-1,LEN(FD2))- FIND("~",SUBSTITUTE(FD2,"/","~",3))),"0")),"m","")*1</f>
        <v>0</v>
      </c>
      <c r="FI2" s="579" t="str">
        <f>ConcateMultiple(FE2:FH2,"m/",BM2)</f>
        <v>36m/36m/36m</v>
      </c>
      <c r="FJ2" s="579" t="str">
        <f>TRIM(IF(I2&gt;=4,MID(T2,FIND("~",SUBSTITUTE(T2,";","~",3))+1,IFERROR(FIND("~",SUBSTITUTE(T2,";","~",4))-1,LEN(T2))- FIND("~",SUBSTITUTE(T2,";","~",3))),""))</f>
      </c>
      <c r="FK2" s="579">
        <f>SUBSTITUTE(IF(BN2&gt;=1,MID(FJ2,1,IFERROR(FIND("~",SUBSTITUTE(FJ2,"/","~",1))-1,LEN(FJ2))),"0"),"m","")*1</f>
        <v>0</v>
      </c>
      <c r="FL2" s="579">
        <f>SUBSTITUTE(TRIM(IF(BN2&gt;=2,MID(FJ2,FIND("~",SUBSTITUTE(FJ2,"/","~",1))+1,IFERROR(FIND("~",SUBSTITUTE(FJ2,"/","~",2))-1,LEN(FJ2))- FIND("~",SUBSTITUTE(FJ2,"/","~",1))),"0")),"m","")*1</f>
        <v>0</v>
      </c>
      <c r="FM2" s="579">
        <f>SUBSTITUTE(TRIM(IF(BN2&gt;=3,MID(FJ2,FIND("~",SUBSTITUTE(FJ2,"/","~",2))+1,IFERROR(FIND("~",SUBSTITUTE(FJ2,"/","~",3))-1,LEN(FJ2))- FIND("~",SUBSTITUTE(FJ2,"/","~",2))),"0")),"m","")*1</f>
        <v>0</v>
      </c>
      <c r="FN2" s="579">
        <f>SUBSTITUTE(TRIM(IF(BN2&gt;=4,MID(FJ2,FIND("~",SUBSTITUTE(FJ2,"/","~",3))+1,IFERROR(FIND("~",SUBSTITUTE(FJ2,"/","~",4))-1,LEN(FJ2))- FIND("~",SUBSTITUTE(FJ2,"/","~",3))),"0")),"m","")*1</f>
        <v>0</v>
      </c>
      <c r="FO2" s="579" t="str">
        <f>ConcateMultiple(FK2:FN2,"m/",BN2)</f>
      </c>
      <c r="FP2" s="579" t="str">
        <f>TRIM(IF(I2&gt;=5,MID(T2,FIND("~",SUBSTITUTE(T2,";","~",4))+1,IFERROR(FIND("~",SUBSTITUTE(T2,";","~",5))-1,LEN(T2))- FIND("~",SUBSTITUTE(T2,";","~",4))),""))</f>
      </c>
      <c r="FQ2" s="579">
        <f>SUBSTITUTE(IF(BO2&gt;=1,MID(FP2,1,IFERROR(FIND("~",SUBSTITUTE(FP2,"/","~",1))-1,LEN(FP2))),"0"),"m","")*1</f>
        <v>0</v>
      </c>
      <c r="FR2" s="579">
        <f>SUBSTITUTE(TRIM(IF(BO2&gt;=2,MID(FP2,FIND("~",SUBSTITUTE(FP2,"/","~",1))+1,IFERROR(FIND("~",SUBSTITUTE(FP2,"/","~",2))-1,LEN(FP2))- FIND("~",SUBSTITUTE(FP2,"/","~",1))),"0")),"m","")*1</f>
        <v>0</v>
      </c>
      <c r="FS2" s="579">
        <f>SUBSTITUTE(TRIM(IF(BO2&gt;=3,MID(FP2,FIND("~",SUBSTITUTE(FP2,"/","~",2))+1,IFERROR(FIND("~",SUBSTITUTE(FP2,"/","~",3))-1,LEN(FP2))- FIND("~",SUBSTITUTE(FP2,"/","~",2))),"0")),"m","")*1</f>
        <v>0</v>
      </c>
      <c r="FT2" s="579">
        <f>SUBSTITUTE(TRIM(IF(BO2&gt;=4,MID(FP2,FIND("~",SUBSTITUTE(FP2,"/","~",3))+1,IFERROR(FIND("~",SUBSTITUTE(FP2,"/","~",4))-1,LEN(FP2))- FIND("~",SUBSTITUTE(FP2,"/","~",3))),"0")),"m","")*1</f>
        <v>0</v>
      </c>
      <c r="FU2" s="579" t="str">
        <f>ConcateMultiple(FQ2:FT2,"m/",BO2)</f>
      </c>
      <c r="FV2" s="579" t="str">
        <f>TRIM(IF(I2&gt;=6,MID(T2,FIND("~",SUBSTITUTE(T2,";","~",5))+1,IFERROR(FIND("~",SUBSTITUTE(T2,";","~",6))-1,LEN(T2))- FIND("~",SUBSTITUTE(T2,";","~",5))),""))</f>
      </c>
      <c r="FW2" s="579">
        <f>SUBSTITUTE(IF(BP2&gt;=1,MID(FV2,1,IFERROR(FIND("~",SUBSTITUTE(FV2,"/","~",1))-1,LEN(FV2))),"0"),"m","")*1</f>
        <v>0</v>
      </c>
      <c r="FX2" s="579">
        <f>SUBSTITUTE(TRIM(IF(BP2&gt;=2,MID(FV2,FIND("~",SUBSTITUTE(FV2,"/","~",1))+1,IFERROR(FIND("~",SUBSTITUTE(FV2,"/","~",2))-1,LEN(FV2))- FIND("~",SUBSTITUTE(FV2,"/","~",1))),"0")),"m","")*1</f>
        <v>0</v>
      </c>
      <c r="FY2" s="579">
        <f>SUBSTITUTE(TRIM(IF(BP2&gt;=3,MID(FV2,FIND("~",SUBSTITUTE(FV2,"/","~",2))+1,IFERROR(FIND("~",SUBSTITUTE(FV2,"/","~",3))-1,LEN(FV2))- FIND("~",SUBSTITUTE(FV2,"/","~",2))),"0")),"m","")*1</f>
        <v>0</v>
      </c>
      <c r="FZ2" s="579">
        <f>SUBSTITUTE(TRIM(IF(BP2&gt;=4,MID(FV2,FIND("~",SUBSTITUTE(FV2,"/","~",3))+1,IFERROR(FIND("~",SUBSTITUTE(FV2,"/","~",4))-1,LEN(FV2))- FIND("~",SUBSTITUTE(FV2,"/","~",3))),"0")),"m","")*1</f>
        <v>0</v>
      </c>
      <c r="GA2" s="579" t="str">
        <f>ConcateMultiple(FW2:FZ2,"m/",BP2)</f>
      </c>
      <c r="GB2" s="579" t="str">
        <f>INDEX(LabNameList,MATCH(AF2,LabIDList,0))</f>
        <v>Trung tâm Kiểm định và Chứng nhận 2</v>
      </c>
      <c r="GC2" s="579">
        <f>MinMultiple(ES2:EV2,BK2)</f>
        <v>36</v>
      </c>
      <c r="GD2" s="579">
        <f>MinMultiple(EY2:FB2,BL2)</f>
        <v>36</v>
      </c>
      <c r="GE2" s="579">
        <f>MinMultiple(FE2:FH2,BM2)</f>
        <v>36</v>
      </c>
      <c r="GF2" s="579">
        <f>MinMultiple(FK2:FN2,BN2)</f>
        <v>0</v>
      </c>
      <c r="GG2" s="579">
        <f>MinMultiple(FQ2:FT2,BO2)</f>
        <v>0</v>
      </c>
      <c r="GH2" s="579">
        <f>MinMultiple(FW2:FZ2,BP2)</f>
        <v>0</v>
      </c>
      <c r="GI2" s="739">
        <f>MinMultiple(GC2:GH2,I2)</f>
        <v>36</v>
      </c>
      <c r="GJ2" s="739">
        <f>GI2-AA2</f>
        <v>36</v>
      </c>
      <c r="GK2" s="579">
        <f>$GL$1</f>
        <v>10</v>
      </c>
      <c r="GL2" s="247"/>
      <c r="GM2" s="579">
        <f>$GN$1</f>
        <v>10</v>
      </c>
      <c r="GN2" s="247"/>
    </row>
    <row r="3" ht="153" s="370" customFormat="1">
      <c r="A3" s="236">
        <f>Input!A3</f>
        <v>2</v>
      </c>
      <c r="B3" s="236" t="str">
        <f>Input!B3</f>
        <v>VINAPHONE-HCM</v>
      </c>
      <c r="C3" s="236" t="str">
        <f>Input!C3</f>
        <v>VINAPHONE</v>
      </c>
      <c r="D3" s="740" t="str">
        <f ref="D3:D11" t="shared" si="0">AY3</f>
        <v>BDGTDM003</v>
      </c>
      <c r="E3" s="236" t="str">
        <f>Input!E3</f>
        <v>Số 10, đường Đinh Bộ Lĩnh, phường Phú Cường, thành phố Thủ Dầu Một, tỉnh Bình Dương.</v>
      </c>
      <c r="F3" s="236" t="str">
        <f>Input!F3</f>
        <v>Bình Dương</v>
      </c>
      <c r="G3" s="740" t="str">
        <f>Input!G3</f>
        <v>106,651585</v>
      </c>
      <c r="H3" s="740" t="str">
        <f>Input!H3</f>
        <v>10,979697</v>
      </c>
      <c r="I3" s="236">
        <f>Input!I3</f>
        <v>5</v>
      </c>
      <c r="J3" s="236" t="str">
        <f>Input!J3</f>
        <v>K00459221018D005</v>
      </c>
      <c r="K3" s="259" t="str">
        <f>TEXT(Input!K3,"dd/mm/yyyy")</f>
        <v>19/11/2018</v>
      </c>
      <c r="L3" s="259" t="str">
        <f>TEXT(Input!L3,"dd/mm/yyyy")</f>
        <v>22/10/2018</v>
      </c>
      <c r="M3" s="236" t="str">
        <f>Input!M3</f>
        <v>TỔNG CÔNG TY HẠ TẦNG MẠNG;TỔNG CÔNG TY HẠ TẦNG MẠNG;TỔNG CÔNG TY HẠ TẦNG MẠNG;TỔNG CÔNG TY HẠ TẦNG MẠNG;TỔNG CÔNG TY HẠ TẦNG MẠNG</v>
      </c>
      <c r="N3" s="236" t="str">
        <f>Input!N3</f>
        <v>BDGTDM003;BDGTDM003;BDGTDM003;BDGTDM003;BDGTDM003</v>
      </c>
      <c r="O3" s="236" t="str">
        <f>Input!O3</f>
        <v>MOTOROLA HORIZON II MACRO;MOTOROLA HORIZON II MACRO;ERICSSON RBS 3418;NSN FLEXI MULTIRADIO 10 (FHED);NSN FLEXI MULTIRADIO 10 (FHED)</v>
      </c>
      <c r="P3" s="236" t="str">
        <f>Input!P3</f>
        <v>3;3;3;3;3</v>
      </c>
      <c r="Q3" s="236" t="str">
        <f>Input!Q3</f>
        <v>2/2/4;2/4/2;2/2/2;1/1/1;1/1/1</v>
      </c>
      <c r="R3" s="236" t="str">
        <f>Input!R3</f>
        <v>20W/20W/20W;16W/16W/16W;60W/60W/60W;160W/160W/160W;160W/160W/160W</v>
      </c>
      <c r="S3" s="236" t="str">
        <f>Input!S3</f>
        <v>G900;G1800;U2100;L1800;L1800</v>
      </c>
      <c r="T3" s="236" t="str">
        <f>Input!T3</f>
        <v>45m/ 45m/ 45m;45m/ 45m/ 45m;34m/ 34m/ 34m;34m/ 34m/ 34m;34m/ 34m/ 34m</v>
      </c>
      <c r="U3" s="236">
        <f>Input!U3</f>
        <v>1</v>
      </c>
      <c r="V3" s="236" t="str">
        <f>Input!V3</f>
        <v>FX-X-CG-00T-900;FX-X-CDG-06T-DB-1800;S-Wave EW/EW/EW-65-18DV2/12I-F-64K-VN;S-Wave EW/EW/EW-65-18DV2/12I-F-64K-VN;S-Wave EW/EW/EW-65-18DV2/12I-F-64K-VN</v>
      </c>
      <c r="W3" s="236" t="b">
        <f>Input!W3</f>
        <v>1</v>
      </c>
      <c r="X3" s="236" t="b">
        <f>Input!X3</f>
        <v>1</v>
      </c>
      <c r="Y3" s="740">
        <f>Input!Y3</f>
        <v>34</v>
      </c>
      <c r="Z3" s="236" t="b">
        <f>Input!Z3</f>
        <v>1</v>
      </c>
      <c r="AA3" s="740">
        <f>Input!AA3</f>
        <v>10</v>
      </c>
      <c r="AB3" s="236" t="b">
        <f>Input!AB3</f>
        <v>0</v>
      </c>
      <c r="AC3" s="236" t="b">
        <f>Input!AC3</f>
        <v>1</v>
      </c>
      <c r="AD3" s="236">
        <f>Input!AD3</f>
        <v>0</v>
      </c>
      <c r="AE3" s="236">
        <f>Input!AE3</f>
        <v>0</v>
      </c>
      <c r="AF3" s="236" t="str">
        <f>Input!AF3</f>
        <v>VCC2</v>
      </c>
      <c r="AG3" s="236" t="str">
        <f>Input!AG3</f>
        <v>Trạm vi phạm vùng tuân thủ</v>
      </c>
      <c r="AH3" s="247"/>
      <c r="AI3" s="247" t="str">
        <f>INDEX(ApplicantNameList,MATCH(B3,ApplicantIDList,0))</f>
        <v>CHI NHÁNH VINAPHONE TẠI TPHCM</v>
      </c>
      <c r="AJ3" s="247" t="str">
        <f>INDEX(OperatorNameList,MATCH(C3,OperatorIDList,0))</f>
        <v>TỔNG CÔNG TY HẠ TẦNG MẠNG</v>
      </c>
      <c r="AK3" s="236" t="str">
        <f>INDEX(CityIDList,MATCH(F3,CityNameList,0))</f>
        <v>BDG</v>
      </c>
      <c r="AL3" s="247" t="str">
        <f ref="AL3:AL11" t="shared" si="1">TRIM(IF(I3&gt;=1,MID(M3,1,IFERROR(FIND("~",SUBSTITUTE(M3,";","~",1))-1,LEN(M3))),""))</f>
        <v>TỔNG CÔNG TY HẠ TẦNG MẠNG</v>
      </c>
      <c r="AM3" s="247" t="str">
        <f ref="AM3:AM11" t="shared" si="2">TRIM(IF(I3&gt;=2,MID(M3,FIND("~",SUBSTITUTE(M3,";","~",1))+1,IFERROR(FIND("~",SUBSTITUTE(M3,";","~",2))-1,LEN(M3))- FIND("~",SUBSTITUTE(M3,";","~",1))),""))</f>
        <v>TỔNG CÔNG TY HẠ TẦNG MẠNG</v>
      </c>
      <c r="AN3" s="247" t="str">
        <f ref="AN3:AN11" t="shared" si="3">TRIM(IF(I3&gt;=3,MID(M3,FIND("~",SUBSTITUTE(M3,";","~",2))+1,IFERROR(FIND("~",SUBSTITUTE(M3,";","~",3))-1,LEN(M3))- FIND("~",SUBSTITUTE(M3,";","~",2))),""))</f>
        <v>TỔNG CÔNG TY HẠ TẦNG MẠNG</v>
      </c>
      <c r="AO3" s="247" t="str">
        <f ref="AO3:AO11" t="shared" si="4">TRIM(IF(I3&gt;=4,MID(M3,FIND("~",SUBSTITUTE(M3,";","~",3))+1,IFERROR(FIND("~",SUBSTITUTE(M3,";","~",4))-1,LEN(M3))- FIND("~",SUBSTITUTE(M3,";","~",3))),""))</f>
        <v>TỔNG CÔNG TY HẠ TẦNG MẠNG</v>
      </c>
      <c r="AP3" s="247" t="str">
        <f ref="AP3:AP11" t="shared" si="5">TRIM(IF(I3&gt;=5,MID(M3,FIND("~",SUBSTITUTE(M3,";","~",4))+1,IFERROR(FIND("~",SUBSTITUTE(M3,";","~",5))-1,LEN(M3))- FIND("~",SUBSTITUTE(M3,";","~",4))),""))</f>
        <v>TỔNG CÔNG TY HẠ TẦNG MẠNG</v>
      </c>
      <c r="AQ3" s="247" t="str">
        <f ref="AQ3:AQ11" t="shared" si="6">TRIM(IF(I3&gt;=6,MID(M3,FIND("~",SUBSTITUTE(M3,";","~",5))+1,IFERROR(FIND("~",SUBSTITUTE(M3,";","~",6))-1,LEN(M3))- FIND("~",SUBSTITUTE(M3,";","~",5))),""))</f>
      </c>
      <c r="AR3" s="247" t="str">
        <f>IF(I3&gt;=1,INDEX(OperatorIDList,MATCH(AL3,OperatorNameList,0)),"")</f>
        <v>VINAPHONE</v>
      </c>
      <c r="AS3" s="247" t="str">
        <f>IF(I3&gt;=2,INDEX(OperatorIDList,MATCH(AM3,OperatorNameList,0)),"")</f>
        <v>VINAPHONE</v>
      </c>
      <c r="AT3" s="247" t="str">
        <f>IF(I3&gt;=3,INDEX(OperatorIDList,MATCH(AN3,OperatorNameList,0)),"")</f>
        <v>VINAPHONE</v>
      </c>
      <c r="AU3" s="247" t="str">
        <f>IF(I3&gt;=4,INDEX(OperatorIDList,MATCH(AO3,OperatorNameList,0)),"")</f>
        <v>VINAPHONE</v>
      </c>
      <c r="AV3" s="247" t="str">
        <f>IF(I3&gt;=5,INDEX(OperatorIDList,MATCH(AP3,OperatorNameList,0)),"")</f>
        <v>VINAPHONE</v>
      </c>
      <c r="AW3" s="247" t="str">
        <f>IF(I3&gt;=6,INDEX(OperatorIDList,MATCH(AQ3,OperatorNameList,0)),"")</f>
      </c>
      <c r="AX3" s="247" t="str">
        <f ref="AX3:AX11" t="shared" si="7">ConcateMultiple(AR3:AW3,";",I3)</f>
        <v>VINAPHONE;VINAPHONE;VINAPHONE;VINAPHONE;VINAPHONE</v>
      </c>
      <c r="AY3" s="247" t="str">
        <f ref="AY3:AY11" t="shared" si="8">IF(I3&gt;=1,MID(N3,1,IFERROR(FIND("~",SUBSTITUTE(N3,";","~",1))-1,LEN(N3))),"")</f>
        <v>BDGTDM003</v>
      </c>
      <c r="AZ3" s="247" t="str">
        <f ref="AZ3:AZ11" t="shared" si="9">IF(I3&gt;=2,MID(N3,FIND("~",SUBSTITUTE(N3,";","~",1))+1,IFERROR(FIND("~",SUBSTITUTE(N3,";","~",2))-1,LEN(N3))- FIND("~",SUBSTITUTE(N3,";","~",1))),"")</f>
        <v>BDGTDM003</v>
      </c>
      <c r="BA3" s="247" t="str">
        <f ref="BA3:BA11" t="shared" si="10">IF(I3&gt;=3,MID(N3,FIND("~",SUBSTITUTE(N3,";","~",2))+1,IFERROR(FIND("~",SUBSTITUTE(N3,";","~",3))-1,LEN(N3))- FIND("~",SUBSTITUTE(N3,";","~",2))),"")</f>
        <v>BDGTDM003</v>
      </c>
      <c r="BB3" s="247" t="str">
        <f ref="BB3:BB11" t="shared" si="11">IF(I3&gt;=4,MID(N3,FIND("~",SUBSTITUTE(N3,";","~",3))+1,IFERROR(FIND("~",SUBSTITUTE(N3,";","~",4))-1,LEN(N3))- FIND("~",SUBSTITUTE(N3,";","~",3))),"")</f>
        <v>BDGTDM003</v>
      </c>
      <c r="BC3" s="247" t="str">
        <f ref="BC3:BC11" t="shared" si="12">IF(I3&gt;=5,MID(N3,FIND("~",SUBSTITUTE(N3,";","~",4))+1,IFERROR(FIND("~",SUBSTITUTE(N3,";","~",5))-1,LEN(N3))- FIND("~",SUBSTITUTE(N3,";","~",4))),"")</f>
        <v>BDGTDM003</v>
      </c>
      <c r="BD3" s="247" t="str">
        <f ref="BD3:BD11" t="shared" si="13">IF(I3&gt;=6,MID(N3,FIND("~",SUBSTITUTE(N3,";","~",5))+1,IFERROR(FIND("~",SUBSTITUTE(N3,";","~",6))-1,LEN(N3))- FIND("~",SUBSTITUTE(N3,";","~",5))),"")</f>
      </c>
      <c r="BE3" s="247" t="str">
        <f ref="BE3:BE11" t="shared" si="14">IF(I3&gt;=1,MID(O3,1,IFERROR(FIND("~",SUBSTITUTE(O3,";","~",1))-1,LEN(O3))),"")</f>
        <v>MOTOROLA HORIZON II MACRO</v>
      </c>
      <c r="BF3" s="247" t="str">
        <f ref="BF3:BF11" t="shared" si="15">IF(I3&gt;=2,MID(O3,FIND("~",SUBSTITUTE(O3,";","~",1))+1,IFERROR(FIND("~",SUBSTITUTE(O3,";","~",2))-1,LEN(O3))- FIND("~",SUBSTITUTE(O3,";","~",1))),"")</f>
        <v>MOTOROLA HORIZON II MACRO</v>
      </c>
      <c r="BG3" s="247" t="str">
        <f ref="BG3:BG11" t="shared" si="16">IF(I3&gt;=3,MID(O3,FIND("~",SUBSTITUTE(O3,";","~",2))+1,IFERROR(FIND("~",SUBSTITUTE(O3,";","~",3))-1,LEN(O3))- FIND("~",SUBSTITUTE(O3,";","~",2))),"")</f>
        <v>ERICSSON RBS 3418</v>
      </c>
      <c r="BH3" s="247" t="str">
        <f ref="BH3:BH11" t="shared" si="17">IF(I3&gt;=4,MID(O3,FIND("~",SUBSTITUTE(O3,";","~",3))+1,IFERROR(FIND("~",SUBSTITUTE(O3,";","~",4))-1,LEN(O3))- FIND("~",SUBSTITUTE(O3,";","~",3))),"")</f>
        <v>NSN FLEXI MULTIRADIO 10 (FHED)</v>
      </c>
      <c r="BI3" s="247" t="str">
        <f ref="BI3:BI11" t="shared" si="18">IF(I3&gt;=5,MID(O3,FIND("~",SUBSTITUTE(O3,";","~",4))+1,IFERROR(FIND("~",SUBSTITUTE(O3,";","~",5))-1,LEN(O3))- FIND("~",SUBSTITUTE(O3,";","~",4))),"")</f>
        <v>NSN FLEXI MULTIRADIO 10 (FHED)</v>
      </c>
      <c r="BJ3" s="247" t="str">
        <f ref="BJ3:BJ11" t="shared" si="19">IF(I3&gt;=6,MID(O3,FIND("~",SUBSTITUTE(O3,";","~",5))+1,IFERROR(FIND("~",SUBSTITUTE(O3,";","~",6))-1,LEN(O3))- FIND("~",SUBSTITUTE(O3,";","~",5))),"")</f>
      </c>
      <c r="BK3" s="247">
        <f ref="BK3:BK11" t="shared" si="20">IF(I3&gt;=1,MID(P3,1,IFERROR(FIND("~",SUBSTITUTE(P3,";","~",1))-1,LEN(P3))),"0")*1</f>
        <v>3</v>
      </c>
      <c r="BL3" s="247">
        <f ref="BL3:BL11" t="shared" si="21">IF(I3&gt;=2,MID(P3,FIND("~",SUBSTITUTE(P3,";","~",1))+1,IFERROR(FIND("~",SUBSTITUTE(P3,";","~",2))-1,LEN(P3))- FIND("~",SUBSTITUTE(P3,";","~",1))),"0")*1</f>
        <v>3</v>
      </c>
      <c r="BM3" s="247">
        <f ref="BM3:BM11" t="shared" si="22">IF(I3&gt;=3,MID(P3,FIND("~",SUBSTITUTE(P3,";","~",2))+1,IFERROR(FIND("~",SUBSTITUTE(P3,";","~",3))-1,LEN(P3))- FIND("~",SUBSTITUTE(P3,";","~",2))),"0")*1</f>
        <v>3</v>
      </c>
      <c r="BN3" s="247">
        <f ref="BN3:BN11" t="shared" si="23">IF(I3&gt;=4,MID(P3,FIND("~",SUBSTITUTE(P3,";","~",3))+1,IFERROR(FIND("~",SUBSTITUTE(P3,";","~",4))-1,LEN(P3))- FIND("~",SUBSTITUTE(P3,";","~",3))),"0")*1</f>
        <v>3</v>
      </c>
      <c r="BO3" s="247">
        <f ref="BO3:BO11" t="shared" si="24">IF(I3&gt;=5,MID(P3,FIND("~",SUBSTITUTE(P3,";","~",4))+1,IFERROR(FIND("~",SUBSTITUTE(P3,";","~",5))-1,LEN(P3))- FIND("~",SUBSTITUTE(P3,";","~",4))),"0")*1</f>
        <v>3</v>
      </c>
      <c r="BP3" s="247">
        <f ref="BP3:BP11" t="shared" si="25">IF(I3&gt;=6,MID(P3,FIND("~",SUBSTITUTE(P3,";","~",5))+1,IFERROR(FIND("~",SUBSTITUTE(P3,";","~",6))-1,LEN(P3))- FIND("~",SUBSTITUTE(P3,";","~",5))),"0")*1</f>
        <v>0</v>
      </c>
      <c r="BQ3" s="247" t="str">
        <f ref="BQ3:BQ11" t="shared" si="26">IF(I3&gt;=1,MID(Q3,1,IFERROR(FIND("~",SUBSTITUTE(Q3,";","~",1))-1,LEN(Q3))),"")</f>
        <v>2/2/4</v>
      </c>
      <c r="BR3" s="247">
        <f ref="BR3:BR11" t="shared" si="27">IF(BK3&gt;=1,MID(BQ3,1,IFERROR(FIND("~",SUBSTITUTE(BQ3,"/","~",1))-1,LEN(BQ3))),"0")*1</f>
        <v>2</v>
      </c>
      <c r="BS3" s="247">
        <f ref="BS3:BS11" t="shared" si="28">IF(BK3&gt;=2,MID(BQ3,FIND("~",SUBSTITUTE(BQ3,"/","~",1))+1,IFERROR(FIND("~",SUBSTITUTE(BQ3,"/","~",2))-1,LEN(BQ3))- FIND("~",SUBSTITUTE(BQ3,"/","~",1))),"0")*1</f>
        <v>2</v>
      </c>
      <c r="BT3" s="247">
        <f ref="BT3:BT11" t="shared" si="29">IF(BK3&gt;=3,MID(BQ3,FIND("~",SUBSTITUTE(BQ3,"/","~",2))+1,IFERROR(FIND("~",SUBSTITUTE(BQ3,"/","~",3))-1,LEN(BQ3))- FIND("~",SUBSTITUTE(BQ3,"/","~",2))),"0")*1</f>
        <v>4</v>
      </c>
      <c r="BU3" s="247">
        <f ref="BU3:BU11" t="shared" si="30">IF(BK3&gt;=4,MID(BQ3,FIND("~",SUBSTITUTE(BQ3,"/","~",3))+1,IFERROR(FIND("~",SUBSTITUTE(BQ3,"/","~",4))-1,LEN(BQ3))- FIND("~",SUBSTITUTE(BQ3,"/","~",3))),"0")*1</f>
        <v>0</v>
      </c>
      <c r="BV3" s="247" t="str">
        <f ref="BV3:BV11" t="shared" si="31">IF(I3&gt;=2,MID(Q3,FIND("~",SUBSTITUTE(Q3,";","~",1))+1,IFERROR(FIND("~",SUBSTITUTE(Q3,";","~",2))-1,LEN(Q3))- FIND("~",SUBSTITUTE(Q3,";","~",1))),"")</f>
        <v>2/4/2</v>
      </c>
      <c r="BW3" s="247">
        <f ref="BW3:BW11" t="shared" si="32">IF(BL3&gt;=1,MID(BV3,1,IFERROR(FIND("~",SUBSTITUTE(BV3,"/","~",1))-1,LEN(BV3))),"0")*1</f>
        <v>2</v>
      </c>
      <c r="BX3" s="247">
        <f ref="BX3:BX11" t="shared" si="33">IF(BL3&gt;=2,MID(BV3,FIND("~",SUBSTITUTE(BV3,"/","~",1))+1,IFERROR(FIND("~",SUBSTITUTE(BV3,"/","~",2))-1,LEN(BV3))- FIND("~",SUBSTITUTE(BV3,"/","~",1))),"0")*1</f>
        <v>4</v>
      </c>
      <c r="BY3" s="247">
        <f ref="BY3:BY11" t="shared" si="34">IF(BL3&gt;=3,MID(BV3,FIND("~",SUBSTITUTE(BV3,"/","~",2))+1,IFERROR(FIND("~",SUBSTITUTE(BV3,"/","~",3))-1,LEN(BV3))- FIND("~",SUBSTITUTE(BV3,"/","~",2))),"0")*1</f>
        <v>2</v>
      </c>
      <c r="BZ3" s="247">
        <f ref="BZ3:BZ11" t="shared" si="35">IF(BL3&gt;=4,MID(BV3,FIND("~",SUBSTITUTE(BV3,"/","~",3))+1,IFERROR(FIND("~",SUBSTITUTE(BV3,"/","~",4))-1,LEN(BV3))- FIND("~",SUBSTITUTE(BV3,"/","~",3))),"0")*1</f>
        <v>0</v>
      </c>
      <c r="CA3" s="247" t="str">
        <f ref="CA3:CA11" t="shared" si="36">IF(I3&gt;=3,MID(Q3,FIND("~",SUBSTITUTE(Q3,";","~",2))+1,IFERROR(FIND("~",SUBSTITUTE(Q3,";","~",3))-1,LEN(Q3))- FIND("~",SUBSTITUTE(Q3,";","~",2))),"")</f>
        <v>2/2/2</v>
      </c>
      <c r="CB3" s="247">
        <f ref="CB3:CB11" t="shared" si="37">IF(BM3&gt;=1,MID(CA3,1,IFERROR(FIND("~",SUBSTITUTE(CA3,"/","~",1))-1,LEN(CA3))),"0")*1</f>
        <v>2</v>
      </c>
      <c r="CC3" s="247">
        <f ref="CC3:CC11" t="shared" si="38">IF(BM3&gt;=2,MID(CA3,FIND("~",SUBSTITUTE(CA3,"/","~",1))+1,IFERROR(FIND("~",SUBSTITUTE(CA3,"/","~",2))-1,LEN(CA3))- FIND("~",SUBSTITUTE(CA3,"/","~",1))),"0")*1</f>
        <v>2</v>
      </c>
      <c r="CD3" s="247">
        <f ref="CD3:CD11" t="shared" si="39">IF(BM3&gt;=3,MID(CA3,FIND("~",SUBSTITUTE(CA3,"/","~",2))+1,IFERROR(FIND("~",SUBSTITUTE(CA3,"/","~",3))-1,LEN(CA3))- FIND("~",SUBSTITUTE(CA3,"/","~",2))),"0")*1</f>
        <v>2</v>
      </c>
      <c r="CE3" s="247">
        <f ref="CE3:CE11" t="shared" si="40">IF(BM3&gt;=4,MID(CA3,FIND("~",SUBSTITUTE(CA3,"/","~",3))+1,IFERROR(FIND("~",SUBSTITUTE(CA3,"/","~",4))-1,LEN(CA3))- FIND("~",SUBSTITUTE(CA3,"/","~",3))),"0")*1</f>
        <v>0</v>
      </c>
      <c r="CF3" s="247" t="str">
        <f ref="CF3:CF11" t="shared" si="41">IF(I3&gt;=4,MID(Q3,FIND("~",SUBSTITUTE(Q3,";","~",3))+1,IFERROR(FIND("~",SUBSTITUTE(Q3,";","~",4))-1,LEN(Q3))- FIND("~",SUBSTITUTE(Q3,";","~",3))),"")</f>
        <v>1/1/1</v>
      </c>
      <c r="CG3" s="247">
        <f ref="CG3:CG11" t="shared" si="42">IF(BN3&gt;=1,MID(CF3,1,IFERROR(FIND("~",SUBSTITUTE(CF3,"/","~",1))-1,LEN(CF3))),"0")*1</f>
        <v>1</v>
      </c>
      <c r="CH3" s="247">
        <f ref="CH3:CH11" t="shared" si="43">IF(BN3&gt;=2,MID(CF3,FIND("~",SUBSTITUTE(CF3,"/","~",1))+1,IFERROR(FIND("~",SUBSTITUTE(CF3,"/","~",2))-1,LEN(CF3))- FIND("~",SUBSTITUTE(CF3,"/","~",1))),"0")*1</f>
        <v>1</v>
      </c>
      <c r="CI3" s="247">
        <f ref="CI3:CI11" t="shared" si="44">IF(BN3&gt;=3,MID(CF3,FIND("~",SUBSTITUTE(CF3,"/","~",2))+1,IFERROR(FIND("~",SUBSTITUTE(CF3,"/","~",3))-1,LEN(CF3))- FIND("~",SUBSTITUTE(CF3,"/","~",2))),"0")*1</f>
        <v>1</v>
      </c>
      <c r="CJ3" s="247">
        <f ref="CJ3:CJ11" t="shared" si="45">IF(BN3&gt;=4,MID(CF3,FIND("~",SUBSTITUTE(CF3,"/","~",3))+1,IFERROR(FIND("~",SUBSTITUTE(CF3,"/","~",4))-1,LEN(CF3))- FIND("~",SUBSTITUTE(CF3,"/","~",3))),"0")*1</f>
        <v>0</v>
      </c>
      <c r="CK3" s="247" t="str">
        <f ref="CK3:CK11" t="shared" si="46">IF(I3&gt;=5,MID(Q3,FIND("~",SUBSTITUTE(Q3,";","~",4))+1,IFERROR(FIND("~",SUBSTITUTE(Q3,";","~",5))-1,LEN(Q3))- FIND("~",SUBSTITUTE(Q3,";","~",4))),"")</f>
        <v>1/1/1</v>
      </c>
      <c r="CL3" s="247">
        <f ref="CL3:CL11" t="shared" si="47">IF(BO3&gt;=1,MID(CK3,1,IFERROR(FIND("~",SUBSTITUTE(CK3,"/","~",1))-1,LEN(CK3))),"0")*1</f>
        <v>1</v>
      </c>
      <c r="CM3" s="247">
        <f ref="CM3:CM11" t="shared" si="48">IF(BO3&gt;=2,MID(CK3,FIND("~",SUBSTITUTE(CK3,"/","~",1))+1,IFERROR(FIND("~",SUBSTITUTE(CK3,"/","~",2))-1,LEN(CK3))- FIND("~",SUBSTITUTE(CK3,"/","~",1))),"0")*1</f>
        <v>1</v>
      </c>
      <c r="CN3" s="247">
        <f ref="CN3:CN11" t="shared" si="49">IF(BO3&gt;=3,MID(CK3,FIND("~",SUBSTITUTE(CK3,"/","~",2))+1,IFERROR(FIND("~",SUBSTITUTE(CK3,"/","~",3))-1,LEN(CK3))- FIND("~",SUBSTITUTE(CK3,"/","~",2))),"0")*1</f>
        <v>1</v>
      </c>
      <c r="CO3" s="247">
        <f ref="CO3:CO11" t="shared" si="50">IF(BO3&gt;=4,MID(CK3,FIND("~",SUBSTITUTE(CK3,"/","~",3))+1,IFERROR(FIND("~",SUBSTITUTE(CK3,"/","~",4))-1,LEN(CK3))- FIND("~",SUBSTITUTE(CK3,"/","~",3))),"0")*1</f>
        <v>0</v>
      </c>
      <c r="CP3" s="247" t="str">
        <f ref="CP3:CP11" t="shared" si="51">IF(I3&gt;=6,MID(Q3,FIND("~",SUBSTITUTE(Q3,";","~",5))+1,IFERROR(FIND("~",SUBSTITUTE(Q3,";","~",6))-1,LEN(Q3))- FIND("~",SUBSTITUTE(Q3,";","~",5))),"")</f>
      </c>
      <c r="CQ3" s="247">
        <f ref="CQ3:CQ11" t="shared" si="52">IF(BP3&gt;=1,MID(CP3,1,IFERROR(FIND("~",SUBSTITUTE(CP3,"/","~",1))-1,LEN(CP3))),"0")*1</f>
        <v>0</v>
      </c>
      <c r="CR3" s="247">
        <f ref="CR3:CR11" t="shared" si="53">IF(BP3&gt;=2,MID(CP3,FIND("~",SUBSTITUTE(CP3,"/","~",1))+1,IFERROR(FIND("~",SUBSTITUTE(CP3,"/","~",2))-1,LEN(CP3))- FIND("~",SUBSTITUTE(CP3,"/","~",1))),"0")*1</f>
        <v>0</v>
      </c>
      <c r="CS3" s="247">
        <f ref="CS3:CS11" t="shared" si="54">IF(BP3&gt;=3,MID(CP3,FIND("~",SUBSTITUTE(CP3,"/","~",2))+1,IFERROR(FIND("~",SUBSTITUTE(CP3,"/","~",3))-1,LEN(CP3))- FIND("~",SUBSTITUTE(CP3,"/","~",2))),"0")*1</f>
        <v>0</v>
      </c>
      <c r="CT3" s="247">
        <f ref="CT3:CT11" t="shared" si="55">IF(BP3&gt;=4,MID(CP3,FIND("~",SUBSTITUTE(CP3,"/","~",3))+1,IFERROR(FIND("~",SUBSTITUTE(CP3,"/","~",4))-1,LEN(CP3))- FIND("~",SUBSTITUTE(CP3,"/","~",3))),"0")*1</f>
        <v>0</v>
      </c>
      <c r="CU3" s="247" t="str">
        <f ref="CU3:CU11" t="shared" si="56">IF(I3&gt;=1,MID(R3,1,IFERROR(FIND("~",SUBSTITUTE(R3,";","~",1))-1,LEN(R3))),"")</f>
        <v>20W/20W/20W</v>
      </c>
      <c r="CV3" s="247">
        <f>SUBSTITUTE(IF(BK3&gt;=1,MID(CU3,1,IFERROR(FIND("~",SUBSTITUTE(CU3,"/","~",1))-1,LEN(CU3))),"0"),"W","")*1</f>
        <v>20</v>
      </c>
      <c r="CW3" s="247">
        <f ref="CW3:CW11" t="shared" si="57">SUBSTITUTE(IF(BK3&gt;=2,MID(CU3,FIND("~",SUBSTITUTE(CU3,"/","~",1))+1,IFERROR(FIND("~",SUBSTITUTE(CU3,"/","~",2))-1,LEN(CU3))- FIND("~",SUBSTITUTE(CU3,"/","~",1))),"0"),"W","")*1</f>
        <v>20</v>
      </c>
      <c r="CX3" s="247">
        <f ref="CX3:CX11" t="shared" si="58">SUBSTITUTE(IF(BK3&gt;=3,MID(CU3,FIND("~",SUBSTITUTE(CU3,"/","~",2))+1,IFERROR(FIND("~",SUBSTITUTE(CU3,"/","~",3))-1,LEN(CU3))- FIND("~",SUBSTITUTE(CU3,"/","~",2))),"0"),"W","")*1</f>
        <v>20</v>
      </c>
      <c r="CY3" s="247">
        <f ref="CY3:CY11" t="shared" si="59">SUBSTITUTE(IF(BK3&gt;=4,MID(CU3,FIND("~",SUBSTITUTE(CU3,"/","~",3))+1,IFERROR(FIND("~",SUBSTITUTE(CU3,"/","~",4))-1,LEN(CU3))- FIND("~",SUBSTITUTE(CU3,"/","~",3))),"0"),"W","")*1</f>
        <v>0</v>
      </c>
      <c r="CZ3" s="247" t="str">
        <f ref="CZ3:CZ11" t="shared" si="60">ConcateMultiple(CV3:CY3,"W/",BK3)</f>
        <v>20W/20W/20W</v>
      </c>
      <c r="DA3" s="247">
        <f ref="DA3:DA11" t="shared" si="61">MAX(CV3:CY3)</f>
        <v>20</v>
      </c>
      <c r="DB3" s="247" t="str">
        <f ref="DB3:DB11" t="shared" si="62">IF(I3&gt;=2,MID(R3,FIND("~",SUBSTITUTE(R3,";","~",1))+1,IFERROR(FIND("~",SUBSTITUTE(R3,";","~",2))-1,LEN(R3))- FIND("~",SUBSTITUTE(R3,";","~",1))),"")</f>
        <v>16W/16W/16W</v>
      </c>
      <c r="DC3" s="247">
        <f ref="DC3:DC11" t="shared" si="63">SUBSTITUTE(IF(BL3&gt;=1,MID(DB3,1,IFERROR(FIND("~",SUBSTITUTE(DB3,"/","~",1))-1,LEN(DB3))),"0"),"W","")*1</f>
        <v>16</v>
      </c>
      <c r="DD3" s="247">
        <f ref="DD3:DD11" t="shared" si="64">SUBSTITUTE(IF(BL3&gt;=2,MID(DB3,FIND("~",SUBSTITUTE(DB3,"/","~",1))+1,IFERROR(FIND("~",SUBSTITUTE(DB3,"/","~",2))-1,LEN(DB3))- FIND("~",SUBSTITUTE(DB3,"/","~",1))),"0"),"W","")*1*1</f>
        <v>16</v>
      </c>
      <c r="DE3" s="247">
        <f ref="DE3:DE11" t="shared" si="65">SUBSTITUTE(IF(BL3&gt;=3,MID(DB3,FIND("~",SUBSTITUTE(DB3,"/","~",2))+1,IFERROR(FIND("~",SUBSTITUTE(DB3,"/","~",3))-1,LEN(DB3))- FIND("~",SUBSTITUTE(DB3,"/","~",2))),"0"),"W","")*1*1</f>
        <v>16</v>
      </c>
      <c r="DF3" s="247">
        <f ref="DF3:DF11" t="shared" si="66">SUBSTITUTE(IF(BL3&gt;=4,MID(DB3,FIND("~",SUBSTITUTE(DB3,"/","~",3))+1,IFERROR(FIND("~",SUBSTITUTE(DB3,"/","~",4))-1,LEN(DB3))- FIND("~",SUBSTITUTE(DB3,"/","~",3))),"0"),"W","")*1*1</f>
        <v>0</v>
      </c>
      <c r="DG3" s="247" t="str">
        <f ref="DG3:DG11" t="shared" si="67">ConcateMultiple(DC3:DF3,"W/",BL3)</f>
        <v>16W/16W/16W</v>
      </c>
      <c r="DH3" s="247">
        <f ref="DH3:DH11" t="shared" si="68">MAX(DC3:DF3)</f>
        <v>16</v>
      </c>
      <c r="DI3" s="247" t="str">
        <f ref="DI3:DI11" t="shared" si="69">IF(I3&gt;=3,MID(R3,FIND("~",SUBSTITUTE(R3,";","~",2))+1,IFERROR(FIND("~",SUBSTITUTE(R3,";","~",3))-1,LEN(R3))- FIND("~",SUBSTITUTE(R3,";","~",2))),"")</f>
        <v>60W/60W/60W</v>
      </c>
      <c r="DJ3" s="247">
        <f ref="DJ3:DJ11" t="shared" si="70">SUBSTITUTE(IF(BM3&gt;=1,MID(DI3,1,IFERROR(FIND("~",SUBSTITUTE(DI3,"/","~",1))-1,LEN(DI3))),"0"),"W","")*1</f>
        <v>60</v>
      </c>
      <c r="DK3" s="247">
        <f ref="DK3:DK11" t="shared" si="71">SUBSTITUTE(IF(BM3&gt;=2,MID(DI3,FIND("~",SUBSTITUTE(DI3,"/","~",1))+1,IFERROR(FIND("~",SUBSTITUTE(DI3,"/","~",2))-1,LEN(DI3))- FIND("~",SUBSTITUTE(DI3,"/","~",1))),"0"),"W","")*1</f>
        <v>60</v>
      </c>
      <c r="DL3" s="247">
        <f ref="DL3:DL11" t="shared" si="72">SUBSTITUTE(IF(BM3&gt;=3,MID(DI3,FIND("~",SUBSTITUTE(DI3,"/","~",2))+1,IFERROR(FIND("~",SUBSTITUTE(DI3,"/","~",3))-1,LEN(DI3))- FIND("~",SUBSTITUTE(DI3,"/","~",2))),"0"),"W","")*1</f>
        <v>60</v>
      </c>
      <c r="DM3" s="247">
        <f ref="DM3:DM11" t="shared" si="73">SUBSTITUTE(IF(BM3&gt;=4,MID(DI3,FIND("~",SUBSTITUTE(DI3,"/","~",3))+1,IFERROR(FIND("~",SUBSTITUTE(DI3,"/","~",4))-1,LEN(DI3))- FIND("~",SUBSTITUTE(DI3,"/","~",3))),"0"),"W","")*1*1</f>
        <v>0</v>
      </c>
      <c r="DN3" s="247" t="str">
        <f ref="DN3:DN11" t="shared" si="74">ConcateMultiple(DJ3:DM3,"W/",BM3)</f>
        <v>60W/60W/60W</v>
      </c>
      <c r="DO3" s="247">
        <f ref="DO3:DO11" t="shared" si="75">MAX(DJ3:DM3)</f>
        <v>60</v>
      </c>
      <c r="DP3" s="247" t="str">
        <f ref="DP3:DP11" t="shared" si="76">IF(I3&gt;=4,MID(R3,FIND("~",SUBSTITUTE(R3,";","~",3))+1,IFERROR(FIND("~",SUBSTITUTE(R3,";","~",4))-1,LEN(R3))- FIND("~",SUBSTITUTE(R3,";","~",3))),"")</f>
        <v>160W/160W/160W</v>
      </c>
      <c r="DQ3" s="247">
        <f ref="DQ3:DQ11" t="shared" si="77">SUBSTITUTE(IF(BN3&gt;=1,MID(DP3,1,IFERROR(FIND("~",SUBSTITUTE(DP3,"/","~",1))-1,LEN(DP3))),"0"),"W","")*1</f>
        <v>160</v>
      </c>
      <c r="DR3" s="247">
        <f ref="DR3:DR11" t="shared" si="78">SUBSTITUTE(IF(BN3&gt;=2,MID(DP3,FIND("~",SUBSTITUTE(DP3,"/","~",1))+1,IFERROR(FIND("~",SUBSTITUTE(DP3,"/","~",2))-1,LEN(DP3))- FIND("~",SUBSTITUTE(DP3,"/","~",1))),"0"),"W","")*1</f>
        <v>160</v>
      </c>
      <c r="DS3" s="247">
        <f ref="DS3:DS11" t="shared" si="79">SUBSTITUTE(IF(BN3&gt;=3,MID(DP3,FIND("~",SUBSTITUTE(DP3,"/","~",2))+1,IFERROR(FIND("~",SUBSTITUTE(DP3,"/","~",3))-1,LEN(DP3))- FIND("~",SUBSTITUTE(DP3,"/","~",2))),"0"),"W","")*1</f>
        <v>160</v>
      </c>
      <c r="DT3" s="247">
        <f ref="DT3:DT11" t="shared" si="80">SUBSTITUTE(IF(BN3&gt;=4,MID(DP3,FIND("~",SUBSTITUTE(DP3,"/","~",3))+1,IFERROR(FIND("~",SUBSTITUTE(DP3,"/","~",4))-1,LEN(DP3))- FIND("~",SUBSTITUTE(DP3,"/","~",3))),"0"),"W","")*1</f>
        <v>0</v>
      </c>
      <c r="DU3" s="247" t="str">
        <f ref="DU3:DU11" t="shared" si="81">ConcateMultiple(DQ3:DT3,"W/",BN3)</f>
        <v>160W/160W/160W</v>
      </c>
      <c r="DV3" s="247">
        <f ref="DV3:DV11" t="shared" si="82">MAX(DQ3:DT3)</f>
        <v>160</v>
      </c>
      <c r="DW3" s="247" t="str">
        <f ref="DW3:DW11" t="shared" si="83">IF(I3&gt;=5,MID(R3,FIND("~",SUBSTITUTE(R3,";","~",4))+1,IFERROR(FIND("~",SUBSTITUTE(R3,";","~",5))-1,LEN(R3))- FIND("~",SUBSTITUTE(R3,";","~",4))),"")</f>
        <v>160W/160W/160W</v>
      </c>
      <c r="DX3" s="247">
        <f ref="DX3:DX11" t="shared" si="84">SUBSTITUTE(IF(BO3&gt;=1,MID(DW3,1,IFERROR(FIND("~",SUBSTITUTE(DW3,"/","~",1))-1,LEN(DW3))),"0"),"W","")*1</f>
        <v>160</v>
      </c>
      <c r="DY3" s="247">
        <f ref="DY3:DY11" t="shared" si="85">SUBSTITUTE(IF(BO3&gt;=2,MID(DW3,FIND("~",SUBSTITUTE(DW3,"/","~",1))+1,IFERROR(FIND("~",SUBSTITUTE(DW3,"/","~",2))-1,LEN(DW3))- FIND("~",SUBSTITUTE(DW3,"/","~",1))),"0"),"W","")*1</f>
        <v>160</v>
      </c>
      <c r="DZ3" s="247">
        <f ref="DZ3:DZ11" t="shared" si="86">SUBSTITUTE(IF(BO3&gt;=3,MID(DW3,FIND("~",SUBSTITUTE(DW3,"/","~",2))+1,IFERROR(FIND("~",SUBSTITUTE(DW3,"/","~",3))-1,LEN(DW3))- FIND("~",SUBSTITUTE(DW3,"/","~",2))),"0"),"W","")*1</f>
        <v>160</v>
      </c>
      <c r="EA3" s="247">
        <f ref="EA3:EA11" t="shared" si="87">SUBSTITUTE(IF(BO3&gt;=4,MID(DW3,FIND("~",SUBSTITUTE(DW3,"/","~",3))+1,IFERROR(FIND("~",SUBSTITUTE(DW3,"/","~",4))-1,LEN(DW3))- FIND("~",SUBSTITUTE(DW3,"/","~",3))),"0"),"W","")*1</f>
        <v>0</v>
      </c>
      <c r="EB3" s="247" t="str">
        <f ref="EB3:EB11" t="shared" si="88">ConcateMultiple(DX3:EA3,"W/",BO3)</f>
        <v>160W/160W/160W</v>
      </c>
      <c r="EC3" s="247">
        <f ref="EC3:EC11" t="shared" si="89">MAX(DX3:EA3)</f>
        <v>160</v>
      </c>
      <c r="ED3" s="247" t="str">
        <f ref="ED3:ED11" t="shared" si="90">IF(I3&gt;=6,MID(R3,FIND("~",SUBSTITUTE(R3,";","~",5))+1,IFERROR(FIND("~",SUBSTITUTE(R3,";","~",6))-1,LEN(R3))- FIND("~",SUBSTITUTE(R3,";","~",5))),"")</f>
      </c>
      <c r="EE3" s="247">
        <f ref="EE3:EE11" t="shared" si="91">SUBSTITUTE(IF(BP3&gt;=1,MID(ED3,1,IFERROR(FIND("~",SUBSTITUTE(ED3,"/","~",1))-1,LEN(ED3))),"0"),"W","")*1</f>
        <v>0</v>
      </c>
      <c r="EF3" s="247">
        <f ref="EF3:EF11" t="shared" si="92">SUBSTITUTE(IF(BP3&gt;=2,MID(ED3,FIND("~",SUBSTITUTE(ED3,"/","~",1))+1,IFERROR(FIND("~",SUBSTITUTE(ED3,"/","~",2))-1,LEN(ED3))- FIND("~",SUBSTITUTE(ED3,"/","~",1))),"0"),"W","")*1</f>
        <v>0</v>
      </c>
      <c r="EG3" s="247">
        <f ref="EG3:EG11" t="shared" si="93">SUBSTITUTE(IF(BP3&gt;=3,MID(ED3,FIND("~",SUBSTITUTE(ED3,"/","~",2))+1,IFERROR(FIND("~",SUBSTITUTE(ED3,"/","~",3))-1,LEN(ED3))- FIND("~",SUBSTITUTE(ED3,"/","~",2))),"0"),"W","")*1</f>
        <v>0</v>
      </c>
      <c r="EH3" s="247">
        <f ref="EH3:EH11" t="shared" si="94">SUBSTITUTE(IF(BP3&gt;=4,MID(ED3,FIND("~",SUBSTITUTE(ED3,"/","~",3))+1,IFERROR(FIND("~",SUBSTITUTE(ED3,"/","~",4))-1,LEN(ED3))- FIND("~",SUBSTITUTE(ED3,"/","~",3))),"0"),"W","")*1</f>
        <v>0</v>
      </c>
      <c r="EI3" s="247" t="str">
        <f ref="EI3:EI11" t="shared" si="95">ConcateMultiple(EE3:EH3,"W/",BP3)</f>
      </c>
      <c r="EJ3" s="247">
        <f ref="EJ3:EJ11" t="shared" si="96">MAX(EE3:EH3)</f>
        <v>0</v>
      </c>
      <c r="EK3" s="247">
        <f ref="EK3:EK11" t="shared" si="97">MAX(DA3,DH3,DO3,DV3,EC3,EJ3)</f>
        <v>160</v>
      </c>
      <c r="EL3" s="247" t="str">
        <f ref="EL3:EL11" t="shared" si="98">TRIM(IF(I3&gt;=1,MID(S3,1,IFERROR(FIND("~",SUBSTITUTE(S3,";","~",1))-1,LEN(S3))),""))</f>
        <v>G900</v>
      </c>
      <c r="EM3" s="247" t="str">
        <f ref="EM3:EM11" t="shared" si="99">TRIM(IF(I3&gt;=2,MID(S3,FIND("~",SUBSTITUTE(S3,";","~",1))+1,IFERROR(FIND("~",SUBSTITUTE(S3,";","~",2))-1,LEN(S3))- FIND("~",SUBSTITUTE(S3,";","~",1))),""))</f>
        <v>G1800</v>
      </c>
      <c r="EN3" s="247" t="str">
        <f ref="EN3:EN11" t="shared" si="100">TRIM(IF(I3&gt;=3,MID(S3,FIND("~",SUBSTITUTE(S3,";","~",2))+1,IFERROR(FIND("~",SUBSTITUTE(S3,";","~",3))-1,LEN(S3))- FIND("~",SUBSTITUTE(S3,";","~",2))),""))</f>
        <v>U2100</v>
      </c>
      <c r="EO3" s="247" t="str">
        <f ref="EO3:EO11" t="shared" si="101">TRIM(IF(I3&gt;=4,MID(S3,FIND("~",SUBSTITUTE(S3,";","~",3))+1,IFERROR(FIND("~",SUBSTITUTE(S3,";","~",4))-1,LEN(S3))- FIND("~",SUBSTITUTE(S3,";","~",3))),""))</f>
        <v>L1800</v>
      </c>
      <c r="EP3" s="247" t="str">
        <f ref="EP3:EP11" t="shared" si="102">TRIM(IF(I3&gt;=5,MID(S3,FIND("~",SUBSTITUTE(S3,";","~",4))+1,IFERROR(FIND("~",SUBSTITUTE(S3,";","~",5))-1,LEN(S3))- FIND("~",SUBSTITUTE(S3,";","~",4))),""))</f>
        <v>L1800</v>
      </c>
      <c r="EQ3" s="247" t="str">
        <f ref="EQ3:EQ11" t="shared" si="103">TRIM(IF(I3&gt;=6,MID(S3,FIND("~",SUBSTITUTE(S3,";","~",5))+1,IFERROR(FIND("~",SUBSTITUTE(S3,";","~",6))-1,LEN(S3))- FIND("~",SUBSTITUTE(S3,";","~",5))),""))</f>
      </c>
      <c r="ER3" s="247" t="str">
        <f ref="ER3:ER11" t="shared" si="104">TRIM(IF(I3&gt;=1,MID(T3,1,IFERROR(FIND("~",SUBSTITUTE(T3,";","~",1))-1,LEN(T3))),""))</f>
        <v>45m/ 45m/ 45m</v>
      </c>
      <c r="ES3" s="247">
        <f ref="ES3:ES11" t="shared" si="105">SUBSTITUTE(IF(BK3&gt;=1,MID(ER3,1,IFERROR(FIND("~",SUBSTITUTE(ER3,"/","~",1))-1,LEN(ER3))),"0"),"m","")*1</f>
        <v>45</v>
      </c>
      <c r="ET3" s="247">
        <f ref="ET3:ET11" t="shared" si="106">SUBSTITUTE(TRIM(IF(BK3&gt;=2,MID(ER3,FIND("~",SUBSTITUTE(ER3,"/","~",1))+1,IFERROR(FIND("~",SUBSTITUTE(ER3,"/","~",2))-1,LEN(ER3))- FIND("~",SUBSTITUTE(ER3,"/","~",1))),"0")),"m","")*1</f>
        <v>45</v>
      </c>
      <c r="EU3" s="247">
        <f ref="EU3:EU11" t="shared" si="107">SUBSTITUTE(TRIM(IF(BK3&gt;=3,MID(ER3,FIND("~",SUBSTITUTE(ER3,"/","~",2))+1,IFERROR(FIND("~",SUBSTITUTE(ER3,"/","~",3))-1,LEN(ER3))- FIND("~",SUBSTITUTE(ER3,"/","~",2))),"0")),"m","")*1</f>
        <v>45</v>
      </c>
      <c r="EV3" s="247">
        <f ref="EV3:EV11" t="shared" si="108">SUBSTITUTE(TRIM(IF(BK3&gt;=4,MID(ER3,FIND("~",SUBSTITUTE(ER3,"/","~",3))+1,IFERROR(FIND("~",SUBSTITUTE(ER3,"/","~",4))-1,LEN(ER3))- FIND("~",SUBSTITUTE(ER3,"/","~",3))),"0")),"m","")*1</f>
        <v>0</v>
      </c>
      <c r="EW3" s="247" t="str">
        <f ref="EW3:EW11" t="shared" si="109">ConcateMultiple(ES3:EV3,"m/",BK3)</f>
        <v>45m/45m/45m</v>
      </c>
      <c r="EX3" s="247" t="str">
        <f ref="EX3:EX11" t="shared" si="110">TRIM(IF(I3&gt;=2,MID(T3,FIND("~",SUBSTITUTE(T3,";","~",1))+1,IFERROR(FIND("~",SUBSTITUTE(T3,";","~",2))-1,LEN(T3))- FIND("~",SUBSTITUTE(T3,";","~",1))),""))</f>
        <v>45m/ 45m/ 45m</v>
      </c>
      <c r="EY3" s="247">
        <f ref="EY3:EY11" t="shared" si="111">SUBSTITUTE(IF(BL3&gt;=1,MID(EX3,1,IFERROR(FIND("~",SUBSTITUTE(EX3,"/","~",1))-1,LEN(EX3))),"0"),"m","")*1</f>
        <v>45</v>
      </c>
      <c r="EZ3" s="247">
        <f ref="EZ3:EZ11" t="shared" si="112">SUBSTITUTE(TRIM(IF(BL3&gt;=2,MID(EX3,FIND("~",SUBSTITUTE(EX3,"/","~",1))+1,IFERROR(FIND("~",SUBSTITUTE(EX3,"/","~",2))-1,LEN(EX3))- FIND("~",SUBSTITUTE(EX3,"/","~",1))),"0")),"m","")*1</f>
        <v>45</v>
      </c>
      <c r="FA3" s="247">
        <f ref="FA3:FA11" t="shared" si="113">SUBSTITUTE(TRIM(IF(BL3&gt;=3,MID(EX3,FIND("~",SUBSTITUTE(EX3,"/","~",2))+1,IFERROR(FIND("~",SUBSTITUTE(EX3,"/","~",3))-1,LEN(EX3))- FIND("~",SUBSTITUTE(EX3,"/","~",2))),"0")),"m","")*1</f>
        <v>45</v>
      </c>
      <c r="FB3" s="247">
        <f ref="FB3:FB11" t="shared" si="114">SUBSTITUTE(TRIM(IF(BL3&gt;=4,MID(EX3,FIND("~",SUBSTITUTE(EX3,"/","~",3))+1,IFERROR(FIND("~",SUBSTITUTE(EX3,"/","~",4))-1,LEN(EX3))- FIND("~",SUBSTITUTE(EX3,"/","~",3))),"0")),"m","")*1</f>
        <v>0</v>
      </c>
      <c r="FC3" s="247" t="str">
        <f ref="FC3:FC11" t="shared" si="115">ConcateMultiple(EY3:FB3,"m/",BL3)</f>
        <v>45m/45m/45m</v>
      </c>
      <c r="FD3" s="247" t="str">
        <f ref="FD3:FD11" t="shared" si="116">TRIM(IF(I3&gt;=3,MID(T3,FIND("~",SUBSTITUTE(T3,";","~",2))+1,IFERROR(FIND("~",SUBSTITUTE(T3,";","~",3))-1,LEN(T3))- FIND("~",SUBSTITUTE(T3,";","~",2))),""))</f>
        <v>34m/ 34m/ 34m</v>
      </c>
      <c r="FE3" s="247">
        <f ref="FE3:FE11" t="shared" si="117">SUBSTITUTE(IF(BM3&gt;=1,MID(FD3,1,IFERROR(FIND("~",SUBSTITUTE(FD3,"/","~",1))-1,LEN(FD3))),"0"),"m","")*1</f>
        <v>34</v>
      </c>
      <c r="FF3" s="247">
        <f ref="FF3:FF11" t="shared" si="118">SUBSTITUTE(TRIM(IF(BM3&gt;=2,MID(FD3,FIND("~",SUBSTITUTE(FD3,"/","~",1))+1,IFERROR(FIND("~",SUBSTITUTE(FD3,"/","~",2))-1,LEN(FD3))- FIND("~",SUBSTITUTE(FD3,"/","~",1))),"0")),"m","")*1</f>
        <v>34</v>
      </c>
      <c r="FG3" s="247">
        <f ref="FG3:FG11" t="shared" si="119">SUBSTITUTE(TRIM(IF(BM3&gt;=3,MID(FD3,FIND("~",SUBSTITUTE(FD3,"/","~",2))+1,IFERROR(FIND("~",SUBSTITUTE(FD3,"/","~",3))-1,LEN(FD3))- FIND("~",SUBSTITUTE(FD3,"/","~",2))),"0")),"m","")*1</f>
        <v>34</v>
      </c>
      <c r="FH3" s="247">
        <f ref="FH3:FH11" t="shared" si="120">SUBSTITUTE(TRIM(IF(BM3&gt;=4,MID(FD3,FIND("~",SUBSTITUTE(FD3,"/","~",3))+1,IFERROR(FIND("~",SUBSTITUTE(FD3,"/","~",4))-1,LEN(FD3))- FIND("~",SUBSTITUTE(FD3,"/","~",3))),"0")),"m","")*1</f>
        <v>0</v>
      </c>
      <c r="FI3" s="247" t="str">
        <f ref="FI3:FI11" t="shared" si="121">ConcateMultiple(FE3:FH3,"m/",BM3)</f>
        <v>34m/34m/34m</v>
      </c>
      <c r="FJ3" s="247" t="str">
        <f ref="FJ3:FJ11" t="shared" si="122">TRIM(IF(I3&gt;=4,MID(T3,FIND("~",SUBSTITUTE(T3,";","~",3))+1,IFERROR(FIND("~",SUBSTITUTE(T3,";","~",4))-1,LEN(T3))- FIND("~",SUBSTITUTE(T3,";","~",3))),""))</f>
        <v>34m/ 34m/ 34m</v>
      </c>
      <c r="FK3" s="247">
        <f ref="FK3:FK11" t="shared" si="123">SUBSTITUTE(IF(BN3&gt;=1,MID(FJ3,1,IFERROR(FIND("~",SUBSTITUTE(FJ3,"/","~",1))-1,LEN(FJ3))),"0"),"m","")*1</f>
        <v>34</v>
      </c>
      <c r="FL3" s="247">
        <f ref="FL3:FL11" t="shared" si="124">SUBSTITUTE(TRIM(IF(BN3&gt;=2,MID(FJ3,FIND("~",SUBSTITUTE(FJ3,"/","~",1))+1,IFERROR(FIND("~",SUBSTITUTE(FJ3,"/","~",2))-1,LEN(FJ3))- FIND("~",SUBSTITUTE(FJ3,"/","~",1))),"0")),"m","")*1</f>
        <v>34</v>
      </c>
      <c r="FM3" s="247">
        <f ref="FM3:FM11" t="shared" si="125">SUBSTITUTE(TRIM(IF(BN3&gt;=3,MID(FJ3,FIND("~",SUBSTITUTE(FJ3,"/","~",2))+1,IFERROR(FIND("~",SUBSTITUTE(FJ3,"/","~",3))-1,LEN(FJ3))- FIND("~",SUBSTITUTE(FJ3,"/","~",2))),"0")),"m","")*1</f>
        <v>34</v>
      </c>
      <c r="FN3" s="247">
        <f ref="FN3:FN11" t="shared" si="126">SUBSTITUTE(TRIM(IF(BN3&gt;=4,MID(FJ3,FIND("~",SUBSTITUTE(FJ3,"/","~",3))+1,IFERROR(FIND("~",SUBSTITUTE(FJ3,"/","~",4))-1,LEN(FJ3))- FIND("~",SUBSTITUTE(FJ3,"/","~",3))),"0")),"m","")*1</f>
        <v>0</v>
      </c>
      <c r="FO3" s="247" t="str">
        <f ref="FO3:FO11" t="shared" si="127">ConcateMultiple(FK3:FN3,"m/",BN3)</f>
        <v>34m/34m/34m</v>
      </c>
      <c r="FP3" s="247" t="str">
        <f ref="FP3:FP11" t="shared" si="128">TRIM(IF(I3&gt;=5,MID(T3,FIND("~",SUBSTITUTE(T3,";","~",4))+1,IFERROR(FIND("~",SUBSTITUTE(T3,";","~",5))-1,LEN(T3))- FIND("~",SUBSTITUTE(T3,";","~",4))),""))</f>
        <v>34m/ 34m/ 34m</v>
      </c>
      <c r="FQ3" s="247">
        <f ref="FQ3:FQ11" t="shared" si="129">SUBSTITUTE(IF(BO3&gt;=1,MID(FP3,1,IFERROR(FIND("~",SUBSTITUTE(FP3,"/","~",1))-1,LEN(FP3))),"0"),"m","")*1</f>
        <v>34</v>
      </c>
      <c r="FR3" s="247">
        <f ref="FR3:FR11" t="shared" si="130">SUBSTITUTE(TRIM(IF(BO3&gt;=2,MID(FP3,FIND("~",SUBSTITUTE(FP3,"/","~",1))+1,IFERROR(FIND("~",SUBSTITUTE(FP3,"/","~",2))-1,LEN(FP3))- FIND("~",SUBSTITUTE(FP3,"/","~",1))),"0")),"m","")*1</f>
        <v>34</v>
      </c>
      <c r="FS3" s="247">
        <f ref="FS3:FS11" t="shared" si="131">SUBSTITUTE(TRIM(IF(BO3&gt;=3,MID(FP3,FIND("~",SUBSTITUTE(FP3,"/","~",2))+1,IFERROR(FIND("~",SUBSTITUTE(FP3,"/","~",3))-1,LEN(FP3))- FIND("~",SUBSTITUTE(FP3,"/","~",2))),"0")),"m","")*1</f>
        <v>34</v>
      </c>
      <c r="FT3" s="247">
        <f ref="FT3:FT11" t="shared" si="132">SUBSTITUTE(TRIM(IF(BO3&gt;=4,MID(FP3,FIND("~",SUBSTITUTE(FP3,"/","~",3))+1,IFERROR(FIND("~",SUBSTITUTE(FP3,"/","~",4))-1,LEN(FP3))- FIND("~",SUBSTITUTE(FP3,"/","~",3))),"0")),"m","")*1</f>
        <v>0</v>
      </c>
      <c r="FU3" s="247" t="str">
        <f ref="FU3:FU11" t="shared" si="133">ConcateMultiple(FQ3:FT3,"m/",BO3)</f>
        <v>34m/34m/34m</v>
      </c>
      <c r="FV3" s="247" t="str">
        <f ref="FV3:FV11" t="shared" si="134">TRIM(IF(I3&gt;=6,MID(T3,FIND("~",SUBSTITUTE(T3,";","~",5))+1,IFERROR(FIND("~",SUBSTITUTE(T3,";","~",6))-1,LEN(T3))- FIND("~",SUBSTITUTE(T3,";","~",5))),""))</f>
      </c>
      <c r="FW3" s="247">
        <f ref="FW3:FW11" t="shared" si="135">SUBSTITUTE(IF(BP3&gt;=1,MID(FV3,1,IFERROR(FIND("~",SUBSTITUTE(FV3,"/","~",1))-1,LEN(FV3))),"0"),"m","")*1</f>
        <v>0</v>
      </c>
      <c r="FX3" s="247">
        <f ref="FX3:FX11" t="shared" si="136">SUBSTITUTE(TRIM(IF(BP3&gt;=2,MID(FV3,FIND("~",SUBSTITUTE(FV3,"/","~",1))+1,IFERROR(FIND("~",SUBSTITUTE(FV3,"/","~",2))-1,LEN(FV3))- FIND("~",SUBSTITUTE(FV3,"/","~",1))),"0")),"m","")*1</f>
        <v>0</v>
      </c>
      <c r="FY3" s="247">
        <f ref="FY3:FY11" t="shared" si="137">SUBSTITUTE(TRIM(IF(BP3&gt;=3,MID(FV3,FIND("~",SUBSTITUTE(FV3,"/","~",2))+1,IFERROR(FIND("~",SUBSTITUTE(FV3,"/","~",3))-1,LEN(FV3))- FIND("~",SUBSTITUTE(FV3,"/","~",2))),"0")),"m","")*1</f>
        <v>0</v>
      </c>
      <c r="FZ3" s="247">
        <f ref="FZ3:FZ11" t="shared" si="138">SUBSTITUTE(TRIM(IF(BP3&gt;=4,MID(FV3,FIND("~",SUBSTITUTE(FV3,"/","~",3))+1,IFERROR(FIND("~",SUBSTITUTE(FV3,"/","~",4))-1,LEN(FV3))- FIND("~",SUBSTITUTE(FV3,"/","~",3))),"0")),"m","")*1</f>
        <v>0</v>
      </c>
      <c r="GA3" s="247" t="str">
        <f ref="GA3:GA11" t="shared" si="139">ConcateMultiple(FW3:FZ3,"m/",BP3)</f>
      </c>
      <c r="GB3" s="247" t="str">
        <f>INDEX(LabNameList,MATCH(AF3,LabIDList,0))</f>
        <v>Trung tâm Kiểm định và Chứng nhận 2</v>
      </c>
      <c r="GC3" s="247">
        <f ref="GC3:GC11" t="shared" si="140">MinMultiple(ES3:EV3,BK3)</f>
        <v>45</v>
      </c>
      <c r="GD3" s="247">
        <f ref="GD3:GD11" t="shared" si="141">MinMultiple(EY3:FB3,BL3)</f>
        <v>45</v>
      </c>
      <c r="GE3" s="247">
        <f ref="GE3:GE11" t="shared" si="142">MinMultiple(FE3:FH3,BM3)</f>
        <v>34</v>
      </c>
      <c r="GF3" s="247">
        <f ref="GF3:GF11" t="shared" si="143">MinMultiple(FK3:FN3,BN3)</f>
        <v>34</v>
      </c>
      <c r="GG3" s="247">
        <f ref="GG3:GG11" t="shared" si="144">MinMultiple(FQ3:FT3,BO3)</f>
        <v>34</v>
      </c>
      <c r="GH3" s="247">
        <f ref="GH3:GH11" t="shared" si="145">MinMultiple(FW3:FZ3,BP3)</f>
        <v>0</v>
      </c>
      <c r="GI3" s="740">
        <f ref="GI3:GI11" t="shared" si="146">MinMultiple(GC3:GH3,I3)</f>
        <v>34</v>
      </c>
      <c r="GJ3" s="740">
        <f ref="GJ3:GJ11" t="shared" si="147">GI3-AA3</f>
        <v>24</v>
      </c>
      <c r="GK3" s="247">
        <f ref="GK3:GK11" t="shared" si="148">$GL$1</f>
        <v>10</v>
      </c>
      <c r="GL3" s="247"/>
      <c r="GM3" s="247">
        <f ref="GM3:GM11" t="shared" si="149">$GN$1</f>
        <v>10</v>
      </c>
      <c r="GN3" s="247"/>
    </row>
    <row r="4" ht="89.25" s="370" customFormat="1">
      <c r="A4" s="236">
        <f>Input!A4</f>
        <v>3</v>
      </c>
      <c r="B4" s="236" t="str">
        <f>Input!B4</f>
        <v>VINAPHONE-HCM</v>
      </c>
      <c r="C4" s="236" t="str">
        <f>Input!C4</f>
        <v>VINAPHONE</v>
      </c>
      <c r="D4" s="740" t="str">
        <f t="shared" si="0"/>
        <v>BDGTDM004</v>
      </c>
      <c r="E4" s="236" t="str">
        <f>Input!E4</f>
        <v>Số 117, đường Phan Đình Giót, phường Chánh Nghĩa, thành phố Thủ Dầu Một, tỉnh Bình Dương.</v>
      </c>
      <c r="F4" s="236" t="str">
        <f>Input!F4</f>
        <v>Bình Dương</v>
      </c>
      <c r="G4" s="740" t="str">
        <f>Input!G4</f>
        <v>106,660063</v>
      </c>
      <c r="H4" s="740" t="str">
        <f>Input!H4</f>
        <v>10,97715</v>
      </c>
      <c r="I4" s="236">
        <f>Input!I4</f>
        <v>2</v>
      </c>
      <c r="J4" s="236" t="str">
        <f>Input!J4</f>
        <v>K00460221018D005</v>
      </c>
      <c r="K4" s="259" t="str">
        <f>TEXT(Input!K4,"dd/mm/yyyy")</f>
        <v>19/11/2018</v>
      </c>
      <c r="L4" s="259" t="str">
        <f>TEXT(Input!L4,"dd/mm/yyyy")</f>
        <v>22/10/2018</v>
      </c>
      <c r="M4" s="236" t="str">
        <f>Input!M4</f>
        <v>TỔNG CÔNG TY HẠ TẦNG MẠNG;TỔNG CÔNG TY HẠ TẦNG MẠNG;TỔNG CÔNG TY HẠ TẦNG MẠNG</v>
      </c>
      <c r="N4" s="236" t="str">
        <f>Input!N4</f>
        <v>BDGTDM004;BDGTDM004;BDGTDM004</v>
      </c>
      <c r="O4" s="236" t="str">
        <f>Input!O4</f>
        <v>MOTOROLA HORIZON II MACRO;ERICSSON RBS 3418;NSN FLEXI MULTIRADIO 10 (FHED)</v>
      </c>
      <c r="P4" s="236" t="str">
        <f>Input!P4</f>
        <v>3;3;3</v>
      </c>
      <c r="Q4" s="236" t="str">
        <f>Input!Q4</f>
        <v>4/4/4;2/2/2;1/1/1</v>
      </c>
      <c r="R4" s="236" t="str">
        <f>Input!R4</f>
        <v>20W/20W/20W;60W/60W/60W;160W/160W/160W</v>
      </c>
      <c r="S4" s="236" t="str">
        <f>Input!S4</f>
        <v>G900;U2100;L1800</v>
      </c>
      <c r="T4" s="236" t="str">
        <f>Input!T4</f>
        <v>35m/ 35m/ 35m;28m/ 28m/ 28m;28m/ 28m/ 28m</v>
      </c>
      <c r="U4" s="236">
        <f>Input!U4</f>
        <v>1</v>
      </c>
      <c r="V4" s="236" t="str">
        <f>Input!V4</f>
        <v>FX-X-CG-00T-900;S-Wave EW/EW/EW-65-18DV2/12I-F-64K-VN;S-Wave EW/EW/EW-65-18DV2/12I-F-64K-VN</v>
      </c>
      <c r="W4" s="236" t="b">
        <f>Input!W4</f>
        <v>1</v>
      </c>
      <c r="X4" s="236" t="b">
        <f>Input!X4</f>
        <v>0</v>
      </c>
      <c r="Y4" s="740">
        <f>Input!Y4</f>
        <v>0</v>
      </c>
      <c r="Z4" s="236" t="b">
        <f>Input!Z4</f>
        <v>0</v>
      </c>
      <c r="AA4" s="740">
        <f>Input!AA4</f>
        <v>0</v>
      </c>
      <c r="AB4" s="236" t="b">
        <f>Input!AB4</f>
        <v>0</v>
      </c>
      <c r="AC4" s="236" t="b">
        <f>Input!AC4</f>
        <v>1</v>
      </c>
      <c r="AD4" s="236">
        <f>Input!AD4</f>
        <v>0</v>
      </c>
      <c r="AE4" s="236">
        <f>Input!AE4</f>
        <v>0</v>
      </c>
      <c r="AF4" s="236" t="str">
        <f>Input!AF4</f>
        <v>VCC2</v>
      </c>
      <c r="AG4" s="236" t="str">
        <f>Input!AG4</f>
        <v>Trạm không còn hoạt động</v>
      </c>
      <c r="AH4" s="247"/>
      <c r="AI4" s="247" t="str">
        <f>INDEX(ApplicantNameList,MATCH(B4,ApplicantIDList,0))</f>
        <v>CHI NHÁNH VINAPHONE TẠI TPHCM</v>
      </c>
      <c r="AJ4" s="247" t="str">
        <f>INDEX(OperatorNameList,MATCH(C4,OperatorIDList,0))</f>
        <v>TỔNG CÔNG TY HẠ TẦNG MẠNG</v>
      </c>
      <c r="AK4" s="236" t="str">
        <f>INDEX(CityIDList,MATCH(F4,CityNameList,0))</f>
        <v>BDG</v>
      </c>
      <c r="AL4" s="247" t="str">
        <f t="shared" si="1"/>
        <v>TỔNG CÔNG TY HẠ TẦNG MẠNG</v>
      </c>
      <c r="AM4" s="247" t="str">
        <f t="shared" si="2"/>
        <v>TỔNG CÔNG TY HẠ TẦNG MẠNG</v>
      </c>
      <c r="AN4" s="247" t="str">
        <f t="shared" si="3"/>
      </c>
      <c r="AO4" s="247" t="str">
        <f t="shared" si="4"/>
      </c>
      <c r="AP4" s="247" t="str">
        <f t="shared" si="5"/>
      </c>
      <c r="AQ4" s="247" t="str">
        <f t="shared" si="6"/>
      </c>
      <c r="AR4" s="247" t="str">
        <f>IF(I4&gt;=1,INDEX(OperatorIDList,MATCH(AL4,OperatorNameList,0)),"")</f>
        <v>VINAPHONE</v>
      </c>
      <c r="AS4" s="247" t="str">
        <f>IF(I4&gt;=2,INDEX(OperatorIDList,MATCH(AM4,OperatorNameList,0)),"")</f>
        <v>VINAPHONE</v>
      </c>
      <c r="AT4" s="247" t="str">
        <f>IF(I4&gt;=3,INDEX(OperatorIDList,MATCH(AN4,OperatorNameList,0)),"")</f>
      </c>
      <c r="AU4" s="247" t="str">
        <f>IF(I4&gt;=4,INDEX(OperatorIDList,MATCH(AO4,OperatorNameList,0)),"")</f>
      </c>
      <c r="AV4" s="247" t="str">
        <f>IF(I4&gt;=5,INDEX(OperatorIDList,MATCH(AP4,OperatorNameList,0)),"")</f>
      </c>
      <c r="AW4" s="247" t="str">
        <f>IF(I4&gt;=6,INDEX(OperatorIDList,MATCH(AQ4,OperatorNameList,0)),"")</f>
      </c>
      <c r="AX4" s="247" t="str">
        <f t="shared" si="7"/>
        <v>VINAPHONE;VINAPHONE</v>
      </c>
      <c r="AY4" s="247" t="str">
        <f t="shared" si="8"/>
        <v>BDGTDM004</v>
      </c>
      <c r="AZ4" s="247" t="str">
        <f t="shared" si="9"/>
        <v>BDGTDM004</v>
      </c>
      <c r="BA4" s="247" t="str">
        <f t="shared" si="10"/>
      </c>
      <c r="BB4" s="247" t="str">
        <f t="shared" si="11"/>
      </c>
      <c r="BC4" s="247" t="str">
        <f t="shared" si="12"/>
      </c>
      <c r="BD4" s="247" t="str">
        <f t="shared" si="13"/>
      </c>
      <c r="BE4" s="247" t="str">
        <f t="shared" si="14"/>
        <v>MOTOROLA HORIZON II MACRO</v>
      </c>
      <c r="BF4" s="247" t="str">
        <f t="shared" si="15"/>
        <v>ERICSSON RBS 3418</v>
      </c>
      <c r="BG4" s="247" t="str">
        <f t="shared" si="16"/>
      </c>
      <c r="BH4" s="247" t="str">
        <f t="shared" si="17"/>
      </c>
      <c r="BI4" s="247" t="str">
        <f t="shared" si="18"/>
      </c>
      <c r="BJ4" s="247" t="str">
        <f t="shared" si="19"/>
      </c>
      <c r="BK4" s="247">
        <f t="shared" si="20"/>
        <v>3</v>
      </c>
      <c r="BL4" s="247">
        <f t="shared" si="21"/>
        <v>3</v>
      </c>
      <c r="BM4" s="247">
        <f t="shared" si="22"/>
        <v>0</v>
      </c>
      <c r="BN4" s="247">
        <f t="shared" si="23"/>
        <v>0</v>
      </c>
      <c r="BO4" s="247">
        <f t="shared" si="24"/>
        <v>0</v>
      </c>
      <c r="BP4" s="247">
        <f t="shared" si="25"/>
        <v>0</v>
      </c>
      <c r="BQ4" s="247" t="str">
        <f t="shared" si="26"/>
        <v>4/4/4</v>
      </c>
      <c r="BR4" s="247">
        <f t="shared" si="27"/>
        <v>4</v>
      </c>
      <c r="BS4" s="247">
        <f t="shared" si="28"/>
        <v>4</v>
      </c>
      <c r="BT4" s="247">
        <f t="shared" si="29"/>
        <v>4</v>
      </c>
      <c r="BU4" s="247">
        <f t="shared" si="30"/>
        <v>0</v>
      </c>
      <c r="BV4" s="247" t="str">
        <f t="shared" si="31"/>
        <v>2/2/2</v>
      </c>
      <c r="BW4" s="247">
        <f t="shared" si="32"/>
        <v>2</v>
      </c>
      <c r="BX4" s="247">
        <f t="shared" si="33"/>
        <v>2</v>
      </c>
      <c r="BY4" s="247">
        <f t="shared" si="34"/>
        <v>2</v>
      </c>
      <c r="BZ4" s="247">
        <f t="shared" si="35"/>
        <v>0</v>
      </c>
      <c r="CA4" s="247" t="str">
        <f t="shared" si="36"/>
      </c>
      <c r="CB4" s="247">
        <f t="shared" si="37"/>
        <v>0</v>
      </c>
      <c r="CC4" s="247">
        <f t="shared" si="38"/>
        <v>0</v>
      </c>
      <c r="CD4" s="247">
        <f t="shared" si="39"/>
        <v>0</v>
      </c>
      <c r="CE4" s="247">
        <f t="shared" si="40"/>
        <v>0</v>
      </c>
      <c r="CF4" s="247" t="str">
        <f t="shared" si="41"/>
      </c>
      <c r="CG4" s="247">
        <f t="shared" si="42"/>
        <v>0</v>
      </c>
      <c r="CH4" s="247">
        <f t="shared" si="43"/>
        <v>0</v>
      </c>
      <c r="CI4" s="247">
        <f t="shared" si="44"/>
        <v>0</v>
      </c>
      <c r="CJ4" s="247">
        <f t="shared" si="45"/>
        <v>0</v>
      </c>
      <c r="CK4" s="247" t="str">
        <f t="shared" si="46"/>
      </c>
      <c r="CL4" s="247">
        <f t="shared" si="47"/>
        <v>0</v>
      </c>
      <c r="CM4" s="247">
        <f t="shared" si="48"/>
        <v>0</v>
      </c>
      <c r="CN4" s="247">
        <f t="shared" si="49"/>
        <v>0</v>
      </c>
      <c r="CO4" s="247">
        <f t="shared" si="50"/>
        <v>0</v>
      </c>
      <c r="CP4" s="247" t="str">
        <f t="shared" si="51"/>
      </c>
      <c r="CQ4" s="247">
        <f t="shared" si="52"/>
        <v>0</v>
      </c>
      <c r="CR4" s="247">
        <f t="shared" si="53"/>
        <v>0</v>
      </c>
      <c r="CS4" s="247">
        <f t="shared" si="54"/>
        <v>0</v>
      </c>
      <c r="CT4" s="247">
        <f t="shared" si="55"/>
        <v>0</v>
      </c>
      <c r="CU4" s="247" t="str">
        <f t="shared" si="56"/>
        <v>20W/20W/20W</v>
      </c>
      <c r="CV4" s="247">
        <f ref="CV4:CV11" t="shared" si="150">SUBSTITUTE(IF(BK4&gt;=1,MID(CU4,1,IFERROR(FIND("~",SUBSTITUTE(CU4,"/","~",1))-1,LEN(CU4))),"0"),"W","")*1</f>
        <v>20</v>
      </c>
      <c r="CW4" s="247">
        <f t="shared" si="57"/>
        <v>20</v>
      </c>
      <c r="CX4" s="247">
        <f t="shared" si="58"/>
        <v>20</v>
      </c>
      <c r="CY4" s="247">
        <f t="shared" si="59"/>
        <v>0</v>
      </c>
      <c r="CZ4" s="247" t="str">
        <f t="shared" si="60"/>
        <v>20W/20W/20W</v>
      </c>
      <c r="DA4" s="247">
        <f t="shared" si="61"/>
        <v>20</v>
      </c>
      <c r="DB4" s="247" t="str">
        <f t="shared" si="62"/>
        <v>60W/60W/60W</v>
      </c>
      <c r="DC4" s="247">
        <f t="shared" si="63"/>
        <v>60</v>
      </c>
      <c r="DD4" s="247">
        <f t="shared" si="64"/>
        <v>60</v>
      </c>
      <c r="DE4" s="247">
        <f t="shared" si="65"/>
        <v>60</v>
      </c>
      <c r="DF4" s="247">
        <f t="shared" si="66"/>
        <v>0</v>
      </c>
      <c r="DG4" s="247" t="str">
        <f t="shared" si="67"/>
        <v>60W/60W/60W</v>
      </c>
      <c r="DH4" s="247">
        <f t="shared" si="68"/>
        <v>60</v>
      </c>
      <c r="DI4" s="247" t="str">
        <f t="shared" si="69"/>
      </c>
      <c r="DJ4" s="247">
        <f t="shared" si="70"/>
        <v>0</v>
      </c>
      <c r="DK4" s="247">
        <f t="shared" si="71"/>
        <v>0</v>
      </c>
      <c r="DL4" s="247">
        <f t="shared" si="72"/>
        <v>0</v>
      </c>
      <c r="DM4" s="247">
        <f t="shared" si="73"/>
        <v>0</v>
      </c>
      <c r="DN4" s="247" t="str">
        <f t="shared" si="74"/>
      </c>
      <c r="DO4" s="247">
        <f t="shared" si="75"/>
        <v>0</v>
      </c>
      <c r="DP4" s="247" t="str">
        <f t="shared" si="76"/>
      </c>
      <c r="DQ4" s="247">
        <f t="shared" si="77"/>
        <v>0</v>
      </c>
      <c r="DR4" s="247">
        <f t="shared" si="78"/>
        <v>0</v>
      </c>
      <c r="DS4" s="247">
        <f t="shared" si="79"/>
        <v>0</v>
      </c>
      <c r="DT4" s="247">
        <f t="shared" si="80"/>
        <v>0</v>
      </c>
      <c r="DU4" s="247" t="str">
        <f t="shared" si="81"/>
      </c>
      <c r="DV4" s="247">
        <f t="shared" si="82"/>
        <v>0</v>
      </c>
      <c r="DW4" s="247" t="str">
        <f t="shared" si="83"/>
      </c>
      <c r="DX4" s="247">
        <f t="shared" si="84"/>
        <v>0</v>
      </c>
      <c r="DY4" s="247">
        <f t="shared" si="85"/>
        <v>0</v>
      </c>
      <c r="DZ4" s="247">
        <f t="shared" si="86"/>
        <v>0</v>
      </c>
      <c r="EA4" s="247">
        <f t="shared" si="87"/>
        <v>0</v>
      </c>
      <c r="EB4" s="247" t="str">
        <f t="shared" si="88"/>
      </c>
      <c r="EC4" s="247">
        <f t="shared" si="89"/>
        <v>0</v>
      </c>
      <c r="ED4" s="247" t="str">
        <f t="shared" si="90"/>
      </c>
      <c r="EE4" s="247">
        <f t="shared" si="91"/>
        <v>0</v>
      </c>
      <c r="EF4" s="247">
        <f t="shared" si="92"/>
        <v>0</v>
      </c>
      <c r="EG4" s="247">
        <f t="shared" si="93"/>
        <v>0</v>
      </c>
      <c r="EH4" s="247">
        <f t="shared" si="94"/>
        <v>0</v>
      </c>
      <c r="EI4" s="247" t="str">
        <f t="shared" si="95"/>
      </c>
      <c r="EJ4" s="247">
        <f t="shared" si="96"/>
        <v>0</v>
      </c>
      <c r="EK4" s="247">
        <f t="shared" si="97"/>
        <v>60</v>
      </c>
      <c r="EL4" s="247" t="str">
        <f t="shared" si="98"/>
        <v>G900</v>
      </c>
      <c r="EM4" s="247" t="str">
        <f t="shared" si="99"/>
        <v>U2100</v>
      </c>
      <c r="EN4" s="247" t="str">
        <f t="shared" si="100"/>
      </c>
      <c r="EO4" s="247" t="str">
        <f t="shared" si="101"/>
      </c>
      <c r="EP4" s="247" t="str">
        <f t="shared" si="102"/>
      </c>
      <c r="EQ4" s="247" t="str">
        <f t="shared" si="103"/>
      </c>
      <c r="ER4" s="247" t="str">
        <f t="shared" si="104"/>
        <v>35m/ 35m/ 35m</v>
      </c>
      <c r="ES4" s="247">
        <f t="shared" si="105"/>
        <v>35</v>
      </c>
      <c r="ET4" s="247">
        <f t="shared" si="106"/>
        <v>35</v>
      </c>
      <c r="EU4" s="247">
        <f t="shared" si="107"/>
        <v>35</v>
      </c>
      <c r="EV4" s="247">
        <f t="shared" si="108"/>
        <v>0</v>
      </c>
      <c r="EW4" s="247" t="str">
        <f t="shared" si="109"/>
        <v>35m/35m/35m</v>
      </c>
      <c r="EX4" s="247" t="str">
        <f t="shared" si="110"/>
        <v>28m/ 28m/ 28m</v>
      </c>
      <c r="EY4" s="247">
        <f t="shared" si="111"/>
        <v>28</v>
      </c>
      <c r="EZ4" s="247">
        <f t="shared" si="112"/>
        <v>28</v>
      </c>
      <c r="FA4" s="247">
        <f t="shared" si="113"/>
        <v>28</v>
      </c>
      <c r="FB4" s="247">
        <f t="shared" si="114"/>
        <v>0</v>
      </c>
      <c r="FC4" s="247" t="str">
        <f t="shared" si="115"/>
        <v>28m/28m/28m</v>
      </c>
      <c r="FD4" s="247" t="str">
        <f t="shared" si="116"/>
      </c>
      <c r="FE4" s="247">
        <f t="shared" si="117"/>
        <v>0</v>
      </c>
      <c r="FF4" s="247">
        <f t="shared" si="118"/>
        <v>0</v>
      </c>
      <c r="FG4" s="247">
        <f t="shared" si="119"/>
        <v>0</v>
      </c>
      <c r="FH4" s="247">
        <f t="shared" si="120"/>
        <v>0</v>
      </c>
      <c r="FI4" s="247" t="str">
        <f t="shared" si="121"/>
      </c>
      <c r="FJ4" s="247" t="str">
        <f t="shared" si="122"/>
      </c>
      <c r="FK4" s="247">
        <f t="shared" si="123"/>
        <v>0</v>
      </c>
      <c r="FL4" s="247">
        <f t="shared" si="124"/>
        <v>0</v>
      </c>
      <c r="FM4" s="247">
        <f t="shared" si="125"/>
        <v>0</v>
      </c>
      <c r="FN4" s="247">
        <f t="shared" si="126"/>
        <v>0</v>
      </c>
      <c r="FO4" s="247" t="str">
        <f t="shared" si="127"/>
      </c>
      <c r="FP4" s="247" t="str">
        <f t="shared" si="128"/>
      </c>
      <c r="FQ4" s="247">
        <f t="shared" si="129"/>
        <v>0</v>
      </c>
      <c r="FR4" s="247">
        <f t="shared" si="130"/>
        <v>0</v>
      </c>
      <c r="FS4" s="247">
        <f t="shared" si="131"/>
        <v>0</v>
      </c>
      <c r="FT4" s="247">
        <f t="shared" si="132"/>
        <v>0</v>
      </c>
      <c r="FU4" s="247" t="str">
        <f t="shared" si="133"/>
      </c>
      <c r="FV4" s="247" t="str">
        <f t="shared" si="134"/>
      </c>
      <c r="FW4" s="247">
        <f t="shared" si="135"/>
        <v>0</v>
      </c>
      <c r="FX4" s="247">
        <f t="shared" si="136"/>
        <v>0</v>
      </c>
      <c r="FY4" s="247">
        <f t="shared" si="137"/>
        <v>0</v>
      </c>
      <c r="FZ4" s="247">
        <f t="shared" si="138"/>
        <v>0</v>
      </c>
      <c r="GA4" s="247" t="str">
        <f t="shared" si="139"/>
      </c>
      <c r="GB4" s="247" t="str">
        <f>INDEX(LabNameList,MATCH(AF4,LabIDList,0))</f>
        <v>Trung tâm Kiểm định và Chứng nhận 2</v>
      </c>
      <c r="GC4" s="247">
        <f t="shared" si="140"/>
        <v>35</v>
      </c>
      <c r="GD4" s="247">
        <f t="shared" si="141"/>
        <v>28</v>
      </c>
      <c r="GE4" s="247">
        <f t="shared" si="142"/>
        <v>0</v>
      </c>
      <c r="GF4" s="247">
        <f t="shared" si="143"/>
        <v>0</v>
      </c>
      <c r="GG4" s="247">
        <f t="shared" si="144"/>
        <v>0</v>
      </c>
      <c r="GH4" s="247">
        <f t="shared" si="145"/>
        <v>0</v>
      </c>
      <c r="GI4" s="740">
        <f t="shared" si="146"/>
        <v>28</v>
      </c>
      <c r="GJ4" s="740">
        <f t="shared" si="147"/>
        <v>28</v>
      </c>
      <c r="GK4" s="247">
        <f t="shared" si="148"/>
        <v>10</v>
      </c>
      <c r="GL4" s="247"/>
      <c r="GM4" s="247">
        <f t="shared" si="149"/>
        <v>10</v>
      </c>
      <c r="GN4" s="247"/>
    </row>
    <row r="5" ht="89.25" s="370" customFormat="1">
      <c r="A5" s="236">
        <f>Input!A5</f>
        <v>4</v>
      </c>
      <c r="B5" s="236" t="str">
        <f>Input!B5</f>
        <v>VINAPHONE-HCM</v>
      </c>
      <c r="C5" s="236" t="str">
        <f>Input!C5</f>
        <v>VINAPHONE</v>
      </c>
      <c r="D5" s="740" t="str">
        <f t="shared" si="0"/>
        <v>BDGTDM007</v>
      </c>
      <c r="E5" s="236" t="str">
        <f>Input!E5</f>
        <v>Số 47, đường Hoàng Văn Thụ, khu dân cư Chánh Nghĩa, phường Chánh Nghĩa, thành phố Thủ Dầu Một, tỉnh Bình Dương.</v>
      </c>
      <c r="F5" s="236" t="str">
        <f>Input!F5</f>
        <v>Bình Dương</v>
      </c>
      <c r="G5" s="740" t="str">
        <f>Input!G5</f>
        <v>106,665231</v>
      </c>
      <c r="H5" s="740" t="str">
        <f>Input!H5</f>
        <v>10,975973</v>
      </c>
      <c r="I5" s="236">
        <f>Input!I5</f>
        <v>1</v>
      </c>
      <c r="J5" s="236" t="str">
        <f>Input!J5</f>
        <v>K00461221018D005</v>
      </c>
      <c r="K5" s="259" t="str">
        <f>TEXT(Input!K5,"dd/mm/yyyy")</f>
        <v>19/11/2018</v>
      </c>
      <c r="L5" s="259" t="str">
        <f>TEXT(Input!L5,"dd/mm/yyyy")</f>
        <v>22/10/2018</v>
      </c>
      <c r="M5" s="236" t="str">
        <f>Input!M5</f>
        <v>TỔNG CÔNG TY HẠ TẦNG MẠNG;TỔNG CÔNG TY HẠ TẦNG MẠNG;TỔNG CÔNG TY HẠ TẦNG MẠNG</v>
      </c>
      <c r="N5" s="236" t="str">
        <f>Input!N5</f>
        <v>BDGTDM007;BDGTDM007;BDGTDM007</v>
      </c>
      <c r="O5" s="236" t="str">
        <f>Input!O5</f>
        <v>MOTOROLA HORIZON II MACRO;ERICSSON RBS 6601;NSN FLEXI MULTIRADIO 10 (FHED)</v>
      </c>
      <c r="P5" s="236" t="str">
        <f>Input!P5</f>
        <v>3;3;3</v>
      </c>
      <c r="Q5" s="236" t="str">
        <f>Input!Q5</f>
        <v>3/3/3;2/2/2;1/1/1</v>
      </c>
      <c r="R5" s="236" t="str">
        <f>Input!R5</f>
        <v>16W/16W/16W;60W/60W/60W;160W/160W/160W</v>
      </c>
      <c r="S5" s="236" t="str">
        <f>Input!S5</f>
        <v>G1800;U2100;L1800</v>
      </c>
      <c r="T5" s="236" t="str">
        <f>Input!T5</f>
        <v>27m/ 27m/ 27m;25m/ 25m/ 25m;25m/ 25m/ 25m</v>
      </c>
      <c r="U5" s="236">
        <f>Input!U5</f>
        <v>1</v>
      </c>
      <c r="V5" s="236" t="str">
        <f>Input!V5</f>
        <v>FX-X-CDG-06T-DB-1800;S-Wave EW/EW/EW-65-18DV2/12I-F-64K-VN;S-Wave EW/EW/EW-65-18DV2/12I-F-64K-VN</v>
      </c>
      <c r="W5" s="236" t="b">
        <f>Input!W5</f>
        <v>1</v>
      </c>
      <c r="X5" s="236" t="b">
        <f>Input!X5</f>
        <v>0</v>
      </c>
      <c r="Y5" s="740">
        <f>Input!Y5</f>
        <v>0</v>
      </c>
      <c r="Z5" s="236" t="b">
        <f>Input!Z5</f>
        <v>0</v>
      </c>
      <c r="AA5" s="740">
        <f>Input!AA5</f>
        <v>0</v>
      </c>
      <c r="AB5" s="236" t="b">
        <f>Input!AB5</f>
        <v>0</v>
      </c>
      <c r="AC5" s="236" t="b">
        <f>Input!AC5</f>
        <v>1</v>
      </c>
      <c r="AD5" s="236">
        <f>Input!AD5</f>
        <v>0</v>
      </c>
      <c r="AE5" s="236">
        <f>Input!AE5</f>
        <v>0</v>
      </c>
      <c r="AF5" s="236" t="str">
        <f>Input!AF5</f>
        <v>VCC2</v>
      </c>
      <c r="AG5" s="236">
        <f>Input!AG5</f>
        <v>0</v>
      </c>
      <c r="AH5" s="247"/>
      <c r="AI5" s="247" t="str">
        <f>INDEX(ApplicantNameList,MATCH(B5,ApplicantIDList,0))</f>
        <v>CHI NHÁNH VINAPHONE TẠI TPHCM</v>
      </c>
      <c r="AJ5" s="247" t="str">
        <f>INDEX(OperatorNameList,MATCH(C5,OperatorIDList,0))</f>
        <v>TỔNG CÔNG TY HẠ TẦNG MẠNG</v>
      </c>
      <c r="AK5" s="236" t="str">
        <f>INDEX(CityIDList,MATCH(F5,CityNameList,0))</f>
        <v>BDG</v>
      </c>
      <c r="AL5" s="247" t="str">
        <f t="shared" si="1"/>
        <v>TỔNG CÔNG TY HẠ TẦNG MẠNG</v>
      </c>
      <c r="AM5" s="247" t="str">
        <f t="shared" si="2"/>
      </c>
      <c r="AN5" s="247" t="str">
        <f t="shared" si="3"/>
      </c>
      <c r="AO5" s="247" t="str">
        <f t="shared" si="4"/>
      </c>
      <c r="AP5" s="247" t="str">
        <f t="shared" si="5"/>
      </c>
      <c r="AQ5" s="247" t="str">
        <f t="shared" si="6"/>
      </c>
      <c r="AR5" s="247" t="str">
        <f>IF(I5&gt;=1,INDEX(OperatorIDList,MATCH(AL5,OperatorNameList,0)),"")</f>
        <v>VINAPHONE</v>
      </c>
      <c r="AS5" s="247" t="str">
        <f>IF(I5&gt;=2,INDEX(OperatorIDList,MATCH(AM5,OperatorNameList,0)),"")</f>
      </c>
      <c r="AT5" s="247" t="str">
        <f>IF(I5&gt;=3,INDEX(OperatorIDList,MATCH(AN5,OperatorNameList,0)),"")</f>
      </c>
      <c r="AU5" s="247" t="str">
        <f>IF(I5&gt;=4,INDEX(OperatorIDList,MATCH(AO5,OperatorNameList,0)),"")</f>
      </c>
      <c r="AV5" s="247" t="str">
        <f>IF(I5&gt;=5,INDEX(OperatorIDList,MATCH(AP5,OperatorNameList,0)),"")</f>
      </c>
      <c r="AW5" s="247" t="str">
        <f>IF(I5&gt;=6,INDEX(OperatorIDList,MATCH(AQ5,OperatorNameList,0)),"")</f>
      </c>
      <c r="AX5" s="247" t="str">
        <f t="shared" si="7"/>
        <v>VINAPHONE</v>
      </c>
      <c r="AY5" s="247" t="str">
        <f t="shared" si="8"/>
        <v>BDGTDM007</v>
      </c>
      <c r="AZ5" s="247" t="str">
        <f t="shared" si="9"/>
      </c>
      <c r="BA5" s="247" t="str">
        <f t="shared" si="10"/>
      </c>
      <c r="BB5" s="247" t="str">
        <f t="shared" si="11"/>
      </c>
      <c r="BC5" s="247" t="str">
        <f t="shared" si="12"/>
      </c>
      <c r="BD5" s="247" t="str">
        <f t="shared" si="13"/>
      </c>
      <c r="BE5" s="247" t="str">
        <f t="shared" si="14"/>
        <v>MOTOROLA HORIZON II MACRO</v>
      </c>
      <c r="BF5" s="247" t="str">
        <f t="shared" si="15"/>
      </c>
      <c r="BG5" s="247" t="str">
        <f t="shared" si="16"/>
      </c>
      <c r="BH5" s="247" t="str">
        <f t="shared" si="17"/>
      </c>
      <c r="BI5" s="247" t="str">
        <f t="shared" si="18"/>
      </c>
      <c r="BJ5" s="247" t="str">
        <f t="shared" si="19"/>
      </c>
      <c r="BK5" s="247">
        <f t="shared" si="20"/>
        <v>3</v>
      </c>
      <c r="BL5" s="247">
        <f t="shared" si="21"/>
        <v>0</v>
      </c>
      <c r="BM5" s="247">
        <f t="shared" si="22"/>
        <v>0</v>
      </c>
      <c r="BN5" s="247">
        <f t="shared" si="23"/>
        <v>0</v>
      </c>
      <c r="BO5" s="247">
        <f t="shared" si="24"/>
        <v>0</v>
      </c>
      <c r="BP5" s="247">
        <f t="shared" si="25"/>
        <v>0</v>
      </c>
      <c r="BQ5" s="247" t="str">
        <f t="shared" si="26"/>
        <v>3/3/3</v>
      </c>
      <c r="BR5" s="247">
        <f t="shared" si="27"/>
        <v>3</v>
      </c>
      <c r="BS5" s="247">
        <f t="shared" si="28"/>
        <v>3</v>
      </c>
      <c r="BT5" s="247">
        <f t="shared" si="29"/>
        <v>3</v>
      </c>
      <c r="BU5" s="247">
        <f t="shared" si="30"/>
        <v>0</v>
      </c>
      <c r="BV5" s="247" t="str">
        <f t="shared" si="31"/>
      </c>
      <c r="BW5" s="247">
        <f t="shared" si="32"/>
        <v>0</v>
      </c>
      <c r="BX5" s="247">
        <f t="shared" si="33"/>
        <v>0</v>
      </c>
      <c r="BY5" s="247">
        <f t="shared" si="34"/>
        <v>0</v>
      </c>
      <c r="BZ5" s="247">
        <f t="shared" si="35"/>
        <v>0</v>
      </c>
      <c r="CA5" s="247" t="str">
        <f t="shared" si="36"/>
      </c>
      <c r="CB5" s="247">
        <f t="shared" si="37"/>
        <v>0</v>
      </c>
      <c r="CC5" s="247">
        <f t="shared" si="38"/>
        <v>0</v>
      </c>
      <c r="CD5" s="247">
        <f t="shared" si="39"/>
        <v>0</v>
      </c>
      <c r="CE5" s="247">
        <f t="shared" si="40"/>
        <v>0</v>
      </c>
      <c r="CF5" s="247" t="str">
        <f t="shared" si="41"/>
      </c>
      <c r="CG5" s="247">
        <f t="shared" si="42"/>
        <v>0</v>
      </c>
      <c r="CH5" s="247">
        <f t="shared" si="43"/>
        <v>0</v>
      </c>
      <c r="CI5" s="247">
        <f t="shared" si="44"/>
        <v>0</v>
      </c>
      <c r="CJ5" s="247">
        <f t="shared" si="45"/>
        <v>0</v>
      </c>
      <c r="CK5" s="247" t="str">
        <f t="shared" si="46"/>
      </c>
      <c r="CL5" s="247">
        <f t="shared" si="47"/>
        <v>0</v>
      </c>
      <c r="CM5" s="247">
        <f t="shared" si="48"/>
        <v>0</v>
      </c>
      <c r="CN5" s="247">
        <f t="shared" si="49"/>
        <v>0</v>
      </c>
      <c r="CO5" s="247">
        <f t="shared" si="50"/>
        <v>0</v>
      </c>
      <c r="CP5" s="247" t="str">
        <f t="shared" si="51"/>
      </c>
      <c r="CQ5" s="247">
        <f t="shared" si="52"/>
        <v>0</v>
      </c>
      <c r="CR5" s="247">
        <f t="shared" si="53"/>
        <v>0</v>
      </c>
      <c r="CS5" s="247">
        <f t="shared" si="54"/>
        <v>0</v>
      </c>
      <c r="CT5" s="247">
        <f t="shared" si="55"/>
        <v>0</v>
      </c>
      <c r="CU5" s="247" t="str">
        <f t="shared" si="56"/>
        <v>16W/16W/16W</v>
      </c>
      <c r="CV5" s="247">
        <f t="shared" si="150"/>
        <v>16</v>
      </c>
      <c r="CW5" s="247">
        <f t="shared" si="57"/>
        <v>16</v>
      </c>
      <c r="CX5" s="247">
        <f t="shared" si="58"/>
        <v>16</v>
      </c>
      <c r="CY5" s="247">
        <f t="shared" si="59"/>
        <v>0</v>
      </c>
      <c r="CZ5" s="247" t="str">
        <f t="shared" si="60"/>
        <v>16W/16W/16W</v>
      </c>
      <c r="DA5" s="247">
        <f t="shared" si="61"/>
        <v>16</v>
      </c>
      <c r="DB5" s="247" t="str">
        <f t="shared" si="62"/>
      </c>
      <c r="DC5" s="247">
        <f t="shared" si="63"/>
        <v>0</v>
      </c>
      <c r="DD5" s="247">
        <f t="shared" si="64"/>
        <v>0</v>
      </c>
      <c r="DE5" s="247">
        <f t="shared" si="65"/>
        <v>0</v>
      </c>
      <c r="DF5" s="247">
        <f t="shared" si="66"/>
        <v>0</v>
      </c>
      <c r="DG5" s="247" t="str">
        <f t="shared" si="67"/>
      </c>
      <c r="DH5" s="247">
        <f t="shared" si="68"/>
        <v>0</v>
      </c>
      <c r="DI5" s="247" t="str">
        <f t="shared" si="69"/>
      </c>
      <c r="DJ5" s="247">
        <f t="shared" si="70"/>
        <v>0</v>
      </c>
      <c r="DK5" s="247">
        <f t="shared" si="71"/>
        <v>0</v>
      </c>
      <c r="DL5" s="247">
        <f t="shared" si="72"/>
        <v>0</v>
      </c>
      <c r="DM5" s="247">
        <f t="shared" si="73"/>
        <v>0</v>
      </c>
      <c r="DN5" s="247" t="str">
        <f t="shared" si="74"/>
      </c>
      <c r="DO5" s="247">
        <f t="shared" si="75"/>
        <v>0</v>
      </c>
      <c r="DP5" s="247" t="str">
        <f t="shared" si="76"/>
      </c>
      <c r="DQ5" s="247">
        <f t="shared" si="77"/>
        <v>0</v>
      </c>
      <c r="DR5" s="247">
        <f t="shared" si="78"/>
        <v>0</v>
      </c>
      <c r="DS5" s="247">
        <f t="shared" si="79"/>
        <v>0</v>
      </c>
      <c r="DT5" s="247">
        <f t="shared" si="80"/>
        <v>0</v>
      </c>
      <c r="DU5" s="247" t="str">
        <f t="shared" si="81"/>
      </c>
      <c r="DV5" s="247">
        <f t="shared" si="82"/>
        <v>0</v>
      </c>
      <c r="DW5" s="247" t="str">
        <f t="shared" si="83"/>
      </c>
      <c r="DX5" s="247">
        <f t="shared" si="84"/>
        <v>0</v>
      </c>
      <c r="DY5" s="247">
        <f t="shared" si="85"/>
        <v>0</v>
      </c>
      <c r="DZ5" s="247">
        <f t="shared" si="86"/>
        <v>0</v>
      </c>
      <c r="EA5" s="247">
        <f t="shared" si="87"/>
        <v>0</v>
      </c>
      <c r="EB5" s="247" t="str">
        <f t="shared" si="88"/>
      </c>
      <c r="EC5" s="247">
        <f t="shared" si="89"/>
        <v>0</v>
      </c>
      <c r="ED5" s="247" t="str">
        <f t="shared" si="90"/>
      </c>
      <c r="EE5" s="247">
        <f t="shared" si="91"/>
        <v>0</v>
      </c>
      <c r="EF5" s="247">
        <f t="shared" si="92"/>
        <v>0</v>
      </c>
      <c r="EG5" s="247">
        <f t="shared" si="93"/>
        <v>0</v>
      </c>
      <c r="EH5" s="247">
        <f t="shared" si="94"/>
        <v>0</v>
      </c>
      <c r="EI5" s="247" t="str">
        <f t="shared" si="95"/>
      </c>
      <c r="EJ5" s="247">
        <f t="shared" si="96"/>
        <v>0</v>
      </c>
      <c r="EK5" s="247">
        <f t="shared" si="97"/>
        <v>16</v>
      </c>
      <c r="EL5" s="247" t="str">
        <f t="shared" si="98"/>
        <v>G1800</v>
      </c>
      <c r="EM5" s="247" t="str">
        <f t="shared" si="99"/>
      </c>
      <c r="EN5" s="247" t="str">
        <f t="shared" si="100"/>
      </c>
      <c r="EO5" s="247" t="str">
        <f t="shared" si="101"/>
      </c>
      <c r="EP5" s="247" t="str">
        <f t="shared" si="102"/>
      </c>
      <c r="EQ5" s="247" t="str">
        <f t="shared" si="103"/>
      </c>
      <c r="ER5" s="247" t="str">
        <f t="shared" si="104"/>
        <v>27m/ 27m/ 27m</v>
      </c>
      <c r="ES5" s="247">
        <f t="shared" si="105"/>
        <v>27</v>
      </c>
      <c r="ET5" s="247">
        <f t="shared" si="106"/>
        <v>27</v>
      </c>
      <c r="EU5" s="247">
        <f t="shared" si="107"/>
        <v>27</v>
      </c>
      <c r="EV5" s="247">
        <f t="shared" si="108"/>
        <v>0</v>
      </c>
      <c r="EW5" s="247" t="str">
        <f t="shared" si="109"/>
        <v>27m/27m/27m</v>
      </c>
      <c r="EX5" s="247" t="str">
        <f t="shared" si="110"/>
      </c>
      <c r="EY5" s="247">
        <f t="shared" si="111"/>
        <v>0</v>
      </c>
      <c r="EZ5" s="247">
        <f t="shared" si="112"/>
        <v>0</v>
      </c>
      <c r="FA5" s="247">
        <f t="shared" si="113"/>
        <v>0</v>
      </c>
      <c r="FB5" s="247">
        <f t="shared" si="114"/>
        <v>0</v>
      </c>
      <c r="FC5" s="247" t="str">
        <f t="shared" si="115"/>
      </c>
      <c r="FD5" s="247" t="str">
        <f t="shared" si="116"/>
      </c>
      <c r="FE5" s="247">
        <f t="shared" si="117"/>
        <v>0</v>
      </c>
      <c r="FF5" s="247">
        <f t="shared" si="118"/>
        <v>0</v>
      </c>
      <c r="FG5" s="247">
        <f t="shared" si="119"/>
        <v>0</v>
      </c>
      <c r="FH5" s="247">
        <f t="shared" si="120"/>
        <v>0</v>
      </c>
      <c r="FI5" s="247" t="str">
        <f t="shared" si="121"/>
      </c>
      <c r="FJ5" s="247" t="str">
        <f t="shared" si="122"/>
      </c>
      <c r="FK5" s="247">
        <f t="shared" si="123"/>
        <v>0</v>
      </c>
      <c r="FL5" s="247">
        <f t="shared" si="124"/>
        <v>0</v>
      </c>
      <c r="FM5" s="247">
        <f t="shared" si="125"/>
        <v>0</v>
      </c>
      <c r="FN5" s="247">
        <f t="shared" si="126"/>
        <v>0</v>
      </c>
      <c r="FO5" s="247" t="str">
        <f t="shared" si="127"/>
      </c>
      <c r="FP5" s="247" t="str">
        <f t="shared" si="128"/>
      </c>
      <c r="FQ5" s="247">
        <f t="shared" si="129"/>
        <v>0</v>
      </c>
      <c r="FR5" s="247">
        <f t="shared" si="130"/>
        <v>0</v>
      </c>
      <c r="FS5" s="247">
        <f t="shared" si="131"/>
        <v>0</v>
      </c>
      <c r="FT5" s="247">
        <f t="shared" si="132"/>
        <v>0</v>
      </c>
      <c r="FU5" s="247" t="str">
        <f t="shared" si="133"/>
      </c>
      <c r="FV5" s="247" t="str">
        <f t="shared" si="134"/>
      </c>
      <c r="FW5" s="247">
        <f t="shared" si="135"/>
        <v>0</v>
      </c>
      <c r="FX5" s="247">
        <f t="shared" si="136"/>
        <v>0</v>
      </c>
      <c r="FY5" s="247">
        <f t="shared" si="137"/>
        <v>0</v>
      </c>
      <c r="FZ5" s="247">
        <f t="shared" si="138"/>
        <v>0</v>
      </c>
      <c r="GA5" s="247" t="str">
        <f t="shared" si="139"/>
      </c>
      <c r="GB5" s="247" t="str">
        <f>INDEX(LabNameList,MATCH(AF5,LabIDList,0))</f>
        <v>Trung tâm Kiểm định và Chứng nhận 2</v>
      </c>
      <c r="GC5" s="247">
        <f t="shared" si="140"/>
        <v>27</v>
      </c>
      <c r="GD5" s="247">
        <f t="shared" si="141"/>
        <v>0</v>
      </c>
      <c r="GE5" s="247">
        <f t="shared" si="142"/>
        <v>0</v>
      </c>
      <c r="GF5" s="247">
        <f t="shared" si="143"/>
        <v>0</v>
      </c>
      <c r="GG5" s="247">
        <f t="shared" si="144"/>
        <v>0</v>
      </c>
      <c r="GH5" s="247">
        <f t="shared" si="145"/>
        <v>0</v>
      </c>
      <c r="GI5" s="740">
        <f t="shared" si="146"/>
        <v>27</v>
      </c>
      <c r="GJ5" s="740">
        <f t="shared" si="147"/>
        <v>27</v>
      </c>
      <c r="GK5" s="247">
        <f t="shared" si="148"/>
        <v>10</v>
      </c>
      <c r="GL5" s="247"/>
      <c r="GM5" s="247">
        <f t="shared" si="149"/>
        <v>10</v>
      </c>
      <c r="GN5" s="247"/>
    </row>
    <row r="6" ht="89.25" s="370" customFormat="1">
      <c r="A6" s="236">
        <f>Input!A6</f>
        <v>5</v>
      </c>
      <c r="B6" s="236" t="str">
        <f>Input!B6</f>
        <v>VINAPHONE-HCM</v>
      </c>
      <c r="C6" s="236" t="str">
        <f>Input!C6</f>
        <v>VINAPHONE</v>
      </c>
      <c r="D6" s="740" t="str">
        <f t="shared" si="0"/>
        <v>BDGTDM013</v>
      </c>
      <c r="E6" s="236" t="str">
        <f>Input!E6</f>
        <v>Số 74, đường Bùi Quốc Khánh, phường Chánh Nghĩa, thành phố Thủ Dầu Một, tỉnh Bình Dương.</v>
      </c>
      <c r="F6" s="236" t="str">
        <f>Input!F6</f>
        <v>Bình Dương</v>
      </c>
      <c r="G6" s="740" t="str">
        <f>Input!G6</f>
        <v>106,66202</v>
      </c>
      <c r="H6" s="740" t="str">
        <f>Input!H6</f>
        <v>10,9625</v>
      </c>
      <c r="I6" s="236">
        <f>Input!I6</f>
        <v>3</v>
      </c>
      <c r="J6" s="236" t="str">
        <f>Input!J6</f>
        <v>K00462221018D005</v>
      </c>
      <c r="K6" s="259" t="str">
        <f>TEXT(Input!K6,"dd/mm/yyyy")</f>
        <v>19/11/2018</v>
      </c>
      <c r="L6" s="259" t="str">
        <f>TEXT(Input!L6,"dd/mm/yyyy")</f>
        <v>22/10/2018</v>
      </c>
      <c r="M6" s="236" t="str">
        <f>Input!M6</f>
        <v>TỔNG CÔNG TY HẠ TẦNG MẠNG;TỔNG CÔNG TY HẠ TẦNG MẠNG;TỔNG CÔNG TY HẠ TẦNG MẠNG</v>
      </c>
      <c r="N6" s="236" t="str">
        <f>Input!N6</f>
        <v>BDGTDM013;BDGTDM013;BDGTDM013</v>
      </c>
      <c r="O6" s="236" t="str">
        <f>Input!O6</f>
        <v>MOTOROLA HORIZON II MACRO;ERICSSON RBS 3206;NSN FLEXI MULTIRADIO 10 (FHED)</v>
      </c>
      <c r="P6" s="236" t="str">
        <f>Input!P6</f>
        <v>3;3;3</v>
      </c>
      <c r="Q6" s="236" t="str">
        <f>Input!Q6</f>
        <v>2/2/2;2/2/2;1/1/1</v>
      </c>
      <c r="R6" s="236" t="str">
        <f>Input!R6</f>
        <v>20W/20W/20W;40W/40W/40W;160W/160W/160W</v>
      </c>
      <c r="S6" s="236" t="str">
        <f>Input!S6</f>
        <v>G900;U2100;L1800</v>
      </c>
      <c r="T6" s="236" t="str">
        <f>Input!T6</f>
        <v>47m/ 47m/ 47m;35m/ 35m/ 35m;35m/ 35m/ 35m</v>
      </c>
      <c r="U6" s="236">
        <f>Input!U6</f>
        <v>1</v>
      </c>
      <c r="V6" s="236" t="str">
        <f>Input!V6</f>
        <v>FX-X-CG-00T-900;S-Wave EW/EW/EW-65-18DV2/12I-F-64K-VN;S-Wave EW/EW/EW-65-18DV2/12I-F-64K-VN</v>
      </c>
      <c r="W6" s="236" t="b">
        <f>Input!W6</f>
        <v>1</v>
      </c>
      <c r="X6" s="236" t="b">
        <f>Input!X6</f>
        <v>0</v>
      </c>
      <c r="Y6" s="740">
        <f>Input!Y6</f>
        <v>0</v>
      </c>
      <c r="Z6" s="236" t="b">
        <f>Input!Z6</f>
        <v>0</v>
      </c>
      <c r="AA6" s="740">
        <f>Input!AA6</f>
        <v>0</v>
      </c>
      <c r="AB6" s="236" t="b">
        <f>Input!AB6</f>
        <v>0</v>
      </c>
      <c r="AC6" s="236" t="b">
        <f>Input!AC6</f>
        <v>1</v>
      </c>
      <c r="AD6" s="236">
        <f>Input!AD6</f>
        <v>0</v>
      </c>
      <c r="AE6" s="236">
        <f>Input!AE6</f>
        <v>0</v>
      </c>
      <c r="AF6" s="236" t="str">
        <f>Input!AF6</f>
        <v>VCC2</v>
      </c>
      <c r="AG6" s="236">
        <f>Input!AG6</f>
        <v>0</v>
      </c>
      <c r="AH6" s="247"/>
      <c r="AI6" s="247" t="str">
        <f>INDEX(ApplicantNameList,MATCH(B6,ApplicantIDList,0))</f>
        <v>CHI NHÁNH VINAPHONE TẠI TPHCM</v>
      </c>
      <c r="AJ6" s="247" t="str">
        <f>INDEX(OperatorNameList,MATCH(C6,OperatorIDList,0))</f>
        <v>TỔNG CÔNG TY HẠ TẦNG MẠNG</v>
      </c>
      <c r="AK6" s="236" t="str">
        <f>INDEX(CityIDList,MATCH(F6,CityNameList,0))</f>
        <v>BDG</v>
      </c>
      <c r="AL6" s="247" t="str">
        <f t="shared" si="1"/>
        <v>TỔNG CÔNG TY HẠ TẦNG MẠNG</v>
      </c>
      <c r="AM6" s="247" t="str">
        <f t="shared" si="2"/>
        <v>TỔNG CÔNG TY HẠ TẦNG MẠNG</v>
      </c>
      <c r="AN6" s="247" t="str">
        <f t="shared" si="3"/>
        <v>TỔNG CÔNG TY HẠ TẦNG MẠNG</v>
      </c>
      <c r="AO6" s="247" t="str">
        <f t="shared" si="4"/>
      </c>
      <c r="AP6" s="247" t="str">
        <f t="shared" si="5"/>
      </c>
      <c r="AQ6" s="247" t="str">
        <f t="shared" si="6"/>
      </c>
      <c r="AR6" s="247" t="str">
        <f>IF(I6&gt;=1,INDEX(OperatorIDList,MATCH(AL6,OperatorNameList,0)),"")</f>
        <v>VINAPHONE</v>
      </c>
      <c r="AS6" s="247" t="str">
        <f>IF(I6&gt;=2,INDEX(OperatorIDList,MATCH(AM6,OperatorNameList,0)),"")</f>
        <v>VINAPHONE</v>
      </c>
      <c r="AT6" s="247" t="str">
        <f>IF(I6&gt;=3,INDEX(OperatorIDList,MATCH(AN6,OperatorNameList,0)),"")</f>
        <v>VINAPHONE</v>
      </c>
      <c r="AU6" s="247" t="str">
        <f>IF(I6&gt;=4,INDEX(OperatorIDList,MATCH(AO6,OperatorNameList,0)),"")</f>
      </c>
      <c r="AV6" s="247" t="str">
        <f>IF(I6&gt;=5,INDEX(OperatorIDList,MATCH(AP6,OperatorNameList,0)),"")</f>
      </c>
      <c r="AW6" s="247" t="str">
        <f>IF(I6&gt;=6,INDEX(OperatorIDList,MATCH(AQ6,OperatorNameList,0)),"")</f>
      </c>
      <c r="AX6" s="247" t="str">
        <f t="shared" si="7"/>
        <v>VINAPHONE;VINAPHONE;VINAPHONE</v>
      </c>
      <c r="AY6" s="247" t="str">
        <f t="shared" si="8"/>
        <v>BDGTDM013</v>
      </c>
      <c r="AZ6" s="247" t="str">
        <f t="shared" si="9"/>
        <v>BDGTDM013</v>
      </c>
      <c r="BA6" s="247" t="str">
        <f t="shared" si="10"/>
        <v>BDGTDM013</v>
      </c>
      <c r="BB6" s="247" t="str">
        <f t="shared" si="11"/>
      </c>
      <c r="BC6" s="247" t="str">
        <f t="shared" si="12"/>
      </c>
      <c r="BD6" s="247" t="str">
        <f t="shared" si="13"/>
      </c>
      <c r="BE6" s="247" t="str">
        <f t="shared" si="14"/>
        <v>MOTOROLA HORIZON II MACRO</v>
      </c>
      <c r="BF6" s="247" t="str">
        <f t="shared" si="15"/>
        <v>ERICSSON RBS 3206</v>
      </c>
      <c r="BG6" s="247" t="str">
        <f t="shared" si="16"/>
        <v>NSN FLEXI MULTIRADIO 10 (FHED)</v>
      </c>
      <c r="BH6" s="247" t="str">
        <f t="shared" si="17"/>
      </c>
      <c r="BI6" s="247" t="str">
        <f t="shared" si="18"/>
      </c>
      <c r="BJ6" s="247" t="str">
        <f t="shared" si="19"/>
      </c>
      <c r="BK6" s="247">
        <f t="shared" si="20"/>
        <v>3</v>
      </c>
      <c r="BL6" s="247">
        <f t="shared" si="21"/>
        <v>3</v>
      </c>
      <c r="BM6" s="247">
        <f t="shared" si="22"/>
        <v>3</v>
      </c>
      <c r="BN6" s="247">
        <f t="shared" si="23"/>
        <v>0</v>
      </c>
      <c r="BO6" s="247">
        <f t="shared" si="24"/>
        <v>0</v>
      </c>
      <c r="BP6" s="247">
        <f t="shared" si="25"/>
        <v>0</v>
      </c>
      <c r="BQ6" s="247" t="str">
        <f t="shared" si="26"/>
        <v>2/2/2</v>
      </c>
      <c r="BR6" s="247">
        <f t="shared" si="27"/>
        <v>2</v>
      </c>
      <c r="BS6" s="247">
        <f t="shared" si="28"/>
        <v>2</v>
      </c>
      <c r="BT6" s="247">
        <f t="shared" si="29"/>
        <v>2</v>
      </c>
      <c r="BU6" s="247">
        <f t="shared" si="30"/>
        <v>0</v>
      </c>
      <c r="BV6" s="247" t="str">
        <f t="shared" si="31"/>
        <v>2/2/2</v>
      </c>
      <c r="BW6" s="247">
        <f t="shared" si="32"/>
        <v>2</v>
      </c>
      <c r="BX6" s="247">
        <f t="shared" si="33"/>
        <v>2</v>
      </c>
      <c r="BY6" s="247">
        <f t="shared" si="34"/>
        <v>2</v>
      </c>
      <c r="BZ6" s="247">
        <f t="shared" si="35"/>
        <v>0</v>
      </c>
      <c r="CA6" s="247" t="str">
        <f t="shared" si="36"/>
        <v>1/1/1</v>
      </c>
      <c r="CB6" s="247">
        <f t="shared" si="37"/>
        <v>1</v>
      </c>
      <c r="CC6" s="247">
        <f t="shared" si="38"/>
        <v>1</v>
      </c>
      <c r="CD6" s="247">
        <f t="shared" si="39"/>
        <v>1</v>
      </c>
      <c r="CE6" s="247">
        <f t="shared" si="40"/>
        <v>0</v>
      </c>
      <c r="CF6" s="247" t="str">
        <f t="shared" si="41"/>
      </c>
      <c r="CG6" s="247">
        <f t="shared" si="42"/>
        <v>0</v>
      </c>
      <c r="CH6" s="247">
        <f t="shared" si="43"/>
        <v>0</v>
      </c>
      <c r="CI6" s="247">
        <f t="shared" si="44"/>
        <v>0</v>
      </c>
      <c r="CJ6" s="247">
        <f t="shared" si="45"/>
        <v>0</v>
      </c>
      <c r="CK6" s="247" t="str">
        <f t="shared" si="46"/>
      </c>
      <c r="CL6" s="247">
        <f t="shared" si="47"/>
        <v>0</v>
      </c>
      <c r="CM6" s="247">
        <f t="shared" si="48"/>
        <v>0</v>
      </c>
      <c r="CN6" s="247">
        <f t="shared" si="49"/>
        <v>0</v>
      </c>
      <c r="CO6" s="247">
        <f t="shared" si="50"/>
        <v>0</v>
      </c>
      <c r="CP6" s="247" t="str">
        <f t="shared" si="51"/>
      </c>
      <c r="CQ6" s="247">
        <f t="shared" si="52"/>
        <v>0</v>
      </c>
      <c r="CR6" s="247">
        <f t="shared" si="53"/>
        <v>0</v>
      </c>
      <c r="CS6" s="247">
        <f t="shared" si="54"/>
        <v>0</v>
      </c>
      <c r="CT6" s="247">
        <f t="shared" si="55"/>
        <v>0</v>
      </c>
      <c r="CU6" s="247" t="str">
        <f t="shared" si="56"/>
        <v>20W/20W/20W</v>
      </c>
      <c r="CV6" s="247">
        <f t="shared" si="150"/>
        <v>20</v>
      </c>
      <c r="CW6" s="247">
        <f t="shared" si="57"/>
        <v>20</v>
      </c>
      <c r="CX6" s="247">
        <f t="shared" si="58"/>
        <v>20</v>
      </c>
      <c r="CY6" s="247">
        <f t="shared" si="59"/>
        <v>0</v>
      </c>
      <c r="CZ6" s="247" t="str">
        <f t="shared" si="60"/>
        <v>20W/20W/20W</v>
      </c>
      <c r="DA6" s="247">
        <f t="shared" si="61"/>
        <v>20</v>
      </c>
      <c r="DB6" s="247" t="str">
        <f t="shared" si="62"/>
        <v>40W/40W/40W</v>
      </c>
      <c r="DC6" s="247">
        <f t="shared" si="63"/>
        <v>40</v>
      </c>
      <c r="DD6" s="247">
        <f t="shared" si="64"/>
        <v>40</v>
      </c>
      <c r="DE6" s="247">
        <f t="shared" si="65"/>
        <v>40</v>
      </c>
      <c r="DF6" s="247">
        <f t="shared" si="66"/>
        <v>0</v>
      </c>
      <c r="DG6" s="247" t="str">
        <f t="shared" si="67"/>
        <v>40W/40W/40W</v>
      </c>
      <c r="DH6" s="247">
        <f t="shared" si="68"/>
        <v>40</v>
      </c>
      <c r="DI6" s="247" t="str">
        <f t="shared" si="69"/>
        <v>160W/160W/160W</v>
      </c>
      <c r="DJ6" s="247">
        <f t="shared" si="70"/>
        <v>160</v>
      </c>
      <c r="DK6" s="247">
        <f t="shared" si="71"/>
        <v>160</v>
      </c>
      <c r="DL6" s="247">
        <f t="shared" si="72"/>
        <v>160</v>
      </c>
      <c r="DM6" s="247">
        <f t="shared" si="73"/>
        <v>0</v>
      </c>
      <c r="DN6" s="247" t="str">
        <f t="shared" si="74"/>
        <v>160W/160W/160W</v>
      </c>
      <c r="DO6" s="247">
        <f t="shared" si="75"/>
        <v>160</v>
      </c>
      <c r="DP6" s="247" t="str">
        <f t="shared" si="76"/>
      </c>
      <c r="DQ6" s="247">
        <f t="shared" si="77"/>
        <v>0</v>
      </c>
      <c r="DR6" s="247">
        <f t="shared" si="78"/>
        <v>0</v>
      </c>
      <c r="DS6" s="247">
        <f t="shared" si="79"/>
        <v>0</v>
      </c>
      <c r="DT6" s="247">
        <f t="shared" si="80"/>
        <v>0</v>
      </c>
      <c r="DU6" s="247" t="str">
        <f t="shared" si="81"/>
      </c>
      <c r="DV6" s="247">
        <f t="shared" si="82"/>
        <v>0</v>
      </c>
      <c r="DW6" s="247" t="str">
        <f t="shared" si="83"/>
      </c>
      <c r="DX6" s="247">
        <f t="shared" si="84"/>
        <v>0</v>
      </c>
      <c r="DY6" s="247">
        <f t="shared" si="85"/>
        <v>0</v>
      </c>
      <c r="DZ6" s="247">
        <f t="shared" si="86"/>
        <v>0</v>
      </c>
      <c r="EA6" s="247">
        <f t="shared" si="87"/>
        <v>0</v>
      </c>
      <c r="EB6" s="247" t="str">
        <f t="shared" si="88"/>
      </c>
      <c r="EC6" s="247">
        <f t="shared" si="89"/>
        <v>0</v>
      </c>
      <c r="ED6" s="247" t="str">
        <f t="shared" si="90"/>
      </c>
      <c r="EE6" s="247">
        <f t="shared" si="91"/>
        <v>0</v>
      </c>
      <c r="EF6" s="247">
        <f t="shared" si="92"/>
        <v>0</v>
      </c>
      <c r="EG6" s="247">
        <f t="shared" si="93"/>
        <v>0</v>
      </c>
      <c r="EH6" s="247">
        <f t="shared" si="94"/>
        <v>0</v>
      </c>
      <c r="EI6" s="247" t="str">
        <f t="shared" si="95"/>
      </c>
      <c r="EJ6" s="247">
        <f t="shared" si="96"/>
        <v>0</v>
      </c>
      <c r="EK6" s="247">
        <f t="shared" si="97"/>
        <v>160</v>
      </c>
      <c r="EL6" s="247" t="str">
        <f t="shared" si="98"/>
        <v>G900</v>
      </c>
      <c r="EM6" s="247" t="str">
        <f t="shared" si="99"/>
        <v>U2100</v>
      </c>
      <c r="EN6" s="247" t="str">
        <f t="shared" si="100"/>
        <v>L1800</v>
      </c>
      <c r="EO6" s="247" t="str">
        <f t="shared" si="101"/>
      </c>
      <c r="EP6" s="247" t="str">
        <f t="shared" si="102"/>
      </c>
      <c r="EQ6" s="247" t="str">
        <f t="shared" si="103"/>
      </c>
      <c r="ER6" s="247" t="str">
        <f t="shared" si="104"/>
        <v>47m/ 47m/ 47m</v>
      </c>
      <c r="ES6" s="247">
        <f t="shared" si="105"/>
        <v>47</v>
      </c>
      <c r="ET6" s="247">
        <f t="shared" si="106"/>
        <v>47</v>
      </c>
      <c r="EU6" s="247">
        <f t="shared" si="107"/>
        <v>47</v>
      </c>
      <c r="EV6" s="247">
        <f t="shared" si="108"/>
        <v>0</v>
      </c>
      <c r="EW6" s="247" t="str">
        <f t="shared" si="109"/>
        <v>47m/47m/47m</v>
      </c>
      <c r="EX6" s="247" t="str">
        <f t="shared" si="110"/>
        <v>35m/ 35m/ 35m</v>
      </c>
      <c r="EY6" s="247">
        <f t="shared" si="111"/>
        <v>35</v>
      </c>
      <c r="EZ6" s="247">
        <f t="shared" si="112"/>
        <v>35</v>
      </c>
      <c r="FA6" s="247">
        <f t="shared" si="113"/>
        <v>35</v>
      </c>
      <c r="FB6" s="247">
        <f t="shared" si="114"/>
        <v>0</v>
      </c>
      <c r="FC6" s="247" t="str">
        <f t="shared" si="115"/>
        <v>35m/35m/35m</v>
      </c>
      <c r="FD6" s="247" t="str">
        <f t="shared" si="116"/>
        <v>35m/ 35m/ 35m</v>
      </c>
      <c r="FE6" s="247">
        <f t="shared" si="117"/>
        <v>35</v>
      </c>
      <c r="FF6" s="247">
        <f t="shared" si="118"/>
        <v>35</v>
      </c>
      <c r="FG6" s="247">
        <f t="shared" si="119"/>
        <v>35</v>
      </c>
      <c r="FH6" s="247">
        <f t="shared" si="120"/>
        <v>0</v>
      </c>
      <c r="FI6" s="247" t="str">
        <f t="shared" si="121"/>
        <v>35m/35m/35m</v>
      </c>
      <c r="FJ6" s="247" t="str">
        <f t="shared" si="122"/>
      </c>
      <c r="FK6" s="247">
        <f t="shared" si="123"/>
        <v>0</v>
      </c>
      <c r="FL6" s="247">
        <f t="shared" si="124"/>
        <v>0</v>
      </c>
      <c r="FM6" s="247">
        <f t="shared" si="125"/>
        <v>0</v>
      </c>
      <c r="FN6" s="247">
        <f t="shared" si="126"/>
        <v>0</v>
      </c>
      <c r="FO6" s="247" t="str">
        <f t="shared" si="127"/>
      </c>
      <c r="FP6" s="247" t="str">
        <f t="shared" si="128"/>
      </c>
      <c r="FQ6" s="247">
        <f t="shared" si="129"/>
        <v>0</v>
      </c>
      <c r="FR6" s="247">
        <f t="shared" si="130"/>
        <v>0</v>
      </c>
      <c r="FS6" s="247">
        <f t="shared" si="131"/>
        <v>0</v>
      </c>
      <c r="FT6" s="247">
        <f t="shared" si="132"/>
        <v>0</v>
      </c>
      <c r="FU6" s="247" t="str">
        <f t="shared" si="133"/>
      </c>
      <c r="FV6" s="247" t="str">
        <f t="shared" si="134"/>
      </c>
      <c r="FW6" s="247">
        <f t="shared" si="135"/>
        <v>0</v>
      </c>
      <c r="FX6" s="247">
        <f t="shared" si="136"/>
        <v>0</v>
      </c>
      <c r="FY6" s="247">
        <f t="shared" si="137"/>
        <v>0</v>
      </c>
      <c r="FZ6" s="247">
        <f t="shared" si="138"/>
        <v>0</v>
      </c>
      <c r="GA6" s="247" t="str">
        <f t="shared" si="139"/>
      </c>
      <c r="GB6" s="247" t="str">
        <f>INDEX(LabNameList,MATCH(AF6,LabIDList,0))</f>
        <v>Trung tâm Kiểm định và Chứng nhận 2</v>
      </c>
      <c r="GC6" s="247">
        <f t="shared" si="140"/>
        <v>47</v>
      </c>
      <c r="GD6" s="247">
        <f t="shared" si="141"/>
        <v>35</v>
      </c>
      <c r="GE6" s="247">
        <f t="shared" si="142"/>
        <v>35</v>
      </c>
      <c r="GF6" s="247">
        <f t="shared" si="143"/>
        <v>0</v>
      </c>
      <c r="GG6" s="247">
        <f t="shared" si="144"/>
        <v>0</v>
      </c>
      <c r="GH6" s="247">
        <f t="shared" si="145"/>
        <v>0</v>
      </c>
      <c r="GI6" s="740">
        <f t="shared" si="146"/>
        <v>35</v>
      </c>
      <c r="GJ6" s="740">
        <f t="shared" si="147"/>
        <v>35</v>
      </c>
      <c r="GK6" s="247">
        <f t="shared" si="148"/>
        <v>10</v>
      </c>
      <c r="GL6" s="247"/>
      <c r="GM6" s="247">
        <f t="shared" si="149"/>
        <v>10</v>
      </c>
      <c r="GN6" s="247"/>
    </row>
    <row r="7" ht="89.25" s="370" customFormat="1">
      <c r="A7" s="236">
        <f>Input!A7</f>
        <v>6</v>
      </c>
      <c r="B7" s="236" t="str">
        <f>Input!B7</f>
        <v>VINAPHONE-HCM</v>
      </c>
      <c r="C7" s="236" t="str">
        <f>Input!C7</f>
        <v>VINAPHONE</v>
      </c>
      <c r="D7" s="740" t="str">
        <f t="shared" si="0"/>
        <v>BDGTDM014</v>
      </c>
      <c r="E7" s="236" t="str">
        <f>Input!E7</f>
        <v>Số 104/6, đường Bàu Bàng, phường Chánh Nghĩa, thành phố Thủ Dầu Một, tỉnh Bình Dương.</v>
      </c>
      <c r="F7" s="236" t="str">
        <f>Input!F7</f>
        <v>Bình Dương</v>
      </c>
      <c r="G7" s="740" t="str">
        <f>Input!G7</f>
        <v>106,656244</v>
      </c>
      <c r="H7" s="740" t="str">
        <f>Input!H7</f>
        <v>10,973269</v>
      </c>
      <c r="I7" s="236">
        <f>Input!I7</f>
        <v>3</v>
      </c>
      <c r="J7" s="236" t="str">
        <f>Input!J7</f>
        <v>K00463221018D005</v>
      </c>
      <c r="K7" s="259" t="str">
        <f>TEXT(Input!K7,"dd/mm/yyyy")</f>
        <v>19/11/2018</v>
      </c>
      <c r="L7" s="259" t="str">
        <f>TEXT(Input!L7,"dd/mm/yyyy")</f>
        <v>22/10/2018</v>
      </c>
      <c r="M7" s="236" t="str">
        <f>Input!M7</f>
        <v>TỔNG CÔNG TY HẠ TẦNG MẠNG;TỔNG CÔNG TY HẠ TẦNG MẠNG;TỔNG CÔNG TY HẠ TẦNG MẠNG</v>
      </c>
      <c r="N7" s="236" t="str">
        <f>Input!N7</f>
        <v>BDGTDM014;BDGTDM014;BDGTDM014</v>
      </c>
      <c r="O7" s="236" t="str">
        <f>Input!O7</f>
        <v>MOTOROLA HORIZON II MACRO;ERICSSON RBS 3206;NSN FLEXI MULTIRADIO 10 (FHED)</v>
      </c>
      <c r="P7" s="236" t="str">
        <f>Input!P7</f>
        <v>3;3;3</v>
      </c>
      <c r="Q7" s="236" t="str">
        <f>Input!Q7</f>
        <v>2/2/2;2/2/2;1/1/1</v>
      </c>
      <c r="R7" s="236" t="str">
        <f>Input!R7</f>
        <v>20W/20W/20W;40W/40W/40W;160W/160W/160W</v>
      </c>
      <c r="S7" s="236" t="str">
        <f>Input!S7</f>
        <v>G900;U2100;L1800</v>
      </c>
      <c r="T7" s="236" t="str">
        <f>Input!T7</f>
        <v>33m/ 33m/ 33m;26m/ 26m/ 26m;26m/ 26m/ 26m</v>
      </c>
      <c r="U7" s="236">
        <f>Input!U7</f>
        <v>1</v>
      </c>
      <c r="V7" s="236" t="str">
        <f>Input!V7</f>
        <v>FX-X-CG-00T-900;S-Wave EW/EW/EW-65-18DV2/12I-F-64K-VN;S-Wave EW/EW/EW-65-18DV2/12I-F-64K-VN</v>
      </c>
      <c r="W7" s="236" t="b">
        <f>Input!W7</f>
        <v>1</v>
      </c>
      <c r="X7" s="236" t="b">
        <f>Input!X7</f>
        <v>0</v>
      </c>
      <c r="Y7" s="740">
        <f>Input!Y7</f>
        <v>0</v>
      </c>
      <c r="Z7" s="236" t="b">
        <f>Input!Z7</f>
        <v>0</v>
      </c>
      <c r="AA7" s="740">
        <f>Input!AA7</f>
        <v>0</v>
      </c>
      <c r="AB7" s="236" t="b">
        <f>Input!AB7</f>
        <v>0</v>
      </c>
      <c r="AC7" s="236" t="b">
        <f>Input!AC7</f>
        <v>1</v>
      </c>
      <c r="AD7" s="236">
        <f>Input!AD7</f>
        <v>0</v>
      </c>
      <c r="AE7" s="236">
        <f>Input!AE7</f>
        <v>0</v>
      </c>
      <c r="AF7" s="236" t="str">
        <f>Input!AF7</f>
        <v>VCC2</v>
      </c>
      <c r="AG7" s="236">
        <f>Input!AG7</f>
        <v>0</v>
      </c>
      <c r="AH7" s="247"/>
      <c r="AI7" s="247" t="str">
        <f>INDEX(ApplicantNameList,MATCH(B7,ApplicantIDList,0))</f>
        <v>CHI NHÁNH VINAPHONE TẠI TPHCM</v>
      </c>
      <c r="AJ7" s="247" t="str">
        <f>INDEX(OperatorNameList,MATCH(C7,OperatorIDList,0))</f>
        <v>TỔNG CÔNG TY HẠ TẦNG MẠNG</v>
      </c>
      <c r="AK7" s="236" t="str">
        <f>INDEX(CityIDList,MATCH(F7,CityNameList,0))</f>
        <v>BDG</v>
      </c>
      <c r="AL7" s="247" t="str">
        <f t="shared" si="1"/>
        <v>TỔNG CÔNG TY HẠ TẦNG MẠNG</v>
      </c>
      <c r="AM7" s="247" t="str">
        <f t="shared" si="2"/>
        <v>TỔNG CÔNG TY HẠ TẦNG MẠNG</v>
      </c>
      <c r="AN7" s="247" t="str">
        <f t="shared" si="3"/>
        <v>TỔNG CÔNG TY HẠ TẦNG MẠNG</v>
      </c>
      <c r="AO7" s="247" t="str">
        <f t="shared" si="4"/>
      </c>
      <c r="AP7" s="247" t="str">
        <f t="shared" si="5"/>
      </c>
      <c r="AQ7" s="247" t="str">
        <f t="shared" si="6"/>
      </c>
      <c r="AR7" s="247" t="str">
        <f>IF(I7&gt;=1,INDEX(OperatorIDList,MATCH(AL7,OperatorNameList,0)),"")</f>
        <v>VINAPHONE</v>
      </c>
      <c r="AS7" s="247" t="str">
        <f>IF(I7&gt;=2,INDEX(OperatorIDList,MATCH(AM7,OperatorNameList,0)),"")</f>
        <v>VINAPHONE</v>
      </c>
      <c r="AT7" s="247" t="str">
        <f>IF(I7&gt;=3,INDEX(OperatorIDList,MATCH(AN7,OperatorNameList,0)),"")</f>
        <v>VINAPHONE</v>
      </c>
      <c r="AU7" s="247" t="str">
        <f>IF(I7&gt;=4,INDEX(OperatorIDList,MATCH(AO7,OperatorNameList,0)),"")</f>
      </c>
      <c r="AV7" s="247" t="str">
        <f>IF(I7&gt;=5,INDEX(OperatorIDList,MATCH(AP7,OperatorNameList,0)),"")</f>
      </c>
      <c r="AW7" s="247" t="str">
        <f>IF(I7&gt;=6,INDEX(OperatorIDList,MATCH(AQ7,OperatorNameList,0)),"")</f>
      </c>
      <c r="AX7" s="247" t="str">
        <f t="shared" si="7"/>
        <v>VINAPHONE;VINAPHONE;VINAPHONE</v>
      </c>
      <c r="AY7" s="247" t="str">
        <f t="shared" si="8"/>
        <v>BDGTDM014</v>
      </c>
      <c r="AZ7" s="247" t="str">
        <f t="shared" si="9"/>
        <v>BDGTDM014</v>
      </c>
      <c r="BA7" s="247" t="str">
        <f t="shared" si="10"/>
        <v>BDGTDM014</v>
      </c>
      <c r="BB7" s="247" t="str">
        <f t="shared" si="11"/>
      </c>
      <c r="BC7" s="247" t="str">
        <f t="shared" si="12"/>
      </c>
      <c r="BD7" s="247" t="str">
        <f t="shared" si="13"/>
      </c>
      <c r="BE7" s="247" t="str">
        <f t="shared" si="14"/>
        <v>MOTOROLA HORIZON II MACRO</v>
      </c>
      <c r="BF7" s="247" t="str">
        <f t="shared" si="15"/>
        <v>ERICSSON RBS 3206</v>
      </c>
      <c r="BG7" s="247" t="str">
        <f t="shared" si="16"/>
        <v>NSN FLEXI MULTIRADIO 10 (FHED)</v>
      </c>
      <c r="BH7" s="247" t="str">
        <f t="shared" si="17"/>
      </c>
      <c r="BI7" s="247" t="str">
        <f t="shared" si="18"/>
      </c>
      <c r="BJ7" s="247" t="str">
        <f t="shared" si="19"/>
      </c>
      <c r="BK7" s="247">
        <f t="shared" si="20"/>
        <v>3</v>
      </c>
      <c r="BL7" s="247">
        <f t="shared" si="21"/>
        <v>3</v>
      </c>
      <c r="BM7" s="247">
        <f t="shared" si="22"/>
        <v>3</v>
      </c>
      <c r="BN7" s="247">
        <f t="shared" si="23"/>
        <v>0</v>
      </c>
      <c r="BO7" s="247">
        <f t="shared" si="24"/>
        <v>0</v>
      </c>
      <c r="BP7" s="247">
        <f t="shared" si="25"/>
        <v>0</v>
      </c>
      <c r="BQ7" s="247" t="str">
        <f t="shared" si="26"/>
        <v>2/2/2</v>
      </c>
      <c r="BR7" s="247">
        <f t="shared" si="27"/>
        <v>2</v>
      </c>
      <c r="BS7" s="247">
        <f t="shared" si="28"/>
        <v>2</v>
      </c>
      <c r="BT7" s="247">
        <f t="shared" si="29"/>
        <v>2</v>
      </c>
      <c r="BU7" s="247">
        <f t="shared" si="30"/>
        <v>0</v>
      </c>
      <c r="BV7" s="247" t="str">
        <f t="shared" si="31"/>
        <v>2/2/2</v>
      </c>
      <c r="BW7" s="247">
        <f t="shared" si="32"/>
        <v>2</v>
      </c>
      <c r="BX7" s="247">
        <f t="shared" si="33"/>
        <v>2</v>
      </c>
      <c r="BY7" s="247">
        <f t="shared" si="34"/>
        <v>2</v>
      </c>
      <c r="BZ7" s="247">
        <f t="shared" si="35"/>
        <v>0</v>
      </c>
      <c r="CA7" s="247" t="str">
        <f t="shared" si="36"/>
        <v>1/1/1</v>
      </c>
      <c r="CB7" s="247">
        <f t="shared" si="37"/>
        <v>1</v>
      </c>
      <c r="CC7" s="247">
        <f t="shared" si="38"/>
        <v>1</v>
      </c>
      <c r="CD7" s="247">
        <f t="shared" si="39"/>
        <v>1</v>
      </c>
      <c r="CE7" s="247">
        <f t="shared" si="40"/>
        <v>0</v>
      </c>
      <c r="CF7" s="247" t="str">
        <f t="shared" si="41"/>
      </c>
      <c r="CG7" s="247">
        <f t="shared" si="42"/>
        <v>0</v>
      </c>
      <c r="CH7" s="247">
        <f t="shared" si="43"/>
        <v>0</v>
      </c>
      <c r="CI7" s="247">
        <f t="shared" si="44"/>
        <v>0</v>
      </c>
      <c r="CJ7" s="247">
        <f t="shared" si="45"/>
        <v>0</v>
      </c>
      <c r="CK7" s="247" t="str">
        <f t="shared" si="46"/>
      </c>
      <c r="CL7" s="247">
        <f t="shared" si="47"/>
        <v>0</v>
      </c>
      <c r="CM7" s="247">
        <f t="shared" si="48"/>
        <v>0</v>
      </c>
      <c r="CN7" s="247">
        <f t="shared" si="49"/>
        <v>0</v>
      </c>
      <c r="CO7" s="247">
        <f t="shared" si="50"/>
        <v>0</v>
      </c>
      <c r="CP7" s="247" t="str">
        <f t="shared" si="51"/>
      </c>
      <c r="CQ7" s="247">
        <f t="shared" si="52"/>
        <v>0</v>
      </c>
      <c r="CR7" s="247">
        <f t="shared" si="53"/>
        <v>0</v>
      </c>
      <c r="CS7" s="247">
        <f t="shared" si="54"/>
        <v>0</v>
      </c>
      <c r="CT7" s="247">
        <f t="shared" si="55"/>
        <v>0</v>
      </c>
      <c r="CU7" s="247" t="str">
        <f t="shared" si="56"/>
        <v>20W/20W/20W</v>
      </c>
      <c r="CV7" s="247">
        <f t="shared" si="150"/>
        <v>20</v>
      </c>
      <c r="CW7" s="247">
        <f t="shared" si="57"/>
        <v>20</v>
      </c>
      <c r="CX7" s="247">
        <f t="shared" si="58"/>
        <v>20</v>
      </c>
      <c r="CY7" s="247">
        <f t="shared" si="59"/>
        <v>0</v>
      </c>
      <c r="CZ7" s="247" t="str">
        <f t="shared" si="60"/>
        <v>20W/20W/20W</v>
      </c>
      <c r="DA7" s="247">
        <f t="shared" si="61"/>
        <v>20</v>
      </c>
      <c r="DB7" s="247" t="str">
        <f t="shared" si="62"/>
        <v>40W/40W/40W</v>
      </c>
      <c r="DC7" s="247">
        <f t="shared" si="63"/>
        <v>40</v>
      </c>
      <c r="DD7" s="247">
        <f t="shared" si="64"/>
        <v>40</v>
      </c>
      <c r="DE7" s="247">
        <f t="shared" si="65"/>
        <v>40</v>
      </c>
      <c r="DF7" s="247">
        <f t="shared" si="66"/>
        <v>0</v>
      </c>
      <c r="DG7" s="247" t="str">
        <f t="shared" si="67"/>
        <v>40W/40W/40W</v>
      </c>
      <c r="DH7" s="247">
        <f t="shared" si="68"/>
        <v>40</v>
      </c>
      <c r="DI7" s="247" t="str">
        <f t="shared" si="69"/>
        <v>160W/160W/160W</v>
      </c>
      <c r="DJ7" s="247">
        <f t="shared" si="70"/>
        <v>160</v>
      </c>
      <c r="DK7" s="247">
        <f t="shared" si="71"/>
        <v>160</v>
      </c>
      <c r="DL7" s="247">
        <f t="shared" si="72"/>
        <v>160</v>
      </c>
      <c r="DM7" s="247">
        <f t="shared" si="73"/>
        <v>0</v>
      </c>
      <c r="DN7" s="247" t="str">
        <f t="shared" si="74"/>
        <v>160W/160W/160W</v>
      </c>
      <c r="DO7" s="247">
        <f t="shared" si="75"/>
        <v>160</v>
      </c>
      <c r="DP7" s="247" t="str">
        <f t="shared" si="76"/>
      </c>
      <c r="DQ7" s="247">
        <f t="shared" si="77"/>
        <v>0</v>
      </c>
      <c r="DR7" s="247">
        <f t="shared" si="78"/>
        <v>0</v>
      </c>
      <c r="DS7" s="247">
        <f t="shared" si="79"/>
        <v>0</v>
      </c>
      <c r="DT7" s="247">
        <f t="shared" si="80"/>
        <v>0</v>
      </c>
      <c r="DU7" s="247" t="str">
        <f t="shared" si="81"/>
      </c>
      <c r="DV7" s="247">
        <f t="shared" si="82"/>
        <v>0</v>
      </c>
      <c r="DW7" s="247" t="str">
        <f t="shared" si="83"/>
      </c>
      <c r="DX7" s="247">
        <f t="shared" si="84"/>
        <v>0</v>
      </c>
      <c r="DY7" s="247">
        <f t="shared" si="85"/>
        <v>0</v>
      </c>
      <c r="DZ7" s="247">
        <f t="shared" si="86"/>
        <v>0</v>
      </c>
      <c r="EA7" s="247">
        <f t="shared" si="87"/>
        <v>0</v>
      </c>
      <c r="EB7" s="247" t="str">
        <f t="shared" si="88"/>
      </c>
      <c r="EC7" s="247">
        <f t="shared" si="89"/>
        <v>0</v>
      </c>
      <c r="ED7" s="247" t="str">
        <f t="shared" si="90"/>
      </c>
      <c r="EE7" s="247">
        <f t="shared" si="91"/>
        <v>0</v>
      </c>
      <c r="EF7" s="247">
        <f t="shared" si="92"/>
        <v>0</v>
      </c>
      <c r="EG7" s="247">
        <f t="shared" si="93"/>
        <v>0</v>
      </c>
      <c r="EH7" s="247">
        <f t="shared" si="94"/>
        <v>0</v>
      </c>
      <c r="EI7" s="247" t="str">
        <f t="shared" si="95"/>
      </c>
      <c r="EJ7" s="247">
        <f t="shared" si="96"/>
        <v>0</v>
      </c>
      <c r="EK7" s="247">
        <f t="shared" si="97"/>
        <v>160</v>
      </c>
      <c r="EL7" s="247" t="str">
        <f t="shared" si="98"/>
        <v>G900</v>
      </c>
      <c r="EM7" s="247" t="str">
        <f t="shared" si="99"/>
        <v>U2100</v>
      </c>
      <c r="EN7" s="247" t="str">
        <f t="shared" si="100"/>
        <v>L1800</v>
      </c>
      <c r="EO7" s="247" t="str">
        <f t="shared" si="101"/>
      </c>
      <c r="EP7" s="247" t="str">
        <f t="shared" si="102"/>
      </c>
      <c r="EQ7" s="247" t="str">
        <f t="shared" si="103"/>
      </c>
      <c r="ER7" s="247" t="str">
        <f t="shared" si="104"/>
        <v>33m/ 33m/ 33m</v>
      </c>
      <c r="ES7" s="247">
        <f t="shared" si="105"/>
        <v>33</v>
      </c>
      <c r="ET7" s="247">
        <f t="shared" si="106"/>
        <v>33</v>
      </c>
      <c r="EU7" s="247">
        <f t="shared" si="107"/>
        <v>33</v>
      </c>
      <c r="EV7" s="247">
        <f t="shared" si="108"/>
        <v>0</v>
      </c>
      <c r="EW7" s="247" t="str">
        <f t="shared" si="109"/>
        <v>33m/33m/33m</v>
      </c>
      <c r="EX7" s="247" t="str">
        <f t="shared" si="110"/>
        <v>26m/ 26m/ 26m</v>
      </c>
      <c r="EY7" s="247">
        <f t="shared" si="111"/>
        <v>26</v>
      </c>
      <c r="EZ7" s="247">
        <f t="shared" si="112"/>
        <v>26</v>
      </c>
      <c r="FA7" s="247">
        <f t="shared" si="113"/>
        <v>26</v>
      </c>
      <c r="FB7" s="247">
        <f t="shared" si="114"/>
        <v>0</v>
      </c>
      <c r="FC7" s="247" t="str">
        <f t="shared" si="115"/>
        <v>26m/26m/26m</v>
      </c>
      <c r="FD7" s="247" t="str">
        <f t="shared" si="116"/>
        <v>26m/ 26m/ 26m</v>
      </c>
      <c r="FE7" s="247">
        <f t="shared" si="117"/>
        <v>26</v>
      </c>
      <c r="FF7" s="247">
        <f t="shared" si="118"/>
        <v>26</v>
      </c>
      <c r="FG7" s="247">
        <f t="shared" si="119"/>
        <v>26</v>
      </c>
      <c r="FH7" s="247">
        <f t="shared" si="120"/>
        <v>0</v>
      </c>
      <c r="FI7" s="247" t="str">
        <f t="shared" si="121"/>
        <v>26m/26m/26m</v>
      </c>
      <c r="FJ7" s="247" t="str">
        <f t="shared" si="122"/>
      </c>
      <c r="FK7" s="247">
        <f t="shared" si="123"/>
        <v>0</v>
      </c>
      <c r="FL7" s="247">
        <f t="shared" si="124"/>
        <v>0</v>
      </c>
      <c r="FM7" s="247">
        <f t="shared" si="125"/>
        <v>0</v>
      </c>
      <c r="FN7" s="247">
        <f t="shared" si="126"/>
        <v>0</v>
      </c>
      <c r="FO7" s="247" t="str">
        <f t="shared" si="127"/>
      </c>
      <c r="FP7" s="247" t="str">
        <f t="shared" si="128"/>
      </c>
      <c r="FQ7" s="247">
        <f t="shared" si="129"/>
        <v>0</v>
      </c>
      <c r="FR7" s="247">
        <f t="shared" si="130"/>
        <v>0</v>
      </c>
      <c r="FS7" s="247">
        <f t="shared" si="131"/>
        <v>0</v>
      </c>
      <c r="FT7" s="247">
        <f t="shared" si="132"/>
        <v>0</v>
      </c>
      <c r="FU7" s="247" t="str">
        <f t="shared" si="133"/>
      </c>
      <c r="FV7" s="247" t="str">
        <f t="shared" si="134"/>
      </c>
      <c r="FW7" s="247">
        <f t="shared" si="135"/>
        <v>0</v>
      </c>
      <c r="FX7" s="247">
        <f t="shared" si="136"/>
        <v>0</v>
      </c>
      <c r="FY7" s="247">
        <f t="shared" si="137"/>
        <v>0</v>
      </c>
      <c r="FZ7" s="247">
        <f t="shared" si="138"/>
        <v>0</v>
      </c>
      <c r="GA7" s="247" t="str">
        <f t="shared" si="139"/>
      </c>
      <c r="GB7" s="247" t="str">
        <f>INDEX(LabNameList,MATCH(AF7,LabIDList,0))</f>
        <v>Trung tâm Kiểm định và Chứng nhận 2</v>
      </c>
      <c r="GC7" s="247">
        <f t="shared" si="140"/>
        <v>33</v>
      </c>
      <c r="GD7" s="247">
        <f t="shared" si="141"/>
        <v>26</v>
      </c>
      <c r="GE7" s="247">
        <f t="shared" si="142"/>
        <v>26</v>
      </c>
      <c r="GF7" s="247">
        <f t="shared" si="143"/>
        <v>0</v>
      </c>
      <c r="GG7" s="247">
        <f t="shared" si="144"/>
        <v>0</v>
      </c>
      <c r="GH7" s="247">
        <f t="shared" si="145"/>
        <v>0</v>
      </c>
      <c r="GI7" s="740">
        <f t="shared" si="146"/>
        <v>26</v>
      </c>
      <c r="GJ7" s="740">
        <f t="shared" si="147"/>
        <v>26</v>
      </c>
      <c r="GK7" s="247">
        <f t="shared" si="148"/>
        <v>10</v>
      </c>
      <c r="GL7" s="247"/>
      <c r="GM7" s="247">
        <f t="shared" si="149"/>
        <v>10</v>
      </c>
      <c r="GN7" s="247"/>
    </row>
    <row r="8" ht="89.25" s="370" customFormat="1">
      <c r="A8" s="236">
        <f>Input!A8</f>
        <v>7</v>
      </c>
      <c r="B8" s="236" t="str">
        <f>Input!B8</f>
        <v>VINAPHONE-HCM</v>
      </c>
      <c r="C8" s="236" t="str">
        <f>Input!C8</f>
        <v>VINAPHONE</v>
      </c>
      <c r="D8" s="740" t="str">
        <f t="shared" si="0"/>
        <v>BDGTDM017</v>
      </c>
      <c r="E8" s="236" t="str">
        <f>Input!E8</f>
        <v>Số 3, đường Chùa Hội Khánh, phường Phú Cường, thành phố Thủ Dầu Một, tỉnh Bình Dương.</v>
      </c>
      <c r="F8" s="236" t="str">
        <f>Input!F8</f>
        <v>Bình Dương</v>
      </c>
      <c r="G8" s="740" t="str">
        <f>Input!G8</f>
        <v>106,658003</v>
      </c>
      <c r="H8" s="740" t="str">
        <f>Input!H8</f>
        <v>10,981745</v>
      </c>
      <c r="I8" s="236">
        <f>Input!I8</f>
        <v>3</v>
      </c>
      <c r="J8" s="236" t="str">
        <f>Input!J8</f>
        <v>K00464221018D005</v>
      </c>
      <c r="K8" s="259" t="str">
        <f>TEXT(Input!K8,"dd/mm/yyyy")</f>
        <v>19/11/2018</v>
      </c>
      <c r="L8" s="259" t="str">
        <f>TEXT(Input!L8,"dd/mm/yyyy")</f>
        <v>22/10/2018</v>
      </c>
      <c r="M8" s="236" t="str">
        <f>Input!M8</f>
        <v>TỔNG CÔNG TY HẠ TẦNG MẠNG;TỔNG CÔNG TY HẠ TẦNG MẠNG;TỔNG CÔNG TY HẠ TẦNG MẠNG</v>
      </c>
      <c r="N8" s="236" t="str">
        <f>Input!N8</f>
        <v>BDGTDM017;BDGTDM017;BDGTDM017</v>
      </c>
      <c r="O8" s="236" t="str">
        <f>Input!O8</f>
        <v>MOTOROLA HORIZON II MACRO;ERICSSON RBS 3418;NSN FLEXI MULTIRADIO 10 (FHED)</v>
      </c>
      <c r="P8" s="236" t="str">
        <f>Input!P8</f>
        <v>3;3;3</v>
      </c>
      <c r="Q8" s="236" t="str">
        <f>Input!Q8</f>
        <v>4/4/4;2/2/2;1/1/1</v>
      </c>
      <c r="R8" s="236" t="str">
        <f>Input!R8</f>
        <v>20W/20W/20W;60W/60W/60W;160W/160W/160W</v>
      </c>
      <c r="S8" s="236" t="str">
        <f>Input!S8</f>
        <v>G900;U2100;L1800</v>
      </c>
      <c r="T8" s="236" t="str">
        <f>Input!T8</f>
        <v>27m/ 27m/ 27m;24m/ 24m/ 24m;24m/ 24m/ 24m</v>
      </c>
      <c r="U8" s="236">
        <f>Input!U8</f>
        <v>1</v>
      </c>
      <c r="V8" s="236" t="str">
        <f>Input!V8</f>
        <v>FX-X-CG-00T-900;S-Wave EW/EW/EW-65-18DV2/12I-F-64K-VN;S-Wave EW/EW/EW-65-18DV2/12I-F-64K-VN</v>
      </c>
      <c r="W8" s="236" t="b">
        <f>Input!W8</f>
        <v>1</v>
      </c>
      <c r="X8" s="236" t="b">
        <f>Input!X8</f>
        <v>0</v>
      </c>
      <c r="Y8" s="740">
        <f>Input!Y8</f>
        <v>0</v>
      </c>
      <c r="Z8" s="236" t="b">
        <f>Input!Z8</f>
        <v>0</v>
      </c>
      <c r="AA8" s="740">
        <f>Input!AA8</f>
        <v>0</v>
      </c>
      <c r="AB8" s="236" t="b">
        <f>Input!AB8</f>
        <v>0</v>
      </c>
      <c r="AC8" s="236" t="b">
        <f>Input!AC8</f>
        <v>1</v>
      </c>
      <c r="AD8" s="236">
        <f>Input!AD8</f>
        <v>0</v>
      </c>
      <c r="AE8" s="236">
        <f>Input!AE8</f>
        <v>0</v>
      </c>
      <c r="AF8" s="236" t="str">
        <f>Input!AF8</f>
        <v>VCC2</v>
      </c>
      <c r="AG8" s="236">
        <f>Input!AG8</f>
        <v>0</v>
      </c>
      <c r="AH8" s="247"/>
      <c r="AI8" s="247" t="str">
        <f>INDEX(ApplicantNameList,MATCH(B8,ApplicantIDList,0))</f>
        <v>CHI NHÁNH VINAPHONE TẠI TPHCM</v>
      </c>
      <c r="AJ8" s="247" t="str">
        <f>INDEX(OperatorNameList,MATCH(C8,OperatorIDList,0))</f>
        <v>TỔNG CÔNG TY HẠ TẦNG MẠNG</v>
      </c>
      <c r="AK8" s="236" t="str">
        <f>INDEX(CityIDList,MATCH(F8,CityNameList,0))</f>
        <v>BDG</v>
      </c>
      <c r="AL8" s="247" t="str">
        <f t="shared" si="1"/>
        <v>TỔNG CÔNG TY HẠ TẦNG MẠNG</v>
      </c>
      <c r="AM8" s="247" t="str">
        <f t="shared" si="2"/>
        <v>TỔNG CÔNG TY HẠ TẦNG MẠNG</v>
      </c>
      <c r="AN8" s="247" t="str">
        <f t="shared" si="3"/>
        <v>TỔNG CÔNG TY HẠ TẦNG MẠNG</v>
      </c>
      <c r="AO8" s="247" t="str">
        <f t="shared" si="4"/>
      </c>
      <c r="AP8" s="247" t="str">
        <f t="shared" si="5"/>
      </c>
      <c r="AQ8" s="247" t="str">
        <f t="shared" si="6"/>
      </c>
      <c r="AR8" s="247" t="str">
        <f>IF(I8&gt;=1,INDEX(OperatorIDList,MATCH(AL8,OperatorNameList,0)),"")</f>
        <v>VINAPHONE</v>
      </c>
      <c r="AS8" s="247" t="str">
        <f>IF(I8&gt;=2,INDEX(OperatorIDList,MATCH(AM8,OperatorNameList,0)),"")</f>
        <v>VINAPHONE</v>
      </c>
      <c r="AT8" s="247" t="str">
        <f>IF(I8&gt;=3,INDEX(OperatorIDList,MATCH(AN8,OperatorNameList,0)),"")</f>
        <v>VINAPHONE</v>
      </c>
      <c r="AU8" s="247" t="str">
        <f>IF(I8&gt;=4,INDEX(OperatorIDList,MATCH(AO8,OperatorNameList,0)),"")</f>
      </c>
      <c r="AV8" s="247" t="str">
        <f>IF(I8&gt;=5,INDEX(OperatorIDList,MATCH(AP8,OperatorNameList,0)),"")</f>
      </c>
      <c r="AW8" s="247" t="str">
        <f>IF(I8&gt;=6,INDEX(OperatorIDList,MATCH(AQ8,OperatorNameList,0)),"")</f>
      </c>
      <c r="AX8" s="247" t="str">
        <f t="shared" si="7"/>
        <v>VINAPHONE;VINAPHONE;VINAPHONE</v>
      </c>
      <c r="AY8" s="247" t="str">
        <f t="shared" si="8"/>
        <v>BDGTDM017</v>
      </c>
      <c r="AZ8" s="247" t="str">
        <f t="shared" si="9"/>
        <v>BDGTDM017</v>
      </c>
      <c r="BA8" s="247" t="str">
        <f t="shared" si="10"/>
        <v>BDGTDM017</v>
      </c>
      <c r="BB8" s="247" t="str">
        <f t="shared" si="11"/>
      </c>
      <c r="BC8" s="247" t="str">
        <f t="shared" si="12"/>
      </c>
      <c r="BD8" s="247" t="str">
        <f t="shared" si="13"/>
      </c>
      <c r="BE8" s="247" t="str">
        <f t="shared" si="14"/>
        <v>MOTOROLA HORIZON II MACRO</v>
      </c>
      <c r="BF8" s="247" t="str">
        <f t="shared" si="15"/>
        <v>ERICSSON RBS 3418</v>
      </c>
      <c r="BG8" s="247" t="str">
        <f t="shared" si="16"/>
        <v>NSN FLEXI MULTIRADIO 10 (FHED)</v>
      </c>
      <c r="BH8" s="247" t="str">
        <f t="shared" si="17"/>
      </c>
      <c r="BI8" s="247" t="str">
        <f t="shared" si="18"/>
      </c>
      <c r="BJ8" s="247" t="str">
        <f t="shared" si="19"/>
      </c>
      <c r="BK8" s="247">
        <f t="shared" si="20"/>
        <v>3</v>
      </c>
      <c r="BL8" s="247">
        <f t="shared" si="21"/>
        <v>3</v>
      </c>
      <c r="BM8" s="247">
        <f t="shared" si="22"/>
        <v>3</v>
      </c>
      <c r="BN8" s="247">
        <f t="shared" si="23"/>
        <v>0</v>
      </c>
      <c r="BO8" s="247">
        <f t="shared" si="24"/>
        <v>0</v>
      </c>
      <c r="BP8" s="247">
        <f t="shared" si="25"/>
        <v>0</v>
      </c>
      <c r="BQ8" s="247" t="str">
        <f t="shared" si="26"/>
        <v>4/4/4</v>
      </c>
      <c r="BR8" s="247">
        <f t="shared" si="27"/>
        <v>4</v>
      </c>
      <c r="BS8" s="247">
        <f t="shared" si="28"/>
        <v>4</v>
      </c>
      <c r="BT8" s="247">
        <f t="shared" si="29"/>
        <v>4</v>
      </c>
      <c r="BU8" s="247">
        <f t="shared" si="30"/>
        <v>0</v>
      </c>
      <c r="BV8" s="247" t="str">
        <f t="shared" si="31"/>
        <v>2/2/2</v>
      </c>
      <c r="BW8" s="247">
        <f t="shared" si="32"/>
        <v>2</v>
      </c>
      <c r="BX8" s="247">
        <f t="shared" si="33"/>
        <v>2</v>
      </c>
      <c r="BY8" s="247">
        <f t="shared" si="34"/>
        <v>2</v>
      </c>
      <c r="BZ8" s="247">
        <f t="shared" si="35"/>
        <v>0</v>
      </c>
      <c r="CA8" s="247" t="str">
        <f t="shared" si="36"/>
        <v>1/1/1</v>
      </c>
      <c r="CB8" s="247">
        <f t="shared" si="37"/>
        <v>1</v>
      </c>
      <c r="CC8" s="247">
        <f t="shared" si="38"/>
        <v>1</v>
      </c>
      <c r="CD8" s="247">
        <f t="shared" si="39"/>
        <v>1</v>
      </c>
      <c r="CE8" s="247">
        <f t="shared" si="40"/>
        <v>0</v>
      </c>
      <c r="CF8" s="247" t="str">
        <f t="shared" si="41"/>
      </c>
      <c r="CG8" s="247">
        <f t="shared" si="42"/>
        <v>0</v>
      </c>
      <c r="CH8" s="247">
        <f t="shared" si="43"/>
        <v>0</v>
      </c>
      <c r="CI8" s="247">
        <f t="shared" si="44"/>
        <v>0</v>
      </c>
      <c r="CJ8" s="247">
        <f t="shared" si="45"/>
        <v>0</v>
      </c>
      <c r="CK8" s="247" t="str">
        <f t="shared" si="46"/>
      </c>
      <c r="CL8" s="247">
        <f t="shared" si="47"/>
        <v>0</v>
      </c>
      <c r="CM8" s="247">
        <f t="shared" si="48"/>
        <v>0</v>
      </c>
      <c r="CN8" s="247">
        <f t="shared" si="49"/>
        <v>0</v>
      </c>
      <c r="CO8" s="247">
        <f t="shared" si="50"/>
        <v>0</v>
      </c>
      <c r="CP8" s="247" t="str">
        <f t="shared" si="51"/>
      </c>
      <c r="CQ8" s="247">
        <f t="shared" si="52"/>
        <v>0</v>
      </c>
      <c r="CR8" s="247">
        <f t="shared" si="53"/>
        <v>0</v>
      </c>
      <c r="CS8" s="247">
        <f t="shared" si="54"/>
        <v>0</v>
      </c>
      <c r="CT8" s="247">
        <f t="shared" si="55"/>
        <v>0</v>
      </c>
      <c r="CU8" s="247" t="str">
        <f t="shared" si="56"/>
        <v>20W/20W/20W</v>
      </c>
      <c r="CV8" s="247">
        <f t="shared" si="150"/>
        <v>20</v>
      </c>
      <c r="CW8" s="247">
        <f t="shared" si="57"/>
        <v>20</v>
      </c>
      <c r="CX8" s="247">
        <f t="shared" si="58"/>
        <v>20</v>
      </c>
      <c r="CY8" s="247">
        <f t="shared" si="59"/>
        <v>0</v>
      </c>
      <c r="CZ8" s="247" t="str">
        <f t="shared" si="60"/>
        <v>20W/20W/20W</v>
      </c>
      <c r="DA8" s="247">
        <f t="shared" si="61"/>
        <v>20</v>
      </c>
      <c r="DB8" s="247" t="str">
        <f t="shared" si="62"/>
        <v>60W/60W/60W</v>
      </c>
      <c r="DC8" s="247">
        <f t="shared" si="63"/>
        <v>60</v>
      </c>
      <c r="DD8" s="247">
        <f t="shared" si="64"/>
        <v>60</v>
      </c>
      <c r="DE8" s="247">
        <f t="shared" si="65"/>
        <v>60</v>
      </c>
      <c r="DF8" s="247">
        <f t="shared" si="66"/>
        <v>0</v>
      </c>
      <c r="DG8" s="247" t="str">
        <f t="shared" si="67"/>
        <v>60W/60W/60W</v>
      </c>
      <c r="DH8" s="247">
        <f t="shared" si="68"/>
        <v>60</v>
      </c>
      <c r="DI8" s="247" t="str">
        <f t="shared" si="69"/>
        <v>160W/160W/160W</v>
      </c>
      <c r="DJ8" s="247">
        <f t="shared" si="70"/>
        <v>160</v>
      </c>
      <c r="DK8" s="247">
        <f t="shared" si="71"/>
        <v>160</v>
      </c>
      <c r="DL8" s="247">
        <f t="shared" si="72"/>
        <v>160</v>
      </c>
      <c r="DM8" s="247">
        <f t="shared" si="73"/>
        <v>0</v>
      </c>
      <c r="DN8" s="247" t="str">
        <f t="shared" si="74"/>
        <v>160W/160W/160W</v>
      </c>
      <c r="DO8" s="247">
        <f t="shared" si="75"/>
        <v>160</v>
      </c>
      <c r="DP8" s="247" t="str">
        <f t="shared" si="76"/>
      </c>
      <c r="DQ8" s="247">
        <f t="shared" si="77"/>
        <v>0</v>
      </c>
      <c r="DR8" s="247">
        <f t="shared" si="78"/>
        <v>0</v>
      </c>
      <c r="DS8" s="247">
        <f t="shared" si="79"/>
        <v>0</v>
      </c>
      <c r="DT8" s="247">
        <f t="shared" si="80"/>
        <v>0</v>
      </c>
      <c r="DU8" s="247" t="str">
        <f t="shared" si="81"/>
      </c>
      <c r="DV8" s="247">
        <f t="shared" si="82"/>
        <v>0</v>
      </c>
      <c r="DW8" s="247" t="str">
        <f t="shared" si="83"/>
      </c>
      <c r="DX8" s="247">
        <f t="shared" si="84"/>
        <v>0</v>
      </c>
      <c r="DY8" s="247">
        <f t="shared" si="85"/>
        <v>0</v>
      </c>
      <c r="DZ8" s="247">
        <f t="shared" si="86"/>
        <v>0</v>
      </c>
      <c r="EA8" s="247">
        <f t="shared" si="87"/>
        <v>0</v>
      </c>
      <c r="EB8" s="247" t="str">
        <f t="shared" si="88"/>
      </c>
      <c r="EC8" s="247">
        <f t="shared" si="89"/>
        <v>0</v>
      </c>
      <c r="ED8" s="247" t="str">
        <f t="shared" si="90"/>
      </c>
      <c r="EE8" s="247">
        <f t="shared" si="91"/>
        <v>0</v>
      </c>
      <c r="EF8" s="247">
        <f t="shared" si="92"/>
        <v>0</v>
      </c>
      <c r="EG8" s="247">
        <f t="shared" si="93"/>
        <v>0</v>
      </c>
      <c r="EH8" s="247">
        <f t="shared" si="94"/>
        <v>0</v>
      </c>
      <c r="EI8" s="247" t="str">
        <f t="shared" si="95"/>
      </c>
      <c r="EJ8" s="247">
        <f t="shared" si="96"/>
        <v>0</v>
      </c>
      <c r="EK8" s="247">
        <f t="shared" si="97"/>
        <v>160</v>
      </c>
      <c r="EL8" s="247" t="str">
        <f t="shared" si="98"/>
        <v>G900</v>
      </c>
      <c r="EM8" s="247" t="str">
        <f t="shared" si="99"/>
        <v>U2100</v>
      </c>
      <c r="EN8" s="247" t="str">
        <f t="shared" si="100"/>
        <v>L1800</v>
      </c>
      <c r="EO8" s="247" t="str">
        <f t="shared" si="101"/>
      </c>
      <c r="EP8" s="247" t="str">
        <f t="shared" si="102"/>
      </c>
      <c r="EQ8" s="247" t="str">
        <f t="shared" si="103"/>
      </c>
      <c r="ER8" s="247" t="str">
        <f t="shared" si="104"/>
        <v>27m/ 27m/ 27m</v>
      </c>
      <c r="ES8" s="247">
        <f t="shared" si="105"/>
        <v>27</v>
      </c>
      <c r="ET8" s="247">
        <f t="shared" si="106"/>
        <v>27</v>
      </c>
      <c r="EU8" s="247">
        <f t="shared" si="107"/>
        <v>27</v>
      </c>
      <c r="EV8" s="247">
        <f t="shared" si="108"/>
        <v>0</v>
      </c>
      <c r="EW8" s="247" t="str">
        <f t="shared" si="109"/>
        <v>27m/27m/27m</v>
      </c>
      <c r="EX8" s="247" t="str">
        <f t="shared" si="110"/>
        <v>24m/ 24m/ 24m</v>
      </c>
      <c r="EY8" s="247">
        <f t="shared" si="111"/>
        <v>24</v>
      </c>
      <c r="EZ8" s="247">
        <f t="shared" si="112"/>
        <v>24</v>
      </c>
      <c r="FA8" s="247">
        <f t="shared" si="113"/>
        <v>24</v>
      </c>
      <c r="FB8" s="247">
        <f t="shared" si="114"/>
        <v>0</v>
      </c>
      <c r="FC8" s="247" t="str">
        <f t="shared" si="115"/>
        <v>24m/24m/24m</v>
      </c>
      <c r="FD8" s="247" t="str">
        <f t="shared" si="116"/>
        <v>24m/ 24m/ 24m</v>
      </c>
      <c r="FE8" s="247">
        <f t="shared" si="117"/>
        <v>24</v>
      </c>
      <c r="FF8" s="247">
        <f t="shared" si="118"/>
        <v>24</v>
      </c>
      <c r="FG8" s="247">
        <f t="shared" si="119"/>
        <v>24</v>
      </c>
      <c r="FH8" s="247">
        <f t="shared" si="120"/>
        <v>0</v>
      </c>
      <c r="FI8" s="247" t="str">
        <f t="shared" si="121"/>
        <v>24m/24m/24m</v>
      </c>
      <c r="FJ8" s="247" t="str">
        <f t="shared" si="122"/>
      </c>
      <c r="FK8" s="247">
        <f t="shared" si="123"/>
        <v>0</v>
      </c>
      <c r="FL8" s="247">
        <f t="shared" si="124"/>
        <v>0</v>
      </c>
      <c r="FM8" s="247">
        <f t="shared" si="125"/>
        <v>0</v>
      </c>
      <c r="FN8" s="247">
        <f t="shared" si="126"/>
        <v>0</v>
      </c>
      <c r="FO8" s="247" t="str">
        <f t="shared" si="127"/>
      </c>
      <c r="FP8" s="247" t="str">
        <f t="shared" si="128"/>
      </c>
      <c r="FQ8" s="247">
        <f t="shared" si="129"/>
        <v>0</v>
      </c>
      <c r="FR8" s="247">
        <f t="shared" si="130"/>
        <v>0</v>
      </c>
      <c r="FS8" s="247">
        <f t="shared" si="131"/>
        <v>0</v>
      </c>
      <c r="FT8" s="247">
        <f t="shared" si="132"/>
        <v>0</v>
      </c>
      <c r="FU8" s="247" t="str">
        <f t="shared" si="133"/>
      </c>
      <c r="FV8" s="247" t="str">
        <f t="shared" si="134"/>
      </c>
      <c r="FW8" s="247">
        <f t="shared" si="135"/>
        <v>0</v>
      </c>
      <c r="FX8" s="247">
        <f t="shared" si="136"/>
        <v>0</v>
      </c>
      <c r="FY8" s="247">
        <f t="shared" si="137"/>
        <v>0</v>
      </c>
      <c r="FZ8" s="247">
        <f t="shared" si="138"/>
        <v>0</v>
      </c>
      <c r="GA8" s="247" t="str">
        <f t="shared" si="139"/>
      </c>
      <c r="GB8" s="247" t="str">
        <f>INDEX(LabNameList,MATCH(AF8,LabIDList,0))</f>
        <v>Trung tâm Kiểm định và Chứng nhận 2</v>
      </c>
      <c r="GC8" s="247">
        <f t="shared" si="140"/>
        <v>27</v>
      </c>
      <c r="GD8" s="247">
        <f t="shared" si="141"/>
        <v>24</v>
      </c>
      <c r="GE8" s="247">
        <f t="shared" si="142"/>
        <v>24</v>
      </c>
      <c r="GF8" s="247">
        <f t="shared" si="143"/>
        <v>0</v>
      </c>
      <c r="GG8" s="247">
        <f t="shared" si="144"/>
        <v>0</v>
      </c>
      <c r="GH8" s="247">
        <f t="shared" si="145"/>
        <v>0</v>
      </c>
      <c r="GI8" s="740">
        <f t="shared" si="146"/>
        <v>24</v>
      </c>
      <c r="GJ8" s="740">
        <f t="shared" si="147"/>
        <v>24</v>
      </c>
      <c r="GK8" s="247">
        <f t="shared" si="148"/>
        <v>10</v>
      </c>
      <c r="GL8" s="247"/>
      <c r="GM8" s="247">
        <f t="shared" si="149"/>
        <v>10</v>
      </c>
      <c r="GN8" s="247"/>
    </row>
    <row r="9" ht="89.25" s="370" customFormat="1">
      <c r="A9" s="236">
        <f>Input!A9</f>
        <v>8</v>
      </c>
      <c r="B9" s="236" t="str">
        <f>Input!B9</f>
        <v>VINAPHONE-HCM</v>
      </c>
      <c r="C9" s="236" t="str">
        <f>Input!C9</f>
        <v>VINAPHONE</v>
      </c>
      <c r="D9" s="740" t="str">
        <f t="shared" si="0"/>
        <v>BDGTDM022</v>
      </c>
      <c r="E9" s="236" t="str">
        <f>Input!E9</f>
        <v>Số 54-D2, khu dân cư Phú Hòa, phường Phú Hòa, thành phố Thủ Dầu Một, tỉnh Bình Dương.</v>
      </c>
      <c r="F9" s="236" t="str">
        <f>Input!F9</f>
        <v>Bình Dương</v>
      </c>
      <c r="G9" s="740" t="str">
        <f>Input!G9</f>
        <v>106,67883</v>
      </c>
      <c r="H9" s="740" t="str">
        <f>Input!H9</f>
        <v>10,97394</v>
      </c>
      <c r="I9" s="236">
        <f>Input!I9</f>
        <v>3</v>
      </c>
      <c r="J9" s="236" t="str">
        <f>Input!J9</f>
        <v>K00465221018D005</v>
      </c>
      <c r="K9" s="259" t="str">
        <f>TEXT(Input!K9,"dd/mm/yyyy")</f>
        <v>19/11/2018</v>
      </c>
      <c r="L9" s="259" t="str">
        <f>TEXT(Input!L9,"dd/mm/yyyy")</f>
        <v>22/10/2018</v>
      </c>
      <c r="M9" s="236" t="str">
        <f>Input!M9</f>
        <v>TỔNG CÔNG TY HẠ TẦNG MẠNG;TỔNG CÔNG TY HẠ TẦNG MẠNG;TỔNG CÔNG TY HẠ TẦNG MẠNG</v>
      </c>
      <c r="N9" s="236" t="str">
        <f>Input!N9</f>
        <v>BDGTDM022;BDGTDM022;BDGTDM022</v>
      </c>
      <c r="O9" s="236" t="str">
        <f>Input!O9</f>
        <v>MOTOROLA HORIZON II MACRO;ERICSSON RBS 3206;NSN FLEXI MULTIRADIO 10 (FHED)</v>
      </c>
      <c r="P9" s="236" t="str">
        <f>Input!P9</f>
        <v>3;3;3</v>
      </c>
      <c r="Q9" s="236" t="str">
        <f>Input!Q9</f>
        <v>2/2/2;2/2/2;1/1/1</v>
      </c>
      <c r="R9" s="236" t="str">
        <f>Input!R9</f>
        <v>20W/20W/20W;40W/40W/40W;160W/160W/160W</v>
      </c>
      <c r="S9" s="236" t="str">
        <f>Input!S9</f>
        <v>G900;U2100;L1800</v>
      </c>
      <c r="T9" s="236" t="str">
        <f>Input!T9</f>
        <v>28m/ 28m/ 28m;30m/ 30m/ 30m;30m/ 30m/ 30m</v>
      </c>
      <c r="U9" s="236">
        <f>Input!U9</f>
        <v>1</v>
      </c>
      <c r="V9" s="236" t="str">
        <f>Input!V9</f>
        <v>FX-X-CG-00T-900;S-Wave EW/EW/EW-65-18DV2/12I-F-64K-VN;S-Wave EW/EW/EW-65-18DV2/12I-F-64K-VN</v>
      </c>
      <c r="W9" s="236" t="b">
        <f>Input!W9</f>
        <v>1</v>
      </c>
      <c r="X9" s="236" t="b">
        <f>Input!X9</f>
        <v>0</v>
      </c>
      <c r="Y9" s="740">
        <f>Input!Y9</f>
        <v>0</v>
      </c>
      <c r="Z9" s="236" t="b">
        <f>Input!Z9</f>
        <v>0</v>
      </c>
      <c r="AA9" s="740">
        <f>Input!AA9</f>
        <v>0</v>
      </c>
      <c r="AB9" s="236" t="b">
        <f>Input!AB9</f>
        <v>0</v>
      </c>
      <c r="AC9" s="236" t="b">
        <f>Input!AC9</f>
        <v>1</v>
      </c>
      <c r="AD9" s="236">
        <f>Input!AD9</f>
        <v>0</v>
      </c>
      <c r="AE9" s="236">
        <f>Input!AE9</f>
        <v>0</v>
      </c>
      <c r="AF9" s="236" t="str">
        <f>Input!AF9</f>
        <v>VCC2</v>
      </c>
      <c r="AG9" s="236">
        <f>Input!AG9</f>
        <v>0</v>
      </c>
      <c r="AH9" s="247"/>
      <c r="AI9" s="247" t="str">
        <f>INDEX(ApplicantNameList,MATCH(B9,ApplicantIDList,0))</f>
        <v>CHI NHÁNH VINAPHONE TẠI TPHCM</v>
      </c>
      <c r="AJ9" s="247" t="str">
        <f>INDEX(OperatorNameList,MATCH(C9,OperatorIDList,0))</f>
        <v>TỔNG CÔNG TY HẠ TẦNG MẠNG</v>
      </c>
      <c r="AK9" s="236" t="str">
        <f>INDEX(CityIDList,MATCH(F9,CityNameList,0))</f>
        <v>BDG</v>
      </c>
      <c r="AL9" s="247" t="str">
        <f t="shared" si="1"/>
        <v>TỔNG CÔNG TY HẠ TẦNG MẠNG</v>
      </c>
      <c r="AM9" s="247" t="str">
        <f t="shared" si="2"/>
        <v>TỔNG CÔNG TY HẠ TẦNG MẠNG</v>
      </c>
      <c r="AN9" s="247" t="str">
        <f t="shared" si="3"/>
        <v>TỔNG CÔNG TY HẠ TẦNG MẠNG</v>
      </c>
      <c r="AO9" s="247" t="str">
        <f t="shared" si="4"/>
      </c>
      <c r="AP9" s="247" t="str">
        <f t="shared" si="5"/>
      </c>
      <c r="AQ9" s="247" t="str">
        <f t="shared" si="6"/>
      </c>
      <c r="AR9" s="247" t="str">
        <f>IF(I9&gt;=1,INDEX(OperatorIDList,MATCH(AL9,OperatorNameList,0)),"")</f>
        <v>VINAPHONE</v>
      </c>
      <c r="AS9" s="247" t="str">
        <f>IF(I9&gt;=2,INDEX(OperatorIDList,MATCH(AM9,OperatorNameList,0)),"")</f>
        <v>VINAPHONE</v>
      </c>
      <c r="AT9" s="247" t="str">
        <f>IF(I9&gt;=3,INDEX(OperatorIDList,MATCH(AN9,OperatorNameList,0)),"")</f>
        <v>VINAPHONE</v>
      </c>
      <c r="AU9" s="247" t="str">
        <f>IF(I9&gt;=4,INDEX(OperatorIDList,MATCH(AO9,OperatorNameList,0)),"")</f>
      </c>
      <c r="AV9" s="247" t="str">
        <f>IF(I9&gt;=5,INDEX(OperatorIDList,MATCH(AP9,OperatorNameList,0)),"")</f>
      </c>
      <c r="AW9" s="247" t="str">
        <f>IF(I9&gt;=6,INDEX(OperatorIDList,MATCH(AQ9,OperatorNameList,0)),"")</f>
      </c>
      <c r="AX9" s="247" t="str">
        <f t="shared" si="7"/>
        <v>VINAPHONE;VINAPHONE;VINAPHONE</v>
      </c>
      <c r="AY9" s="247" t="str">
        <f t="shared" si="8"/>
        <v>BDGTDM022</v>
      </c>
      <c r="AZ9" s="247" t="str">
        <f t="shared" si="9"/>
        <v>BDGTDM022</v>
      </c>
      <c r="BA9" s="247" t="str">
        <f t="shared" si="10"/>
        <v>BDGTDM022</v>
      </c>
      <c r="BB9" s="247" t="str">
        <f t="shared" si="11"/>
      </c>
      <c r="BC9" s="247" t="str">
        <f t="shared" si="12"/>
      </c>
      <c r="BD9" s="247" t="str">
        <f t="shared" si="13"/>
      </c>
      <c r="BE9" s="247" t="str">
        <f t="shared" si="14"/>
        <v>MOTOROLA HORIZON II MACRO</v>
      </c>
      <c r="BF9" s="247" t="str">
        <f t="shared" si="15"/>
        <v>ERICSSON RBS 3206</v>
      </c>
      <c r="BG9" s="247" t="str">
        <f t="shared" si="16"/>
        <v>NSN FLEXI MULTIRADIO 10 (FHED)</v>
      </c>
      <c r="BH9" s="247" t="str">
        <f t="shared" si="17"/>
      </c>
      <c r="BI9" s="247" t="str">
        <f t="shared" si="18"/>
      </c>
      <c r="BJ9" s="247" t="str">
        <f t="shared" si="19"/>
      </c>
      <c r="BK9" s="247">
        <f t="shared" si="20"/>
        <v>3</v>
      </c>
      <c r="BL9" s="247">
        <f t="shared" si="21"/>
        <v>3</v>
      </c>
      <c r="BM9" s="247">
        <f t="shared" si="22"/>
        <v>3</v>
      </c>
      <c r="BN9" s="247">
        <f t="shared" si="23"/>
        <v>0</v>
      </c>
      <c r="BO9" s="247">
        <f t="shared" si="24"/>
        <v>0</v>
      </c>
      <c r="BP9" s="247">
        <f t="shared" si="25"/>
        <v>0</v>
      </c>
      <c r="BQ9" s="247" t="str">
        <f t="shared" si="26"/>
        <v>2/2/2</v>
      </c>
      <c r="BR9" s="247">
        <f t="shared" si="27"/>
        <v>2</v>
      </c>
      <c r="BS9" s="247">
        <f t="shared" si="28"/>
        <v>2</v>
      </c>
      <c r="BT9" s="247">
        <f t="shared" si="29"/>
        <v>2</v>
      </c>
      <c r="BU9" s="247">
        <f t="shared" si="30"/>
        <v>0</v>
      </c>
      <c r="BV9" s="247" t="str">
        <f t="shared" si="31"/>
        <v>2/2/2</v>
      </c>
      <c r="BW9" s="247">
        <f t="shared" si="32"/>
        <v>2</v>
      </c>
      <c r="BX9" s="247">
        <f t="shared" si="33"/>
        <v>2</v>
      </c>
      <c r="BY9" s="247">
        <f t="shared" si="34"/>
        <v>2</v>
      </c>
      <c r="BZ9" s="247">
        <f t="shared" si="35"/>
        <v>0</v>
      </c>
      <c r="CA9" s="247" t="str">
        <f t="shared" si="36"/>
        <v>1/1/1</v>
      </c>
      <c r="CB9" s="247">
        <f t="shared" si="37"/>
        <v>1</v>
      </c>
      <c r="CC9" s="247">
        <f t="shared" si="38"/>
        <v>1</v>
      </c>
      <c r="CD9" s="247">
        <f t="shared" si="39"/>
        <v>1</v>
      </c>
      <c r="CE9" s="247">
        <f t="shared" si="40"/>
        <v>0</v>
      </c>
      <c r="CF9" s="247" t="str">
        <f t="shared" si="41"/>
      </c>
      <c r="CG9" s="247">
        <f t="shared" si="42"/>
        <v>0</v>
      </c>
      <c r="CH9" s="247">
        <f t="shared" si="43"/>
        <v>0</v>
      </c>
      <c r="CI9" s="247">
        <f t="shared" si="44"/>
        <v>0</v>
      </c>
      <c r="CJ9" s="247">
        <f t="shared" si="45"/>
        <v>0</v>
      </c>
      <c r="CK9" s="247" t="str">
        <f t="shared" si="46"/>
      </c>
      <c r="CL9" s="247">
        <f t="shared" si="47"/>
        <v>0</v>
      </c>
      <c r="CM9" s="247">
        <f t="shared" si="48"/>
        <v>0</v>
      </c>
      <c r="CN9" s="247">
        <f t="shared" si="49"/>
        <v>0</v>
      </c>
      <c r="CO9" s="247">
        <f t="shared" si="50"/>
        <v>0</v>
      </c>
      <c r="CP9" s="247" t="str">
        <f t="shared" si="51"/>
      </c>
      <c r="CQ9" s="247">
        <f t="shared" si="52"/>
        <v>0</v>
      </c>
      <c r="CR9" s="247">
        <f t="shared" si="53"/>
        <v>0</v>
      </c>
      <c r="CS9" s="247">
        <f t="shared" si="54"/>
        <v>0</v>
      </c>
      <c r="CT9" s="247">
        <f t="shared" si="55"/>
        <v>0</v>
      </c>
      <c r="CU9" s="247" t="str">
        <f t="shared" si="56"/>
        <v>20W/20W/20W</v>
      </c>
      <c r="CV9" s="247">
        <f t="shared" si="150"/>
        <v>20</v>
      </c>
      <c r="CW9" s="247">
        <f t="shared" si="57"/>
        <v>20</v>
      </c>
      <c r="CX9" s="247">
        <f t="shared" si="58"/>
        <v>20</v>
      </c>
      <c r="CY9" s="247">
        <f t="shared" si="59"/>
        <v>0</v>
      </c>
      <c r="CZ9" s="247" t="str">
        <f t="shared" si="60"/>
        <v>20W/20W/20W</v>
      </c>
      <c r="DA9" s="247">
        <f t="shared" si="61"/>
        <v>20</v>
      </c>
      <c r="DB9" s="247" t="str">
        <f t="shared" si="62"/>
        <v>40W/40W/40W</v>
      </c>
      <c r="DC9" s="247">
        <f t="shared" si="63"/>
        <v>40</v>
      </c>
      <c r="DD9" s="247">
        <f t="shared" si="64"/>
        <v>40</v>
      </c>
      <c r="DE9" s="247">
        <f t="shared" si="65"/>
        <v>40</v>
      </c>
      <c r="DF9" s="247">
        <f t="shared" si="66"/>
        <v>0</v>
      </c>
      <c r="DG9" s="247" t="str">
        <f t="shared" si="67"/>
        <v>40W/40W/40W</v>
      </c>
      <c r="DH9" s="247">
        <f t="shared" si="68"/>
        <v>40</v>
      </c>
      <c r="DI9" s="247" t="str">
        <f t="shared" si="69"/>
        <v>160W/160W/160W</v>
      </c>
      <c r="DJ9" s="247">
        <f t="shared" si="70"/>
        <v>160</v>
      </c>
      <c r="DK9" s="247">
        <f t="shared" si="71"/>
        <v>160</v>
      </c>
      <c r="DL9" s="247">
        <f t="shared" si="72"/>
        <v>160</v>
      </c>
      <c r="DM9" s="247">
        <f t="shared" si="73"/>
        <v>0</v>
      </c>
      <c r="DN9" s="247" t="str">
        <f t="shared" si="74"/>
        <v>160W/160W/160W</v>
      </c>
      <c r="DO9" s="247">
        <f t="shared" si="75"/>
        <v>160</v>
      </c>
      <c r="DP9" s="247" t="str">
        <f t="shared" si="76"/>
      </c>
      <c r="DQ9" s="247">
        <f t="shared" si="77"/>
        <v>0</v>
      </c>
      <c r="DR9" s="247">
        <f t="shared" si="78"/>
        <v>0</v>
      </c>
      <c r="DS9" s="247">
        <f t="shared" si="79"/>
        <v>0</v>
      </c>
      <c r="DT9" s="247">
        <f t="shared" si="80"/>
        <v>0</v>
      </c>
      <c r="DU9" s="247" t="str">
        <f t="shared" si="81"/>
      </c>
      <c r="DV9" s="247">
        <f t="shared" si="82"/>
        <v>0</v>
      </c>
      <c r="DW9" s="247" t="str">
        <f t="shared" si="83"/>
      </c>
      <c r="DX9" s="247">
        <f t="shared" si="84"/>
        <v>0</v>
      </c>
      <c r="DY9" s="247">
        <f t="shared" si="85"/>
        <v>0</v>
      </c>
      <c r="DZ9" s="247">
        <f t="shared" si="86"/>
        <v>0</v>
      </c>
      <c r="EA9" s="247">
        <f t="shared" si="87"/>
        <v>0</v>
      </c>
      <c r="EB9" s="247" t="str">
        <f t="shared" si="88"/>
      </c>
      <c r="EC9" s="247">
        <f t="shared" si="89"/>
        <v>0</v>
      </c>
      <c r="ED9" s="247" t="str">
        <f t="shared" si="90"/>
      </c>
      <c r="EE9" s="247">
        <f t="shared" si="91"/>
        <v>0</v>
      </c>
      <c r="EF9" s="247">
        <f t="shared" si="92"/>
        <v>0</v>
      </c>
      <c r="EG9" s="247">
        <f t="shared" si="93"/>
        <v>0</v>
      </c>
      <c r="EH9" s="247">
        <f t="shared" si="94"/>
        <v>0</v>
      </c>
      <c r="EI9" s="247" t="str">
        <f t="shared" si="95"/>
      </c>
      <c r="EJ9" s="247">
        <f t="shared" si="96"/>
        <v>0</v>
      </c>
      <c r="EK9" s="247">
        <f t="shared" si="97"/>
        <v>160</v>
      </c>
      <c r="EL9" s="247" t="str">
        <f t="shared" si="98"/>
        <v>G900</v>
      </c>
      <c r="EM9" s="247" t="str">
        <f t="shared" si="99"/>
        <v>U2100</v>
      </c>
      <c r="EN9" s="247" t="str">
        <f t="shared" si="100"/>
        <v>L1800</v>
      </c>
      <c r="EO9" s="247" t="str">
        <f t="shared" si="101"/>
      </c>
      <c r="EP9" s="247" t="str">
        <f t="shared" si="102"/>
      </c>
      <c r="EQ9" s="247" t="str">
        <f t="shared" si="103"/>
      </c>
      <c r="ER9" s="247" t="str">
        <f t="shared" si="104"/>
        <v>28m/ 28m/ 28m</v>
      </c>
      <c r="ES9" s="247">
        <f t="shared" si="105"/>
        <v>28</v>
      </c>
      <c r="ET9" s="247">
        <f t="shared" si="106"/>
        <v>28</v>
      </c>
      <c r="EU9" s="247">
        <f t="shared" si="107"/>
        <v>28</v>
      </c>
      <c r="EV9" s="247">
        <f t="shared" si="108"/>
        <v>0</v>
      </c>
      <c r="EW9" s="247" t="str">
        <f t="shared" si="109"/>
        <v>28m/28m/28m</v>
      </c>
      <c r="EX9" s="247" t="str">
        <f t="shared" si="110"/>
        <v>30m/ 30m/ 30m</v>
      </c>
      <c r="EY9" s="247">
        <f t="shared" si="111"/>
        <v>30</v>
      </c>
      <c r="EZ9" s="247">
        <f t="shared" si="112"/>
        <v>30</v>
      </c>
      <c r="FA9" s="247">
        <f t="shared" si="113"/>
        <v>30</v>
      </c>
      <c r="FB9" s="247">
        <f t="shared" si="114"/>
        <v>0</v>
      </c>
      <c r="FC9" s="247" t="str">
        <f t="shared" si="115"/>
        <v>30m/30m/30m</v>
      </c>
      <c r="FD9" s="247" t="str">
        <f t="shared" si="116"/>
        <v>30m/ 30m/ 30m</v>
      </c>
      <c r="FE9" s="247">
        <f t="shared" si="117"/>
        <v>30</v>
      </c>
      <c r="FF9" s="247">
        <f t="shared" si="118"/>
        <v>30</v>
      </c>
      <c r="FG9" s="247">
        <f t="shared" si="119"/>
        <v>30</v>
      </c>
      <c r="FH9" s="247">
        <f t="shared" si="120"/>
        <v>0</v>
      </c>
      <c r="FI9" s="247" t="str">
        <f t="shared" si="121"/>
        <v>30m/30m/30m</v>
      </c>
      <c r="FJ9" s="247" t="str">
        <f t="shared" si="122"/>
      </c>
      <c r="FK9" s="247">
        <f t="shared" si="123"/>
        <v>0</v>
      </c>
      <c r="FL9" s="247">
        <f t="shared" si="124"/>
        <v>0</v>
      </c>
      <c r="FM9" s="247">
        <f t="shared" si="125"/>
        <v>0</v>
      </c>
      <c r="FN9" s="247">
        <f t="shared" si="126"/>
        <v>0</v>
      </c>
      <c r="FO9" s="247" t="str">
        <f t="shared" si="127"/>
      </c>
      <c r="FP9" s="247" t="str">
        <f t="shared" si="128"/>
      </c>
      <c r="FQ9" s="247">
        <f t="shared" si="129"/>
        <v>0</v>
      </c>
      <c r="FR9" s="247">
        <f t="shared" si="130"/>
        <v>0</v>
      </c>
      <c r="FS9" s="247">
        <f t="shared" si="131"/>
        <v>0</v>
      </c>
      <c r="FT9" s="247">
        <f t="shared" si="132"/>
        <v>0</v>
      </c>
      <c r="FU9" s="247" t="str">
        <f t="shared" si="133"/>
      </c>
      <c r="FV9" s="247" t="str">
        <f t="shared" si="134"/>
      </c>
      <c r="FW9" s="247">
        <f t="shared" si="135"/>
        <v>0</v>
      </c>
      <c r="FX9" s="247">
        <f t="shared" si="136"/>
        <v>0</v>
      </c>
      <c r="FY9" s="247">
        <f t="shared" si="137"/>
        <v>0</v>
      </c>
      <c r="FZ9" s="247">
        <f t="shared" si="138"/>
        <v>0</v>
      </c>
      <c r="GA9" s="247" t="str">
        <f t="shared" si="139"/>
      </c>
      <c r="GB9" s="247" t="str">
        <f>INDEX(LabNameList,MATCH(AF9,LabIDList,0))</f>
        <v>Trung tâm Kiểm định và Chứng nhận 2</v>
      </c>
      <c r="GC9" s="247">
        <f t="shared" si="140"/>
        <v>28</v>
      </c>
      <c r="GD9" s="247">
        <f t="shared" si="141"/>
        <v>30</v>
      </c>
      <c r="GE9" s="247">
        <f t="shared" si="142"/>
        <v>30</v>
      </c>
      <c r="GF9" s="247">
        <f t="shared" si="143"/>
        <v>0</v>
      </c>
      <c r="GG9" s="247">
        <f t="shared" si="144"/>
        <v>0</v>
      </c>
      <c r="GH9" s="247">
        <f t="shared" si="145"/>
        <v>0</v>
      </c>
      <c r="GI9" s="740">
        <f t="shared" si="146"/>
        <v>28</v>
      </c>
      <c r="GJ9" s="740">
        <f t="shared" si="147"/>
        <v>28</v>
      </c>
      <c r="GK9" s="247">
        <f t="shared" si="148"/>
        <v>10</v>
      </c>
      <c r="GL9" s="247"/>
      <c r="GM9" s="247">
        <f t="shared" si="149"/>
        <v>10</v>
      </c>
      <c r="GN9" s="247"/>
    </row>
    <row r="10" ht="114.75" s="370" customFormat="1">
      <c r="A10" s="236">
        <f>Input!A10</f>
        <v>9</v>
      </c>
      <c r="B10" s="236" t="str">
        <f>Input!B10</f>
        <v>VINAPHONE-HCM</v>
      </c>
      <c r="C10" s="236" t="str">
        <f>Input!C10</f>
        <v>VINAPHONE</v>
      </c>
      <c r="D10" s="740" t="str">
        <f t="shared" si="0"/>
        <v>BDGTDM025</v>
      </c>
      <c r="E10" s="236" t="str">
        <f>Input!E10</f>
        <v>Số 37, khu 8, đường Hoàng Hoa Thám, phường Hiệp Thành, thành phố Thủ Dầu Một, tỉnh Bình Dương.</v>
      </c>
      <c r="F10" s="236" t="str">
        <f>Input!F10</f>
        <v>Bình Dương</v>
      </c>
      <c r="G10" s="740" t="str">
        <f>Input!G10</f>
        <v>106,663203</v>
      </c>
      <c r="H10" s="740" t="str">
        <f>Input!H10</f>
        <v>10,99383</v>
      </c>
      <c r="I10" s="236">
        <f>Input!I10</f>
        <v>4</v>
      </c>
      <c r="J10" s="236" t="str">
        <f>Input!J10</f>
        <v>K00466231018D005</v>
      </c>
      <c r="K10" s="259" t="str">
        <f>TEXT(Input!K10,"dd/mm/yyyy")</f>
        <v>19/11/2018</v>
      </c>
      <c r="L10" s="259" t="str">
        <f>TEXT(Input!L10,"dd/mm/yyyy")</f>
        <v>23/10/2018</v>
      </c>
      <c r="M10" s="236" t="str">
        <f>Input!M10</f>
        <v>TỔNG CÔNG TY HẠ TẦNG MẠNG;TỔNG CÔNG TY HẠ TẦNG MẠNG;TỔNG CÔNG TY HẠ TẦNG MẠNG;TỔNG CÔNG TY HẠ TẦNG MẠNG</v>
      </c>
      <c r="N10" s="236" t="str">
        <f>Input!N10</f>
        <v>BDGTDM025;BDGTDM025;BDGTDM025;BDGTDM025</v>
      </c>
      <c r="O10" s="236" t="str">
        <f>Input!O10</f>
        <v>MOTOROLA HORIZON II MACRO;MOTOROLA HORIZON II MACRO;ERICSSON RBS 3418;NSN FLEXI MULTIRADIO 10 (FHED)</v>
      </c>
      <c r="P10" s="236" t="str">
        <f>Input!P10</f>
        <v>3;3;3;3</v>
      </c>
      <c r="Q10" s="236" t="str">
        <f>Input!Q10</f>
        <v>2/2/2;2/2/2;2/2/2;1/1/1</v>
      </c>
      <c r="R10" s="236" t="str">
        <f>Input!R10</f>
        <v>20W/20W/20W;16W/16W/16W;60W/60W/60W;160W/160W/160W</v>
      </c>
      <c r="S10" s="236" t="str">
        <f>Input!S10</f>
        <v>G900;G1800;U2100;L1800</v>
      </c>
      <c r="T10" s="236" t="str">
        <f>Input!T10</f>
        <v>37m/ 37m/ 37m;34m/ 34m/ 34m;34m/ 34m/ 34m;34m/ 34m/ 34m</v>
      </c>
      <c r="U10" s="236">
        <f>Input!U10</f>
        <v>1</v>
      </c>
      <c r="V10" s="236" t="str">
        <f>Input!V10</f>
        <v>FX-X-CG-00T-900;FX-X-CDG-06T-DB-1800;S-Wave EW/EW/EW-65-18DV2/12I-F-64K-VN;S-Wave EW/EW/EW-65-18DV2/12I-F-64K-VN</v>
      </c>
      <c r="W10" s="236" t="b">
        <f>Input!W10</f>
        <v>1</v>
      </c>
      <c r="X10" s="236" t="b">
        <f>Input!X10</f>
        <v>0</v>
      </c>
      <c r="Y10" s="740">
        <f>Input!Y10</f>
        <v>0</v>
      </c>
      <c r="Z10" s="236" t="b">
        <f>Input!Z10</f>
        <v>0</v>
      </c>
      <c r="AA10" s="740">
        <f>Input!AA10</f>
        <v>0</v>
      </c>
      <c r="AB10" s="236" t="b">
        <f>Input!AB10</f>
        <v>0</v>
      </c>
      <c r="AC10" s="236" t="b">
        <f>Input!AC10</f>
        <v>1</v>
      </c>
      <c r="AD10" s="236">
        <f>Input!AD10</f>
        <v>0</v>
      </c>
      <c r="AE10" s="236">
        <f>Input!AE10</f>
        <v>0</v>
      </c>
      <c r="AF10" s="236" t="str">
        <f>Input!AF10</f>
        <v>VCC2</v>
      </c>
      <c r="AG10" s="236" t="str">
        <f>Input!AG10</f>
        <v>Trạm vi phạm vùng tuân thủ</v>
      </c>
      <c r="AH10" s="247"/>
      <c r="AI10" s="247" t="str">
        <f>INDEX(ApplicantNameList,MATCH(B10,ApplicantIDList,0))</f>
        <v>CHI NHÁNH VINAPHONE TẠI TPHCM</v>
      </c>
      <c r="AJ10" s="247" t="str">
        <f>INDEX(OperatorNameList,MATCH(C10,OperatorIDList,0))</f>
        <v>TỔNG CÔNG TY HẠ TẦNG MẠNG</v>
      </c>
      <c r="AK10" s="236" t="str">
        <f>INDEX(CityIDList,MATCH(F10,CityNameList,0))</f>
        <v>BDG</v>
      </c>
      <c r="AL10" s="247" t="str">
        <f t="shared" si="1"/>
        <v>TỔNG CÔNG TY HẠ TẦNG MẠNG</v>
      </c>
      <c r="AM10" s="247" t="str">
        <f t="shared" si="2"/>
        <v>TỔNG CÔNG TY HẠ TẦNG MẠNG</v>
      </c>
      <c r="AN10" s="247" t="str">
        <f t="shared" si="3"/>
        <v>TỔNG CÔNG TY HẠ TẦNG MẠNG</v>
      </c>
      <c r="AO10" s="247" t="str">
        <f t="shared" si="4"/>
        <v>TỔNG CÔNG TY HẠ TẦNG MẠNG</v>
      </c>
      <c r="AP10" s="247" t="str">
        <f t="shared" si="5"/>
      </c>
      <c r="AQ10" s="247" t="str">
        <f t="shared" si="6"/>
      </c>
      <c r="AR10" s="247" t="str">
        <f>IF(I10&gt;=1,INDEX(OperatorIDList,MATCH(AL10,OperatorNameList,0)),"")</f>
        <v>VINAPHONE</v>
      </c>
      <c r="AS10" s="247" t="str">
        <f>IF(I10&gt;=2,INDEX(OperatorIDList,MATCH(AM10,OperatorNameList,0)),"")</f>
        <v>VINAPHONE</v>
      </c>
      <c r="AT10" s="247" t="str">
        <f>IF(I10&gt;=3,INDEX(OperatorIDList,MATCH(AN10,OperatorNameList,0)),"")</f>
        <v>VINAPHONE</v>
      </c>
      <c r="AU10" s="247" t="str">
        <f>IF(I10&gt;=4,INDEX(OperatorIDList,MATCH(AO10,OperatorNameList,0)),"")</f>
        <v>VINAPHONE</v>
      </c>
      <c r="AV10" s="247" t="str">
        <f>IF(I10&gt;=5,INDEX(OperatorIDList,MATCH(AP10,OperatorNameList,0)),"")</f>
      </c>
      <c r="AW10" s="247" t="str">
        <f>IF(I10&gt;=6,INDEX(OperatorIDList,MATCH(AQ10,OperatorNameList,0)),"")</f>
      </c>
      <c r="AX10" s="247" t="str">
        <f t="shared" si="7"/>
        <v>VINAPHONE;VINAPHONE;VINAPHONE;VINAPHONE</v>
      </c>
      <c r="AY10" s="247" t="str">
        <f t="shared" si="8"/>
        <v>BDGTDM025</v>
      </c>
      <c r="AZ10" s="247" t="str">
        <f t="shared" si="9"/>
        <v>BDGTDM025</v>
      </c>
      <c r="BA10" s="247" t="str">
        <f t="shared" si="10"/>
        <v>BDGTDM025</v>
      </c>
      <c r="BB10" s="247" t="str">
        <f t="shared" si="11"/>
        <v>BDGTDM025</v>
      </c>
      <c r="BC10" s="247" t="str">
        <f t="shared" si="12"/>
      </c>
      <c r="BD10" s="247" t="str">
        <f t="shared" si="13"/>
      </c>
      <c r="BE10" s="247" t="str">
        <f t="shared" si="14"/>
        <v>MOTOROLA HORIZON II MACRO</v>
      </c>
      <c r="BF10" s="247" t="str">
        <f t="shared" si="15"/>
        <v>MOTOROLA HORIZON II MACRO</v>
      </c>
      <c r="BG10" s="247" t="str">
        <f t="shared" si="16"/>
        <v>ERICSSON RBS 3418</v>
      </c>
      <c r="BH10" s="247" t="str">
        <f t="shared" si="17"/>
        <v>NSN FLEXI MULTIRADIO 10 (FHED)</v>
      </c>
      <c r="BI10" s="247" t="str">
        <f t="shared" si="18"/>
      </c>
      <c r="BJ10" s="247" t="str">
        <f t="shared" si="19"/>
      </c>
      <c r="BK10" s="247">
        <f t="shared" si="20"/>
        <v>3</v>
      </c>
      <c r="BL10" s="247">
        <f t="shared" si="21"/>
        <v>3</v>
      </c>
      <c r="BM10" s="247">
        <f t="shared" si="22"/>
        <v>3</v>
      </c>
      <c r="BN10" s="247">
        <f t="shared" si="23"/>
        <v>3</v>
      </c>
      <c r="BO10" s="247">
        <f t="shared" si="24"/>
        <v>0</v>
      </c>
      <c r="BP10" s="247">
        <f t="shared" si="25"/>
        <v>0</v>
      </c>
      <c r="BQ10" s="247" t="str">
        <f t="shared" si="26"/>
        <v>2/2/2</v>
      </c>
      <c r="BR10" s="247">
        <f t="shared" si="27"/>
        <v>2</v>
      </c>
      <c r="BS10" s="247">
        <f t="shared" si="28"/>
        <v>2</v>
      </c>
      <c r="BT10" s="247">
        <f t="shared" si="29"/>
        <v>2</v>
      </c>
      <c r="BU10" s="247">
        <f t="shared" si="30"/>
        <v>0</v>
      </c>
      <c r="BV10" s="247" t="str">
        <f t="shared" si="31"/>
        <v>2/2/2</v>
      </c>
      <c r="BW10" s="247">
        <f t="shared" si="32"/>
        <v>2</v>
      </c>
      <c r="BX10" s="247">
        <f t="shared" si="33"/>
        <v>2</v>
      </c>
      <c r="BY10" s="247">
        <f t="shared" si="34"/>
        <v>2</v>
      </c>
      <c r="BZ10" s="247">
        <f t="shared" si="35"/>
        <v>0</v>
      </c>
      <c r="CA10" s="247" t="str">
        <f t="shared" si="36"/>
        <v>2/2/2</v>
      </c>
      <c r="CB10" s="247">
        <f t="shared" si="37"/>
        <v>2</v>
      </c>
      <c r="CC10" s="247">
        <f t="shared" si="38"/>
        <v>2</v>
      </c>
      <c r="CD10" s="247">
        <f t="shared" si="39"/>
        <v>2</v>
      </c>
      <c r="CE10" s="247">
        <f t="shared" si="40"/>
        <v>0</v>
      </c>
      <c r="CF10" s="247" t="str">
        <f t="shared" si="41"/>
        <v>1/1/1</v>
      </c>
      <c r="CG10" s="247">
        <f t="shared" si="42"/>
        <v>1</v>
      </c>
      <c r="CH10" s="247">
        <f t="shared" si="43"/>
        <v>1</v>
      </c>
      <c r="CI10" s="247">
        <f t="shared" si="44"/>
        <v>1</v>
      </c>
      <c r="CJ10" s="247">
        <f t="shared" si="45"/>
        <v>0</v>
      </c>
      <c r="CK10" s="247" t="str">
        <f t="shared" si="46"/>
      </c>
      <c r="CL10" s="247">
        <f t="shared" si="47"/>
        <v>0</v>
      </c>
      <c r="CM10" s="247">
        <f t="shared" si="48"/>
        <v>0</v>
      </c>
      <c r="CN10" s="247">
        <f t="shared" si="49"/>
        <v>0</v>
      </c>
      <c r="CO10" s="247">
        <f t="shared" si="50"/>
        <v>0</v>
      </c>
      <c r="CP10" s="247" t="str">
        <f t="shared" si="51"/>
      </c>
      <c r="CQ10" s="247">
        <f t="shared" si="52"/>
        <v>0</v>
      </c>
      <c r="CR10" s="247">
        <f t="shared" si="53"/>
        <v>0</v>
      </c>
      <c r="CS10" s="247">
        <f t="shared" si="54"/>
        <v>0</v>
      </c>
      <c r="CT10" s="247">
        <f t="shared" si="55"/>
        <v>0</v>
      </c>
      <c r="CU10" s="247" t="str">
        <f t="shared" si="56"/>
        <v>20W/20W/20W</v>
      </c>
      <c r="CV10" s="247">
        <f t="shared" si="150"/>
        <v>20</v>
      </c>
      <c r="CW10" s="247">
        <f t="shared" si="57"/>
        <v>20</v>
      </c>
      <c r="CX10" s="247">
        <f t="shared" si="58"/>
        <v>20</v>
      </c>
      <c r="CY10" s="247">
        <f t="shared" si="59"/>
        <v>0</v>
      </c>
      <c r="CZ10" s="247" t="str">
        <f t="shared" si="60"/>
        <v>20W/20W/20W</v>
      </c>
      <c r="DA10" s="247">
        <f t="shared" si="61"/>
        <v>20</v>
      </c>
      <c r="DB10" s="247" t="str">
        <f t="shared" si="62"/>
        <v>16W/16W/16W</v>
      </c>
      <c r="DC10" s="247">
        <f t="shared" si="63"/>
        <v>16</v>
      </c>
      <c r="DD10" s="247">
        <f t="shared" si="64"/>
        <v>16</v>
      </c>
      <c r="DE10" s="247">
        <f t="shared" si="65"/>
        <v>16</v>
      </c>
      <c r="DF10" s="247">
        <f t="shared" si="66"/>
        <v>0</v>
      </c>
      <c r="DG10" s="247" t="str">
        <f t="shared" si="67"/>
        <v>16W/16W/16W</v>
      </c>
      <c r="DH10" s="247">
        <f t="shared" si="68"/>
        <v>16</v>
      </c>
      <c r="DI10" s="247" t="str">
        <f t="shared" si="69"/>
        <v>60W/60W/60W</v>
      </c>
      <c r="DJ10" s="247">
        <f t="shared" si="70"/>
        <v>60</v>
      </c>
      <c r="DK10" s="247">
        <f t="shared" si="71"/>
        <v>60</v>
      </c>
      <c r="DL10" s="247">
        <f t="shared" si="72"/>
        <v>60</v>
      </c>
      <c r="DM10" s="247">
        <f t="shared" si="73"/>
        <v>0</v>
      </c>
      <c r="DN10" s="247" t="str">
        <f t="shared" si="74"/>
        <v>60W/60W/60W</v>
      </c>
      <c r="DO10" s="247">
        <f t="shared" si="75"/>
        <v>60</v>
      </c>
      <c r="DP10" s="247" t="str">
        <f t="shared" si="76"/>
        <v>160W/160W/160W</v>
      </c>
      <c r="DQ10" s="247">
        <f t="shared" si="77"/>
        <v>160</v>
      </c>
      <c r="DR10" s="247">
        <f t="shared" si="78"/>
        <v>160</v>
      </c>
      <c r="DS10" s="247">
        <f t="shared" si="79"/>
        <v>160</v>
      </c>
      <c r="DT10" s="247">
        <f t="shared" si="80"/>
        <v>0</v>
      </c>
      <c r="DU10" s="247" t="str">
        <f t="shared" si="81"/>
        <v>160W/160W/160W</v>
      </c>
      <c r="DV10" s="247">
        <f t="shared" si="82"/>
        <v>160</v>
      </c>
      <c r="DW10" s="247" t="str">
        <f t="shared" si="83"/>
      </c>
      <c r="DX10" s="247">
        <f t="shared" si="84"/>
        <v>0</v>
      </c>
      <c r="DY10" s="247">
        <f t="shared" si="85"/>
        <v>0</v>
      </c>
      <c r="DZ10" s="247">
        <f t="shared" si="86"/>
        <v>0</v>
      </c>
      <c r="EA10" s="247">
        <f t="shared" si="87"/>
        <v>0</v>
      </c>
      <c r="EB10" s="247" t="str">
        <f t="shared" si="88"/>
      </c>
      <c r="EC10" s="247">
        <f t="shared" si="89"/>
        <v>0</v>
      </c>
      <c r="ED10" s="247" t="str">
        <f t="shared" si="90"/>
      </c>
      <c r="EE10" s="247">
        <f t="shared" si="91"/>
        <v>0</v>
      </c>
      <c r="EF10" s="247">
        <f t="shared" si="92"/>
        <v>0</v>
      </c>
      <c r="EG10" s="247">
        <f t="shared" si="93"/>
        <v>0</v>
      </c>
      <c r="EH10" s="247">
        <f t="shared" si="94"/>
        <v>0</v>
      </c>
      <c r="EI10" s="247" t="str">
        <f t="shared" si="95"/>
      </c>
      <c r="EJ10" s="247">
        <f t="shared" si="96"/>
        <v>0</v>
      </c>
      <c r="EK10" s="247">
        <f t="shared" si="97"/>
        <v>160</v>
      </c>
      <c r="EL10" s="247" t="str">
        <f t="shared" si="98"/>
        <v>G900</v>
      </c>
      <c r="EM10" s="247" t="str">
        <f t="shared" si="99"/>
        <v>G1800</v>
      </c>
      <c r="EN10" s="247" t="str">
        <f t="shared" si="100"/>
        <v>U2100</v>
      </c>
      <c r="EO10" s="247" t="str">
        <f t="shared" si="101"/>
        <v>L1800</v>
      </c>
      <c r="EP10" s="247" t="str">
        <f t="shared" si="102"/>
      </c>
      <c r="EQ10" s="247" t="str">
        <f t="shared" si="103"/>
      </c>
      <c r="ER10" s="247" t="str">
        <f t="shared" si="104"/>
        <v>37m/ 37m/ 37m</v>
      </c>
      <c r="ES10" s="247">
        <f t="shared" si="105"/>
        <v>37</v>
      </c>
      <c r="ET10" s="247">
        <f t="shared" si="106"/>
        <v>37</v>
      </c>
      <c r="EU10" s="247">
        <f t="shared" si="107"/>
        <v>37</v>
      </c>
      <c r="EV10" s="247">
        <f t="shared" si="108"/>
        <v>0</v>
      </c>
      <c r="EW10" s="247" t="str">
        <f t="shared" si="109"/>
        <v>37m/37m/37m</v>
      </c>
      <c r="EX10" s="247" t="str">
        <f t="shared" si="110"/>
        <v>34m/ 34m/ 34m</v>
      </c>
      <c r="EY10" s="247">
        <f t="shared" si="111"/>
        <v>34</v>
      </c>
      <c r="EZ10" s="247">
        <f t="shared" si="112"/>
        <v>34</v>
      </c>
      <c r="FA10" s="247">
        <f t="shared" si="113"/>
        <v>34</v>
      </c>
      <c r="FB10" s="247">
        <f t="shared" si="114"/>
        <v>0</v>
      </c>
      <c r="FC10" s="247" t="str">
        <f t="shared" si="115"/>
        <v>34m/34m/34m</v>
      </c>
      <c r="FD10" s="247" t="str">
        <f t="shared" si="116"/>
        <v>34m/ 34m/ 34m</v>
      </c>
      <c r="FE10" s="247">
        <f t="shared" si="117"/>
        <v>34</v>
      </c>
      <c r="FF10" s="247">
        <f t="shared" si="118"/>
        <v>34</v>
      </c>
      <c r="FG10" s="247">
        <f t="shared" si="119"/>
        <v>34</v>
      </c>
      <c r="FH10" s="247">
        <f t="shared" si="120"/>
        <v>0</v>
      </c>
      <c r="FI10" s="247" t="str">
        <f t="shared" si="121"/>
        <v>34m/34m/34m</v>
      </c>
      <c r="FJ10" s="247" t="str">
        <f t="shared" si="122"/>
        <v>34m/ 34m/ 34m</v>
      </c>
      <c r="FK10" s="247">
        <f t="shared" si="123"/>
        <v>34</v>
      </c>
      <c r="FL10" s="247">
        <f t="shared" si="124"/>
        <v>34</v>
      </c>
      <c r="FM10" s="247">
        <f t="shared" si="125"/>
        <v>34</v>
      </c>
      <c r="FN10" s="247">
        <f t="shared" si="126"/>
        <v>0</v>
      </c>
      <c r="FO10" s="247" t="str">
        <f t="shared" si="127"/>
        <v>34m/34m/34m</v>
      </c>
      <c r="FP10" s="247" t="str">
        <f t="shared" si="128"/>
      </c>
      <c r="FQ10" s="247">
        <f t="shared" si="129"/>
        <v>0</v>
      </c>
      <c r="FR10" s="247">
        <f t="shared" si="130"/>
        <v>0</v>
      </c>
      <c r="FS10" s="247">
        <f t="shared" si="131"/>
        <v>0</v>
      </c>
      <c r="FT10" s="247">
        <f t="shared" si="132"/>
        <v>0</v>
      </c>
      <c r="FU10" s="247" t="str">
        <f t="shared" si="133"/>
      </c>
      <c r="FV10" s="247" t="str">
        <f t="shared" si="134"/>
      </c>
      <c r="FW10" s="247">
        <f t="shared" si="135"/>
        <v>0</v>
      </c>
      <c r="FX10" s="247">
        <f t="shared" si="136"/>
        <v>0</v>
      </c>
      <c r="FY10" s="247">
        <f t="shared" si="137"/>
        <v>0</v>
      </c>
      <c r="FZ10" s="247">
        <f t="shared" si="138"/>
        <v>0</v>
      </c>
      <c r="GA10" s="247" t="str">
        <f t="shared" si="139"/>
      </c>
      <c r="GB10" s="247" t="str">
        <f>INDEX(LabNameList,MATCH(AF10,LabIDList,0))</f>
        <v>Trung tâm Kiểm định và Chứng nhận 2</v>
      </c>
      <c r="GC10" s="247">
        <f t="shared" si="140"/>
        <v>37</v>
      </c>
      <c r="GD10" s="247">
        <f t="shared" si="141"/>
        <v>34</v>
      </c>
      <c r="GE10" s="247">
        <f t="shared" si="142"/>
        <v>34</v>
      </c>
      <c r="GF10" s="247">
        <f t="shared" si="143"/>
        <v>34</v>
      </c>
      <c r="GG10" s="247">
        <f t="shared" si="144"/>
        <v>0</v>
      </c>
      <c r="GH10" s="247">
        <f t="shared" si="145"/>
        <v>0</v>
      </c>
      <c r="GI10" s="740">
        <f t="shared" si="146"/>
        <v>34</v>
      </c>
      <c r="GJ10" s="740">
        <f t="shared" si="147"/>
        <v>34</v>
      </c>
      <c r="GK10" s="247">
        <f t="shared" si="148"/>
        <v>10</v>
      </c>
      <c r="GL10" s="247"/>
      <c r="GM10" s="247">
        <f t="shared" si="149"/>
        <v>10</v>
      </c>
      <c r="GN10" s="247"/>
    </row>
    <row r="11" ht="89.25" s="370" customFormat="1">
      <c r="A11" s="236">
        <f>Input!A11</f>
        <v>10</v>
      </c>
      <c r="B11" s="236" t="str">
        <f>Input!B11</f>
        <v>VINAPHONE-HCM</v>
      </c>
      <c r="C11" s="236" t="str">
        <f>Input!C11</f>
        <v>VINAPHONE</v>
      </c>
      <c r="D11" s="740" t="str">
        <f t="shared" si="0"/>
        <v>BDGTDM036</v>
      </c>
      <c r="E11" s="236" t="str">
        <f>Input!E11</f>
        <v>Số 108/15, đường 30 Tháng 4, khu phố 2, phường Phú Hòa, thành phố Thủ Dầu Một, tỉnh Bình Dương.</v>
      </c>
      <c r="F11" s="236" t="str">
        <f>Input!F11</f>
        <v>Bình Dương</v>
      </c>
      <c r="G11" s="740" t="str">
        <f>Input!G11</f>
        <v>106,671208</v>
      </c>
      <c r="H11" s="740" t="str">
        <f>Input!H11</f>
        <v>10,97728</v>
      </c>
      <c r="I11" s="236">
        <f>Input!I11</f>
        <v>3</v>
      </c>
      <c r="J11" s="236" t="str">
        <f>Input!J11</f>
        <v>K00476241018D005</v>
      </c>
      <c r="K11" s="259" t="str">
        <f>TEXT(Input!K11,"dd/mm/yyyy")</f>
        <v>19/11/2018</v>
      </c>
      <c r="L11" s="259" t="str">
        <f>TEXT(Input!L11,"dd/mm/yyyy")</f>
        <v>24/10/2018</v>
      </c>
      <c r="M11" s="236" t="str">
        <f>Input!M11</f>
        <v>TỔNG CÔNG TY HẠ TẦNG MẠNG;TỔNG CÔNG TY HẠ TẦNG MẠNG;TỔNG CÔNG TY HẠ TẦNG MẠNG</v>
      </c>
      <c r="N11" s="236" t="str">
        <f>Input!N11</f>
        <v>BDGTDM036;BDGTDM036;BDGTDM036</v>
      </c>
      <c r="O11" s="236" t="str">
        <f>Input!O11</f>
        <v>MOTOROLA HORIZON II MACRO;ERICSSON RBS 3206;NSN FLEXI MULTIRADIO 10 (FHED)</v>
      </c>
      <c r="P11" s="236" t="str">
        <f>Input!P11</f>
        <v>3;3;3</v>
      </c>
      <c r="Q11" s="236" t="str">
        <f>Input!Q11</f>
        <v>2/4/4;2/2/2;1/1/1</v>
      </c>
      <c r="R11" s="236" t="str">
        <f>Input!R11</f>
        <v>20W/20W/20W;40W/40W/40W;160W/160W/160W</v>
      </c>
      <c r="S11" s="236" t="str">
        <f>Input!S11</f>
        <v>G900;U2100;L1800</v>
      </c>
      <c r="T11" s="236" t="str">
        <f>Input!T11</f>
        <v>23m/ 23m/ 23m;28,5m/ 28,5m/ 28,5m;28m/ 28m/ 28m</v>
      </c>
      <c r="U11" s="236">
        <f>Input!U11</f>
        <v>1</v>
      </c>
      <c r="V11" s="236" t="str">
        <f>Input!V11</f>
        <v>FX-X-CG-00T-900;S-Wave EW/EW/EW-65-18DV2/12I-F-64K-VN;S-Wave EW/EW/EW-65-18DV2/12I-F-64K-VN</v>
      </c>
      <c r="W11" s="236" t="b">
        <f>Input!W11</f>
        <v>1</v>
      </c>
      <c r="X11" s="236" t="b">
        <f>Input!X11</f>
        <v>0</v>
      </c>
      <c r="Y11" s="740">
        <f>Input!Y11</f>
        <v>0</v>
      </c>
      <c r="Z11" s="236" t="b">
        <f>Input!Z11</f>
        <v>0</v>
      </c>
      <c r="AA11" s="740">
        <f>Input!AA11</f>
        <v>0</v>
      </c>
      <c r="AB11" s="236" t="b">
        <f>Input!AB11</f>
        <v>0</v>
      </c>
      <c r="AC11" s="236" t="b">
        <f>Input!AC11</f>
        <v>1</v>
      </c>
      <c r="AD11" s="236">
        <f>Input!AD11</f>
        <v>0</v>
      </c>
      <c r="AE11" s="236">
        <f>Input!AE11</f>
        <v>0</v>
      </c>
      <c r="AF11" s="236" t="str">
        <f>Input!AF11</f>
        <v>VCC2</v>
      </c>
      <c r="AG11" s="236">
        <f>Input!AG11</f>
        <v>0</v>
      </c>
      <c r="AH11" s="247"/>
      <c r="AI11" s="247" t="str">
        <f>INDEX(ApplicantNameList,MATCH(B11,ApplicantIDList,0))</f>
        <v>CHI NHÁNH VINAPHONE TẠI TPHCM</v>
      </c>
      <c r="AJ11" s="247" t="str">
        <f>INDEX(OperatorNameList,MATCH(C11,OperatorIDList,0))</f>
        <v>TỔNG CÔNG TY HẠ TẦNG MẠNG</v>
      </c>
      <c r="AK11" s="236" t="str">
        <f>INDEX(CityIDList,MATCH(F11,CityNameList,0))</f>
        <v>BDG</v>
      </c>
      <c r="AL11" s="247" t="str">
        <f t="shared" si="1"/>
        <v>TỔNG CÔNG TY HẠ TẦNG MẠNG</v>
      </c>
      <c r="AM11" s="247" t="str">
        <f t="shared" si="2"/>
        <v>TỔNG CÔNG TY HẠ TẦNG MẠNG</v>
      </c>
      <c r="AN11" s="247" t="str">
        <f t="shared" si="3"/>
        <v>TỔNG CÔNG TY HẠ TẦNG MẠNG</v>
      </c>
      <c r="AO11" s="247" t="str">
        <f t="shared" si="4"/>
      </c>
      <c r="AP11" s="247" t="str">
        <f t="shared" si="5"/>
      </c>
      <c r="AQ11" s="247" t="str">
        <f t="shared" si="6"/>
      </c>
      <c r="AR11" s="247" t="str">
        <f>IF(I11&gt;=1,INDEX(OperatorIDList,MATCH(AL11,OperatorNameList,0)),"")</f>
        <v>VINAPHONE</v>
      </c>
      <c r="AS11" s="247" t="str">
        <f>IF(I11&gt;=2,INDEX(OperatorIDList,MATCH(AM11,OperatorNameList,0)),"")</f>
        <v>VINAPHONE</v>
      </c>
      <c r="AT11" s="247" t="str">
        <f>IF(I11&gt;=3,INDEX(OperatorIDList,MATCH(AN11,OperatorNameList,0)),"")</f>
        <v>VINAPHONE</v>
      </c>
      <c r="AU11" s="247" t="str">
        <f>IF(I11&gt;=4,INDEX(OperatorIDList,MATCH(AO11,OperatorNameList,0)),"")</f>
      </c>
      <c r="AV11" s="247" t="str">
        <f>IF(I11&gt;=5,INDEX(OperatorIDList,MATCH(AP11,OperatorNameList,0)),"")</f>
      </c>
      <c r="AW11" s="247" t="str">
        <f>IF(I11&gt;=6,INDEX(OperatorIDList,MATCH(AQ11,OperatorNameList,0)),"")</f>
      </c>
      <c r="AX11" s="247" t="str">
        <f t="shared" si="7"/>
        <v>VINAPHONE;VINAPHONE;VINAPHONE</v>
      </c>
      <c r="AY11" s="247" t="str">
        <f t="shared" si="8"/>
        <v>BDGTDM036</v>
      </c>
      <c r="AZ11" s="247" t="str">
        <f t="shared" si="9"/>
        <v>BDGTDM036</v>
      </c>
      <c r="BA11" s="247" t="str">
        <f t="shared" si="10"/>
        <v>BDGTDM036</v>
      </c>
      <c r="BB11" s="247" t="str">
        <f t="shared" si="11"/>
      </c>
      <c r="BC11" s="247" t="str">
        <f t="shared" si="12"/>
      </c>
      <c r="BD11" s="247" t="str">
        <f t="shared" si="13"/>
      </c>
      <c r="BE11" s="247" t="str">
        <f t="shared" si="14"/>
        <v>MOTOROLA HORIZON II MACRO</v>
      </c>
      <c r="BF11" s="247" t="str">
        <f t="shared" si="15"/>
        <v>ERICSSON RBS 3206</v>
      </c>
      <c r="BG11" s="247" t="str">
        <f t="shared" si="16"/>
        <v>NSN FLEXI MULTIRADIO 10 (FHED)</v>
      </c>
      <c r="BH11" s="247" t="str">
        <f t="shared" si="17"/>
      </c>
      <c r="BI11" s="247" t="str">
        <f t="shared" si="18"/>
      </c>
      <c r="BJ11" s="247" t="str">
        <f t="shared" si="19"/>
      </c>
      <c r="BK11" s="247">
        <f t="shared" si="20"/>
        <v>3</v>
      </c>
      <c r="BL11" s="247">
        <f t="shared" si="21"/>
        <v>3</v>
      </c>
      <c r="BM11" s="247">
        <f t="shared" si="22"/>
        <v>3</v>
      </c>
      <c r="BN11" s="247">
        <f t="shared" si="23"/>
        <v>0</v>
      </c>
      <c r="BO11" s="247">
        <f t="shared" si="24"/>
        <v>0</v>
      </c>
      <c r="BP11" s="247">
        <f t="shared" si="25"/>
        <v>0</v>
      </c>
      <c r="BQ11" s="247" t="str">
        <f t="shared" si="26"/>
        <v>2/4/4</v>
      </c>
      <c r="BR11" s="247">
        <f t="shared" si="27"/>
        <v>2</v>
      </c>
      <c r="BS11" s="247">
        <f t="shared" si="28"/>
        <v>4</v>
      </c>
      <c r="BT11" s="247">
        <f t="shared" si="29"/>
        <v>4</v>
      </c>
      <c r="BU11" s="247">
        <f t="shared" si="30"/>
        <v>0</v>
      </c>
      <c r="BV11" s="247" t="str">
        <f t="shared" si="31"/>
        <v>2/2/2</v>
      </c>
      <c r="BW11" s="247">
        <f t="shared" si="32"/>
        <v>2</v>
      </c>
      <c r="BX11" s="247">
        <f t="shared" si="33"/>
        <v>2</v>
      </c>
      <c r="BY11" s="247">
        <f t="shared" si="34"/>
        <v>2</v>
      </c>
      <c r="BZ11" s="247">
        <f t="shared" si="35"/>
        <v>0</v>
      </c>
      <c r="CA11" s="247" t="str">
        <f t="shared" si="36"/>
        <v>1/1/1</v>
      </c>
      <c r="CB11" s="247">
        <f t="shared" si="37"/>
        <v>1</v>
      </c>
      <c r="CC11" s="247">
        <f t="shared" si="38"/>
        <v>1</v>
      </c>
      <c r="CD11" s="247">
        <f t="shared" si="39"/>
        <v>1</v>
      </c>
      <c r="CE11" s="247">
        <f t="shared" si="40"/>
        <v>0</v>
      </c>
      <c r="CF11" s="247" t="str">
        <f t="shared" si="41"/>
      </c>
      <c r="CG11" s="247">
        <f t="shared" si="42"/>
        <v>0</v>
      </c>
      <c r="CH11" s="247">
        <f t="shared" si="43"/>
        <v>0</v>
      </c>
      <c r="CI11" s="247">
        <f t="shared" si="44"/>
        <v>0</v>
      </c>
      <c r="CJ11" s="247">
        <f t="shared" si="45"/>
        <v>0</v>
      </c>
      <c r="CK11" s="247" t="str">
        <f t="shared" si="46"/>
      </c>
      <c r="CL11" s="247">
        <f t="shared" si="47"/>
        <v>0</v>
      </c>
      <c r="CM11" s="247">
        <f t="shared" si="48"/>
        <v>0</v>
      </c>
      <c r="CN11" s="247">
        <f t="shared" si="49"/>
        <v>0</v>
      </c>
      <c r="CO11" s="247">
        <f t="shared" si="50"/>
        <v>0</v>
      </c>
      <c r="CP11" s="247" t="str">
        <f t="shared" si="51"/>
      </c>
      <c r="CQ11" s="247">
        <f t="shared" si="52"/>
        <v>0</v>
      </c>
      <c r="CR11" s="247">
        <f t="shared" si="53"/>
        <v>0</v>
      </c>
      <c r="CS11" s="247">
        <f t="shared" si="54"/>
        <v>0</v>
      </c>
      <c r="CT11" s="247">
        <f t="shared" si="55"/>
        <v>0</v>
      </c>
      <c r="CU11" s="247" t="str">
        <f t="shared" si="56"/>
        <v>20W/20W/20W</v>
      </c>
      <c r="CV11" s="247">
        <f t="shared" si="150"/>
        <v>20</v>
      </c>
      <c r="CW11" s="247">
        <f t="shared" si="57"/>
        <v>20</v>
      </c>
      <c r="CX11" s="247">
        <f t="shared" si="58"/>
        <v>20</v>
      </c>
      <c r="CY11" s="247">
        <f t="shared" si="59"/>
        <v>0</v>
      </c>
      <c r="CZ11" s="247" t="str">
        <f t="shared" si="60"/>
        <v>20W/20W/20W</v>
      </c>
      <c r="DA11" s="247">
        <f t="shared" si="61"/>
        <v>20</v>
      </c>
      <c r="DB11" s="247" t="str">
        <f t="shared" si="62"/>
        <v>40W/40W/40W</v>
      </c>
      <c r="DC11" s="247">
        <f t="shared" si="63"/>
        <v>40</v>
      </c>
      <c r="DD11" s="247">
        <f t="shared" si="64"/>
        <v>40</v>
      </c>
      <c r="DE11" s="247">
        <f t="shared" si="65"/>
        <v>40</v>
      </c>
      <c r="DF11" s="247">
        <f t="shared" si="66"/>
        <v>0</v>
      </c>
      <c r="DG11" s="247" t="str">
        <f t="shared" si="67"/>
        <v>40W/40W/40W</v>
      </c>
      <c r="DH11" s="247">
        <f t="shared" si="68"/>
        <v>40</v>
      </c>
      <c r="DI11" s="247" t="str">
        <f t="shared" si="69"/>
        <v>160W/160W/160W</v>
      </c>
      <c r="DJ11" s="247">
        <f t="shared" si="70"/>
        <v>160</v>
      </c>
      <c r="DK11" s="247">
        <f t="shared" si="71"/>
        <v>160</v>
      </c>
      <c r="DL11" s="247">
        <f t="shared" si="72"/>
        <v>160</v>
      </c>
      <c r="DM11" s="247">
        <f t="shared" si="73"/>
        <v>0</v>
      </c>
      <c r="DN11" s="247" t="str">
        <f t="shared" si="74"/>
        <v>160W/160W/160W</v>
      </c>
      <c r="DO11" s="247">
        <f t="shared" si="75"/>
        <v>160</v>
      </c>
      <c r="DP11" s="247" t="str">
        <f t="shared" si="76"/>
      </c>
      <c r="DQ11" s="247">
        <f t="shared" si="77"/>
        <v>0</v>
      </c>
      <c r="DR11" s="247">
        <f t="shared" si="78"/>
        <v>0</v>
      </c>
      <c r="DS11" s="247">
        <f t="shared" si="79"/>
        <v>0</v>
      </c>
      <c r="DT11" s="247">
        <f t="shared" si="80"/>
        <v>0</v>
      </c>
      <c r="DU11" s="247" t="str">
        <f t="shared" si="81"/>
      </c>
      <c r="DV11" s="247">
        <f t="shared" si="82"/>
        <v>0</v>
      </c>
      <c r="DW11" s="247" t="str">
        <f t="shared" si="83"/>
      </c>
      <c r="DX11" s="247">
        <f t="shared" si="84"/>
        <v>0</v>
      </c>
      <c r="DY11" s="247">
        <f t="shared" si="85"/>
        <v>0</v>
      </c>
      <c r="DZ11" s="247">
        <f t="shared" si="86"/>
        <v>0</v>
      </c>
      <c r="EA11" s="247">
        <f t="shared" si="87"/>
        <v>0</v>
      </c>
      <c r="EB11" s="247" t="str">
        <f t="shared" si="88"/>
      </c>
      <c r="EC11" s="247">
        <f t="shared" si="89"/>
        <v>0</v>
      </c>
      <c r="ED11" s="247" t="str">
        <f t="shared" si="90"/>
      </c>
      <c r="EE11" s="247">
        <f t="shared" si="91"/>
        <v>0</v>
      </c>
      <c r="EF11" s="247">
        <f t="shared" si="92"/>
        <v>0</v>
      </c>
      <c r="EG11" s="247">
        <f t="shared" si="93"/>
        <v>0</v>
      </c>
      <c r="EH11" s="247">
        <f t="shared" si="94"/>
        <v>0</v>
      </c>
      <c r="EI11" s="247" t="str">
        <f t="shared" si="95"/>
      </c>
      <c r="EJ11" s="247">
        <f t="shared" si="96"/>
        <v>0</v>
      </c>
      <c r="EK11" s="247">
        <f t="shared" si="97"/>
        <v>160</v>
      </c>
      <c r="EL11" s="247" t="str">
        <f t="shared" si="98"/>
        <v>G900</v>
      </c>
      <c r="EM11" s="247" t="str">
        <f t="shared" si="99"/>
        <v>U2100</v>
      </c>
      <c r="EN11" s="247" t="str">
        <f t="shared" si="100"/>
        <v>L1800</v>
      </c>
      <c r="EO11" s="247" t="str">
        <f t="shared" si="101"/>
      </c>
      <c r="EP11" s="247" t="str">
        <f t="shared" si="102"/>
      </c>
      <c r="EQ11" s="247" t="str">
        <f t="shared" si="103"/>
      </c>
      <c r="ER11" s="247" t="str">
        <f t="shared" si="104"/>
        <v>23m/ 23m/ 23m</v>
      </c>
      <c r="ES11" s="247">
        <f t="shared" si="105"/>
        <v>23</v>
      </c>
      <c r="ET11" s="247">
        <f t="shared" si="106"/>
        <v>23</v>
      </c>
      <c r="EU11" s="247">
        <f t="shared" si="107"/>
        <v>23</v>
      </c>
      <c r="EV11" s="247">
        <f t="shared" si="108"/>
        <v>0</v>
      </c>
      <c r="EW11" s="247" t="str">
        <f t="shared" si="109"/>
        <v>23m/23m/23m</v>
      </c>
      <c r="EX11" s="247" t="str">
        <f t="shared" si="110"/>
        <v>28,5m/ 28,5m/ 28,5m</v>
      </c>
      <c r="EY11" s="247">
        <f t="shared" si="111"/>
        <v>28.5</v>
      </c>
      <c r="EZ11" s="247">
        <f t="shared" si="112"/>
        <v>28.5</v>
      </c>
      <c r="FA11" s="247">
        <f t="shared" si="113"/>
        <v>28.5</v>
      </c>
      <c r="FB11" s="247">
        <f t="shared" si="114"/>
        <v>0</v>
      </c>
      <c r="FC11" s="247" t="str">
        <f t="shared" si="115"/>
        <v>28,5m/28,5m/28,5m</v>
      </c>
      <c r="FD11" s="247" t="str">
        <f t="shared" si="116"/>
        <v>28m/ 28m/ 28m</v>
      </c>
      <c r="FE11" s="247">
        <f t="shared" si="117"/>
        <v>28</v>
      </c>
      <c r="FF11" s="247">
        <f t="shared" si="118"/>
        <v>28</v>
      </c>
      <c r="FG11" s="247">
        <f t="shared" si="119"/>
        <v>28</v>
      </c>
      <c r="FH11" s="247">
        <f t="shared" si="120"/>
        <v>0</v>
      </c>
      <c r="FI11" s="247" t="str">
        <f t="shared" si="121"/>
        <v>28m/28m/28m</v>
      </c>
      <c r="FJ11" s="247" t="str">
        <f t="shared" si="122"/>
      </c>
      <c r="FK11" s="247">
        <f t="shared" si="123"/>
        <v>0</v>
      </c>
      <c r="FL11" s="247">
        <f t="shared" si="124"/>
        <v>0</v>
      </c>
      <c r="FM11" s="247">
        <f t="shared" si="125"/>
        <v>0</v>
      </c>
      <c r="FN11" s="247">
        <f t="shared" si="126"/>
        <v>0</v>
      </c>
      <c r="FO11" s="247" t="str">
        <f t="shared" si="127"/>
      </c>
      <c r="FP11" s="247" t="str">
        <f t="shared" si="128"/>
      </c>
      <c r="FQ11" s="247">
        <f t="shared" si="129"/>
        <v>0</v>
      </c>
      <c r="FR11" s="247">
        <f t="shared" si="130"/>
        <v>0</v>
      </c>
      <c r="FS11" s="247">
        <f t="shared" si="131"/>
        <v>0</v>
      </c>
      <c r="FT11" s="247">
        <f t="shared" si="132"/>
        <v>0</v>
      </c>
      <c r="FU11" s="247" t="str">
        <f t="shared" si="133"/>
      </c>
      <c r="FV11" s="247" t="str">
        <f t="shared" si="134"/>
      </c>
      <c r="FW11" s="247">
        <f t="shared" si="135"/>
        <v>0</v>
      </c>
      <c r="FX11" s="247">
        <f t="shared" si="136"/>
        <v>0</v>
      </c>
      <c r="FY11" s="247">
        <f t="shared" si="137"/>
        <v>0</v>
      </c>
      <c r="FZ11" s="247">
        <f t="shared" si="138"/>
        <v>0</v>
      </c>
      <c r="GA11" s="247" t="str">
        <f t="shared" si="139"/>
      </c>
      <c r="GB11" s="247" t="str">
        <f>INDEX(LabNameList,MATCH(AF11,LabIDList,0))</f>
        <v>Trung tâm Kiểm định và Chứng nhận 2</v>
      </c>
      <c r="GC11" s="247">
        <f t="shared" si="140"/>
        <v>23</v>
      </c>
      <c r="GD11" s="247">
        <f t="shared" si="141"/>
        <v>28.5</v>
      </c>
      <c r="GE11" s="247">
        <f t="shared" si="142"/>
        <v>28</v>
      </c>
      <c r="GF11" s="247">
        <f t="shared" si="143"/>
        <v>0</v>
      </c>
      <c r="GG11" s="247">
        <f t="shared" si="144"/>
        <v>0</v>
      </c>
      <c r="GH11" s="247">
        <f t="shared" si="145"/>
        <v>0</v>
      </c>
      <c r="GI11" s="740">
        <f t="shared" si="146"/>
        <v>23</v>
      </c>
      <c r="GJ11" s="740">
        <f t="shared" si="147"/>
        <v>23</v>
      </c>
      <c r="GK11" s="247">
        <f t="shared" si="148"/>
        <v>10</v>
      </c>
      <c r="GL11" s="247"/>
      <c r="GM11" s="247">
        <f t="shared" si="149"/>
        <v>10</v>
      </c>
      <c r="GN11" s="247"/>
    </row>
  </sheetData>
  <sheetProtection sheet="1" objects="1" scenarios="1" formatCells="0" formatColumns="0" formatRows="0" sort="0" autoFilter="0" pivotTables="0"/>
  <autoFilter ref="AI1:GN2"/>
  <conditionalFormatting sqref="W3:X1048576">
    <cfRule type="containsText" dxfId="10" priority="87" operator="containsText" text="no">
      <formula>NOT(ISERROR(SEARCH("no",W3)))</formula>
    </cfRule>
  </conditionalFormatting>
  <conditionalFormatting sqref="GO1:XFD1 A1:V1 AD1 AF1:CU1 A2:CU1048576 CZ1:DB1048576 DG1:DI1048576 DN1:DP1048576 DU1:DW1048576 EB1:ED1048576 EI1:GJ1 EI2:XFD1048576">
    <cfRule type="containsErrors" dxfId="10" priority="85">
      <formula>ISERROR(A1)</formula>
    </cfRule>
  </conditionalFormatting>
  <conditionalFormatting sqref="X1 AC1">
    <cfRule type="containsText" dxfId="10" priority="84" operator="containsText" text="no">
      <formula>NOT(ISERROR(SEARCH("no",X1)))</formula>
    </cfRule>
  </conditionalFormatting>
  <conditionalFormatting sqref="CV1:CV1048576">
    <cfRule type="expression" dxfId="49" priority="81">
      <formula>(CV1&lt;&gt;GetEquPower(C1,BE1, BR1, EL1))</formula>
    </cfRule>
    <cfRule type="expression" dxfId="50" priority="80">
      <formula>AND(CV1&lt;&gt;0, GetEquPower(C1,BE1, BR1, EL1)=0)</formula>
    </cfRule>
    <cfRule type="containsErrors" dxfId="10" priority="79">
      <formula>ISERROR(CV1)</formula>
    </cfRule>
  </conditionalFormatting>
  <conditionalFormatting sqref="CW1:CW1048576">
    <cfRule type="containsErrors" dxfId="10" priority="73">
      <formula>ISERROR(CW1)</formula>
    </cfRule>
    <cfRule type="expression" dxfId="50" priority="74">
      <formula>AND(CW1&lt;&gt;0, GetEquPower(C1,BE1, BS1, EL1)=0)</formula>
    </cfRule>
    <cfRule type="expression" dxfId="49" priority="75">
      <formula>(CW1&lt;&gt;GetEquPower(C1,BE1, BS1, EL1))</formula>
    </cfRule>
  </conditionalFormatting>
  <conditionalFormatting sqref="CX1:CX1048576">
    <cfRule type="containsErrors" dxfId="10" priority="70">
      <formula>ISERROR(CX1)</formula>
    </cfRule>
    <cfRule type="expression" dxfId="50" priority="71">
      <formula>AND(CX1&lt;&gt;0, GetEquPower(C1,BE1, BT1, EL1)=0)</formula>
    </cfRule>
    <cfRule type="expression" dxfId="49" priority="72">
      <formula>(CX1&lt;&gt;GetEquPower(C1,BE1, BT1, EL1))</formula>
    </cfRule>
  </conditionalFormatting>
  <conditionalFormatting sqref="CY1:CY1048576">
    <cfRule type="containsErrors" dxfId="10" priority="67">
      <formula>ISERROR(CY1)</formula>
    </cfRule>
    <cfRule type="expression" dxfId="50" priority="68">
      <formula>AND(CY1&lt;&gt;0, GetEquPower(C1,BE1, BU1, EL1)=0)</formula>
    </cfRule>
    <cfRule type="expression" dxfId="49" priority="69">
      <formula>(CY1&lt;&gt;GetEquPower(C1,BE1, BU1, EL1))</formula>
    </cfRule>
  </conditionalFormatting>
  <conditionalFormatting sqref="DC1:DC1048576">
    <cfRule type="containsErrors" dxfId="10" priority="64">
      <formula>ISERROR(DC1)</formula>
    </cfRule>
    <cfRule type="expression" dxfId="50" priority="65">
      <formula>AND(DC1&lt;&gt;0, GetEquPower(C1,BF1, BW1, EM1)=0)</formula>
    </cfRule>
    <cfRule type="expression" dxfId="49" priority="66">
      <formula>(DC1&lt;&gt;GetEquPower(C1,BF1, BW1, EM1))</formula>
    </cfRule>
  </conditionalFormatting>
  <conditionalFormatting sqref="DD1:DD1048576">
    <cfRule type="containsErrors" dxfId="10" priority="61">
      <formula>ISERROR(DD1)</formula>
    </cfRule>
    <cfRule type="expression" dxfId="50" priority="62">
      <formula>AND(DD1&lt;&gt;0, GetEquPower(C1,BF1, BX1, EM1)=0)</formula>
    </cfRule>
    <cfRule type="expression" dxfId="49" priority="63">
      <formula>(DD1&lt;&gt;GetEquPower(C1,BF1, BX1, EM1))</formula>
    </cfRule>
  </conditionalFormatting>
  <conditionalFormatting sqref="DE1:DE1048576">
    <cfRule type="containsErrors" dxfId="10" priority="58">
      <formula>ISERROR(DE1)</formula>
    </cfRule>
    <cfRule type="expression" dxfId="50" priority="59">
      <formula>AND(DE1&lt;&gt;0, GetEquPower(C1,BF1, BY1, EM1)=0)</formula>
    </cfRule>
    <cfRule type="expression" dxfId="49" priority="60">
      <formula>(DE1&lt;&gt;GetEquPower(C1,BF1, BY1, EM1))</formula>
    </cfRule>
  </conditionalFormatting>
  <conditionalFormatting sqref="DF1:DF1048576">
    <cfRule type="containsErrors" dxfId="10" priority="55">
      <formula>ISERROR(DF1)</formula>
    </cfRule>
    <cfRule type="expression" dxfId="50" priority="56">
      <formula>AND(DF1&lt;&gt;0, GetEquPower(C1,BF1, BZ1, EM1)=0)</formula>
    </cfRule>
    <cfRule type="expression" dxfId="49" priority="57">
      <formula>(DF1&lt;&gt;GetEquPower(C1,BF1, BZ1, EM1))</formula>
    </cfRule>
  </conditionalFormatting>
  <conditionalFormatting sqref="DJ1:DJ1048576">
    <cfRule type="containsErrors" dxfId="10" priority="52">
      <formula>ISERROR(DJ1)</formula>
    </cfRule>
    <cfRule type="expression" dxfId="50" priority="53">
      <formula>AND(DJ1&lt;&gt;0, GetEquPower(C1,BG1, CB1, EN1)=0)</formula>
    </cfRule>
    <cfRule type="expression" dxfId="49" priority="54">
      <formula>(DJ1&lt;&gt;GetEquPower(C1,BG1, CB1, EN1))</formula>
    </cfRule>
  </conditionalFormatting>
  <conditionalFormatting sqref="DK1:DK1048576">
    <cfRule type="containsErrors" dxfId="10" priority="49">
      <formula>ISERROR(DK1)</formula>
    </cfRule>
    <cfRule type="expression" dxfId="50" priority="50">
      <formula>AND(DK1&lt;&gt;0, GetEquPower(C1,BG1, CC1, EN1)=0)</formula>
    </cfRule>
    <cfRule type="expression" dxfId="49" priority="51">
      <formula>(DK1&lt;&gt;GetEquPower(C1,BG1, CC1, EN1))</formula>
    </cfRule>
  </conditionalFormatting>
  <conditionalFormatting sqref="DL1:DL1048576">
    <cfRule type="containsErrors" dxfId="10" priority="46">
      <formula>ISERROR(DL1)</formula>
    </cfRule>
    <cfRule type="expression" dxfId="50" priority="47">
      <formula>AND(DL1&lt;&gt;0, GetEquPower(C1,BG1, CD1, EN1)=0)</formula>
    </cfRule>
    <cfRule type="expression" dxfId="49" priority="48">
      <formula>(DL1&lt;&gt;GetEquPower(C1,BG1, CD1, EN1))</formula>
    </cfRule>
  </conditionalFormatting>
  <conditionalFormatting sqref="DM1:DM1048576">
    <cfRule type="containsErrors" dxfId="10" priority="43">
      <formula>ISERROR(DM1)</formula>
    </cfRule>
    <cfRule type="expression" dxfId="50" priority="44">
      <formula>AND(DM1&lt;&gt;0, GetEquPower(C1,BG1, CE1, EN1)=0)</formula>
    </cfRule>
    <cfRule type="expression" dxfId="49" priority="45">
      <formula>(DM1&lt;&gt;GetEquPower(C1,BG1, CE1, EN1))</formula>
    </cfRule>
  </conditionalFormatting>
  <conditionalFormatting sqref="DQ1:DQ1048576">
    <cfRule type="containsErrors" dxfId="10" priority="40">
      <formula>ISERROR(DQ1)</formula>
    </cfRule>
    <cfRule type="expression" dxfId="50" priority="41">
      <formula>AND(DQ1&lt;&gt;0, GetEquPower(C1,BH1, CG1, EO1)=0)</formula>
    </cfRule>
    <cfRule type="expression" dxfId="49" priority="42">
      <formula>(DQ1&lt;&gt;GetEquPower(C1,BH1, CG1, EO1))</formula>
    </cfRule>
  </conditionalFormatting>
  <conditionalFormatting sqref="DR1:DR1048576">
    <cfRule type="containsErrors" dxfId="10" priority="37">
      <formula>ISERROR(DR1)</formula>
    </cfRule>
    <cfRule type="expression" dxfId="50" priority="38">
      <formula>AND(DR1&lt;&gt;0, GetEquPower(C1,BH1, CH1, EO1)=0)</formula>
    </cfRule>
    <cfRule type="expression" dxfId="49" priority="39">
      <formula>(DR1&lt;&gt;GetEquPower(C1,BH1, CH1, EO1))</formula>
    </cfRule>
  </conditionalFormatting>
  <conditionalFormatting sqref="DS1:DS1048576">
    <cfRule type="containsErrors" dxfId="10" priority="34">
      <formula>ISERROR(DS1)</formula>
    </cfRule>
    <cfRule type="expression" dxfId="50" priority="35">
      <formula>AND(DS1&lt;&gt;0, GetEquPower(C1,BH1, CI1, EO1)=0)</formula>
    </cfRule>
    <cfRule type="expression" dxfId="49" priority="36">
      <formula>(DS1&lt;&gt;GetEquPower(C1,BH1, CI1, EO1))</formula>
    </cfRule>
  </conditionalFormatting>
  <conditionalFormatting sqref="DT1:DT1048576">
    <cfRule type="containsErrors" dxfId="10" priority="31">
      <formula>ISERROR(DT1)</formula>
    </cfRule>
    <cfRule type="expression" dxfId="50" priority="32">
      <formula>AND(DT1&lt;&gt;0, GetEquPower(C1,BH1, CJ1, EO1)=0)</formula>
    </cfRule>
    <cfRule type="expression" dxfId="49" priority="33">
      <formula>(DT1&lt;&gt;GetEquPower(C1,BH1, CJ1, EO1))</formula>
    </cfRule>
  </conditionalFormatting>
  <conditionalFormatting sqref="DX1:DX1048576">
    <cfRule type="containsErrors" dxfId="10" priority="25">
      <formula>ISERROR(DX1)</formula>
    </cfRule>
    <cfRule type="expression" dxfId="50" priority="26">
      <formula>AND(DX1&lt;&gt;0, GetEquPower(C1,BI1, CL1, EP1)=0)</formula>
    </cfRule>
    <cfRule type="expression" dxfId="49" priority="27">
      <formula>(DX1&lt;&gt;GetEquPower(C1,BI1, CL1, EP1))</formula>
    </cfRule>
  </conditionalFormatting>
  <conditionalFormatting sqref="DY1:DY1048576">
    <cfRule type="containsErrors" dxfId="10" priority="22">
      <formula>ISERROR(DY1)</formula>
    </cfRule>
    <cfRule type="expression" dxfId="50" priority="23">
      <formula>AND(DY1&lt;&gt;0, GetEquPower(C1,BI1, CM1, EP1)=0)</formula>
    </cfRule>
    <cfRule type="expression" dxfId="49" priority="24">
      <formula>(DY1&lt;&gt;GetEquPower(C1,BI1, CM1, EP1))</formula>
    </cfRule>
  </conditionalFormatting>
  <conditionalFormatting sqref="DZ1:DZ1048576">
    <cfRule type="containsErrors" dxfId="10" priority="19">
      <formula>ISERROR(DZ1)</formula>
    </cfRule>
    <cfRule type="expression" dxfId="50" priority="20">
      <formula>AND(DZ1&lt;&gt;0, GetEquPower(C1,BI1, CN1, EP1)=0)</formula>
    </cfRule>
    <cfRule type="expression" dxfId="49" priority="21">
      <formula>(DZ1&lt;&gt;GetEquPower(C1,BI1, CN1, EP1))</formula>
    </cfRule>
  </conditionalFormatting>
  <conditionalFormatting sqref="EA1:EA1048576">
    <cfRule type="containsErrors" dxfId="10" priority="16">
      <formula>ISERROR(EA1)</formula>
    </cfRule>
    <cfRule type="expression" dxfId="50" priority="17">
      <formula>AND(EA1&lt;&gt;0, GetEquPower(C1,BI1, CO1, EP1)=0)</formula>
    </cfRule>
    <cfRule type="expression" dxfId="49" priority="18">
      <formula>(EA1&lt;&gt;GetEquPower(C1,BI1, CO1, EP1))</formula>
    </cfRule>
  </conditionalFormatting>
  <conditionalFormatting sqref="EE1:EE1048576">
    <cfRule type="containsErrors" dxfId="10" priority="10">
      <formula>ISERROR(EE1)</formula>
    </cfRule>
    <cfRule type="expression" dxfId="50" priority="11">
      <formula>AND(EE1&lt;&gt;0, GetEquPower(C1,BJ1, CQ1, EQ1)=0)</formula>
    </cfRule>
    <cfRule type="expression" dxfId="49" priority="12">
      <formula>(EE1&lt;&gt;GetEquPower(C1,BJ1, CQ1, EQ1))</formula>
    </cfRule>
  </conditionalFormatting>
  <conditionalFormatting sqref="EF1:EF1048576">
    <cfRule type="containsErrors" dxfId="10" priority="7">
      <formula>ISERROR(EF1)</formula>
    </cfRule>
    <cfRule type="expression" dxfId="50" priority="8">
      <formula>AND(EF1&lt;&gt;0, GetEquPower(C1,BJ1, CR1, EQ1)=0)</formula>
    </cfRule>
    <cfRule type="expression" dxfId="49" priority="9">
      <formula>(EF1&lt;&gt;GetEquPower(C1,BJ1, CR1, EQ1))</formula>
    </cfRule>
  </conditionalFormatting>
  <conditionalFormatting sqref="EG1:EG1048576">
    <cfRule type="containsErrors" dxfId="10" priority="4">
      <formula>ISERROR(EG1)</formula>
    </cfRule>
    <cfRule type="expression" dxfId="50" priority="5">
      <formula>AND(EG1&lt;&gt;0, GetEquPower(C1,BJ1, CS1, EQ1)=0)</formula>
    </cfRule>
    <cfRule type="expression" dxfId="49" priority="6">
      <formula>(EG1&lt;&gt;GetEquPower(C1,BJ1, CS1, EQ1))</formula>
    </cfRule>
  </conditionalFormatting>
  <conditionalFormatting sqref="EH1:EH1048576">
    <cfRule type="containsErrors" dxfId="10" priority="1">
      <formula>ISERROR(EH1)</formula>
    </cfRule>
    <cfRule type="expression" dxfId="50" priority="2">
      <formula>AND(EH1&lt;&gt;0, GetEquPower(C1,BJ1, CT1, EQ1)=0)</formula>
    </cfRule>
    <cfRule type="expression" dxfId="49" priority="3">
      <formula>(EH1&lt;&gt;GetEquPower(C1,BJ1, CT1, EQ1))</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K11"/>
  <sheetViews>
    <sheetView topLeftCell="GH1" zoomScale="85" zoomScaleNormal="85" workbookViewId="0">
      <selection activeCell="GL1" sqref="GL1"/>
    </sheetView>
  </sheetViews>
  <sheetFormatPr defaultColWidth="9.140625" defaultRowHeight="12.75"/>
  <cols>
    <col min="1" max="1" bestFit="1" width="5" customWidth="1" style="369"/>
    <col min="2" max="2" bestFit="1" width="17.140625" customWidth="1" style="371"/>
    <col min="3" max="3" bestFit="1" width="16.7109375" customWidth="1" style="369"/>
    <col min="4" max="4" width="9.140625" customWidth="1" style="738"/>
    <col min="5" max="5" width="54.140625" customWidth="1" style="369"/>
    <col min="6" max="6" width="16.5703125" customWidth="1" style="369"/>
    <col min="7" max="7" bestFit="1" width="9.140625" customWidth="1" style="738"/>
    <col min="8" max="8" bestFit="1" width="9.140625" customWidth="1" style="326"/>
    <col min="9" max="9" width="10.5703125" customWidth="1" style="372"/>
    <col min="10" max="10" width="23.140625" customWidth="1" style="359"/>
    <col min="11" max="12" bestFit="1" width="11.28515625" customWidth="1" style="375"/>
    <col min="13" max="13" width="33.28515625" customWidth="1" style="359"/>
    <col min="14" max="15" width="15.28515625" customWidth="1" style="359"/>
    <col min="16" max="16" width="9.140625" customWidth="1" style="359"/>
    <col min="17" max="17" bestFit="1" width="15.42578125" customWidth="1" style="359"/>
    <col min="18" max="18" width="42.140625" customWidth="1" style="359"/>
    <col min="19" max="19" width="27.28515625" customWidth="1" style="359"/>
    <col min="20" max="20" width="14.28515625" customWidth="1" style="359"/>
    <col min="21" max="21" width="7.7109375" customWidth="1" style="359"/>
    <col min="22" max="22" width="20.42578125" customWidth="1" style="359"/>
    <col min="23" max="24" width="10.5703125" customWidth="1" style="359"/>
    <col min="25" max="25" width="9.140625" customWidth="1" style="326"/>
    <col min="26" max="26" width="13" customWidth="1" style="359"/>
    <col min="27" max="27" width="9.140625" customWidth="1" style="326"/>
    <col min="28" max="29" width="13" customWidth="1" style="359"/>
    <col min="30" max="30" width="32.28515625" customWidth="1" style="359"/>
    <col min="31" max="31" width="14.140625" customWidth="1" style="359"/>
    <col min="32" max="32" width="10.7109375" customWidth="1" style="359"/>
    <col min="33" max="33" width="24.7109375" customWidth="1" style="359"/>
    <col min="34" max="34" width="4.7109375" customWidth="1" style="359"/>
    <col min="35" max="35" bestFit="1" width="15.42578125" customWidth="1" style="359"/>
    <col min="36" max="36" width="15.85546875" customWidth="1" style="359"/>
    <col min="37" max="37" width="9.140625" customWidth="1" style="369"/>
    <col min="38" max="183" width="9.140625" customWidth="1" style="359"/>
    <col min="184" max="184" bestFit="1" width="9.5703125" customWidth="1" style="359"/>
    <col min="185" max="190" width="9.140625" customWidth="1" style="359"/>
    <col min="191" max="191" width="9.140625" customWidth="1" style="326"/>
    <col min="192" max="192" width="9.140625" customWidth="1" style="326"/>
    <col min="193" max="198" width="9.140625" customWidth="1" style="359"/>
    <col min="199" max="202" width="15.140625" customWidth="1" style="359"/>
    <col min="203" max="219" width="14.140625" customWidth="1" style="359"/>
    <col min="220" max="16384" width="9.140625" customWidth="1" style="359"/>
  </cols>
  <sheetData>
    <row r="1" ht="63" s="369" customFormat="1">
      <c r="A1" s="248" t="s">
        <v>0</v>
      </c>
      <c r="B1" s="248" t="s">
        <v>402</v>
      </c>
      <c r="C1" s="248" t="s">
        <v>403</v>
      </c>
      <c r="D1" s="355" t="s">
        <v>404</v>
      </c>
      <c r="E1" s="248" t="s">
        <v>47</v>
      </c>
      <c r="F1" s="248" t="s">
        <v>405</v>
      </c>
      <c r="G1" s="355" t="s">
        <v>406</v>
      </c>
      <c r="H1" s="355" t="s">
        <v>407</v>
      </c>
      <c r="I1" s="249" t="s">
        <v>408</v>
      </c>
      <c r="J1" s="249" t="s">
        <v>409</v>
      </c>
      <c r="K1" s="355" t="s">
        <v>410</v>
      </c>
      <c r="L1" s="355" t="s">
        <v>411</v>
      </c>
      <c r="M1" s="249" t="s">
        <v>412</v>
      </c>
      <c r="N1" s="249" t="s">
        <v>413</v>
      </c>
      <c r="O1" s="249" t="s">
        <v>414</v>
      </c>
      <c r="P1" s="249" t="s">
        <v>415</v>
      </c>
      <c r="Q1" s="249" t="s">
        <v>416</v>
      </c>
      <c r="R1" s="249" t="s">
        <v>417</v>
      </c>
      <c r="S1" s="249" t="s">
        <v>418</v>
      </c>
      <c r="T1" s="249" t="s">
        <v>419</v>
      </c>
      <c r="U1" s="249" t="s">
        <v>420</v>
      </c>
      <c r="V1" s="249" t="s">
        <v>421</v>
      </c>
      <c r="W1" s="235" t="s">
        <v>422</v>
      </c>
      <c r="X1" s="235" t="s">
        <v>423</v>
      </c>
      <c r="Y1" s="735" t="s">
        <v>424</v>
      </c>
      <c r="Z1" s="235" t="s">
        <v>425</v>
      </c>
      <c r="AA1" s="735" t="s">
        <v>426</v>
      </c>
      <c r="AB1" s="235" t="s">
        <v>427</v>
      </c>
      <c r="AC1" s="235" t="s">
        <v>428</v>
      </c>
      <c r="AD1" s="204" t="s">
        <v>429</v>
      </c>
      <c r="AE1" s="233" t="s">
        <v>430</v>
      </c>
      <c r="AF1" s="248" t="s">
        <v>431</v>
      </c>
      <c r="AG1" s="248" t="s">
        <v>432</v>
      </c>
      <c r="AH1" s="205"/>
      <c r="AI1" s="251" t="s">
        <v>433</v>
      </c>
      <c r="AJ1" s="251" t="s">
        <v>434</v>
      </c>
      <c r="AK1" s="252" t="s">
        <v>435</v>
      </c>
      <c r="AL1" s="253" t="s">
        <v>436</v>
      </c>
      <c r="AM1" s="253" t="s">
        <v>437</v>
      </c>
      <c r="AN1" s="253" t="s">
        <v>438</v>
      </c>
      <c r="AO1" s="253" t="s">
        <v>439</v>
      </c>
      <c r="AP1" s="253" t="s">
        <v>440</v>
      </c>
      <c r="AQ1" s="253" t="s">
        <v>441</v>
      </c>
      <c r="AR1" s="252" t="s">
        <v>442</v>
      </c>
      <c r="AS1" s="252" t="s">
        <v>443</v>
      </c>
      <c r="AT1" s="252" t="s">
        <v>444</v>
      </c>
      <c r="AU1" s="252" t="s">
        <v>445</v>
      </c>
      <c r="AV1" s="252" t="s">
        <v>446</v>
      </c>
      <c r="AW1" s="252" t="s">
        <v>447</v>
      </c>
      <c r="AX1" s="253" t="s">
        <v>448</v>
      </c>
      <c r="AY1" s="252" t="s">
        <v>449</v>
      </c>
      <c r="AZ1" s="252" t="s">
        <v>450</v>
      </c>
      <c r="BA1" s="252" t="s">
        <v>451</v>
      </c>
      <c r="BB1" s="252" t="s">
        <v>452</v>
      </c>
      <c r="BC1" s="252" t="s">
        <v>453</v>
      </c>
      <c r="BD1" s="252" t="s">
        <v>454</v>
      </c>
      <c r="BE1" s="253" t="s">
        <v>455</v>
      </c>
      <c r="BF1" s="253" t="s">
        <v>456</v>
      </c>
      <c r="BG1" s="253" t="s">
        <v>457</v>
      </c>
      <c r="BH1" s="253" t="s">
        <v>458</v>
      </c>
      <c r="BI1" s="253" t="s">
        <v>459</v>
      </c>
      <c r="BJ1" s="253" t="s">
        <v>460</v>
      </c>
      <c r="BK1" s="252" t="s">
        <v>461</v>
      </c>
      <c r="BL1" s="252" t="s">
        <v>462</v>
      </c>
      <c r="BM1" s="252" t="s">
        <v>463</v>
      </c>
      <c r="BN1" s="252" t="s">
        <v>464</v>
      </c>
      <c r="BO1" s="252" t="s">
        <v>465</v>
      </c>
      <c r="BP1" s="252" t="s">
        <v>466</v>
      </c>
      <c r="BQ1" s="253" t="s">
        <v>467</v>
      </c>
      <c r="BR1" s="252" t="s">
        <v>468</v>
      </c>
      <c r="BS1" s="252" t="s">
        <v>469</v>
      </c>
      <c r="BT1" s="252" t="s">
        <v>470</v>
      </c>
      <c r="BU1" s="252" t="s">
        <v>471</v>
      </c>
      <c r="BV1" s="253" t="s">
        <v>472</v>
      </c>
      <c r="BW1" s="252" t="s">
        <v>473</v>
      </c>
      <c r="BX1" s="252" t="s">
        <v>474</v>
      </c>
      <c r="BY1" s="252" t="s">
        <v>475</v>
      </c>
      <c r="BZ1" s="252" t="s">
        <v>476</v>
      </c>
      <c r="CA1" s="253" t="s">
        <v>477</v>
      </c>
      <c r="CB1" s="252" t="s">
        <v>478</v>
      </c>
      <c r="CC1" s="252" t="s">
        <v>479</v>
      </c>
      <c r="CD1" s="252" t="s">
        <v>480</v>
      </c>
      <c r="CE1" s="252" t="s">
        <v>481</v>
      </c>
      <c r="CF1" s="253" t="s">
        <v>482</v>
      </c>
      <c r="CG1" s="252" t="s">
        <v>483</v>
      </c>
      <c r="CH1" s="252" t="s">
        <v>484</v>
      </c>
      <c r="CI1" s="252" t="s">
        <v>485</v>
      </c>
      <c r="CJ1" s="252" t="s">
        <v>486</v>
      </c>
      <c r="CK1" s="253" t="s">
        <v>487</v>
      </c>
      <c r="CL1" s="252" t="s">
        <v>488</v>
      </c>
      <c r="CM1" s="252" t="s">
        <v>489</v>
      </c>
      <c r="CN1" s="252" t="s">
        <v>490</v>
      </c>
      <c r="CO1" s="252" t="s">
        <v>491</v>
      </c>
      <c r="CP1" s="253" t="s">
        <v>492</v>
      </c>
      <c r="CQ1" s="252" t="s">
        <v>493</v>
      </c>
      <c r="CR1" s="252" t="s">
        <v>494</v>
      </c>
      <c r="CS1" s="252" t="s">
        <v>495</v>
      </c>
      <c r="CT1" s="252" t="s">
        <v>496</v>
      </c>
      <c r="CU1" s="253" t="s">
        <v>497</v>
      </c>
      <c r="CV1" s="252" t="s">
        <v>498</v>
      </c>
      <c r="CW1" s="252" t="s">
        <v>499</v>
      </c>
      <c r="CX1" s="252" t="s">
        <v>500</v>
      </c>
      <c r="CY1" s="252" t="s">
        <v>501</v>
      </c>
      <c r="CZ1" s="254" t="s">
        <v>502</v>
      </c>
      <c r="DA1" s="254" t="s">
        <v>503</v>
      </c>
      <c r="DB1" s="253" t="s">
        <v>504</v>
      </c>
      <c r="DC1" s="252" t="s">
        <v>505</v>
      </c>
      <c r="DD1" s="252" t="s">
        <v>506</v>
      </c>
      <c r="DE1" s="252" t="s">
        <v>507</v>
      </c>
      <c r="DF1" s="252" t="s">
        <v>508</v>
      </c>
      <c r="DG1" s="254" t="s">
        <v>509</v>
      </c>
      <c r="DH1" s="254" t="s">
        <v>510</v>
      </c>
      <c r="DI1" s="253" t="s">
        <v>511</v>
      </c>
      <c r="DJ1" s="252" t="s">
        <v>512</v>
      </c>
      <c r="DK1" s="252" t="s">
        <v>513</v>
      </c>
      <c r="DL1" s="252" t="s">
        <v>514</v>
      </c>
      <c r="DM1" s="252" t="s">
        <v>515</v>
      </c>
      <c r="DN1" s="254" t="s">
        <v>516</v>
      </c>
      <c r="DO1" s="254" t="s">
        <v>517</v>
      </c>
      <c r="DP1" s="253" t="s">
        <v>518</v>
      </c>
      <c r="DQ1" s="252" t="s">
        <v>519</v>
      </c>
      <c r="DR1" s="252" t="s">
        <v>520</v>
      </c>
      <c r="DS1" s="252" t="s">
        <v>521</v>
      </c>
      <c r="DT1" s="252" t="s">
        <v>522</v>
      </c>
      <c r="DU1" s="254" t="s">
        <v>523</v>
      </c>
      <c r="DV1" s="254" t="s">
        <v>524</v>
      </c>
      <c r="DW1" s="253" t="s">
        <v>525</v>
      </c>
      <c r="DX1" s="252" t="s">
        <v>526</v>
      </c>
      <c r="DY1" s="252" t="s">
        <v>527</v>
      </c>
      <c r="DZ1" s="252" t="s">
        <v>528</v>
      </c>
      <c r="EA1" s="252" t="s">
        <v>529</v>
      </c>
      <c r="EB1" s="254" t="s">
        <v>530</v>
      </c>
      <c r="EC1" s="254" t="s">
        <v>531</v>
      </c>
      <c r="ED1" s="253" t="s">
        <v>532</v>
      </c>
      <c r="EE1" s="252" t="s">
        <v>533</v>
      </c>
      <c r="EF1" s="252" t="s">
        <v>534</v>
      </c>
      <c r="EG1" s="252" t="s">
        <v>535</v>
      </c>
      <c r="EH1" s="252" t="s">
        <v>536</v>
      </c>
      <c r="EI1" s="254" t="s">
        <v>537</v>
      </c>
      <c r="EJ1" s="254" t="s">
        <v>538</v>
      </c>
      <c r="EK1" s="254" t="s">
        <v>539</v>
      </c>
      <c r="EL1" s="255" t="s">
        <v>540</v>
      </c>
      <c r="EM1" s="255" t="s">
        <v>541</v>
      </c>
      <c r="EN1" s="255" t="s">
        <v>542</v>
      </c>
      <c r="EO1" s="255" t="s">
        <v>543</v>
      </c>
      <c r="EP1" s="255" t="s">
        <v>544</v>
      </c>
      <c r="EQ1" s="255" t="s">
        <v>545</v>
      </c>
      <c r="ER1" s="253" t="s">
        <v>546</v>
      </c>
      <c r="ES1" s="252" t="s">
        <v>547</v>
      </c>
      <c r="ET1" s="252" t="s">
        <v>548</v>
      </c>
      <c r="EU1" s="252" t="s">
        <v>549</v>
      </c>
      <c r="EV1" s="252" t="s">
        <v>550</v>
      </c>
      <c r="EW1" s="254" t="s">
        <v>551</v>
      </c>
      <c r="EX1" s="253" t="s">
        <v>552</v>
      </c>
      <c r="EY1" s="252" t="s">
        <v>553</v>
      </c>
      <c r="EZ1" s="252" t="s">
        <v>554</v>
      </c>
      <c r="FA1" s="252" t="s">
        <v>555</v>
      </c>
      <c r="FB1" s="252" t="s">
        <v>556</v>
      </c>
      <c r="FC1" s="254" t="s">
        <v>557</v>
      </c>
      <c r="FD1" s="253" t="s">
        <v>558</v>
      </c>
      <c r="FE1" s="252" t="s">
        <v>559</v>
      </c>
      <c r="FF1" s="252" t="s">
        <v>560</v>
      </c>
      <c r="FG1" s="252" t="s">
        <v>561</v>
      </c>
      <c r="FH1" s="252" t="s">
        <v>562</v>
      </c>
      <c r="FI1" s="254" t="s">
        <v>563</v>
      </c>
      <c r="FJ1" s="253" t="s">
        <v>564</v>
      </c>
      <c r="FK1" s="252" t="s">
        <v>565</v>
      </c>
      <c r="FL1" s="252" t="s">
        <v>566</v>
      </c>
      <c r="FM1" s="252" t="s">
        <v>567</v>
      </c>
      <c r="FN1" s="252" t="s">
        <v>568</v>
      </c>
      <c r="FO1" s="254" t="s">
        <v>569</v>
      </c>
      <c r="FP1" s="253" t="s">
        <v>570</v>
      </c>
      <c r="FQ1" s="252" t="s">
        <v>571</v>
      </c>
      <c r="FR1" s="252" t="s">
        <v>572</v>
      </c>
      <c r="FS1" s="252" t="s">
        <v>573</v>
      </c>
      <c r="FT1" s="252" t="s">
        <v>574</v>
      </c>
      <c r="FU1" s="254" t="s">
        <v>575</v>
      </c>
      <c r="FV1" s="253" t="s">
        <v>576</v>
      </c>
      <c r="FW1" s="252" t="s">
        <v>577</v>
      </c>
      <c r="FX1" s="252" t="s">
        <v>578</v>
      </c>
      <c r="FY1" s="252" t="s">
        <v>579</v>
      </c>
      <c r="FZ1" s="252" t="s">
        <v>580</v>
      </c>
      <c r="GA1" s="254" t="s">
        <v>581</v>
      </c>
      <c r="GB1" s="253" t="s">
        <v>582</v>
      </c>
      <c r="GC1" s="260" t="s">
        <v>583</v>
      </c>
      <c r="GD1" s="260" t="s">
        <v>584</v>
      </c>
      <c r="GE1" s="260" t="s">
        <v>585</v>
      </c>
      <c r="GF1" s="260" t="s">
        <v>586</v>
      </c>
      <c r="GG1" s="260" t="s">
        <v>587</v>
      </c>
      <c r="GH1" s="260" t="s">
        <v>588</v>
      </c>
      <c r="GI1" s="741" t="s">
        <v>589</v>
      </c>
      <c r="GJ1" s="741" t="s">
        <v>590</v>
      </c>
      <c r="GK1" s="257" t="s">
        <v>591</v>
      </c>
      <c r="GL1" s="258">
        <f>Check!GL1</f>
        <v>10</v>
      </c>
      <c r="GM1" s="257" t="s">
        <v>592</v>
      </c>
      <c r="GN1" s="258">
        <f>Check!GN1</f>
        <v>10</v>
      </c>
      <c r="GO1" s="261" t="s">
        <v>593</v>
      </c>
      <c r="GP1" s="261" t="s">
        <v>594</v>
      </c>
      <c r="GQ1" s="261" t="s">
        <v>595</v>
      </c>
      <c r="GR1" s="261" t="s">
        <v>596</v>
      </c>
      <c r="GS1" s="262" t="s">
        <v>597</v>
      </c>
      <c r="GT1" s="261" t="s">
        <v>598</v>
      </c>
      <c r="GU1" s="261" t="s">
        <v>599</v>
      </c>
      <c r="GV1" s="261" t="s">
        <v>600</v>
      </c>
      <c r="GW1" s="261" t="s">
        <v>601</v>
      </c>
      <c r="GX1" s="261" t="s">
        <v>602</v>
      </c>
      <c r="GY1" s="263" t="s">
        <v>603</v>
      </c>
      <c r="GZ1" s="263" t="s">
        <v>604</v>
      </c>
      <c r="HA1" s="264" t="s">
        <v>605</v>
      </c>
      <c r="HB1" s="264" t="s">
        <v>606</v>
      </c>
      <c r="HC1" s="264" t="s">
        <v>607</v>
      </c>
      <c r="HD1" s="264" t="s">
        <v>608</v>
      </c>
      <c r="HE1" s="264" t="s">
        <v>609</v>
      </c>
      <c r="HF1" s="264" t="s">
        <v>610</v>
      </c>
      <c r="HG1" s="264" t="s">
        <v>611</v>
      </c>
      <c r="HH1" s="264" t="s">
        <v>612</v>
      </c>
      <c r="HI1" s="264" t="s">
        <v>613</v>
      </c>
      <c r="HJ1" s="264" t="s">
        <v>614</v>
      </c>
      <c r="HK1" s="264" t="s">
        <v>615</v>
      </c>
    </row>
    <row r="2" ht="89.25" s="374" customFormat="1">
      <c r="A2" s="236">
        <v>1</v>
      </c>
      <c r="B2" s="236" t="s">
        <v>616</v>
      </c>
      <c r="C2" s="236" t="s">
        <v>159</v>
      </c>
      <c r="D2" s="740" t="s">
        <v>617</v>
      </c>
      <c r="E2" s="236" t="s">
        <v>618</v>
      </c>
      <c r="F2" s="236" t="s">
        <v>6</v>
      </c>
      <c r="G2" s="740" t="s">
        <v>619</v>
      </c>
      <c r="H2" s="740" t="s">
        <v>620</v>
      </c>
      <c r="I2" s="236">
        <v>3</v>
      </c>
      <c r="J2" s="236" t="s">
        <v>621</v>
      </c>
      <c r="K2" s="259" t="s">
        <v>622</v>
      </c>
      <c r="L2" s="259" t="s">
        <v>623</v>
      </c>
      <c r="M2" s="236" t="s">
        <v>624</v>
      </c>
      <c r="N2" s="236" t="s">
        <v>625</v>
      </c>
      <c r="O2" s="236" t="s">
        <v>626</v>
      </c>
      <c r="P2" s="236" t="s">
        <v>627</v>
      </c>
      <c r="Q2" s="236" t="s">
        <v>628</v>
      </c>
      <c r="R2" s="236" t="s">
        <v>629</v>
      </c>
      <c r="S2" s="236" t="s">
        <v>630</v>
      </c>
      <c r="T2" s="236" t="s">
        <v>631</v>
      </c>
      <c r="U2" s="236">
        <v>1</v>
      </c>
      <c r="V2" s="236" t="s">
        <v>632</v>
      </c>
      <c r="W2" s="236" t="b">
        <v>1</v>
      </c>
      <c r="X2" s="236" t="b">
        <v>1</v>
      </c>
      <c r="Y2" s="740">
        <v>0</v>
      </c>
      <c r="Z2" s="236" t="b">
        <v>0</v>
      </c>
      <c r="AA2" s="740">
        <v>0</v>
      </c>
      <c r="AB2" s="236" t="b">
        <v>0</v>
      </c>
      <c r="AC2" s="236" t="b">
        <v>1</v>
      </c>
      <c r="AD2" s="236">
        <v>0</v>
      </c>
      <c r="AE2" s="236">
        <v>0</v>
      </c>
      <c r="AF2" s="236" t="s">
        <v>50</v>
      </c>
      <c r="AG2" s="236" t="s">
        <v>633</v>
      </c>
      <c r="AH2" s="247"/>
      <c r="AI2" s="247" t="s">
        <v>634</v>
      </c>
      <c r="AJ2" s="247" t="s">
        <v>635</v>
      </c>
      <c r="AK2" s="236" t="s">
        <v>5</v>
      </c>
      <c r="AL2" s="247" t="s">
        <v>636</v>
      </c>
      <c r="AM2" s="247" t="s">
        <v>636</v>
      </c>
      <c r="AN2" s="247" t="s">
        <v>636</v>
      </c>
      <c r="AO2" s="247" t="s">
        <v>637</v>
      </c>
      <c r="AP2" s="247" t="s">
        <v>637</v>
      </c>
      <c r="AQ2" s="247" t="s">
        <v>637</v>
      </c>
      <c r="AR2" s="247" t="s">
        <v>160</v>
      </c>
      <c r="AS2" s="247" t="s">
        <v>160</v>
      </c>
      <c r="AT2" s="247" t="s">
        <v>160</v>
      </c>
      <c r="AU2" s="247" t="s">
        <v>637</v>
      </c>
      <c r="AV2" s="247" t="s">
        <v>637</v>
      </c>
      <c r="AW2" s="247" t="s">
        <v>637</v>
      </c>
      <c r="AX2" s="247" t="s">
        <v>638</v>
      </c>
      <c r="AY2" s="247" t="s">
        <v>617</v>
      </c>
      <c r="AZ2" s="247" t="s">
        <v>617</v>
      </c>
      <c r="BA2" s="247" t="s">
        <v>617</v>
      </c>
      <c r="BB2" s="247" t="s">
        <v>637</v>
      </c>
      <c r="BC2" s="247" t="s">
        <v>637</v>
      </c>
      <c r="BD2" s="247" t="s">
        <v>637</v>
      </c>
      <c r="BE2" s="247" t="s">
        <v>102</v>
      </c>
      <c r="BF2" s="247" t="s">
        <v>276</v>
      </c>
      <c r="BG2" s="247" t="s">
        <v>639</v>
      </c>
      <c r="BH2" s="247" t="s">
        <v>637</v>
      </c>
      <c r="BI2" s="247" t="s">
        <v>637</v>
      </c>
      <c r="BJ2" s="247" t="s">
        <v>637</v>
      </c>
      <c r="BK2" s="247">
        <v>3</v>
      </c>
      <c r="BL2" s="247">
        <v>3</v>
      </c>
      <c r="BM2" s="247">
        <v>3</v>
      </c>
      <c r="BN2" s="247">
        <v>0</v>
      </c>
      <c r="BO2" s="247">
        <v>0</v>
      </c>
      <c r="BP2" s="247">
        <v>0</v>
      </c>
      <c r="BQ2" s="247" t="s">
        <v>108</v>
      </c>
      <c r="BR2" s="247">
        <v>4</v>
      </c>
      <c r="BS2" s="247">
        <v>4</v>
      </c>
      <c r="BT2" s="247">
        <v>4</v>
      </c>
      <c r="BU2" s="247">
        <v>0</v>
      </c>
      <c r="BV2" s="247" t="s">
        <v>109</v>
      </c>
      <c r="BW2" s="247">
        <v>2</v>
      </c>
      <c r="BX2" s="247">
        <v>2</v>
      </c>
      <c r="BY2" s="247">
        <v>2</v>
      </c>
      <c r="BZ2" s="247">
        <v>0</v>
      </c>
      <c r="CA2" s="247" t="s">
        <v>640</v>
      </c>
      <c r="CB2" s="247">
        <v>1</v>
      </c>
      <c r="CC2" s="247">
        <v>1</v>
      </c>
      <c r="CD2" s="247">
        <v>1</v>
      </c>
      <c r="CE2" s="247">
        <v>0</v>
      </c>
      <c r="CF2" s="247" t="s">
        <v>637</v>
      </c>
      <c r="CG2" s="247">
        <v>0</v>
      </c>
      <c r="CH2" s="247">
        <v>0</v>
      </c>
      <c r="CI2" s="247">
        <v>0</v>
      </c>
      <c r="CJ2" s="247">
        <v>0</v>
      </c>
      <c r="CK2" s="247" t="s">
        <v>637</v>
      </c>
      <c r="CL2" s="247">
        <v>0</v>
      </c>
      <c r="CM2" s="247">
        <v>0</v>
      </c>
      <c r="CN2" s="247">
        <v>0</v>
      </c>
      <c r="CO2" s="247">
        <v>0</v>
      </c>
      <c r="CP2" s="247" t="s">
        <v>637</v>
      </c>
      <c r="CQ2" s="247">
        <v>0</v>
      </c>
      <c r="CR2" s="247">
        <v>0</v>
      </c>
      <c r="CS2" s="247">
        <v>0</v>
      </c>
      <c r="CT2" s="247">
        <v>0</v>
      </c>
      <c r="CU2" s="247" t="s">
        <v>641</v>
      </c>
      <c r="CV2" s="247">
        <v>20</v>
      </c>
      <c r="CW2" s="247">
        <v>20</v>
      </c>
      <c r="CX2" s="247">
        <v>20</v>
      </c>
      <c r="CY2" s="247">
        <v>0</v>
      </c>
      <c r="CZ2" s="247" t="s">
        <v>641</v>
      </c>
      <c r="DA2" s="247">
        <v>20</v>
      </c>
      <c r="DB2" s="247" t="s">
        <v>642</v>
      </c>
      <c r="DC2" s="247">
        <v>60</v>
      </c>
      <c r="DD2" s="247">
        <v>60</v>
      </c>
      <c r="DE2" s="247">
        <v>60</v>
      </c>
      <c r="DF2" s="247">
        <v>0</v>
      </c>
      <c r="DG2" s="247" t="s">
        <v>642</v>
      </c>
      <c r="DH2" s="247">
        <v>60</v>
      </c>
      <c r="DI2" s="247" t="s">
        <v>643</v>
      </c>
      <c r="DJ2" s="247">
        <v>160</v>
      </c>
      <c r="DK2" s="247">
        <v>160</v>
      </c>
      <c r="DL2" s="247">
        <v>160</v>
      </c>
      <c r="DM2" s="247">
        <v>0</v>
      </c>
      <c r="DN2" s="247" t="s">
        <v>643</v>
      </c>
      <c r="DO2" s="247">
        <v>160</v>
      </c>
      <c r="DP2" s="247" t="s">
        <v>637</v>
      </c>
      <c r="DQ2" s="247">
        <v>0</v>
      </c>
      <c r="DR2" s="247">
        <v>0</v>
      </c>
      <c r="DS2" s="247">
        <v>0</v>
      </c>
      <c r="DT2" s="247">
        <v>0</v>
      </c>
      <c r="DU2" s="247" t="s">
        <v>637</v>
      </c>
      <c r="DV2" s="247">
        <v>0</v>
      </c>
      <c r="DW2" s="247" t="s">
        <v>637</v>
      </c>
      <c r="DX2" s="247">
        <v>0</v>
      </c>
      <c r="DY2" s="247">
        <v>0</v>
      </c>
      <c r="DZ2" s="247">
        <v>0</v>
      </c>
      <c r="EA2" s="247">
        <v>0</v>
      </c>
      <c r="EB2" s="247" t="s">
        <v>637</v>
      </c>
      <c r="EC2" s="247">
        <v>0</v>
      </c>
      <c r="ED2" s="247" t="s">
        <v>637</v>
      </c>
      <c r="EE2" s="247">
        <v>0</v>
      </c>
      <c r="EF2" s="247">
        <v>0</v>
      </c>
      <c r="EG2" s="247">
        <v>0</v>
      </c>
      <c r="EH2" s="247">
        <v>0</v>
      </c>
      <c r="EI2" s="247" t="s">
        <v>637</v>
      </c>
      <c r="EJ2" s="247">
        <v>0</v>
      </c>
      <c r="EK2" s="247">
        <v>160</v>
      </c>
      <c r="EL2" s="247" t="s">
        <v>194</v>
      </c>
      <c r="EM2" s="247" t="s">
        <v>205</v>
      </c>
      <c r="EN2" s="247" t="s">
        <v>200</v>
      </c>
      <c r="EO2" s="247" t="s">
        <v>637</v>
      </c>
      <c r="EP2" s="247" t="s">
        <v>637</v>
      </c>
      <c r="EQ2" s="247" t="s">
        <v>637</v>
      </c>
      <c r="ER2" s="247" t="s">
        <v>644</v>
      </c>
      <c r="ES2" s="247">
        <v>36</v>
      </c>
      <c r="ET2" s="247">
        <v>36</v>
      </c>
      <c r="EU2" s="247">
        <v>36</v>
      </c>
      <c r="EV2" s="247">
        <v>0</v>
      </c>
      <c r="EW2" s="247" t="s">
        <v>645</v>
      </c>
      <c r="EX2" s="247" t="s">
        <v>644</v>
      </c>
      <c r="EY2" s="247">
        <v>36</v>
      </c>
      <c r="EZ2" s="247">
        <v>36</v>
      </c>
      <c r="FA2" s="247">
        <v>36</v>
      </c>
      <c r="FB2" s="247">
        <v>0</v>
      </c>
      <c r="FC2" s="247" t="s">
        <v>645</v>
      </c>
      <c r="FD2" s="247" t="s">
        <v>644</v>
      </c>
      <c r="FE2" s="247">
        <v>36</v>
      </c>
      <c r="FF2" s="247">
        <v>36</v>
      </c>
      <c r="FG2" s="247">
        <v>36</v>
      </c>
      <c r="FH2" s="247">
        <v>0</v>
      </c>
      <c r="FI2" s="247" t="s">
        <v>645</v>
      </c>
      <c r="FJ2" s="247" t="s">
        <v>637</v>
      </c>
      <c r="FK2" s="247">
        <v>0</v>
      </c>
      <c r="FL2" s="247">
        <v>0</v>
      </c>
      <c r="FM2" s="247">
        <v>0</v>
      </c>
      <c r="FN2" s="247">
        <v>0</v>
      </c>
      <c r="FO2" s="247" t="s">
        <v>637</v>
      </c>
      <c r="FP2" s="247" t="s">
        <v>637</v>
      </c>
      <c r="FQ2" s="247">
        <v>0</v>
      </c>
      <c r="FR2" s="247">
        <v>0</v>
      </c>
      <c r="FS2" s="247">
        <v>0</v>
      </c>
      <c r="FT2" s="247">
        <v>0</v>
      </c>
      <c r="FU2" s="247" t="s">
        <v>637</v>
      </c>
      <c r="FV2" s="247" t="s">
        <v>637</v>
      </c>
      <c r="FW2" s="247">
        <v>0</v>
      </c>
      <c r="FX2" s="247">
        <v>0</v>
      </c>
      <c r="FY2" s="247">
        <v>0</v>
      </c>
      <c r="FZ2" s="247">
        <v>0</v>
      </c>
      <c r="GA2" s="247" t="s">
        <v>637</v>
      </c>
      <c r="GB2" s="247" t="s">
        <v>51</v>
      </c>
      <c r="GC2" s="247">
        <v>36</v>
      </c>
      <c r="GD2" s="247">
        <v>36</v>
      </c>
      <c r="GE2" s="247">
        <v>36</v>
      </c>
      <c r="GF2" s="247">
        <v>0</v>
      </c>
      <c r="GG2" s="247">
        <v>0</v>
      </c>
      <c r="GH2" s="247">
        <v>0</v>
      </c>
      <c r="GI2" s="740">
        <v>36</v>
      </c>
      <c r="GJ2" s="740">
        <v>36</v>
      </c>
      <c r="GK2" s="579">
        <f>$GL$1</f>
        <v>10</v>
      </c>
      <c r="GL2" s="247"/>
      <c r="GM2" s="579">
        <f>$GN$1</f>
        <v>10</v>
      </c>
      <c r="GN2" s="247"/>
      <c r="GO2" s="247"/>
      <c r="GP2" s="247"/>
      <c r="GQ2" s="584" t="str">
        <f>IF(LEN(GR2)=4,"B0"&amp;GR2&amp;GS2&amp;GT2,IF(LEN(GR2)=3,"B00"&amp;GR2&amp;GS2&amp;GT2,IF(LEN(GR2)=2,"B000"&amp;GR2&amp;GS2&amp;GT2,IF(LEN(GR2)=1,"B0000"&amp;GR2&amp;GS2&amp;GT2,"B"&amp;GR2&amp;GS2&amp;GT2))))</f>
        <v>B00200260319TG05</v>
      </c>
      <c r="GR2" s="266">
        <v>200</v>
      </c>
      <c r="GS2" s="580" t="str">
        <f>TEXT(GW2,"ddmmyy")</f>
        <v>260319</v>
      </c>
      <c r="GT2" s="265" t="s">
        <v>646</v>
      </c>
      <c r="GU2" s="580" t="str">
        <f ref="GU2:GV2" t="shared" si="1">TEXT(GW2,"dd/mm/yyyy")</f>
        <v>26/03/2019</v>
      </c>
      <c r="GV2" s="580" t="str">
        <f t="shared" si="1"/>
        <v>26/03/2024</v>
      </c>
      <c r="GW2" s="268" t="s">
        <v>742</v>
      </c>
      <c r="GX2" s="580">
        <f>DATE(YEAR(GW2) + 5,MONTH(GW2),DAY(GW2))</f>
        <v>45377</v>
      </c>
      <c r="GY2" s="580" t="b">
        <f>RIGHT(E2,LEN(F2)+1)=(F2&amp;".")</f>
        <v>1</v>
      </c>
      <c r="GZ2" s="580" t="b">
        <f> IF((K2-L2)&gt;120,FALSE,TRUE)</f>
        <v>1</v>
      </c>
      <c r="HA2" s="581">
        <f>IFERROR(MATCH("",AL2:AQ2,0)-1,6)</f>
        <v>3</v>
      </c>
      <c r="HB2" s="582" t="str">
        <f>HA2&amp;"-"&amp;HH2</f>
        <v>3-3</v>
      </c>
      <c r="HC2" s="582" t="str">
        <f>IF(AM2&lt;&gt;"",IF(AM2=AL2,"CHUNG","KHAC"),"")</f>
        <v>CHUNG</v>
      </c>
      <c r="HD2" s="582" t="str">
        <f>IF(AN2&lt;&gt;"",IF(AN2=AL2,"CHUNG","KHAC"),"")</f>
        <v>CHUNG</v>
      </c>
      <c r="HE2" s="582" t="str">
        <f>IF(AO2&lt;&gt;"",IF(AO2=AL2,"CHUNG","KHAC"),"")</f>
      </c>
      <c r="HF2" s="582" t="str">
        <f>IF(AP2&lt;&gt;"",IF(AP2=AL2,"CHUNG","KHAC"),"")</f>
      </c>
      <c r="HG2" s="582" t="str">
        <f>IF(AQ2&lt;&gt;"",IF(AQ2=AL2,"CHUNG","KHAC"),"")</f>
      </c>
      <c r="HH2" s="582">
        <f>IF(COUNTIF(HC2:HG2,"CHUNG")=0,1,COUNTIF(HC2:HG2,"CHUNG")+1)</f>
        <v>3</v>
      </c>
      <c r="HI2" s="583">
        <f>HA2-HH2</f>
        <v>0</v>
      </c>
      <c r="HJ2" s="583" t="str">
        <f>IF(HI2=0,"No","Yes")</f>
        <v>No</v>
      </c>
      <c r="HK2" s="583" t="str">
        <f>IF(HI2=0,"No","Yes")</f>
        <v>No</v>
      </c>
    </row>
    <row r="3" ht="153">
      <c r="A3" s="236">
        <v>2</v>
      </c>
      <c r="B3" s="236" t="s">
        <v>616</v>
      </c>
      <c r="C3" s="236" t="s">
        <v>159</v>
      </c>
      <c r="D3" s="740" t="s">
        <v>724</v>
      </c>
      <c r="E3" s="236" t="s">
        <v>725</v>
      </c>
      <c r="F3" s="236" t="s">
        <v>6</v>
      </c>
      <c r="G3" s="740" t="s">
        <v>743</v>
      </c>
      <c r="H3" s="740" t="s">
        <v>744</v>
      </c>
      <c r="I3" s="236">
        <v>5</v>
      </c>
      <c r="J3" s="236" t="s">
        <v>727</v>
      </c>
      <c r="K3" s="259" t="s">
        <v>622</v>
      </c>
      <c r="L3" s="259" t="s">
        <v>623</v>
      </c>
      <c r="M3" s="236" t="s">
        <v>745</v>
      </c>
      <c r="N3" s="236" t="s">
        <v>746</v>
      </c>
      <c r="O3" s="236" t="s">
        <v>747</v>
      </c>
      <c r="P3" s="236" t="s">
        <v>748</v>
      </c>
      <c r="Q3" s="236" t="s">
        <v>749</v>
      </c>
      <c r="R3" s="236" t="s">
        <v>750</v>
      </c>
      <c r="S3" s="236" t="s">
        <v>751</v>
      </c>
      <c r="T3" s="236" t="s">
        <v>752</v>
      </c>
      <c r="U3" s="236">
        <v>1</v>
      </c>
      <c r="V3" s="236" t="s">
        <v>753</v>
      </c>
      <c r="W3" s="236" t="b">
        <v>1</v>
      </c>
      <c r="X3" s="236" t="b">
        <v>1</v>
      </c>
      <c r="Y3" s="740">
        <v>34</v>
      </c>
      <c r="Z3" s="236" t="b">
        <v>1</v>
      </c>
      <c r="AA3" s="740">
        <v>10</v>
      </c>
      <c r="AB3" s="236" t="b">
        <v>0</v>
      </c>
      <c r="AC3" s="236" t="b">
        <v>1</v>
      </c>
      <c r="AD3" s="236">
        <v>0</v>
      </c>
      <c r="AE3" s="236">
        <v>0</v>
      </c>
      <c r="AF3" s="236" t="s">
        <v>50</v>
      </c>
      <c r="AG3" s="236" t="s">
        <v>728</v>
      </c>
      <c r="AH3" s="247"/>
      <c r="AI3" s="247" t="s">
        <v>634</v>
      </c>
      <c r="AJ3" s="247" t="s">
        <v>635</v>
      </c>
      <c r="AK3" s="236" t="s">
        <v>5</v>
      </c>
      <c r="AL3" s="247" t="s">
        <v>636</v>
      </c>
      <c r="AM3" s="247" t="s">
        <v>636</v>
      </c>
      <c r="AN3" s="247" t="s">
        <v>636</v>
      </c>
      <c r="AO3" s="247" t="s">
        <v>636</v>
      </c>
      <c r="AP3" s="247" t="s">
        <v>636</v>
      </c>
      <c r="AQ3" s="247" t="s">
        <v>637</v>
      </c>
      <c r="AR3" s="247" t="s">
        <v>160</v>
      </c>
      <c r="AS3" s="247" t="s">
        <v>160</v>
      </c>
      <c r="AT3" s="247" t="s">
        <v>160</v>
      </c>
      <c r="AU3" s="247" t="s">
        <v>160</v>
      </c>
      <c r="AV3" s="247" t="s">
        <v>160</v>
      </c>
      <c r="AW3" s="247" t="s">
        <v>637</v>
      </c>
      <c r="AX3" s="247" t="s">
        <v>754</v>
      </c>
      <c r="AY3" s="247" t="s">
        <v>724</v>
      </c>
      <c r="AZ3" s="247" t="s">
        <v>724</v>
      </c>
      <c r="BA3" s="247" t="s">
        <v>724</v>
      </c>
      <c r="BB3" s="247" t="s">
        <v>724</v>
      </c>
      <c r="BC3" s="247" t="s">
        <v>724</v>
      </c>
      <c r="BD3" s="247" t="s">
        <v>637</v>
      </c>
      <c r="BE3" s="247" t="s">
        <v>102</v>
      </c>
      <c r="BF3" s="247" t="s">
        <v>102</v>
      </c>
      <c r="BG3" s="247" t="s">
        <v>271</v>
      </c>
      <c r="BH3" s="247" t="s">
        <v>639</v>
      </c>
      <c r="BI3" s="247" t="s">
        <v>639</v>
      </c>
      <c r="BJ3" s="247" t="s">
        <v>637</v>
      </c>
      <c r="BK3" s="247">
        <v>3</v>
      </c>
      <c r="BL3" s="247">
        <v>3</v>
      </c>
      <c r="BM3" s="247">
        <v>3</v>
      </c>
      <c r="BN3" s="247">
        <v>3</v>
      </c>
      <c r="BO3" s="247">
        <v>3</v>
      </c>
      <c r="BP3" s="247">
        <v>0</v>
      </c>
      <c r="BQ3" s="247" t="s">
        <v>755</v>
      </c>
      <c r="BR3" s="247">
        <v>2</v>
      </c>
      <c r="BS3" s="247">
        <v>2</v>
      </c>
      <c r="BT3" s="247">
        <v>4</v>
      </c>
      <c r="BU3" s="247">
        <v>0</v>
      </c>
      <c r="BV3" s="247" t="s">
        <v>756</v>
      </c>
      <c r="BW3" s="247">
        <v>2</v>
      </c>
      <c r="BX3" s="247">
        <v>4</v>
      </c>
      <c r="BY3" s="247">
        <v>2</v>
      </c>
      <c r="BZ3" s="247">
        <v>0</v>
      </c>
      <c r="CA3" s="247" t="s">
        <v>109</v>
      </c>
      <c r="CB3" s="247">
        <v>2</v>
      </c>
      <c r="CC3" s="247">
        <v>2</v>
      </c>
      <c r="CD3" s="247">
        <v>2</v>
      </c>
      <c r="CE3" s="247">
        <v>0</v>
      </c>
      <c r="CF3" s="247" t="s">
        <v>640</v>
      </c>
      <c r="CG3" s="247">
        <v>1</v>
      </c>
      <c r="CH3" s="247">
        <v>1</v>
      </c>
      <c r="CI3" s="247">
        <v>1</v>
      </c>
      <c r="CJ3" s="247">
        <v>0</v>
      </c>
      <c r="CK3" s="247" t="s">
        <v>640</v>
      </c>
      <c r="CL3" s="247">
        <v>1</v>
      </c>
      <c r="CM3" s="247">
        <v>1</v>
      </c>
      <c r="CN3" s="247">
        <v>1</v>
      </c>
      <c r="CO3" s="247">
        <v>0</v>
      </c>
      <c r="CP3" s="247" t="s">
        <v>637</v>
      </c>
      <c r="CQ3" s="247">
        <v>0</v>
      </c>
      <c r="CR3" s="247">
        <v>0</v>
      </c>
      <c r="CS3" s="247">
        <v>0</v>
      </c>
      <c r="CT3" s="247">
        <v>0</v>
      </c>
      <c r="CU3" s="247" t="s">
        <v>641</v>
      </c>
      <c r="CV3" s="247">
        <v>20</v>
      </c>
      <c r="CW3" s="247">
        <v>20</v>
      </c>
      <c r="CX3" s="247">
        <v>20</v>
      </c>
      <c r="CY3" s="247">
        <v>0</v>
      </c>
      <c r="CZ3" s="247" t="s">
        <v>641</v>
      </c>
      <c r="DA3" s="247">
        <v>20</v>
      </c>
      <c r="DB3" s="247" t="s">
        <v>757</v>
      </c>
      <c r="DC3" s="247">
        <v>16</v>
      </c>
      <c r="DD3" s="247">
        <v>16</v>
      </c>
      <c r="DE3" s="247">
        <v>16</v>
      </c>
      <c r="DF3" s="247">
        <v>0</v>
      </c>
      <c r="DG3" s="247" t="s">
        <v>757</v>
      </c>
      <c r="DH3" s="247">
        <v>16</v>
      </c>
      <c r="DI3" s="247" t="s">
        <v>642</v>
      </c>
      <c r="DJ3" s="247">
        <v>60</v>
      </c>
      <c r="DK3" s="247">
        <v>60</v>
      </c>
      <c r="DL3" s="247">
        <v>60</v>
      </c>
      <c r="DM3" s="247">
        <v>0</v>
      </c>
      <c r="DN3" s="247" t="s">
        <v>642</v>
      </c>
      <c r="DO3" s="247">
        <v>60</v>
      </c>
      <c r="DP3" s="247" t="s">
        <v>643</v>
      </c>
      <c r="DQ3" s="247">
        <v>160</v>
      </c>
      <c r="DR3" s="247">
        <v>160</v>
      </c>
      <c r="DS3" s="247">
        <v>160</v>
      </c>
      <c r="DT3" s="247">
        <v>0</v>
      </c>
      <c r="DU3" s="247" t="s">
        <v>643</v>
      </c>
      <c r="DV3" s="247">
        <v>160</v>
      </c>
      <c r="DW3" s="247" t="s">
        <v>643</v>
      </c>
      <c r="DX3" s="247">
        <v>160</v>
      </c>
      <c r="DY3" s="247">
        <v>160</v>
      </c>
      <c r="DZ3" s="247">
        <v>160</v>
      </c>
      <c r="EA3" s="247">
        <v>0</v>
      </c>
      <c r="EB3" s="247" t="s">
        <v>643</v>
      </c>
      <c r="EC3" s="247">
        <v>160</v>
      </c>
      <c r="ED3" s="247" t="s">
        <v>637</v>
      </c>
      <c r="EE3" s="247">
        <v>0</v>
      </c>
      <c r="EF3" s="247">
        <v>0</v>
      </c>
      <c r="EG3" s="247">
        <v>0</v>
      </c>
      <c r="EH3" s="247">
        <v>0</v>
      </c>
      <c r="EI3" s="247" t="s">
        <v>637</v>
      </c>
      <c r="EJ3" s="247">
        <v>0</v>
      </c>
      <c r="EK3" s="247">
        <v>160</v>
      </c>
      <c r="EL3" s="247" t="s">
        <v>194</v>
      </c>
      <c r="EM3" s="247" t="s">
        <v>204</v>
      </c>
      <c r="EN3" s="247" t="s">
        <v>205</v>
      </c>
      <c r="EO3" s="247" t="s">
        <v>200</v>
      </c>
      <c r="EP3" s="247" t="s">
        <v>200</v>
      </c>
      <c r="EQ3" s="247" t="s">
        <v>637</v>
      </c>
      <c r="ER3" s="247" t="s">
        <v>758</v>
      </c>
      <c r="ES3" s="247">
        <v>45</v>
      </c>
      <c r="ET3" s="247">
        <v>45</v>
      </c>
      <c r="EU3" s="247">
        <v>45</v>
      </c>
      <c r="EV3" s="247">
        <v>0</v>
      </c>
      <c r="EW3" s="247" t="s">
        <v>759</v>
      </c>
      <c r="EX3" s="247" t="s">
        <v>758</v>
      </c>
      <c r="EY3" s="247">
        <v>45</v>
      </c>
      <c r="EZ3" s="247">
        <v>45</v>
      </c>
      <c r="FA3" s="247">
        <v>45</v>
      </c>
      <c r="FB3" s="247">
        <v>0</v>
      </c>
      <c r="FC3" s="247" t="s">
        <v>759</v>
      </c>
      <c r="FD3" s="247" t="s">
        <v>760</v>
      </c>
      <c r="FE3" s="247">
        <v>34</v>
      </c>
      <c r="FF3" s="247">
        <v>34</v>
      </c>
      <c r="FG3" s="247">
        <v>34</v>
      </c>
      <c r="FH3" s="247">
        <v>0</v>
      </c>
      <c r="FI3" s="247" t="s">
        <v>761</v>
      </c>
      <c r="FJ3" s="247" t="s">
        <v>760</v>
      </c>
      <c r="FK3" s="247">
        <v>34</v>
      </c>
      <c r="FL3" s="247">
        <v>34</v>
      </c>
      <c r="FM3" s="247">
        <v>34</v>
      </c>
      <c r="FN3" s="247">
        <v>0</v>
      </c>
      <c r="FO3" s="247" t="s">
        <v>761</v>
      </c>
      <c r="FP3" s="247" t="s">
        <v>760</v>
      </c>
      <c r="FQ3" s="247">
        <v>34</v>
      </c>
      <c r="FR3" s="247">
        <v>34</v>
      </c>
      <c r="FS3" s="247">
        <v>34</v>
      </c>
      <c r="FT3" s="247">
        <v>0</v>
      </c>
      <c r="FU3" s="247" t="s">
        <v>761</v>
      </c>
      <c r="FV3" s="247" t="s">
        <v>637</v>
      </c>
      <c r="FW3" s="247">
        <v>0</v>
      </c>
      <c r="FX3" s="247">
        <v>0</v>
      </c>
      <c r="FY3" s="247">
        <v>0</v>
      </c>
      <c r="FZ3" s="247">
        <v>0</v>
      </c>
      <c r="GA3" s="247" t="s">
        <v>637</v>
      </c>
      <c r="GB3" s="247" t="s">
        <v>51</v>
      </c>
      <c r="GC3" s="247">
        <v>45</v>
      </c>
      <c r="GD3" s="247">
        <v>45</v>
      </c>
      <c r="GE3" s="247">
        <v>34</v>
      </c>
      <c r="GF3" s="247">
        <v>34</v>
      </c>
      <c r="GG3" s="247">
        <v>34</v>
      </c>
      <c r="GH3" s="247">
        <v>0</v>
      </c>
      <c r="GI3" s="740">
        <v>34</v>
      </c>
      <c r="GJ3" s="740">
        <v>24</v>
      </c>
      <c r="GK3" s="247">
        <f ref="GK3:GK11" t="shared" si="4">$GL$1</f>
        <v>10</v>
      </c>
      <c r="GL3" s="247"/>
      <c r="GM3" s="247">
        <f ref="GM3:GM11" t="shared" si="5">$GN$1</f>
        <v>10</v>
      </c>
      <c r="GN3" s="247"/>
      <c r="GO3" s="247"/>
      <c r="GP3" s="247"/>
      <c r="GQ3" s="265" t="str">
        <f ref="GQ3:GQ11" t="shared" si="6">IF(LEN(GR3)=4,"B0"&amp;GR3&amp;GS3&amp;GT3,IF(LEN(GR3)=3,"B00"&amp;GR3&amp;GS3&amp;GT3,IF(LEN(GR3)=2,"B000"&amp;GR3&amp;GS3&amp;GT3,IF(LEN(GR3)=1,"B0000"&amp;GR3&amp;GS3&amp;GT3,"B"&amp;GR3&amp;GS3&amp;GT3))))</f>
        <v>B00201260319TG05</v>
      </c>
      <c r="GR3" s="266">
        <v>201</v>
      </c>
      <c r="GS3" s="267" t="str">
        <f ref="GS3:GS11" t="shared" si="7">TEXT(GW3,"ddmmyy")</f>
        <v>260319</v>
      </c>
      <c r="GT3" s="265" t="s">
        <v>646</v>
      </c>
      <c r="GU3" s="267" t="str">
        <f ref="GU3:GU11" t="shared" si="8">TEXT(GW3,"dd/mm/yyyy")</f>
        <v>26/03/2019</v>
      </c>
      <c r="GV3" s="267" t="str">
        <f ref="GV3:GV11" t="shared" si="9">TEXT(GX3,"dd/mm/yyyy")</f>
        <v>26/03/2024</v>
      </c>
      <c r="GW3" s="268" t="s">
        <v>742</v>
      </c>
      <c r="GX3" s="267">
        <f ref="GX3:GX11" t="shared" si="10">DATE(YEAR(GW3) + 5,MONTH(GW3),DAY(GW3))</f>
        <v>45377</v>
      </c>
      <c r="GY3" s="267" t="b">
        <f ref="GY3:GY11" t="shared" si="11">RIGHT(E3,LEN(F3)+1)=(F3&amp;".")</f>
        <v>1</v>
      </c>
      <c r="GZ3" s="267" t="b">
        <f ref="GZ3:GZ11" t="shared" si="12"> IF((K3-L3)&gt;120,FALSE,TRUE)</f>
        <v>1</v>
      </c>
      <c r="HA3" s="269">
        <f ref="HA3:HA11" t="shared" si="13">IFERROR(MATCH("",AL3:AQ3,0)-1,6)</f>
        <v>5</v>
      </c>
      <c r="HB3" s="270" t="str">
        <f ref="HB3:HB11" t="shared" si="14">HA3&amp;"-"&amp;HH3</f>
        <v>5-5</v>
      </c>
      <c r="HC3" s="270" t="str">
        <f ref="HC3:HC11" t="shared" si="15">IF(AM3&lt;&gt;"",IF(AM3=AL3,"CHUNG","KHAC"),"")</f>
        <v>CHUNG</v>
      </c>
      <c r="HD3" s="270" t="str">
        <f ref="HD3:HD11" t="shared" si="16">IF(AN3&lt;&gt;"",IF(AN3=AL3,"CHUNG","KHAC"),"")</f>
        <v>CHUNG</v>
      </c>
      <c r="HE3" s="270" t="str">
        <f ref="HE3:HE11" t="shared" si="17">IF(AO3&lt;&gt;"",IF(AO3=AL3,"CHUNG","KHAC"),"")</f>
        <v>CHUNG</v>
      </c>
      <c r="HF3" s="270" t="str">
        <f ref="HF3:HF11" t="shared" si="18">IF(AP3&lt;&gt;"",IF(AP3=AL3,"CHUNG","KHAC"),"")</f>
        <v>CHUNG</v>
      </c>
      <c r="HG3" s="270" t="str">
        <f ref="HG3:HG11" t="shared" si="19">IF(AQ3&lt;&gt;"",IF(AQ3=AL3,"CHUNG","KHAC"),"")</f>
      </c>
      <c r="HH3" s="270">
        <f ref="HH3:HH11" t="shared" si="20">IF(COUNTIF(HC3:HG3,"CHUNG")=0,1,COUNTIF(HC3:HG3,"CHUNG")+1)</f>
        <v>5</v>
      </c>
      <c r="HI3" s="271">
        <f ref="HI3:HI11" t="shared" si="21">HA3-HH3</f>
        <v>0</v>
      </c>
      <c r="HJ3" s="271" t="str">
        <f ref="HJ3:HJ11" t="shared" si="22">IF(HI3=0,"No","Yes")</f>
        <v>No</v>
      </c>
      <c r="HK3" s="271" t="str">
        <f ref="HK3:HK11" t="shared" si="23">IF(HI3=0,"No","Yes")</f>
        <v>No</v>
      </c>
    </row>
    <row r="4" ht="89.25">
      <c r="A4" s="236">
        <v>3</v>
      </c>
      <c r="B4" s="236" t="s">
        <v>616</v>
      </c>
      <c r="C4" s="236" t="s">
        <v>159</v>
      </c>
      <c r="D4" s="740" t="s">
        <v>729</v>
      </c>
      <c r="E4" s="236" t="s">
        <v>730</v>
      </c>
      <c r="F4" s="236" t="s">
        <v>6</v>
      </c>
      <c r="G4" s="740" t="s">
        <v>762</v>
      </c>
      <c r="H4" s="740" t="s">
        <v>763</v>
      </c>
      <c r="I4" s="236">
        <v>2</v>
      </c>
      <c r="J4" s="236" t="s">
        <v>732</v>
      </c>
      <c r="K4" s="259" t="s">
        <v>622</v>
      </c>
      <c r="L4" s="259" t="s">
        <v>623</v>
      </c>
      <c r="M4" s="236" t="s">
        <v>624</v>
      </c>
      <c r="N4" s="236" t="s">
        <v>764</v>
      </c>
      <c r="O4" s="236" t="s">
        <v>765</v>
      </c>
      <c r="P4" s="236" t="s">
        <v>627</v>
      </c>
      <c r="Q4" s="236" t="s">
        <v>628</v>
      </c>
      <c r="R4" s="236" t="s">
        <v>629</v>
      </c>
      <c r="S4" s="236" t="s">
        <v>630</v>
      </c>
      <c r="T4" s="236" t="s">
        <v>766</v>
      </c>
      <c r="U4" s="236">
        <v>1</v>
      </c>
      <c r="V4" s="236" t="s">
        <v>632</v>
      </c>
      <c r="W4" s="236" t="b">
        <v>1</v>
      </c>
      <c r="X4" s="236" t="b">
        <v>0</v>
      </c>
      <c r="Y4" s="740">
        <v>0</v>
      </c>
      <c r="Z4" s="236" t="b">
        <v>0</v>
      </c>
      <c r="AA4" s="740">
        <v>0</v>
      </c>
      <c r="AB4" s="236" t="b">
        <v>0</v>
      </c>
      <c r="AC4" s="236" t="b">
        <v>1</v>
      </c>
      <c r="AD4" s="236">
        <v>0</v>
      </c>
      <c r="AE4" s="236">
        <v>0</v>
      </c>
      <c r="AF4" s="236" t="s">
        <v>50</v>
      </c>
      <c r="AG4" s="236" t="s">
        <v>633</v>
      </c>
      <c r="AH4" s="247"/>
      <c r="AI4" s="247" t="s">
        <v>634</v>
      </c>
      <c r="AJ4" s="247" t="s">
        <v>635</v>
      </c>
      <c r="AK4" s="236" t="s">
        <v>5</v>
      </c>
      <c r="AL4" s="247" t="s">
        <v>636</v>
      </c>
      <c r="AM4" s="247" t="s">
        <v>636</v>
      </c>
      <c r="AN4" s="247" t="s">
        <v>637</v>
      </c>
      <c r="AO4" s="247" t="s">
        <v>637</v>
      </c>
      <c r="AP4" s="247" t="s">
        <v>637</v>
      </c>
      <c r="AQ4" s="247" t="s">
        <v>637</v>
      </c>
      <c r="AR4" s="247" t="s">
        <v>160</v>
      </c>
      <c r="AS4" s="247" t="s">
        <v>160</v>
      </c>
      <c r="AT4" s="247" t="s">
        <v>637</v>
      </c>
      <c r="AU4" s="247" t="s">
        <v>637</v>
      </c>
      <c r="AV4" s="247" t="s">
        <v>637</v>
      </c>
      <c r="AW4" s="247" t="s">
        <v>637</v>
      </c>
      <c r="AX4" s="247" t="s">
        <v>767</v>
      </c>
      <c r="AY4" s="247" t="s">
        <v>729</v>
      </c>
      <c r="AZ4" s="247" t="s">
        <v>729</v>
      </c>
      <c r="BA4" s="247" t="s">
        <v>637</v>
      </c>
      <c r="BB4" s="247" t="s">
        <v>637</v>
      </c>
      <c r="BC4" s="247" t="s">
        <v>637</v>
      </c>
      <c r="BD4" s="247" t="s">
        <v>637</v>
      </c>
      <c r="BE4" s="247" t="s">
        <v>102</v>
      </c>
      <c r="BF4" s="247" t="s">
        <v>271</v>
      </c>
      <c r="BG4" s="247" t="s">
        <v>637</v>
      </c>
      <c r="BH4" s="247" t="s">
        <v>637</v>
      </c>
      <c r="BI4" s="247" t="s">
        <v>637</v>
      </c>
      <c r="BJ4" s="247" t="s">
        <v>637</v>
      </c>
      <c r="BK4" s="247">
        <v>3</v>
      </c>
      <c r="BL4" s="247">
        <v>3</v>
      </c>
      <c r="BM4" s="247">
        <v>0</v>
      </c>
      <c r="BN4" s="247">
        <v>0</v>
      </c>
      <c r="BO4" s="247">
        <v>0</v>
      </c>
      <c r="BP4" s="247">
        <v>0</v>
      </c>
      <c r="BQ4" s="247" t="s">
        <v>108</v>
      </c>
      <c r="BR4" s="247">
        <v>4</v>
      </c>
      <c r="BS4" s="247">
        <v>4</v>
      </c>
      <c r="BT4" s="247">
        <v>4</v>
      </c>
      <c r="BU4" s="247">
        <v>0</v>
      </c>
      <c r="BV4" s="247" t="s">
        <v>109</v>
      </c>
      <c r="BW4" s="247">
        <v>2</v>
      </c>
      <c r="BX4" s="247">
        <v>2</v>
      </c>
      <c r="BY4" s="247">
        <v>2</v>
      </c>
      <c r="BZ4" s="247">
        <v>0</v>
      </c>
      <c r="CA4" s="247" t="s">
        <v>637</v>
      </c>
      <c r="CB4" s="247">
        <v>0</v>
      </c>
      <c r="CC4" s="247">
        <v>0</v>
      </c>
      <c r="CD4" s="247">
        <v>0</v>
      </c>
      <c r="CE4" s="247">
        <v>0</v>
      </c>
      <c r="CF4" s="247" t="s">
        <v>637</v>
      </c>
      <c r="CG4" s="247">
        <v>0</v>
      </c>
      <c r="CH4" s="247">
        <v>0</v>
      </c>
      <c r="CI4" s="247">
        <v>0</v>
      </c>
      <c r="CJ4" s="247">
        <v>0</v>
      </c>
      <c r="CK4" s="247" t="s">
        <v>637</v>
      </c>
      <c r="CL4" s="247">
        <v>0</v>
      </c>
      <c r="CM4" s="247">
        <v>0</v>
      </c>
      <c r="CN4" s="247">
        <v>0</v>
      </c>
      <c r="CO4" s="247">
        <v>0</v>
      </c>
      <c r="CP4" s="247" t="s">
        <v>637</v>
      </c>
      <c r="CQ4" s="247">
        <v>0</v>
      </c>
      <c r="CR4" s="247">
        <v>0</v>
      </c>
      <c r="CS4" s="247">
        <v>0</v>
      </c>
      <c r="CT4" s="247">
        <v>0</v>
      </c>
      <c r="CU4" s="247" t="s">
        <v>641</v>
      </c>
      <c r="CV4" s="247">
        <v>20</v>
      </c>
      <c r="CW4" s="247">
        <v>20</v>
      </c>
      <c r="CX4" s="247">
        <v>20</v>
      </c>
      <c r="CY4" s="247">
        <v>0</v>
      </c>
      <c r="CZ4" s="247" t="s">
        <v>641</v>
      </c>
      <c r="DA4" s="247">
        <v>20</v>
      </c>
      <c r="DB4" s="247" t="s">
        <v>642</v>
      </c>
      <c r="DC4" s="247">
        <v>60</v>
      </c>
      <c r="DD4" s="247">
        <v>60</v>
      </c>
      <c r="DE4" s="247">
        <v>60</v>
      </c>
      <c r="DF4" s="247">
        <v>0</v>
      </c>
      <c r="DG4" s="247" t="s">
        <v>642</v>
      </c>
      <c r="DH4" s="247">
        <v>60</v>
      </c>
      <c r="DI4" s="247" t="s">
        <v>637</v>
      </c>
      <c r="DJ4" s="247">
        <v>0</v>
      </c>
      <c r="DK4" s="247">
        <v>0</v>
      </c>
      <c r="DL4" s="247">
        <v>0</v>
      </c>
      <c r="DM4" s="247">
        <v>0</v>
      </c>
      <c r="DN4" s="247" t="s">
        <v>637</v>
      </c>
      <c r="DO4" s="247">
        <v>0</v>
      </c>
      <c r="DP4" s="247" t="s">
        <v>637</v>
      </c>
      <c r="DQ4" s="247">
        <v>0</v>
      </c>
      <c r="DR4" s="247">
        <v>0</v>
      </c>
      <c r="DS4" s="247">
        <v>0</v>
      </c>
      <c r="DT4" s="247">
        <v>0</v>
      </c>
      <c r="DU4" s="247" t="s">
        <v>637</v>
      </c>
      <c r="DV4" s="247">
        <v>0</v>
      </c>
      <c r="DW4" s="247" t="s">
        <v>637</v>
      </c>
      <c r="DX4" s="247">
        <v>0</v>
      </c>
      <c r="DY4" s="247">
        <v>0</v>
      </c>
      <c r="DZ4" s="247">
        <v>0</v>
      </c>
      <c r="EA4" s="247">
        <v>0</v>
      </c>
      <c r="EB4" s="247" t="s">
        <v>637</v>
      </c>
      <c r="EC4" s="247">
        <v>0</v>
      </c>
      <c r="ED4" s="247" t="s">
        <v>637</v>
      </c>
      <c r="EE4" s="247">
        <v>0</v>
      </c>
      <c r="EF4" s="247">
        <v>0</v>
      </c>
      <c r="EG4" s="247">
        <v>0</v>
      </c>
      <c r="EH4" s="247">
        <v>0</v>
      </c>
      <c r="EI4" s="247" t="s">
        <v>637</v>
      </c>
      <c r="EJ4" s="247">
        <v>0</v>
      </c>
      <c r="EK4" s="247">
        <v>60</v>
      </c>
      <c r="EL4" s="247" t="s">
        <v>194</v>
      </c>
      <c r="EM4" s="247" t="s">
        <v>205</v>
      </c>
      <c r="EN4" s="247" t="s">
        <v>637</v>
      </c>
      <c r="EO4" s="247" t="s">
        <v>637</v>
      </c>
      <c r="EP4" s="247" t="s">
        <v>637</v>
      </c>
      <c r="EQ4" s="247" t="s">
        <v>637</v>
      </c>
      <c r="ER4" s="247" t="s">
        <v>768</v>
      </c>
      <c r="ES4" s="247">
        <v>35</v>
      </c>
      <c r="ET4" s="247">
        <v>35</v>
      </c>
      <c r="EU4" s="247">
        <v>35</v>
      </c>
      <c r="EV4" s="247">
        <v>0</v>
      </c>
      <c r="EW4" s="247" t="s">
        <v>769</v>
      </c>
      <c r="EX4" s="247" t="s">
        <v>770</v>
      </c>
      <c r="EY4" s="247">
        <v>28</v>
      </c>
      <c r="EZ4" s="247">
        <v>28</v>
      </c>
      <c r="FA4" s="247">
        <v>28</v>
      </c>
      <c r="FB4" s="247">
        <v>0</v>
      </c>
      <c r="FC4" s="247" t="s">
        <v>771</v>
      </c>
      <c r="FD4" s="247" t="s">
        <v>637</v>
      </c>
      <c r="FE4" s="247">
        <v>0</v>
      </c>
      <c r="FF4" s="247">
        <v>0</v>
      </c>
      <c r="FG4" s="247">
        <v>0</v>
      </c>
      <c r="FH4" s="247">
        <v>0</v>
      </c>
      <c r="FI4" s="247" t="s">
        <v>637</v>
      </c>
      <c r="FJ4" s="247" t="s">
        <v>637</v>
      </c>
      <c r="FK4" s="247">
        <v>0</v>
      </c>
      <c r="FL4" s="247">
        <v>0</v>
      </c>
      <c r="FM4" s="247">
        <v>0</v>
      </c>
      <c r="FN4" s="247">
        <v>0</v>
      </c>
      <c r="FO4" s="247" t="s">
        <v>637</v>
      </c>
      <c r="FP4" s="247" t="s">
        <v>637</v>
      </c>
      <c r="FQ4" s="247">
        <v>0</v>
      </c>
      <c r="FR4" s="247">
        <v>0</v>
      </c>
      <c r="FS4" s="247">
        <v>0</v>
      </c>
      <c r="FT4" s="247">
        <v>0</v>
      </c>
      <c r="FU4" s="247" t="s">
        <v>637</v>
      </c>
      <c r="FV4" s="247" t="s">
        <v>637</v>
      </c>
      <c r="FW4" s="247">
        <v>0</v>
      </c>
      <c r="FX4" s="247">
        <v>0</v>
      </c>
      <c r="FY4" s="247">
        <v>0</v>
      </c>
      <c r="FZ4" s="247">
        <v>0</v>
      </c>
      <c r="GA4" s="247" t="s">
        <v>637</v>
      </c>
      <c r="GB4" s="247" t="s">
        <v>51</v>
      </c>
      <c r="GC4" s="247">
        <v>35</v>
      </c>
      <c r="GD4" s="247">
        <v>28</v>
      </c>
      <c r="GE4" s="247">
        <v>0</v>
      </c>
      <c r="GF4" s="247">
        <v>0</v>
      </c>
      <c r="GG4" s="247">
        <v>0</v>
      </c>
      <c r="GH4" s="247">
        <v>0</v>
      </c>
      <c r="GI4" s="740">
        <v>28</v>
      </c>
      <c r="GJ4" s="740">
        <v>28</v>
      </c>
      <c r="GK4" s="247">
        <f t="shared" si="4"/>
        <v>10</v>
      </c>
      <c r="GL4" s="247"/>
      <c r="GM4" s="247">
        <f t="shared" si="5"/>
        <v>10</v>
      </c>
      <c r="GN4" s="247"/>
      <c r="GO4" s="247"/>
      <c r="GP4" s="247"/>
      <c r="GQ4" s="265" t="str">
        <f t="shared" si="6"/>
        <v>B00202260319TG05</v>
      </c>
      <c r="GR4" s="266">
        <v>202</v>
      </c>
      <c r="GS4" s="267" t="str">
        <f t="shared" si="7"/>
        <v>260319</v>
      </c>
      <c r="GT4" s="265" t="s">
        <v>646</v>
      </c>
      <c r="GU4" s="267" t="str">
        <f t="shared" si="8"/>
        <v>26/03/2019</v>
      </c>
      <c r="GV4" s="267" t="str">
        <f t="shared" si="9"/>
        <v>26/03/2024</v>
      </c>
      <c r="GW4" s="268" t="s">
        <v>742</v>
      </c>
      <c r="GX4" s="267">
        <f t="shared" si="10"/>
        <v>45377</v>
      </c>
      <c r="GY4" s="267" t="b">
        <f t="shared" si="11"/>
        <v>1</v>
      </c>
      <c r="GZ4" s="267" t="b">
        <f t="shared" si="12"/>
        <v>1</v>
      </c>
      <c r="HA4" s="269">
        <f t="shared" si="13"/>
        <v>2</v>
      </c>
      <c r="HB4" s="270" t="str">
        <f t="shared" si="14"/>
        <v>2-2</v>
      </c>
      <c r="HC4" s="270" t="str">
        <f t="shared" si="15"/>
        <v>CHUNG</v>
      </c>
      <c r="HD4" s="270" t="str">
        <f t="shared" si="16"/>
      </c>
      <c r="HE4" s="270" t="str">
        <f t="shared" si="17"/>
      </c>
      <c r="HF4" s="270" t="str">
        <f t="shared" si="18"/>
      </c>
      <c r="HG4" s="270" t="str">
        <f t="shared" si="19"/>
      </c>
      <c r="HH4" s="270">
        <f t="shared" si="20"/>
        <v>2</v>
      </c>
      <c r="HI4" s="271">
        <f t="shared" si="21"/>
        <v>0</v>
      </c>
      <c r="HJ4" s="271" t="str">
        <f t="shared" si="22"/>
        <v>No</v>
      </c>
      <c r="HK4" s="271" t="str">
        <f t="shared" si="23"/>
        <v>No</v>
      </c>
    </row>
    <row r="5" ht="89.25">
      <c r="A5" s="236">
        <v>4</v>
      </c>
      <c r="B5" s="236" t="s">
        <v>616</v>
      </c>
      <c r="C5" s="236" t="s">
        <v>159</v>
      </c>
      <c r="D5" s="740" t="s">
        <v>691</v>
      </c>
      <c r="E5" s="236" t="s">
        <v>692</v>
      </c>
      <c r="F5" s="236" t="s">
        <v>6</v>
      </c>
      <c r="G5" s="740" t="s">
        <v>772</v>
      </c>
      <c r="H5" s="740" t="s">
        <v>773</v>
      </c>
      <c r="I5" s="236">
        <v>1</v>
      </c>
      <c r="J5" s="236" t="s">
        <v>694</v>
      </c>
      <c r="K5" s="259" t="s">
        <v>622</v>
      </c>
      <c r="L5" s="259" t="s">
        <v>623</v>
      </c>
      <c r="M5" s="236" t="s">
        <v>624</v>
      </c>
      <c r="N5" s="236" t="s">
        <v>774</v>
      </c>
      <c r="O5" s="236" t="s">
        <v>626</v>
      </c>
      <c r="P5" s="236" t="s">
        <v>627</v>
      </c>
      <c r="Q5" s="236" t="s">
        <v>775</v>
      </c>
      <c r="R5" s="236" t="s">
        <v>776</v>
      </c>
      <c r="S5" s="236" t="s">
        <v>777</v>
      </c>
      <c r="T5" s="236" t="s">
        <v>778</v>
      </c>
      <c r="U5" s="236">
        <v>1</v>
      </c>
      <c r="V5" s="236" t="s">
        <v>779</v>
      </c>
      <c r="W5" s="236" t="b">
        <v>1</v>
      </c>
      <c r="X5" s="236" t="b">
        <v>0</v>
      </c>
      <c r="Y5" s="740">
        <v>0</v>
      </c>
      <c r="Z5" s="236" t="b">
        <v>0</v>
      </c>
      <c r="AA5" s="740">
        <v>0</v>
      </c>
      <c r="AB5" s="236" t="b">
        <v>0</v>
      </c>
      <c r="AC5" s="236" t="b">
        <v>1</v>
      </c>
      <c r="AD5" s="236">
        <v>0</v>
      </c>
      <c r="AE5" s="236">
        <v>0</v>
      </c>
      <c r="AF5" s="236" t="s">
        <v>50</v>
      </c>
      <c r="AG5" s="236">
        <v>0</v>
      </c>
      <c r="AH5" s="247"/>
      <c r="AI5" s="247" t="s">
        <v>634</v>
      </c>
      <c r="AJ5" s="247" t="s">
        <v>635</v>
      </c>
      <c r="AK5" s="236" t="s">
        <v>5</v>
      </c>
      <c r="AL5" s="247" t="s">
        <v>636</v>
      </c>
      <c r="AM5" s="247" t="s">
        <v>637</v>
      </c>
      <c r="AN5" s="247" t="s">
        <v>637</v>
      </c>
      <c r="AO5" s="247" t="s">
        <v>637</v>
      </c>
      <c r="AP5" s="247" t="s">
        <v>637</v>
      </c>
      <c r="AQ5" s="247" t="s">
        <v>637</v>
      </c>
      <c r="AR5" s="247" t="s">
        <v>160</v>
      </c>
      <c r="AS5" s="247" t="s">
        <v>637</v>
      </c>
      <c r="AT5" s="247" t="s">
        <v>637</v>
      </c>
      <c r="AU5" s="247" t="s">
        <v>637</v>
      </c>
      <c r="AV5" s="247" t="s">
        <v>637</v>
      </c>
      <c r="AW5" s="247" t="s">
        <v>637</v>
      </c>
      <c r="AX5" s="247" t="s">
        <v>160</v>
      </c>
      <c r="AY5" s="247" t="s">
        <v>691</v>
      </c>
      <c r="AZ5" s="247" t="s">
        <v>637</v>
      </c>
      <c r="BA5" s="247" t="s">
        <v>637</v>
      </c>
      <c r="BB5" s="247" t="s">
        <v>637</v>
      </c>
      <c r="BC5" s="247" t="s">
        <v>637</v>
      </c>
      <c r="BD5" s="247" t="s">
        <v>637</v>
      </c>
      <c r="BE5" s="247" t="s">
        <v>102</v>
      </c>
      <c r="BF5" s="247" t="s">
        <v>637</v>
      </c>
      <c r="BG5" s="247" t="s">
        <v>637</v>
      </c>
      <c r="BH5" s="247" t="s">
        <v>637</v>
      </c>
      <c r="BI5" s="247" t="s">
        <v>637</v>
      </c>
      <c r="BJ5" s="247" t="s">
        <v>637</v>
      </c>
      <c r="BK5" s="247">
        <v>3</v>
      </c>
      <c r="BL5" s="247">
        <v>0</v>
      </c>
      <c r="BM5" s="247">
        <v>0</v>
      </c>
      <c r="BN5" s="247">
        <v>0</v>
      </c>
      <c r="BO5" s="247">
        <v>0</v>
      </c>
      <c r="BP5" s="247">
        <v>0</v>
      </c>
      <c r="BQ5" s="247" t="s">
        <v>780</v>
      </c>
      <c r="BR5" s="247">
        <v>3</v>
      </c>
      <c r="BS5" s="247">
        <v>3</v>
      </c>
      <c r="BT5" s="247">
        <v>3</v>
      </c>
      <c r="BU5" s="247">
        <v>0</v>
      </c>
      <c r="BV5" s="247" t="s">
        <v>637</v>
      </c>
      <c r="BW5" s="247">
        <v>0</v>
      </c>
      <c r="BX5" s="247">
        <v>0</v>
      </c>
      <c r="BY5" s="247">
        <v>0</v>
      </c>
      <c r="BZ5" s="247">
        <v>0</v>
      </c>
      <c r="CA5" s="247" t="s">
        <v>637</v>
      </c>
      <c r="CB5" s="247">
        <v>0</v>
      </c>
      <c r="CC5" s="247">
        <v>0</v>
      </c>
      <c r="CD5" s="247">
        <v>0</v>
      </c>
      <c r="CE5" s="247">
        <v>0</v>
      </c>
      <c r="CF5" s="247" t="s">
        <v>637</v>
      </c>
      <c r="CG5" s="247">
        <v>0</v>
      </c>
      <c r="CH5" s="247">
        <v>0</v>
      </c>
      <c r="CI5" s="247">
        <v>0</v>
      </c>
      <c r="CJ5" s="247">
        <v>0</v>
      </c>
      <c r="CK5" s="247" t="s">
        <v>637</v>
      </c>
      <c r="CL5" s="247">
        <v>0</v>
      </c>
      <c r="CM5" s="247">
        <v>0</v>
      </c>
      <c r="CN5" s="247">
        <v>0</v>
      </c>
      <c r="CO5" s="247">
        <v>0</v>
      </c>
      <c r="CP5" s="247" t="s">
        <v>637</v>
      </c>
      <c r="CQ5" s="247">
        <v>0</v>
      </c>
      <c r="CR5" s="247">
        <v>0</v>
      </c>
      <c r="CS5" s="247">
        <v>0</v>
      </c>
      <c r="CT5" s="247">
        <v>0</v>
      </c>
      <c r="CU5" s="247" t="s">
        <v>757</v>
      </c>
      <c r="CV5" s="247">
        <v>16</v>
      </c>
      <c r="CW5" s="247">
        <v>16</v>
      </c>
      <c r="CX5" s="247">
        <v>16</v>
      </c>
      <c r="CY5" s="247">
        <v>0</v>
      </c>
      <c r="CZ5" s="247" t="s">
        <v>757</v>
      </c>
      <c r="DA5" s="247">
        <v>16</v>
      </c>
      <c r="DB5" s="247" t="s">
        <v>637</v>
      </c>
      <c r="DC5" s="247">
        <v>0</v>
      </c>
      <c r="DD5" s="247">
        <v>0</v>
      </c>
      <c r="DE5" s="247">
        <v>0</v>
      </c>
      <c r="DF5" s="247">
        <v>0</v>
      </c>
      <c r="DG5" s="247" t="s">
        <v>637</v>
      </c>
      <c r="DH5" s="247">
        <v>0</v>
      </c>
      <c r="DI5" s="247" t="s">
        <v>637</v>
      </c>
      <c r="DJ5" s="247">
        <v>0</v>
      </c>
      <c r="DK5" s="247">
        <v>0</v>
      </c>
      <c r="DL5" s="247">
        <v>0</v>
      </c>
      <c r="DM5" s="247">
        <v>0</v>
      </c>
      <c r="DN5" s="247" t="s">
        <v>637</v>
      </c>
      <c r="DO5" s="247">
        <v>0</v>
      </c>
      <c r="DP5" s="247" t="s">
        <v>637</v>
      </c>
      <c r="DQ5" s="247">
        <v>0</v>
      </c>
      <c r="DR5" s="247">
        <v>0</v>
      </c>
      <c r="DS5" s="247">
        <v>0</v>
      </c>
      <c r="DT5" s="247">
        <v>0</v>
      </c>
      <c r="DU5" s="247" t="s">
        <v>637</v>
      </c>
      <c r="DV5" s="247">
        <v>0</v>
      </c>
      <c r="DW5" s="247" t="s">
        <v>637</v>
      </c>
      <c r="DX5" s="247">
        <v>0</v>
      </c>
      <c r="DY5" s="247">
        <v>0</v>
      </c>
      <c r="DZ5" s="247">
        <v>0</v>
      </c>
      <c r="EA5" s="247">
        <v>0</v>
      </c>
      <c r="EB5" s="247" t="s">
        <v>637</v>
      </c>
      <c r="EC5" s="247">
        <v>0</v>
      </c>
      <c r="ED5" s="247" t="s">
        <v>637</v>
      </c>
      <c r="EE5" s="247">
        <v>0</v>
      </c>
      <c r="EF5" s="247">
        <v>0</v>
      </c>
      <c r="EG5" s="247">
        <v>0</v>
      </c>
      <c r="EH5" s="247">
        <v>0</v>
      </c>
      <c r="EI5" s="247" t="s">
        <v>637</v>
      </c>
      <c r="EJ5" s="247">
        <v>0</v>
      </c>
      <c r="EK5" s="247">
        <v>16</v>
      </c>
      <c r="EL5" s="247" t="s">
        <v>204</v>
      </c>
      <c r="EM5" s="247" t="s">
        <v>637</v>
      </c>
      <c r="EN5" s="247" t="s">
        <v>637</v>
      </c>
      <c r="EO5" s="247" t="s">
        <v>637</v>
      </c>
      <c r="EP5" s="247" t="s">
        <v>637</v>
      </c>
      <c r="EQ5" s="247" t="s">
        <v>637</v>
      </c>
      <c r="ER5" s="247" t="s">
        <v>781</v>
      </c>
      <c r="ES5" s="247">
        <v>27</v>
      </c>
      <c r="ET5" s="247">
        <v>27</v>
      </c>
      <c r="EU5" s="247">
        <v>27</v>
      </c>
      <c r="EV5" s="247">
        <v>0</v>
      </c>
      <c r="EW5" s="247" t="s">
        <v>782</v>
      </c>
      <c r="EX5" s="247" t="s">
        <v>637</v>
      </c>
      <c r="EY5" s="247">
        <v>0</v>
      </c>
      <c r="EZ5" s="247">
        <v>0</v>
      </c>
      <c r="FA5" s="247">
        <v>0</v>
      </c>
      <c r="FB5" s="247">
        <v>0</v>
      </c>
      <c r="FC5" s="247" t="s">
        <v>637</v>
      </c>
      <c r="FD5" s="247" t="s">
        <v>637</v>
      </c>
      <c r="FE5" s="247">
        <v>0</v>
      </c>
      <c r="FF5" s="247">
        <v>0</v>
      </c>
      <c r="FG5" s="247">
        <v>0</v>
      </c>
      <c r="FH5" s="247">
        <v>0</v>
      </c>
      <c r="FI5" s="247" t="s">
        <v>637</v>
      </c>
      <c r="FJ5" s="247" t="s">
        <v>637</v>
      </c>
      <c r="FK5" s="247">
        <v>0</v>
      </c>
      <c r="FL5" s="247">
        <v>0</v>
      </c>
      <c r="FM5" s="247">
        <v>0</v>
      </c>
      <c r="FN5" s="247">
        <v>0</v>
      </c>
      <c r="FO5" s="247" t="s">
        <v>637</v>
      </c>
      <c r="FP5" s="247" t="s">
        <v>637</v>
      </c>
      <c r="FQ5" s="247">
        <v>0</v>
      </c>
      <c r="FR5" s="247">
        <v>0</v>
      </c>
      <c r="FS5" s="247">
        <v>0</v>
      </c>
      <c r="FT5" s="247">
        <v>0</v>
      </c>
      <c r="FU5" s="247" t="s">
        <v>637</v>
      </c>
      <c r="FV5" s="247" t="s">
        <v>637</v>
      </c>
      <c r="FW5" s="247">
        <v>0</v>
      </c>
      <c r="FX5" s="247">
        <v>0</v>
      </c>
      <c r="FY5" s="247">
        <v>0</v>
      </c>
      <c r="FZ5" s="247">
        <v>0</v>
      </c>
      <c r="GA5" s="247" t="s">
        <v>637</v>
      </c>
      <c r="GB5" s="247" t="s">
        <v>51</v>
      </c>
      <c r="GC5" s="247">
        <v>27</v>
      </c>
      <c r="GD5" s="247">
        <v>0</v>
      </c>
      <c r="GE5" s="247">
        <v>0</v>
      </c>
      <c r="GF5" s="247">
        <v>0</v>
      </c>
      <c r="GG5" s="247">
        <v>0</v>
      </c>
      <c r="GH5" s="247">
        <v>0</v>
      </c>
      <c r="GI5" s="740">
        <v>27</v>
      </c>
      <c r="GJ5" s="740">
        <v>27</v>
      </c>
      <c r="GK5" s="247">
        <f t="shared" si="4"/>
        <v>10</v>
      </c>
      <c r="GL5" s="247"/>
      <c r="GM5" s="247">
        <f t="shared" si="5"/>
        <v>10</v>
      </c>
      <c r="GN5" s="247"/>
      <c r="GO5" s="247"/>
      <c r="GP5" s="247"/>
      <c r="GQ5" s="265" t="str">
        <f t="shared" si="6"/>
        <v>B00203260319TG05</v>
      </c>
      <c r="GR5" s="266">
        <v>203</v>
      </c>
      <c r="GS5" s="267" t="str">
        <f t="shared" si="7"/>
        <v>260319</v>
      </c>
      <c r="GT5" s="265" t="s">
        <v>646</v>
      </c>
      <c r="GU5" s="267" t="str">
        <f t="shared" si="8"/>
        <v>26/03/2019</v>
      </c>
      <c r="GV5" s="267" t="str">
        <f t="shared" si="9"/>
        <v>26/03/2024</v>
      </c>
      <c r="GW5" s="268" t="s">
        <v>742</v>
      </c>
      <c r="GX5" s="267">
        <f t="shared" si="10"/>
        <v>45377</v>
      </c>
      <c r="GY5" s="267" t="b">
        <f t="shared" si="11"/>
        <v>1</v>
      </c>
      <c r="GZ5" s="267" t="b">
        <f t="shared" si="12"/>
        <v>1</v>
      </c>
      <c r="HA5" s="269">
        <f t="shared" si="13"/>
        <v>1</v>
      </c>
      <c r="HB5" s="270" t="str">
        <f t="shared" si="14"/>
        <v>1-1</v>
      </c>
      <c r="HC5" s="270" t="str">
        <f t="shared" si="15"/>
      </c>
      <c r="HD5" s="270" t="str">
        <f t="shared" si="16"/>
      </c>
      <c r="HE5" s="270" t="str">
        <f t="shared" si="17"/>
      </c>
      <c r="HF5" s="270" t="str">
        <f t="shared" si="18"/>
      </c>
      <c r="HG5" s="270" t="str">
        <f t="shared" si="19"/>
      </c>
      <c r="HH5" s="270">
        <f t="shared" si="20"/>
        <v>1</v>
      </c>
      <c r="HI5" s="271">
        <f t="shared" si="21"/>
        <v>0</v>
      </c>
      <c r="HJ5" s="271" t="str">
        <f t="shared" si="22"/>
        <v>No</v>
      </c>
      <c r="HK5" s="271" t="str">
        <f t="shared" si="23"/>
        <v>No</v>
      </c>
    </row>
    <row r="6" ht="89.25">
      <c r="A6" s="236">
        <v>5</v>
      </c>
      <c r="B6" s="236" t="s">
        <v>616</v>
      </c>
      <c r="C6" s="236" t="s">
        <v>159</v>
      </c>
      <c r="D6" s="740" t="s">
        <v>695</v>
      </c>
      <c r="E6" s="236" t="s">
        <v>696</v>
      </c>
      <c r="F6" s="236" t="s">
        <v>6</v>
      </c>
      <c r="G6" s="740" t="s">
        <v>783</v>
      </c>
      <c r="H6" s="740" t="s">
        <v>784</v>
      </c>
      <c r="I6" s="236">
        <v>3</v>
      </c>
      <c r="J6" s="236" t="s">
        <v>698</v>
      </c>
      <c r="K6" s="259" t="s">
        <v>622</v>
      </c>
      <c r="L6" s="259" t="s">
        <v>623</v>
      </c>
      <c r="M6" s="236" t="s">
        <v>624</v>
      </c>
      <c r="N6" s="236" t="s">
        <v>785</v>
      </c>
      <c r="O6" s="236" t="s">
        <v>786</v>
      </c>
      <c r="P6" s="236" t="s">
        <v>627</v>
      </c>
      <c r="Q6" s="236" t="s">
        <v>787</v>
      </c>
      <c r="R6" s="236" t="s">
        <v>788</v>
      </c>
      <c r="S6" s="236" t="s">
        <v>630</v>
      </c>
      <c r="T6" s="236" t="s">
        <v>789</v>
      </c>
      <c r="U6" s="236">
        <v>1</v>
      </c>
      <c r="V6" s="236" t="s">
        <v>632</v>
      </c>
      <c r="W6" s="236" t="b">
        <v>1</v>
      </c>
      <c r="X6" s="236" t="b">
        <v>0</v>
      </c>
      <c r="Y6" s="740">
        <v>0</v>
      </c>
      <c r="Z6" s="236" t="b">
        <v>0</v>
      </c>
      <c r="AA6" s="740">
        <v>0</v>
      </c>
      <c r="AB6" s="236" t="b">
        <v>0</v>
      </c>
      <c r="AC6" s="236" t="b">
        <v>1</v>
      </c>
      <c r="AD6" s="236">
        <v>0</v>
      </c>
      <c r="AE6" s="236">
        <v>0</v>
      </c>
      <c r="AF6" s="236" t="s">
        <v>50</v>
      </c>
      <c r="AG6" s="236">
        <v>0</v>
      </c>
      <c r="AH6" s="247"/>
      <c r="AI6" s="247" t="s">
        <v>634</v>
      </c>
      <c r="AJ6" s="247" t="s">
        <v>635</v>
      </c>
      <c r="AK6" s="236" t="s">
        <v>5</v>
      </c>
      <c r="AL6" s="247" t="s">
        <v>636</v>
      </c>
      <c r="AM6" s="247" t="s">
        <v>636</v>
      </c>
      <c r="AN6" s="247" t="s">
        <v>636</v>
      </c>
      <c r="AO6" s="247" t="s">
        <v>637</v>
      </c>
      <c r="AP6" s="247" t="s">
        <v>637</v>
      </c>
      <c r="AQ6" s="247" t="s">
        <v>637</v>
      </c>
      <c r="AR6" s="247" t="s">
        <v>160</v>
      </c>
      <c r="AS6" s="247" t="s">
        <v>160</v>
      </c>
      <c r="AT6" s="247" t="s">
        <v>160</v>
      </c>
      <c r="AU6" s="247" t="s">
        <v>637</v>
      </c>
      <c r="AV6" s="247" t="s">
        <v>637</v>
      </c>
      <c r="AW6" s="247" t="s">
        <v>637</v>
      </c>
      <c r="AX6" s="247" t="s">
        <v>638</v>
      </c>
      <c r="AY6" s="247" t="s">
        <v>695</v>
      </c>
      <c r="AZ6" s="247" t="s">
        <v>695</v>
      </c>
      <c r="BA6" s="247" t="s">
        <v>695</v>
      </c>
      <c r="BB6" s="247" t="s">
        <v>637</v>
      </c>
      <c r="BC6" s="247" t="s">
        <v>637</v>
      </c>
      <c r="BD6" s="247" t="s">
        <v>637</v>
      </c>
      <c r="BE6" s="247" t="s">
        <v>102</v>
      </c>
      <c r="BF6" s="247" t="s">
        <v>257</v>
      </c>
      <c r="BG6" s="247" t="s">
        <v>639</v>
      </c>
      <c r="BH6" s="247" t="s">
        <v>637</v>
      </c>
      <c r="BI6" s="247" t="s">
        <v>637</v>
      </c>
      <c r="BJ6" s="247" t="s">
        <v>637</v>
      </c>
      <c r="BK6" s="247">
        <v>3</v>
      </c>
      <c r="BL6" s="247">
        <v>3</v>
      </c>
      <c r="BM6" s="247">
        <v>3</v>
      </c>
      <c r="BN6" s="247">
        <v>0</v>
      </c>
      <c r="BO6" s="247">
        <v>0</v>
      </c>
      <c r="BP6" s="247">
        <v>0</v>
      </c>
      <c r="BQ6" s="247" t="s">
        <v>109</v>
      </c>
      <c r="BR6" s="247">
        <v>2</v>
      </c>
      <c r="BS6" s="247">
        <v>2</v>
      </c>
      <c r="BT6" s="247">
        <v>2</v>
      </c>
      <c r="BU6" s="247">
        <v>0</v>
      </c>
      <c r="BV6" s="247" t="s">
        <v>109</v>
      </c>
      <c r="BW6" s="247">
        <v>2</v>
      </c>
      <c r="BX6" s="247">
        <v>2</v>
      </c>
      <c r="BY6" s="247">
        <v>2</v>
      </c>
      <c r="BZ6" s="247">
        <v>0</v>
      </c>
      <c r="CA6" s="247" t="s">
        <v>640</v>
      </c>
      <c r="CB6" s="247">
        <v>1</v>
      </c>
      <c r="CC6" s="247">
        <v>1</v>
      </c>
      <c r="CD6" s="247">
        <v>1</v>
      </c>
      <c r="CE6" s="247">
        <v>0</v>
      </c>
      <c r="CF6" s="247" t="s">
        <v>637</v>
      </c>
      <c r="CG6" s="247">
        <v>0</v>
      </c>
      <c r="CH6" s="247">
        <v>0</v>
      </c>
      <c r="CI6" s="247">
        <v>0</v>
      </c>
      <c r="CJ6" s="247">
        <v>0</v>
      </c>
      <c r="CK6" s="247" t="s">
        <v>637</v>
      </c>
      <c r="CL6" s="247">
        <v>0</v>
      </c>
      <c r="CM6" s="247">
        <v>0</v>
      </c>
      <c r="CN6" s="247">
        <v>0</v>
      </c>
      <c r="CO6" s="247">
        <v>0</v>
      </c>
      <c r="CP6" s="247" t="s">
        <v>637</v>
      </c>
      <c r="CQ6" s="247">
        <v>0</v>
      </c>
      <c r="CR6" s="247">
        <v>0</v>
      </c>
      <c r="CS6" s="247">
        <v>0</v>
      </c>
      <c r="CT6" s="247">
        <v>0</v>
      </c>
      <c r="CU6" s="247" t="s">
        <v>641</v>
      </c>
      <c r="CV6" s="247">
        <v>20</v>
      </c>
      <c r="CW6" s="247">
        <v>20</v>
      </c>
      <c r="CX6" s="247">
        <v>20</v>
      </c>
      <c r="CY6" s="247">
        <v>0</v>
      </c>
      <c r="CZ6" s="247" t="s">
        <v>641</v>
      </c>
      <c r="DA6" s="247">
        <v>20</v>
      </c>
      <c r="DB6" s="247" t="s">
        <v>790</v>
      </c>
      <c r="DC6" s="247">
        <v>40</v>
      </c>
      <c r="DD6" s="247">
        <v>40</v>
      </c>
      <c r="DE6" s="247">
        <v>40</v>
      </c>
      <c r="DF6" s="247">
        <v>0</v>
      </c>
      <c r="DG6" s="247" t="s">
        <v>790</v>
      </c>
      <c r="DH6" s="247">
        <v>40</v>
      </c>
      <c r="DI6" s="247" t="s">
        <v>643</v>
      </c>
      <c r="DJ6" s="247">
        <v>160</v>
      </c>
      <c r="DK6" s="247">
        <v>160</v>
      </c>
      <c r="DL6" s="247">
        <v>160</v>
      </c>
      <c r="DM6" s="247">
        <v>0</v>
      </c>
      <c r="DN6" s="247" t="s">
        <v>643</v>
      </c>
      <c r="DO6" s="247">
        <v>160</v>
      </c>
      <c r="DP6" s="247" t="s">
        <v>637</v>
      </c>
      <c r="DQ6" s="247">
        <v>0</v>
      </c>
      <c r="DR6" s="247">
        <v>0</v>
      </c>
      <c r="DS6" s="247">
        <v>0</v>
      </c>
      <c r="DT6" s="247">
        <v>0</v>
      </c>
      <c r="DU6" s="247" t="s">
        <v>637</v>
      </c>
      <c r="DV6" s="247">
        <v>0</v>
      </c>
      <c r="DW6" s="247" t="s">
        <v>637</v>
      </c>
      <c r="DX6" s="247">
        <v>0</v>
      </c>
      <c r="DY6" s="247">
        <v>0</v>
      </c>
      <c r="DZ6" s="247">
        <v>0</v>
      </c>
      <c r="EA6" s="247">
        <v>0</v>
      </c>
      <c r="EB6" s="247" t="s">
        <v>637</v>
      </c>
      <c r="EC6" s="247">
        <v>0</v>
      </c>
      <c r="ED6" s="247" t="s">
        <v>637</v>
      </c>
      <c r="EE6" s="247">
        <v>0</v>
      </c>
      <c r="EF6" s="247">
        <v>0</v>
      </c>
      <c r="EG6" s="247">
        <v>0</v>
      </c>
      <c r="EH6" s="247">
        <v>0</v>
      </c>
      <c r="EI6" s="247" t="s">
        <v>637</v>
      </c>
      <c r="EJ6" s="247">
        <v>0</v>
      </c>
      <c r="EK6" s="247">
        <v>160</v>
      </c>
      <c r="EL6" s="247" t="s">
        <v>194</v>
      </c>
      <c r="EM6" s="247" t="s">
        <v>205</v>
      </c>
      <c r="EN6" s="247" t="s">
        <v>200</v>
      </c>
      <c r="EO6" s="247" t="s">
        <v>637</v>
      </c>
      <c r="EP6" s="247" t="s">
        <v>637</v>
      </c>
      <c r="EQ6" s="247" t="s">
        <v>637</v>
      </c>
      <c r="ER6" s="247" t="s">
        <v>791</v>
      </c>
      <c r="ES6" s="247">
        <v>47</v>
      </c>
      <c r="ET6" s="247">
        <v>47</v>
      </c>
      <c r="EU6" s="247">
        <v>47</v>
      </c>
      <c r="EV6" s="247">
        <v>0</v>
      </c>
      <c r="EW6" s="247" t="s">
        <v>792</v>
      </c>
      <c r="EX6" s="247" t="s">
        <v>768</v>
      </c>
      <c r="EY6" s="247">
        <v>35</v>
      </c>
      <c r="EZ6" s="247">
        <v>35</v>
      </c>
      <c r="FA6" s="247">
        <v>35</v>
      </c>
      <c r="FB6" s="247">
        <v>0</v>
      </c>
      <c r="FC6" s="247" t="s">
        <v>769</v>
      </c>
      <c r="FD6" s="247" t="s">
        <v>768</v>
      </c>
      <c r="FE6" s="247">
        <v>35</v>
      </c>
      <c r="FF6" s="247">
        <v>35</v>
      </c>
      <c r="FG6" s="247">
        <v>35</v>
      </c>
      <c r="FH6" s="247">
        <v>0</v>
      </c>
      <c r="FI6" s="247" t="s">
        <v>769</v>
      </c>
      <c r="FJ6" s="247" t="s">
        <v>637</v>
      </c>
      <c r="FK6" s="247">
        <v>0</v>
      </c>
      <c r="FL6" s="247">
        <v>0</v>
      </c>
      <c r="FM6" s="247">
        <v>0</v>
      </c>
      <c r="FN6" s="247">
        <v>0</v>
      </c>
      <c r="FO6" s="247" t="s">
        <v>637</v>
      </c>
      <c r="FP6" s="247" t="s">
        <v>637</v>
      </c>
      <c r="FQ6" s="247">
        <v>0</v>
      </c>
      <c r="FR6" s="247">
        <v>0</v>
      </c>
      <c r="FS6" s="247">
        <v>0</v>
      </c>
      <c r="FT6" s="247">
        <v>0</v>
      </c>
      <c r="FU6" s="247" t="s">
        <v>637</v>
      </c>
      <c r="FV6" s="247" t="s">
        <v>637</v>
      </c>
      <c r="FW6" s="247">
        <v>0</v>
      </c>
      <c r="FX6" s="247">
        <v>0</v>
      </c>
      <c r="FY6" s="247">
        <v>0</v>
      </c>
      <c r="FZ6" s="247">
        <v>0</v>
      </c>
      <c r="GA6" s="247" t="s">
        <v>637</v>
      </c>
      <c r="GB6" s="247" t="s">
        <v>51</v>
      </c>
      <c r="GC6" s="247">
        <v>47</v>
      </c>
      <c r="GD6" s="247">
        <v>35</v>
      </c>
      <c r="GE6" s="247">
        <v>35</v>
      </c>
      <c r="GF6" s="247">
        <v>0</v>
      </c>
      <c r="GG6" s="247">
        <v>0</v>
      </c>
      <c r="GH6" s="247">
        <v>0</v>
      </c>
      <c r="GI6" s="740">
        <v>35</v>
      </c>
      <c r="GJ6" s="740">
        <v>35</v>
      </c>
      <c r="GK6" s="247">
        <f t="shared" si="4"/>
        <v>10</v>
      </c>
      <c r="GL6" s="247"/>
      <c r="GM6" s="247">
        <f t="shared" si="5"/>
        <v>10</v>
      </c>
      <c r="GN6" s="247"/>
      <c r="GO6" s="247"/>
      <c r="GP6" s="247"/>
      <c r="GQ6" s="265" t="str">
        <f t="shared" si="6"/>
        <v>B00204260319TG05</v>
      </c>
      <c r="GR6" s="266">
        <v>204</v>
      </c>
      <c r="GS6" s="267" t="str">
        <f t="shared" si="7"/>
        <v>260319</v>
      </c>
      <c r="GT6" s="265" t="s">
        <v>646</v>
      </c>
      <c r="GU6" s="267" t="str">
        <f t="shared" si="8"/>
        <v>26/03/2019</v>
      </c>
      <c r="GV6" s="267" t="str">
        <f t="shared" si="9"/>
        <v>26/03/2024</v>
      </c>
      <c r="GW6" s="268" t="s">
        <v>742</v>
      </c>
      <c r="GX6" s="267">
        <f t="shared" si="10"/>
        <v>45377</v>
      </c>
      <c r="GY6" s="267" t="b">
        <f t="shared" si="11"/>
        <v>1</v>
      </c>
      <c r="GZ6" s="267" t="b">
        <f t="shared" si="12"/>
        <v>1</v>
      </c>
      <c r="HA6" s="269">
        <f t="shared" si="13"/>
        <v>3</v>
      </c>
      <c r="HB6" s="270" t="str">
        <f t="shared" si="14"/>
        <v>3-3</v>
      </c>
      <c r="HC6" s="270" t="str">
        <f t="shared" si="15"/>
        <v>CHUNG</v>
      </c>
      <c r="HD6" s="270" t="str">
        <f t="shared" si="16"/>
        <v>CHUNG</v>
      </c>
      <c r="HE6" s="270" t="str">
        <f t="shared" si="17"/>
      </c>
      <c r="HF6" s="270" t="str">
        <f t="shared" si="18"/>
      </c>
      <c r="HG6" s="270" t="str">
        <f t="shared" si="19"/>
      </c>
      <c r="HH6" s="270">
        <f t="shared" si="20"/>
        <v>3</v>
      </c>
      <c r="HI6" s="271">
        <f t="shared" si="21"/>
        <v>0</v>
      </c>
      <c r="HJ6" s="271" t="str">
        <f t="shared" si="22"/>
        <v>No</v>
      </c>
      <c r="HK6" s="271" t="str">
        <f t="shared" si="23"/>
        <v>No</v>
      </c>
    </row>
    <row r="7" ht="89.25">
      <c r="A7" s="236">
        <v>6</v>
      </c>
      <c r="B7" s="236" t="s">
        <v>616</v>
      </c>
      <c r="C7" s="236" t="s">
        <v>159</v>
      </c>
      <c r="D7" s="740" t="s">
        <v>699</v>
      </c>
      <c r="E7" s="236" t="s">
        <v>700</v>
      </c>
      <c r="F7" s="236" t="s">
        <v>6</v>
      </c>
      <c r="G7" s="740" t="s">
        <v>793</v>
      </c>
      <c r="H7" s="740" t="s">
        <v>794</v>
      </c>
      <c r="I7" s="236">
        <v>3</v>
      </c>
      <c r="J7" s="236" t="s">
        <v>702</v>
      </c>
      <c r="K7" s="259" t="s">
        <v>622</v>
      </c>
      <c r="L7" s="259" t="s">
        <v>623</v>
      </c>
      <c r="M7" s="236" t="s">
        <v>624</v>
      </c>
      <c r="N7" s="236" t="s">
        <v>795</v>
      </c>
      <c r="O7" s="236" t="s">
        <v>786</v>
      </c>
      <c r="P7" s="236" t="s">
        <v>627</v>
      </c>
      <c r="Q7" s="236" t="s">
        <v>787</v>
      </c>
      <c r="R7" s="236" t="s">
        <v>788</v>
      </c>
      <c r="S7" s="236" t="s">
        <v>630</v>
      </c>
      <c r="T7" s="236" t="s">
        <v>796</v>
      </c>
      <c r="U7" s="236">
        <v>1</v>
      </c>
      <c r="V7" s="236" t="s">
        <v>632</v>
      </c>
      <c r="W7" s="236" t="b">
        <v>1</v>
      </c>
      <c r="X7" s="236" t="b">
        <v>0</v>
      </c>
      <c r="Y7" s="740">
        <v>0</v>
      </c>
      <c r="Z7" s="236" t="b">
        <v>0</v>
      </c>
      <c r="AA7" s="740">
        <v>0</v>
      </c>
      <c r="AB7" s="236" t="b">
        <v>0</v>
      </c>
      <c r="AC7" s="236" t="b">
        <v>1</v>
      </c>
      <c r="AD7" s="236">
        <v>0</v>
      </c>
      <c r="AE7" s="236">
        <v>0</v>
      </c>
      <c r="AF7" s="236" t="s">
        <v>50</v>
      </c>
      <c r="AG7" s="236">
        <v>0</v>
      </c>
      <c r="AH7" s="247"/>
      <c r="AI7" s="247" t="s">
        <v>634</v>
      </c>
      <c r="AJ7" s="247" t="s">
        <v>635</v>
      </c>
      <c r="AK7" s="236" t="s">
        <v>5</v>
      </c>
      <c r="AL7" s="247" t="s">
        <v>636</v>
      </c>
      <c r="AM7" s="247" t="s">
        <v>636</v>
      </c>
      <c r="AN7" s="247" t="s">
        <v>636</v>
      </c>
      <c r="AO7" s="247" t="s">
        <v>637</v>
      </c>
      <c r="AP7" s="247" t="s">
        <v>637</v>
      </c>
      <c r="AQ7" s="247" t="s">
        <v>637</v>
      </c>
      <c r="AR7" s="247" t="s">
        <v>160</v>
      </c>
      <c r="AS7" s="247" t="s">
        <v>160</v>
      </c>
      <c r="AT7" s="247" t="s">
        <v>160</v>
      </c>
      <c r="AU7" s="247" t="s">
        <v>637</v>
      </c>
      <c r="AV7" s="247" t="s">
        <v>637</v>
      </c>
      <c r="AW7" s="247" t="s">
        <v>637</v>
      </c>
      <c r="AX7" s="247" t="s">
        <v>638</v>
      </c>
      <c r="AY7" s="247" t="s">
        <v>699</v>
      </c>
      <c r="AZ7" s="247" t="s">
        <v>699</v>
      </c>
      <c r="BA7" s="247" t="s">
        <v>699</v>
      </c>
      <c r="BB7" s="247" t="s">
        <v>637</v>
      </c>
      <c r="BC7" s="247" t="s">
        <v>637</v>
      </c>
      <c r="BD7" s="247" t="s">
        <v>637</v>
      </c>
      <c r="BE7" s="247" t="s">
        <v>102</v>
      </c>
      <c r="BF7" s="247" t="s">
        <v>257</v>
      </c>
      <c r="BG7" s="247" t="s">
        <v>639</v>
      </c>
      <c r="BH7" s="247" t="s">
        <v>637</v>
      </c>
      <c r="BI7" s="247" t="s">
        <v>637</v>
      </c>
      <c r="BJ7" s="247" t="s">
        <v>637</v>
      </c>
      <c r="BK7" s="247">
        <v>3</v>
      </c>
      <c r="BL7" s="247">
        <v>3</v>
      </c>
      <c r="BM7" s="247">
        <v>3</v>
      </c>
      <c r="BN7" s="247">
        <v>0</v>
      </c>
      <c r="BO7" s="247">
        <v>0</v>
      </c>
      <c r="BP7" s="247">
        <v>0</v>
      </c>
      <c r="BQ7" s="247" t="s">
        <v>109</v>
      </c>
      <c r="BR7" s="247">
        <v>2</v>
      </c>
      <c r="BS7" s="247">
        <v>2</v>
      </c>
      <c r="BT7" s="247">
        <v>2</v>
      </c>
      <c r="BU7" s="247">
        <v>0</v>
      </c>
      <c r="BV7" s="247" t="s">
        <v>109</v>
      </c>
      <c r="BW7" s="247">
        <v>2</v>
      </c>
      <c r="BX7" s="247">
        <v>2</v>
      </c>
      <c r="BY7" s="247">
        <v>2</v>
      </c>
      <c r="BZ7" s="247">
        <v>0</v>
      </c>
      <c r="CA7" s="247" t="s">
        <v>640</v>
      </c>
      <c r="CB7" s="247">
        <v>1</v>
      </c>
      <c r="CC7" s="247">
        <v>1</v>
      </c>
      <c r="CD7" s="247">
        <v>1</v>
      </c>
      <c r="CE7" s="247">
        <v>0</v>
      </c>
      <c r="CF7" s="247" t="s">
        <v>637</v>
      </c>
      <c r="CG7" s="247">
        <v>0</v>
      </c>
      <c r="CH7" s="247">
        <v>0</v>
      </c>
      <c r="CI7" s="247">
        <v>0</v>
      </c>
      <c r="CJ7" s="247">
        <v>0</v>
      </c>
      <c r="CK7" s="247" t="s">
        <v>637</v>
      </c>
      <c r="CL7" s="247">
        <v>0</v>
      </c>
      <c r="CM7" s="247">
        <v>0</v>
      </c>
      <c r="CN7" s="247">
        <v>0</v>
      </c>
      <c r="CO7" s="247">
        <v>0</v>
      </c>
      <c r="CP7" s="247" t="s">
        <v>637</v>
      </c>
      <c r="CQ7" s="247">
        <v>0</v>
      </c>
      <c r="CR7" s="247">
        <v>0</v>
      </c>
      <c r="CS7" s="247">
        <v>0</v>
      </c>
      <c r="CT7" s="247">
        <v>0</v>
      </c>
      <c r="CU7" s="247" t="s">
        <v>641</v>
      </c>
      <c r="CV7" s="247">
        <v>20</v>
      </c>
      <c r="CW7" s="247">
        <v>20</v>
      </c>
      <c r="CX7" s="247">
        <v>20</v>
      </c>
      <c r="CY7" s="247">
        <v>0</v>
      </c>
      <c r="CZ7" s="247" t="s">
        <v>641</v>
      </c>
      <c r="DA7" s="247">
        <v>20</v>
      </c>
      <c r="DB7" s="247" t="s">
        <v>790</v>
      </c>
      <c r="DC7" s="247">
        <v>40</v>
      </c>
      <c r="DD7" s="247">
        <v>40</v>
      </c>
      <c r="DE7" s="247">
        <v>40</v>
      </c>
      <c r="DF7" s="247">
        <v>0</v>
      </c>
      <c r="DG7" s="247" t="s">
        <v>790</v>
      </c>
      <c r="DH7" s="247">
        <v>40</v>
      </c>
      <c r="DI7" s="247" t="s">
        <v>643</v>
      </c>
      <c r="DJ7" s="247">
        <v>160</v>
      </c>
      <c r="DK7" s="247">
        <v>160</v>
      </c>
      <c r="DL7" s="247">
        <v>160</v>
      </c>
      <c r="DM7" s="247">
        <v>0</v>
      </c>
      <c r="DN7" s="247" t="s">
        <v>643</v>
      </c>
      <c r="DO7" s="247">
        <v>160</v>
      </c>
      <c r="DP7" s="247" t="s">
        <v>637</v>
      </c>
      <c r="DQ7" s="247">
        <v>0</v>
      </c>
      <c r="DR7" s="247">
        <v>0</v>
      </c>
      <c r="DS7" s="247">
        <v>0</v>
      </c>
      <c r="DT7" s="247">
        <v>0</v>
      </c>
      <c r="DU7" s="247" t="s">
        <v>637</v>
      </c>
      <c r="DV7" s="247">
        <v>0</v>
      </c>
      <c r="DW7" s="247" t="s">
        <v>637</v>
      </c>
      <c r="DX7" s="247">
        <v>0</v>
      </c>
      <c r="DY7" s="247">
        <v>0</v>
      </c>
      <c r="DZ7" s="247">
        <v>0</v>
      </c>
      <c r="EA7" s="247">
        <v>0</v>
      </c>
      <c r="EB7" s="247" t="s">
        <v>637</v>
      </c>
      <c r="EC7" s="247">
        <v>0</v>
      </c>
      <c r="ED7" s="247" t="s">
        <v>637</v>
      </c>
      <c r="EE7" s="247">
        <v>0</v>
      </c>
      <c r="EF7" s="247">
        <v>0</v>
      </c>
      <c r="EG7" s="247">
        <v>0</v>
      </c>
      <c r="EH7" s="247">
        <v>0</v>
      </c>
      <c r="EI7" s="247" t="s">
        <v>637</v>
      </c>
      <c r="EJ7" s="247">
        <v>0</v>
      </c>
      <c r="EK7" s="247">
        <v>160</v>
      </c>
      <c r="EL7" s="247" t="s">
        <v>194</v>
      </c>
      <c r="EM7" s="247" t="s">
        <v>205</v>
      </c>
      <c r="EN7" s="247" t="s">
        <v>200</v>
      </c>
      <c r="EO7" s="247" t="s">
        <v>637</v>
      </c>
      <c r="EP7" s="247" t="s">
        <v>637</v>
      </c>
      <c r="EQ7" s="247" t="s">
        <v>637</v>
      </c>
      <c r="ER7" s="247" t="s">
        <v>797</v>
      </c>
      <c r="ES7" s="247">
        <v>33</v>
      </c>
      <c r="ET7" s="247">
        <v>33</v>
      </c>
      <c r="EU7" s="247">
        <v>33</v>
      </c>
      <c r="EV7" s="247">
        <v>0</v>
      </c>
      <c r="EW7" s="247" t="s">
        <v>798</v>
      </c>
      <c r="EX7" s="247" t="s">
        <v>799</v>
      </c>
      <c r="EY7" s="247">
        <v>26</v>
      </c>
      <c r="EZ7" s="247">
        <v>26</v>
      </c>
      <c r="FA7" s="247">
        <v>26</v>
      </c>
      <c r="FB7" s="247">
        <v>0</v>
      </c>
      <c r="FC7" s="247" t="s">
        <v>800</v>
      </c>
      <c r="FD7" s="247" t="s">
        <v>799</v>
      </c>
      <c r="FE7" s="247">
        <v>26</v>
      </c>
      <c r="FF7" s="247">
        <v>26</v>
      </c>
      <c r="FG7" s="247">
        <v>26</v>
      </c>
      <c r="FH7" s="247">
        <v>0</v>
      </c>
      <c r="FI7" s="247" t="s">
        <v>800</v>
      </c>
      <c r="FJ7" s="247" t="s">
        <v>637</v>
      </c>
      <c r="FK7" s="247">
        <v>0</v>
      </c>
      <c r="FL7" s="247">
        <v>0</v>
      </c>
      <c r="FM7" s="247">
        <v>0</v>
      </c>
      <c r="FN7" s="247">
        <v>0</v>
      </c>
      <c r="FO7" s="247" t="s">
        <v>637</v>
      </c>
      <c r="FP7" s="247" t="s">
        <v>637</v>
      </c>
      <c r="FQ7" s="247">
        <v>0</v>
      </c>
      <c r="FR7" s="247">
        <v>0</v>
      </c>
      <c r="FS7" s="247">
        <v>0</v>
      </c>
      <c r="FT7" s="247">
        <v>0</v>
      </c>
      <c r="FU7" s="247" t="s">
        <v>637</v>
      </c>
      <c r="FV7" s="247" t="s">
        <v>637</v>
      </c>
      <c r="FW7" s="247">
        <v>0</v>
      </c>
      <c r="FX7" s="247">
        <v>0</v>
      </c>
      <c r="FY7" s="247">
        <v>0</v>
      </c>
      <c r="FZ7" s="247">
        <v>0</v>
      </c>
      <c r="GA7" s="247" t="s">
        <v>637</v>
      </c>
      <c r="GB7" s="247" t="s">
        <v>51</v>
      </c>
      <c r="GC7" s="247">
        <v>33</v>
      </c>
      <c r="GD7" s="247">
        <v>26</v>
      </c>
      <c r="GE7" s="247">
        <v>26</v>
      </c>
      <c r="GF7" s="247">
        <v>0</v>
      </c>
      <c r="GG7" s="247">
        <v>0</v>
      </c>
      <c r="GH7" s="247">
        <v>0</v>
      </c>
      <c r="GI7" s="740">
        <v>26</v>
      </c>
      <c r="GJ7" s="740">
        <v>26</v>
      </c>
      <c r="GK7" s="247">
        <f t="shared" si="4"/>
        <v>10</v>
      </c>
      <c r="GL7" s="247"/>
      <c r="GM7" s="247">
        <f t="shared" si="5"/>
        <v>10</v>
      </c>
      <c r="GN7" s="247"/>
      <c r="GO7" s="247"/>
      <c r="GP7" s="247"/>
      <c r="GQ7" s="265" t="str">
        <f t="shared" si="6"/>
        <v>B00205260319TG05</v>
      </c>
      <c r="GR7" s="266">
        <v>205</v>
      </c>
      <c r="GS7" s="267" t="str">
        <f t="shared" si="7"/>
        <v>260319</v>
      </c>
      <c r="GT7" s="265" t="s">
        <v>646</v>
      </c>
      <c r="GU7" s="267" t="str">
        <f t="shared" si="8"/>
        <v>26/03/2019</v>
      </c>
      <c r="GV7" s="267" t="str">
        <f t="shared" si="9"/>
        <v>26/03/2024</v>
      </c>
      <c r="GW7" s="268" t="s">
        <v>742</v>
      </c>
      <c r="GX7" s="267">
        <f t="shared" si="10"/>
        <v>45377</v>
      </c>
      <c r="GY7" s="267" t="b">
        <f t="shared" si="11"/>
        <v>1</v>
      </c>
      <c r="GZ7" s="267" t="b">
        <f t="shared" si="12"/>
        <v>1</v>
      </c>
      <c r="HA7" s="269">
        <f t="shared" si="13"/>
        <v>3</v>
      </c>
      <c r="HB7" s="270" t="str">
        <f t="shared" si="14"/>
        <v>3-3</v>
      </c>
      <c r="HC7" s="270" t="str">
        <f t="shared" si="15"/>
        <v>CHUNG</v>
      </c>
      <c r="HD7" s="270" t="str">
        <f t="shared" si="16"/>
        <v>CHUNG</v>
      </c>
      <c r="HE7" s="270" t="str">
        <f t="shared" si="17"/>
      </c>
      <c r="HF7" s="270" t="str">
        <f t="shared" si="18"/>
      </c>
      <c r="HG7" s="270" t="str">
        <f t="shared" si="19"/>
      </c>
      <c r="HH7" s="270">
        <f t="shared" si="20"/>
        <v>3</v>
      </c>
      <c r="HI7" s="271">
        <f t="shared" si="21"/>
        <v>0</v>
      </c>
      <c r="HJ7" s="271" t="str">
        <f t="shared" si="22"/>
        <v>No</v>
      </c>
      <c r="HK7" s="271" t="str">
        <f t="shared" si="23"/>
        <v>No</v>
      </c>
    </row>
    <row r="8" ht="89.25">
      <c r="A8" s="236">
        <v>7</v>
      </c>
      <c r="B8" s="236" t="s">
        <v>616</v>
      </c>
      <c r="C8" s="236" t="s">
        <v>159</v>
      </c>
      <c r="D8" s="740" t="s">
        <v>703</v>
      </c>
      <c r="E8" s="236" t="s">
        <v>704</v>
      </c>
      <c r="F8" s="236" t="s">
        <v>6</v>
      </c>
      <c r="G8" s="740" t="s">
        <v>801</v>
      </c>
      <c r="H8" s="740" t="s">
        <v>802</v>
      </c>
      <c r="I8" s="236">
        <v>3</v>
      </c>
      <c r="J8" s="236" t="s">
        <v>706</v>
      </c>
      <c r="K8" s="259" t="s">
        <v>622</v>
      </c>
      <c r="L8" s="259" t="s">
        <v>623</v>
      </c>
      <c r="M8" s="236" t="s">
        <v>624</v>
      </c>
      <c r="N8" s="236" t="s">
        <v>803</v>
      </c>
      <c r="O8" s="236" t="s">
        <v>765</v>
      </c>
      <c r="P8" s="236" t="s">
        <v>627</v>
      </c>
      <c r="Q8" s="236" t="s">
        <v>628</v>
      </c>
      <c r="R8" s="236" t="s">
        <v>629</v>
      </c>
      <c r="S8" s="236" t="s">
        <v>630</v>
      </c>
      <c r="T8" s="236" t="s">
        <v>804</v>
      </c>
      <c r="U8" s="236">
        <v>1</v>
      </c>
      <c r="V8" s="236" t="s">
        <v>632</v>
      </c>
      <c r="W8" s="236" t="b">
        <v>1</v>
      </c>
      <c r="X8" s="236" t="b">
        <v>0</v>
      </c>
      <c r="Y8" s="740">
        <v>0</v>
      </c>
      <c r="Z8" s="236" t="b">
        <v>0</v>
      </c>
      <c r="AA8" s="740">
        <v>0</v>
      </c>
      <c r="AB8" s="236" t="b">
        <v>0</v>
      </c>
      <c r="AC8" s="236" t="b">
        <v>1</v>
      </c>
      <c r="AD8" s="236">
        <v>0</v>
      </c>
      <c r="AE8" s="236">
        <v>0</v>
      </c>
      <c r="AF8" s="236" t="s">
        <v>50</v>
      </c>
      <c r="AG8" s="236">
        <v>0</v>
      </c>
      <c r="AH8" s="247"/>
      <c r="AI8" s="247" t="s">
        <v>634</v>
      </c>
      <c r="AJ8" s="247" t="s">
        <v>635</v>
      </c>
      <c r="AK8" s="236" t="s">
        <v>5</v>
      </c>
      <c r="AL8" s="247" t="s">
        <v>636</v>
      </c>
      <c r="AM8" s="247" t="s">
        <v>636</v>
      </c>
      <c r="AN8" s="247" t="s">
        <v>636</v>
      </c>
      <c r="AO8" s="247" t="s">
        <v>637</v>
      </c>
      <c r="AP8" s="247" t="s">
        <v>637</v>
      </c>
      <c r="AQ8" s="247" t="s">
        <v>637</v>
      </c>
      <c r="AR8" s="247" t="s">
        <v>160</v>
      </c>
      <c r="AS8" s="247" t="s">
        <v>160</v>
      </c>
      <c r="AT8" s="247" t="s">
        <v>160</v>
      </c>
      <c r="AU8" s="247" t="s">
        <v>637</v>
      </c>
      <c r="AV8" s="247" t="s">
        <v>637</v>
      </c>
      <c r="AW8" s="247" t="s">
        <v>637</v>
      </c>
      <c r="AX8" s="247" t="s">
        <v>638</v>
      </c>
      <c r="AY8" s="247" t="s">
        <v>703</v>
      </c>
      <c r="AZ8" s="247" t="s">
        <v>703</v>
      </c>
      <c r="BA8" s="247" t="s">
        <v>703</v>
      </c>
      <c r="BB8" s="247" t="s">
        <v>637</v>
      </c>
      <c r="BC8" s="247" t="s">
        <v>637</v>
      </c>
      <c r="BD8" s="247" t="s">
        <v>637</v>
      </c>
      <c r="BE8" s="247" t="s">
        <v>102</v>
      </c>
      <c r="BF8" s="247" t="s">
        <v>271</v>
      </c>
      <c r="BG8" s="247" t="s">
        <v>639</v>
      </c>
      <c r="BH8" s="247" t="s">
        <v>637</v>
      </c>
      <c r="BI8" s="247" t="s">
        <v>637</v>
      </c>
      <c r="BJ8" s="247" t="s">
        <v>637</v>
      </c>
      <c r="BK8" s="247">
        <v>3</v>
      </c>
      <c r="BL8" s="247">
        <v>3</v>
      </c>
      <c r="BM8" s="247">
        <v>3</v>
      </c>
      <c r="BN8" s="247">
        <v>0</v>
      </c>
      <c r="BO8" s="247">
        <v>0</v>
      </c>
      <c r="BP8" s="247">
        <v>0</v>
      </c>
      <c r="BQ8" s="247" t="s">
        <v>108</v>
      </c>
      <c r="BR8" s="247">
        <v>4</v>
      </c>
      <c r="BS8" s="247">
        <v>4</v>
      </c>
      <c r="BT8" s="247">
        <v>4</v>
      </c>
      <c r="BU8" s="247">
        <v>0</v>
      </c>
      <c r="BV8" s="247" t="s">
        <v>109</v>
      </c>
      <c r="BW8" s="247">
        <v>2</v>
      </c>
      <c r="BX8" s="247">
        <v>2</v>
      </c>
      <c r="BY8" s="247">
        <v>2</v>
      </c>
      <c r="BZ8" s="247">
        <v>0</v>
      </c>
      <c r="CA8" s="247" t="s">
        <v>640</v>
      </c>
      <c r="CB8" s="247">
        <v>1</v>
      </c>
      <c r="CC8" s="247">
        <v>1</v>
      </c>
      <c r="CD8" s="247">
        <v>1</v>
      </c>
      <c r="CE8" s="247">
        <v>0</v>
      </c>
      <c r="CF8" s="247" t="s">
        <v>637</v>
      </c>
      <c r="CG8" s="247">
        <v>0</v>
      </c>
      <c r="CH8" s="247">
        <v>0</v>
      </c>
      <c r="CI8" s="247">
        <v>0</v>
      </c>
      <c r="CJ8" s="247">
        <v>0</v>
      </c>
      <c r="CK8" s="247" t="s">
        <v>637</v>
      </c>
      <c r="CL8" s="247">
        <v>0</v>
      </c>
      <c r="CM8" s="247">
        <v>0</v>
      </c>
      <c r="CN8" s="247">
        <v>0</v>
      </c>
      <c r="CO8" s="247">
        <v>0</v>
      </c>
      <c r="CP8" s="247" t="s">
        <v>637</v>
      </c>
      <c r="CQ8" s="247">
        <v>0</v>
      </c>
      <c r="CR8" s="247">
        <v>0</v>
      </c>
      <c r="CS8" s="247">
        <v>0</v>
      </c>
      <c r="CT8" s="247">
        <v>0</v>
      </c>
      <c r="CU8" s="247" t="s">
        <v>641</v>
      </c>
      <c r="CV8" s="247">
        <v>20</v>
      </c>
      <c r="CW8" s="247">
        <v>20</v>
      </c>
      <c r="CX8" s="247">
        <v>20</v>
      </c>
      <c r="CY8" s="247">
        <v>0</v>
      </c>
      <c r="CZ8" s="247" t="s">
        <v>641</v>
      </c>
      <c r="DA8" s="247">
        <v>20</v>
      </c>
      <c r="DB8" s="247" t="s">
        <v>642</v>
      </c>
      <c r="DC8" s="247">
        <v>60</v>
      </c>
      <c r="DD8" s="247">
        <v>60</v>
      </c>
      <c r="DE8" s="247">
        <v>60</v>
      </c>
      <c r="DF8" s="247">
        <v>0</v>
      </c>
      <c r="DG8" s="247" t="s">
        <v>642</v>
      </c>
      <c r="DH8" s="247">
        <v>60</v>
      </c>
      <c r="DI8" s="247" t="s">
        <v>643</v>
      </c>
      <c r="DJ8" s="247">
        <v>160</v>
      </c>
      <c r="DK8" s="247">
        <v>160</v>
      </c>
      <c r="DL8" s="247">
        <v>160</v>
      </c>
      <c r="DM8" s="247">
        <v>0</v>
      </c>
      <c r="DN8" s="247" t="s">
        <v>643</v>
      </c>
      <c r="DO8" s="247">
        <v>160</v>
      </c>
      <c r="DP8" s="247" t="s">
        <v>637</v>
      </c>
      <c r="DQ8" s="247">
        <v>0</v>
      </c>
      <c r="DR8" s="247">
        <v>0</v>
      </c>
      <c r="DS8" s="247">
        <v>0</v>
      </c>
      <c r="DT8" s="247">
        <v>0</v>
      </c>
      <c r="DU8" s="247" t="s">
        <v>637</v>
      </c>
      <c r="DV8" s="247">
        <v>0</v>
      </c>
      <c r="DW8" s="247" t="s">
        <v>637</v>
      </c>
      <c r="DX8" s="247">
        <v>0</v>
      </c>
      <c r="DY8" s="247">
        <v>0</v>
      </c>
      <c r="DZ8" s="247">
        <v>0</v>
      </c>
      <c r="EA8" s="247">
        <v>0</v>
      </c>
      <c r="EB8" s="247" t="s">
        <v>637</v>
      </c>
      <c r="EC8" s="247">
        <v>0</v>
      </c>
      <c r="ED8" s="247" t="s">
        <v>637</v>
      </c>
      <c r="EE8" s="247">
        <v>0</v>
      </c>
      <c r="EF8" s="247">
        <v>0</v>
      </c>
      <c r="EG8" s="247">
        <v>0</v>
      </c>
      <c r="EH8" s="247">
        <v>0</v>
      </c>
      <c r="EI8" s="247" t="s">
        <v>637</v>
      </c>
      <c r="EJ8" s="247">
        <v>0</v>
      </c>
      <c r="EK8" s="247">
        <v>160</v>
      </c>
      <c r="EL8" s="247" t="s">
        <v>194</v>
      </c>
      <c r="EM8" s="247" t="s">
        <v>205</v>
      </c>
      <c r="EN8" s="247" t="s">
        <v>200</v>
      </c>
      <c r="EO8" s="247" t="s">
        <v>637</v>
      </c>
      <c r="EP8" s="247" t="s">
        <v>637</v>
      </c>
      <c r="EQ8" s="247" t="s">
        <v>637</v>
      </c>
      <c r="ER8" s="247" t="s">
        <v>781</v>
      </c>
      <c r="ES8" s="247">
        <v>27</v>
      </c>
      <c r="ET8" s="247">
        <v>27</v>
      </c>
      <c r="EU8" s="247">
        <v>27</v>
      </c>
      <c r="EV8" s="247">
        <v>0</v>
      </c>
      <c r="EW8" s="247" t="s">
        <v>782</v>
      </c>
      <c r="EX8" s="247" t="s">
        <v>805</v>
      </c>
      <c r="EY8" s="247">
        <v>24</v>
      </c>
      <c r="EZ8" s="247">
        <v>24</v>
      </c>
      <c r="FA8" s="247">
        <v>24</v>
      </c>
      <c r="FB8" s="247">
        <v>0</v>
      </c>
      <c r="FC8" s="247" t="s">
        <v>806</v>
      </c>
      <c r="FD8" s="247" t="s">
        <v>805</v>
      </c>
      <c r="FE8" s="247">
        <v>24</v>
      </c>
      <c r="FF8" s="247">
        <v>24</v>
      </c>
      <c r="FG8" s="247">
        <v>24</v>
      </c>
      <c r="FH8" s="247">
        <v>0</v>
      </c>
      <c r="FI8" s="247" t="s">
        <v>806</v>
      </c>
      <c r="FJ8" s="247" t="s">
        <v>637</v>
      </c>
      <c r="FK8" s="247">
        <v>0</v>
      </c>
      <c r="FL8" s="247">
        <v>0</v>
      </c>
      <c r="FM8" s="247">
        <v>0</v>
      </c>
      <c r="FN8" s="247">
        <v>0</v>
      </c>
      <c r="FO8" s="247" t="s">
        <v>637</v>
      </c>
      <c r="FP8" s="247" t="s">
        <v>637</v>
      </c>
      <c r="FQ8" s="247">
        <v>0</v>
      </c>
      <c r="FR8" s="247">
        <v>0</v>
      </c>
      <c r="FS8" s="247">
        <v>0</v>
      </c>
      <c r="FT8" s="247">
        <v>0</v>
      </c>
      <c r="FU8" s="247" t="s">
        <v>637</v>
      </c>
      <c r="FV8" s="247" t="s">
        <v>637</v>
      </c>
      <c r="FW8" s="247">
        <v>0</v>
      </c>
      <c r="FX8" s="247">
        <v>0</v>
      </c>
      <c r="FY8" s="247">
        <v>0</v>
      </c>
      <c r="FZ8" s="247">
        <v>0</v>
      </c>
      <c r="GA8" s="247" t="s">
        <v>637</v>
      </c>
      <c r="GB8" s="247" t="s">
        <v>51</v>
      </c>
      <c r="GC8" s="247">
        <v>27</v>
      </c>
      <c r="GD8" s="247">
        <v>24</v>
      </c>
      <c r="GE8" s="247">
        <v>24</v>
      </c>
      <c r="GF8" s="247">
        <v>0</v>
      </c>
      <c r="GG8" s="247">
        <v>0</v>
      </c>
      <c r="GH8" s="247">
        <v>0</v>
      </c>
      <c r="GI8" s="740">
        <v>24</v>
      </c>
      <c r="GJ8" s="740">
        <v>24</v>
      </c>
      <c r="GK8" s="247">
        <f t="shared" si="4"/>
        <v>10</v>
      </c>
      <c r="GL8" s="247"/>
      <c r="GM8" s="247">
        <f t="shared" si="5"/>
        <v>10</v>
      </c>
      <c r="GN8" s="247"/>
      <c r="GO8" s="247"/>
      <c r="GP8" s="247"/>
      <c r="GQ8" s="265" t="str">
        <f t="shared" si="6"/>
        <v>B00206260319TG05</v>
      </c>
      <c r="GR8" s="266">
        <v>206</v>
      </c>
      <c r="GS8" s="267" t="str">
        <f t="shared" si="7"/>
        <v>260319</v>
      </c>
      <c r="GT8" s="265" t="s">
        <v>646</v>
      </c>
      <c r="GU8" s="267" t="str">
        <f t="shared" si="8"/>
        <v>26/03/2019</v>
      </c>
      <c r="GV8" s="267" t="str">
        <f t="shared" si="9"/>
        <v>26/03/2024</v>
      </c>
      <c r="GW8" s="268" t="s">
        <v>742</v>
      </c>
      <c r="GX8" s="267">
        <f t="shared" si="10"/>
        <v>45377</v>
      </c>
      <c r="GY8" s="267" t="b">
        <f t="shared" si="11"/>
        <v>1</v>
      </c>
      <c r="GZ8" s="267" t="b">
        <f t="shared" si="12"/>
        <v>1</v>
      </c>
      <c r="HA8" s="269">
        <f t="shared" si="13"/>
        <v>3</v>
      </c>
      <c r="HB8" s="270" t="str">
        <f t="shared" si="14"/>
        <v>3-3</v>
      </c>
      <c r="HC8" s="270" t="str">
        <f t="shared" si="15"/>
        <v>CHUNG</v>
      </c>
      <c r="HD8" s="270" t="str">
        <f t="shared" si="16"/>
        <v>CHUNG</v>
      </c>
      <c r="HE8" s="270" t="str">
        <f t="shared" si="17"/>
      </c>
      <c r="HF8" s="270" t="str">
        <f t="shared" si="18"/>
      </c>
      <c r="HG8" s="270" t="str">
        <f t="shared" si="19"/>
      </c>
      <c r="HH8" s="270">
        <f t="shared" si="20"/>
        <v>3</v>
      </c>
      <c r="HI8" s="271">
        <f t="shared" si="21"/>
        <v>0</v>
      </c>
      <c r="HJ8" s="271" t="str">
        <f t="shared" si="22"/>
        <v>No</v>
      </c>
      <c r="HK8" s="271" t="str">
        <f t="shared" si="23"/>
        <v>No</v>
      </c>
    </row>
    <row r="9" ht="89.25">
      <c r="A9" s="236">
        <v>8</v>
      </c>
      <c r="B9" s="236" t="s">
        <v>616</v>
      </c>
      <c r="C9" s="236" t="s">
        <v>159</v>
      </c>
      <c r="D9" s="740" t="s">
        <v>707</v>
      </c>
      <c r="E9" s="236" t="s">
        <v>708</v>
      </c>
      <c r="F9" s="236" t="s">
        <v>6</v>
      </c>
      <c r="G9" s="740" t="s">
        <v>807</v>
      </c>
      <c r="H9" s="740" t="s">
        <v>808</v>
      </c>
      <c r="I9" s="236">
        <v>3</v>
      </c>
      <c r="J9" s="236" t="s">
        <v>710</v>
      </c>
      <c r="K9" s="259" t="s">
        <v>622</v>
      </c>
      <c r="L9" s="259" t="s">
        <v>623</v>
      </c>
      <c r="M9" s="236" t="s">
        <v>624</v>
      </c>
      <c r="N9" s="236" t="s">
        <v>809</v>
      </c>
      <c r="O9" s="236" t="s">
        <v>786</v>
      </c>
      <c r="P9" s="236" t="s">
        <v>627</v>
      </c>
      <c r="Q9" s="236" t="s">
        <v>787</v>
      </c>
      <c r="R9" s="236" t="s">
        <v>788</v>
      </c>
      <c r="S9" s="236" t="s">
        <v>630</v>
      </c>
      <c r="T9" s="236" t="s">
        <v>810</v>
      </c>
      <c r="U9" s="236">
        <v>1</v>
      </c>
      <c r="V9" s="236" t="s">
        <v>632</v>
      </c>
      <c r="W9" s="236" t="b">
        <v>1</v>
      </c>
      <c r="X9" s="236" t="b">
        <v>0</v>
      </c>
      <c r="Y9" s="740">
        <v>0</v>
      </c>
      <c r="Z9" s="236" t="b">
        <v>0</v>
      </c>
      <c r="AA9" s="740">
        <v>0</v>
      </c>
      <c r="AB9" s="236" t="b">
        <v>0</v>
      </c>
      <c r="AC9" s="236" t="b">
        <v>1</v>
      </c>
      <c r="AD9" s="236">
        <v>0</v>
      </c>
      <c r="AE9" s="236">
        <v>0</v>
      </c>
      <c r="AF9" s="236" t="s">
        <v>50</v>
      </c>
      <c r="AG9" s="236">
        <v>0</v>
      </c>
      <c r="AH9" s="247"/>
      <c r="AI9" s="247" t="s">
        <v>634</v>
      </c>
      <c r="AJ9" s="247" t="s">
        <v>635</v>
      </c>
      <c r="AK9" s="236" t="s">
        <v>5</v>
      </c>
      <c r="AL9" s="247" t="s">
        <v>636</v>
      </c>
      <c r="AM9" s="247" t="s">
        <v>636</v>
      </c>
      <c r="AN9" s="247" t="s">
        <v>636</v>
      </c>
      <c r="AO9" s="247" t="s">
        <v>637</v>
      </c>
      <c r="AP9" s="247" t="s">
        <v>637</v>
      </c>
      <c r="AQ9" s="247" t="s">
        <v>637</v>
      </c>
      <c r="AR9" s="247" t="s">
        <v>160</v>
      </c>
      <c r="AS9" s="247" t="s">
        <v>160</v>
      </c>
      <c r="AT9" s="247" t="s">
        <v>160</v>
      </c>
      <c r="AU9" s="247" t="s">
        <v>637</v>
      </c>
      <c r="AV9" s="247" t="s">
        <v>637</v>
      </c>
      <c r="AW9" s="247" t="s">
        <v>637</v>
      </c>
      <c r="AX9" s="247" t="s">
        <v>638</v>
      </c>
      <c r="AY9" s="247" t="s">
        <v>707</v>
      </c>
      <c r="AZ9" s="247" t="s">
        <v>707</v>
      </c>
      <c r="BA9" s="247" t="s">
        <v>707</v>
      </c>
      <c r="BB9" s="247" t="s">
        <v>637</v>
      </c>
      <c r="BC9" s="247" t="s">
        <v>637</v>
      </c>
      <c r="BD9" s="247" t="s">
        <v>637</v>
      </c>
      <c r="BE9" s="247" t="s">
        <v>102</v>
      </c>
      <c r="BF9" s="247" t="s">
        <v>257</v>
      </c>
      <c r="BG9" s="247" t="s">
        <v>639</v>
      </c>
      <c r="BH9" s="247" t="s">
        <v>637</v>
      </c>
      <c r="BI9" s="247" t="s">
        <v>637</v>
      </c>
      <c r="BJ9" s="247" t="s">
        <v>637</v>
      </c>
      <c r="BK9" s="247">
        <v>3</v>
      </c>
      <c r="BL9" s="247">
        <v>3</v>
      </c>
      <c r="BM9" s="247">
        <v>3</v>
      </c>
      <c r="BN9" s="247">
        <v>0</v>
      </c>
      <c r="BO9" s="247">
        <v>0</v>
      </c>
      <c r="BP9" s="247">
        <v>0</v>
      </c>
      <c r="BQ9" s="247" t="s">
        <v>109</v>
      </c>
      <c r="BR9" s="247">
        <v>2</v>
      </c>
      <c r="BS9" s="247">
        <v>2</v>
      </c>
      <c r="BT9" s="247">
        <v>2</v>
      </c>
      <c r="BU9" s="247">
        <v>0</v>
      </c>
      <c r="BV9" s="247" t="s">
        <v>109</v>
      </c>
      <c r="BW9" s="247">
        <v>2</v>
      </c>
      <c r="BX9" s="247">
        <v>2</v>
      </c>
      <c r="BY9" s="247">
        <v>2</v>
      </c>
      <c r="BZ9" s="247">
        <v>0</v>
      </c>
      <c r="CA9" s="247" t="s">
        <v>640</v>
      </c>
      <c r="CB9" s="247">
        <v>1</v>
      </c>
      <c r="CC9" s="247">
        <v>1</v>
      </c>
      <c r="CD9" s="247">
        <v>1</v>
      </c>
      <c r="CE9" s="247">
        <v>0</v>
      </c>
      <c r="CF9" s="247" t="s">
        <v>637</v>
      </c>
      <c r="CG9" s="247">
        <v>0</v>
      </c>
      <c r="CH9" s="247">
        <v>0</v>
      </c>
      <c r="CI9" s="247">
        <v>0</v>
      </c>
      <c r="CJ9" s="247">
        <v>0</v>
      </c>
      <c r="CK9" s="247" t="s">
        <v>637</v>
      </c>
      <c r="CL9" s="247">
        <v>0</v>
      </c>
      <c r="CM9" s="247">
        <v>0</v>
      </c>
      <c r="CN9" s="247">
        <v>0</v>
      </c>
      <c r="CO9" s="247">
        <v>0</v>
      </c>
      <c r="CP9" s="247" t="s">
        <v>637</v>
      </c>
      <c r="CQ9" s="247">
        <v>0</v>
      </c>
      <c r="CR9" s="247">
        <v>0</v>
      </c>
      <c r="CS9" s="247">
        <v>0</v>
      </c>
      <c r="CT9" s="247">
        <v>0</v>
      </c>
      <c r="CU9" s="247" t="s">
        <v>641</v>
      </c>
      <c r="CV9" s="247">
        <v>20</v>
      </c>
      <c r="CW9" s="247">
        <v>20</v>
      </c>
      <c r="CX9" s="247">
        <v>20</v>
      </c>
      <c r="CY9" s="247">
        <v>0</v>
      </c>
      <c r="CZ9" s="247" t="s">
        <v>641</v>
      </c>
      <c r="DA9" s="247">
        <v>20</v>
      </c>
      <c r="DB9" s="247" t="s">
        <v>790</v>
      </c>
      <c r="DC9" s="247">
        <v>40</v>
      </c>
      <c r="DD9" s="247">
        <v>40</v>
      </c>
      <c r="DE9" s="247">
        <v>40</v>
      </c>
      <c r="DF9" s="247">
        <v>0</v>
      </c>
      <c r="DG9" s="247" t="s">
        <v>790</v>
      </c>
      <c r="DH9" s="247">
        <v>40</v>
      </c>
      <c r="DI9" s="247" t="s">
        <v>643</v>
      </c>
      <c r="DJ9" s="247">
        <v>160</v>
      </c>
      <c r="DK9" s="247">
        <v>160</v>
      </c>
      <c r="DL9" s="247">
        <v>160</v>
      </c>
      <c r="DM9" s="247">
        <v>0</v>
      </c>
      <c r="DN9" s="247" t="s">
        <v>643</v>
      </c>
      <c r="DO9" s="247">
        <v>160</v>
      </c>
      <c r="DP9" s="247" t="s">
        <v>637</v>
      </c>
      <c r="DQ9" s="247">
        <v>0</v>
      </c>
      <c r="DR9" s="247">
        <v>0</v>
      </c>
      <c r="DS9" s="247">
        <v>0</v>
      </c>
      <c r="DT9" s="247">
        <v>0</v>
      </c>
      <c r="DU9" s="247" t="s">
        <v>637</v>
      </c>
      <c r="DV9" s="247">
        <v>0</v>
      </c>
      <c r="DW9" s="247" t="s">
        <v>637</v>
      </c>
      <c r="DX9" s="247">
        <v>0</v>
      </c>
      <c r="DY9" s="247">
        <v>0</v>
      </c>
      <c r="DZ9" s="247">
        <v>0</v>
      </c>
      <c r="EA9" s="247">
        <v>0</v>
      </c>
      <c r="EB9" s="247" t="s">
        <v>637</v>
      </c>
      <c r="EC9" s="247">
        <v>0</v>
      </c>
      <c r="ED9" s="247" t="s">
        <v>637</v>
      </c>
      <c r="EE9" s="247">
        <v>0</v>
      </c>
      <c r="EF9" s="247">
        <v>0</v>
      </c>
      <c r="EG9" s="247">
        <v>0</v>
      </c>
      <c r="EH9" s="247">
        <v>0</v>
      </c>
      <c r="EI9" s="247" t="s">
        <v>637</v>
      </c>
      <c r="EJ9" s="247">
        <v>0</v>
      </c>
      <c r="EK9" s="247">
        <v>160</v>
      </c>
      <c r="EL9" s="247" t="s">
        <v>194</v>
      </c>
      <c r="EM9" s="247" t="s">
        <v>205</v>
      </c>
      <c r="EN9" s="247" t="s">
        <v>200</v>
      </c>
      <c r="EO9" s="247" t="s">
        <v>637</v>
      </c>
      <c r="EP9" s="247" t="s">
        <v>637</v>
      </c>
      <c r="EQ9" s="247" t="s">
        <v>637</v>
      </c>
      <c r="ER9" s="247" t="s">
        <v>770</v>
      </c>
      <c r="ES9" s="247">
        <v>28</v>
      </c>
      <c r="ET9" s="247">
        <v>28</v>
      </c>
      <c r="EU9" s="247">
        <v>28</v>
      </c>
      <c r="EV9" s="247">
        <v>0</v>
      </c>
      <c r="EW9" s="247" t="s">
        <v>771</v>
      </c>
      <c r="EX9" s="247" t="s">
        <v>811</v>
      </c>
      <c r="EY9" s="247">
        <v>30</v>
      </c>
      <c r="EZ9" s="247">
        <v>30</v>
      </c>
      <c r="FA9" s="247">
        <v>30</v>
      </c>
      <c r="FB9" s="247">
        <v>0</v>
      </c>
      <c r="FC9" s="247" t="s">
        <v>812</v>
      </c>
      <c r="FD9" s="247" t="s">
        <v>811</v>
      </c>
      <c r="FE9" s="247">
        <v>30</v>
      </c>
      <c r="FF9" s="247">
        <v>30</v>
      </c>
      <c r="FG9" s="247">
        <v>30</v>
      </c>
      <c r="FH9" s="247">
        <v>0</v>
      </c>
      <c r="FI9" s="247" t="s">
        <v>812</v>
      </c>
      <c r="FJ9" s="247" t="s">
        <v>637</v>
      </c>
      <c r="FK9" s="247">
        <v>0</v>
      </c>
      <c r="FL9" s="247">
        <v>0</v>
      </c>
      <c r="FM9" s="247">
        <v>0</v>
      </c>
      <c r="FN9" s="247">
        <v>0</v>
      </c>
      <c r="FO9" s="247" t="s">
        <v>637</v>
      </c>
      <c r="FP9" s="247" t="s">
        <v>637</v>
      </c>
      <c r="FQ9" s="247">
        <v>0</v>
      </c>
      <c r="FR9" s="247">
        <v>0</v>
      </c>
      <c r="FS9" s="247">
        <v>0</v>
      </c>
      <c r="FT9" s="247">
        <v>0</v>
      </c>
      <c r="FU9" s="247" t="s">
        <v>637</v>
      </c>
      <c r="FV9" s="247" t="s">
        <v>637</v>
      </c>
      <c r="FW9" s="247">
        <v>0</v>
      </c>
      <c r="FX9" s="247">
        <v>0</v>
      </c>
      <c r="FY9" s="247">
        <v>0</v>
      </c>
      <c r="FZ9" s="247">
        <v>0</v>
      </c>
      <c r="GA9" s="247" t="s">
        <v>637</v>
      </c>
      <c r="GB9" s="247" t="s">
        <v>51</v>
      </c>
      <c r="GC9" s="247">
        <v>28</v>
      </c>
      <c r="GD9" s="247">
        <v>30</v>
      </c>
      <c r="GE9" s="247">
        <v>30</v>
      </c>
      <c r="GF9" s="247">
        <v>0</v>
      </c>
      <c r="GG9" s="247">
        <v>0</v>
      </c>
      <c r="GH9" s="247">
        <v>0</v>
      </c>
      <c r="GI9" s="740">
        <v>28</v>
      </c>
      <c r="GJ9" s="740">
        <v>28</v>
      </c>
      <c r="GK9" s="247">
        <f t="shared" si="4"/>
        <v>10</v>
      </c>
      <c r="GL9" s="247"/>
      <c r="GM9" s="247">
        <f t="shared" si="5"/>
        <v>10</v>
      </c>
      <c r="GN9" s="247"/>
      <c r="GO9" s="247"/>
      <c r="GP9" s="247"/>
      <c r="GQ9" s="265" t="str">
        <f t="shared" si="6"/>
        <v>B00207260319TG05</v>
      </c>
      <c r="GR9" s="266">
        <v>207</v>
      </c>
      <c r="GS9" s="267" t="str">
        <f t="shared" si="7"/>
        <v>260319</v>
      </c>
      <c r="GT9" s="265" t="s">
        <v>646</v>
      </c>
      <c r="GU9" s="267" t="str">
        <f t="shared" si="8"/>
        <v>26/03/2019</v>
      </c>
      <c r="GV9" s="267" t="str">
        <f t="shared" si="9"/>
        <v>26/03/2024</v>
      </c>
      <c r="GW9" s="268" t="s">
        <v>742</v>
      </c>
      <c r="GX9" s="267">
        <f t="shared" si="10"/>
        <v>45377</v>
      </c>
      <c r="GY9" s="267" t="b">
        <f t="shared" si="11"/>
        <v>1</v>
      </c>
      <c r="GZ9" s="267" t="b">
        <f t="shared" si="12"/>
        <v>1</v>
      </c>
      <c r="HA9" s="269">
        <f t="shared" si="13"/>
        <v>3</v>
      </c>
      <c r="HB9" s="270" t="str">
        <f t="shared" si="14"/>
        <v>3-3</v>
      </c>
      <c r="HC9" s="270" t="str">
        <f t="shared" si="15"/>
        <v>CHUNG</v>
      </c>
      <c r="HD9" s="270" t="str">
        <f t="shared" si="16"/>
        <v>CHUNG</v>
      </c>
      <c r="HE9" s="270" t="str">
        <f t="shared" si="17"/>
      </c>
      <c r="HF9" s="270" t="str">
        <f t="shared" si="18"/>
      </c>
      <c r="HG9" s="270" t="str">
        <f t="shared" si="19"/>
      </c>
      <c r="HH9" s="270">
        <f t="shared" si="20"/>
        <v>3</v>
      </c>
      <c r="HI9" s="271">
        <f t="shared" si="21"/>
        <v>0</v>
      </c>
      <c r="HJ9" s="271" t="str">
        <f t="shared" si="22"/>
        <v>No</v>
      </c>
      <c r="HK9" s="271" t="str">
        <f t="shared" si="23"/>
        <v>No</v>
      </c>
    </row>
    <row r="10" ht="114.75">
      <c r="A10" s="236">
        <v>9</v>
      </c>
      <c r="B10" s="236" t="s">
        <v>616</v>
      </c>
      <c r="C10" s="236" t="s">
        <v>159</v>
      </c>
      <c r="D10" s="740" t="s">
        <v>733</v>
      </c>
      <c r="E10" s="236" t="s">
        <v>734</v>
      </c>
      <c r="F10" s="236" t="s">
        <v>6</v>
      </c>
      <c r="G10" s="740" t="s">
        <v>813</v>
      </c>
      <c r="H10" s="740" t="s">
        <v>814</v>
      </c>
      <c r="I10" s="236">
        <v>4</v>
      </c>
      <c r="J10" s="236" t="s">
        <v>736</v>
      </c>
      <c r="K10" s="259" t="s">
        <v>622</v>
      </c>
      <c r="L10" s="259" t="s">
        <v>815</v>
      </c>
      <c r="M10" s="236" t="s">
        <v>816</v>
      </c>
      <c r="N10" s="236" t="s">
        <v>817</v>
      </c>
      <c r="O10" s="236" t="s">
        <v>818</v>
      </c>
      <c r="P10" s="236" t="s">
        <v>819</v>
      </c>
      <c r="Q10" s="236" t="s">
        <v>820</v>
      </c>
      <c r="R10" s="236" t="s">
        <v>821</v>
      </c>
      <c r="S10" s="236" t="s">
        <v>822</v>
      </c>
      <c r="T10" s="236" t="s">
        <v>823</v>
      </c>
      <c r="U10" s="236">
        <v>1</v>
      </c>
      <c r="V10" s="236" t="s">
        <v>824</v>
      </c>
      <c r="W10" s="236" t="b">
        <v>1</v>
      </c>
      <c r="X10" s="236" t="b">
        <v>0</v>
      </c>
      <c r="Y10" s="740">
        <v>0</v>
      </c>
      <c r="Z10" s="236" t="b">
        <v>0</v>
      </c>
      <c r="AA10" s="740">
        <v>0</v>
      </c>
      <c r="AB10" s="236" t="b">
        <v>0</v>
      </c>
      <c r="AC10" s="236" t="b">
        <v>1</v>
      </c>
      <c r="AD10" s="236">
        <v>0</v>
      </c>
      <c r="AE10" s="236">
        <v>0</v>
      </c>
      <c r="AF10" s="236" t="s">
        <v>50</v>
      </c>
      <c r="AG10" s="236" t="s">
        <v>728</v>
      </c>
      <c r="AH10" s="247"/>
      <c r="AI10" s="247" t="s">
        <v>634</v>
      </c>
      <c r="AJ10" s="247" t="s">
        <v>635</v>
      </c>
      <c r="AK10" s="236" t="s">
        <v>5</v>
      </c>
      <c r="AL10" s="247" t="s">
        <v>636</v>
      </c>
      <c r="AM10" s="247" t="s">
        <v>636</v>
      </c>
      <c r="AN10" s="247" t="s">
        <v>636</v>
      </c>
      <c r="AO10" s="247" t="s">
        <v>636</v>
      </c>
      <c r="AP10" s="247" t="s">
        <v>637</v>
      </c>
      <c r="AQ10" s="247" t="s">
        <v>637</v>
      </c>
      <c r="AR10" s="247" t="s">
        <v>160</v>
      </c>
      <c r="AS10" s="247" t="s">
        <v>160</v>
      </c>
      <c r="AT10" s="247" t="s">
        <v>160</v>
      </c>
      <c r="AU10" s="247" t="s">
        <v>160</v>
      </c>
      <c r="AV10" s="247" t="s">
        <v>637</v>
      </c>
      <c r="AW10" s="247" t="s">
        <v>637</v>
      </c>
      <c r="AX10" s="247" t="s">
        <v>825</v>
      </c>
      <c r="AY10" s="247" t="s">
        <v>733</v>
      </c>
      <c r="AZ10" s="247" t="s">
        <v>733</v>
      </c>
      <c r="BA10" s="247" t="s">
        <v>733</v>
      </c>
      <c r="BB10" s="247" t="s">
        <v>733</v>
      </c>
      <c r="BC10" s="247" t="s">
        <v>637</v>
      </c>
      <c r="BD10" s="247" t="s">
        <v>637</v>
      </c>
      <c r="BE10" s="247" t="s">
        <v>102</v>
      </c>
      <c r="BF10" s="247" t="s">
        <v>102</v>
      </c>
      <c r="BG10" s="247" t="s">
        <v>271</v>
      </c>
      <c r="BH10" s="247" t="s">
        <v>639</v>
      </c>
      <c r="BI10" s="247" t="s">
        <v>637</v>
      </c>
      <c r="BJ10" s="247" t="s">
        <v>637</v>
      </c>
      <c r="BK10" s="247">
        <v>3</v>
      </c>
      <c r="BL10" s="247">
        <v>3</v>
      </c>
      <c r="BM10" s="247">
        <v>3</v>
      </c>
      <c r="BN10" s="247">
        <v>3</v>
      </c>
      <c r="BO10" s="247">
        <v>0</v>
      </c>
      <c r="BP10" s="247">
        <v>0</v>
      </c>
      <c r="BQ10" s="247" t="s">
        <v>109</v>
      </c>
      <c r="BR10" s="247">
        <v>2</v>
      </c>
      <c r="BS10" s="247">
        <v>2</v>
      </c>
      <c r="BT10" s="247">
        <v>2</v>
      </c>
      <c r="BU10" s="247">
        <v>0</v>
      </c>
      <c r="BV10" s="247" t="s">
        <v>109</v>
      </c>
      <c r="BW10" s="247">
        <v>2</v>
      </c>
      <c r="BX10" s="247">
        <v>2</v>
      </c>
      <c r="BY10" s="247">
        <v>2</v>
      </c>
      <c r="BZ10" s="247">
        <v>0</v>
      </c>
      <c r="CA10" s="247" t="s">
        <v>109</v>
      </c>
      <c r="CB10" s="247">
        <v>2</v>
      </c>
      <c r="CC10" s="247">
        <v>2</v>
      </c>
      <c r="CD10" s="247">
        <v>2</v>
      </c>
      <c r="CE10" s="247">
        <v>0</v>
      </c>
      <c r="CF10" s="247" t="s">
        <v>640</v>
      </c>
      <c r="CG10" s="247">
        <v>1</v>
      </c>
      <c r="CH10" s="247">
        <v>1</v>
      </c>
      <c r="CI10" s="247">
        <v>1</v>
      </c>
      <c r="CJ10" s="247">
        <v>0</v>
      </c>
      <c r="CK10" s="247" t="s">
        <v>637</v>
      </c>
      <c r="CL10" s="247">
        <v>0</v>
      </c>
      <c r="CM10" s="247">
        <v>0</v>
      </c>
      <c r="CN10" s="247">
        <v>0</v>
      </c>
      <c r="CO10" s="247">
        <v>0</v>
      </c>
      <c r="CP10" s="247" t="s">
        <v>637</v>
      </c>
      <c r="CQ10" s="247">
        <v>0</v>
      </c>
      <c r="CR10" s="247">
        <v>0</v>
      </c>
      <c r="CS10" s="247">
        <v>0</v>
      </c>
      <c r="CT10" s="247">
        <v>0</v>
      </c>
      <c r="CU10" s="247" t="s">
        <v>641</v>
      </c>
      <c r="CV10" s="247">
        <v>20</v>
      </c>
      <c r="CW10" s="247">
        <v>20</v>
      </c>
      <c r="CX10" s="247">
        <v>20</v>
      </c>
      <c r="CY10" s="247">
        <v>0</v>
      </c>
      <c r="CZ10" s="247" t="s">
        <v>641</v>
      </c>
      <c r="DA10" s="247">
        <v>20</v>
      </c>
      <c r="DB10" s="247" t="s">
        <v>757</v>
      </c>
      <c r="DC10" s="247">
        <v>16</v>
      </c>
      <c r="DD10" s="247">
        <v>16</v>
      </c>
      <c r="DE10" s="247">
        <v>16</v>
      </c>
      <c r="DF10" s="247">
        <v>0</v>
      </c>
      <c r="DG10" s="247" t="s">
        <v>757</v>
      </c>
      <c r="DH10" s="247">
        <v>16</v>
      </c>
      <c r="DI10" s="247" t="s">
        <v>642</v>
      </c>
      <c r="DJ10" s="247">
        <v>60</v>
      </c>
      <c r="DK10" s="247">
        <v>60</v>
      </c>
      <c r="DL10" s="247">
        <v>60</v>
      </c>
      <c r="DM10" s="247">
        <v>0</v>
      </c>
      <c r="DN10" s="247" t="s">
        <v>642</v>
      </c>
      <c r="DO10" s="247">
        <v>60</v>
      </c>
      <c r="DP10" s="247" t="s">
        <v>643</v>
      </c>
      <c r="DQ10" s="247">
        <v>160</v>
      </c>
      <c r="DR10" s="247">
        <v>160</v>
      </c>
      <c r="DS10" s="247">
        <v>160</v>
      </c>
      <c r="DT10" s="247">
        <v>0</v>
      </c>
      <c r="DU10" s="247" t="s">
        <v>643</v>
      </c>
      <c r="DV10" s="247">
        <v>160</v>
      </c>
      <c r="DW10" s="247" t="s">
        <v>637</v>
      </c>
      <c r="DX10" s="247">
        <v>0</v>
      </c>
      <c r="DY10" s="247">
        <v>0</v>
      </c>
      <c r="DZ10" s="247">
        <v>0</v>
      </c>
      <c r="EA10" s="247">
        <v>0</v>
      </c>
      <c r="EB10" s="247" t="s">
        <v>637</v>
      </c>
      <c r="EC10" s="247">
        <v>0</v>
      </c>
      <c r="ED10" s="247" t="s">
        <v>637</v>
      </c>
      <c r="EE10" s="247">
        <v>0</v>
      </c>
      <c r="EF10" s="247">
        <v>0</v>
      </c>
      <c r="EG10" s="247">
        <v>0</v>
      </c>
      <c r="EH10" s="247">
        <v>0</v>
      </c>
      <c r="EI10" s="247" t="s">
        <v>637</v>
      </c>
      <c r="EJ10" s="247">
        <v>0</v>
      </c>
      <c r="EK10" s="247">
        <v>160</v>
      </c>
      <c r="EL10" s="247" t="s">
        <v>194</v>
      </c>
      <c r="EM10" s="247" t="s">
        <v>204</v>
      </c>
      <c r="EN10" s="247" t="s">
        <v>205</v>
      </c>
      <c r="EO10" s="247" t="s">
        <v>200</v>
      </c>
      <c r="EP10" s="247" t="s">
        <v>637</v>
      </c>
      <c r="EQ10" s="247" t="s">
        <v>637</v>
      </c>
      <c r="ER10" s="247" t="s">
        <v>826</v>
      </c>
      <c r="ES10" s="247">
        <v>37</v>
      </c>
      <c r="ET10" s="247">
        <v>37</v>
      </c>
      <c r="EU10" s="247">
        <v>37</v>
      </c>
      <c r="EV10" s="247">
        <v>0</v>
      </c>
      <c r="EW10" s="247" t="s">
        <v>827</v>
      </c>
      <c r="EX10" s="247" t="s">
        <v>760</v>
      </c>
      <c r="EY10" s="247">
        <v>34</v>
      </c>
      <c r="EZ10" s="247">
        <v>34</v>
      </c>
      <c r="FA10" s="247">
        <v>34</v>
      </c>
      <c r="FB10" s="247">
        <v>0</v>
      </c>
      <c r="FC10" s="247" t="s">
        <v>761</v>
      </c>
      <c r="FD10" s="247" t="s">
        <v>760</v>
      </c>
      <c r="FE10" s="247">
        <v>34</v>
      </c>
      <c r="FF10" s="247">
        <v>34</v>
      </c>
      <c r="FG10" s="247">
        <v>34</v>
      </c>
      <c r="FH10" s="247">
        <v>0</v>
      </c>
      <c r="FI10" s="247" t="s">
        <v>761</v>
      </c>
      <c r="FJ10" s="247" t="s">
        <v>760</v>
      </c>
      <c r="FK10" s="247">
        <v>34</v>
      </c>
      <c r="FL10" s="247">
        <v>34</v>
      </c>
      <c r="FM10" s="247">
        <v>34</v>
      </c>
      <c r="FN10" s="247">
        <v>0</v>
      </c>
      <c r="FO10" s="247" t="s">
        <v>761</v>
      </c>
      <c r="FP10" s="247" t="s">
        <v>637</v>
      </c>
      <c r="FQ10" s="247">
        <v>0</v>
      </c>
      <c r="FR10" s="247">
        <v>0</v>
      </c>
      <c r="FS10" s="247">
        <v>0</v>
      </c>
      <c r="FT10" s="247">
        <v>0</v>
      </c>
      <c r="FU10" s="247" t="s">
        <v>637</v>
      </c>
      <c r="FV10" s="247" t="s">
        <v>637</v>
      </c>
      <c r="FW10" s="247">
        <v>0</v>
      </c>
      <c r="FX10" s="247">
        <v>0</v>
      </c>
      <c r="FY10" s="247">
        <v>0</v>
      </c>
      <c r="FZ10" s="247">
        <v>0</v>
      </c>
      <c r="GA10" s="247" t="s">
        <v>637</v>
      </c>
      <c r="GB10" s="247" t="s">
        <v>51</v>
      </c>
      <c r="GC10" s="247">
        <v>37</v>
      </c>
      <c r="GD10" s="247">
        <v>34</v>
      </c>
      <c r="GE10" s="247">
        <v>34</v>
      </c>
      <c r="GF10" s="247">
        <v>34</v>
      </c>
      <c r="GG10" s="247">
        <v>0</v>
      </c>
      <c r="GH10" s="247">
        <v>0</v>
      </c>
      <c r="GI10" s="740">
        <v>34</v>
      </c>
      <c r="GJ10" s="740">
        <v>34</v>
      </c>
      <c r="GK10" s="247">
        <f t="shared" si="4"/>
        <v>10</v>
      </c>
      <c r="GL10" s="247"/>
      <c r="GM10" s="247">
        <f t="shared" si="5"/>
        <v>10</v>
      </c>
      <c r="GN10" s="247"/>
      <c r="GO10" s="247"/>
      <c r="GP10" s="247"/>
      <c r="GQ10" s="265" t="str">
        <f t="shared" si="6"/>
        <v>B00208260319TG05</v>
      </c>
      <c r="GR10" s="266">
        <v>208</v>
      </c>
      <c r="GS10" s="267" t="str">
        <f t="shared" si="7"/>
        <v>260319</v>
      </c>
      <c r="GT10" s="265" t="s">
        <v>646</v>
      </c>
      <c r="GU10" s="267" t="str">
        <f t="shared" si="8"/>
        <v>26/03/2019</v>
      </c>
      <c r="GV10" s="267" t="str">
        <f t="shared" si="9"/>
        <v>26/03/2024</v>
      </c>
      <c r="GW10" s="268" t="s">
        <v>742</v>
      </c>
      <c r="GX10" s="267">
        <f t="shared" si="10"/>
        <v>45377</v>
      </c>
      <c r="GY10" s="267" t="b">
        <f t="shared" si="11"/>
        <v>1</v>
      </c>
      <c r="GZ10" s="267" t="b">
        <f t="shared" si="12"/>
        <v>1</v>
      </c>
      <c r="HA10" s="269">
        <f t="shared" si="13"/>
        <v>4</v>
      </c>
      <c r="HB10" s="270" t="str">
        <f t="shared" si="14"/>
        <v>4-4</v>
      </c>
      <c r="HC10" s="270" t="str">
        <f t="shared" si="15"/>
        <v>CHUNG</v>
      </c>
      <c r="HD10" s="270" t="str">
        <f t="shared" si="16"/>
        <v>CHUNG</v>
      </c>
      <c r="HE10" s="270" t="str">
        <f t="shared" si="17"/>
        <v>CHUNG</v>
      </c>
      <c r="HF10" s="270" t="str">
        <f t="shared" si="18"/>
      </c>
      <c r="HG10" s="270" t="str">
        <f t="shared" si="19"/>
      </c>
      <c r="HH10" s="270">
        <f t="shared" si="20"/>
        <v>4</v>
      </c>
      <c r="HI10" s="271">
        <f t="shared" si="21"/>
        <v>0</v>
      </c>
      <c r="HJ10" s="271" t="str">
        <f t="shared" si="22"/>
        <v>No</v>
      </c>
      <c r="HK10" s="271" t="str">
        <f t="shared" si="23"/>
        <v>No</v>
      </c>
    </row>
    <row r="11" ht="89.25">
      <c r="A11" s="236">
        <v>10</v>
      </c>
      <c r="B11" s="236" t="s">
        <v>616</v>
      </c>
      <c r="C11" s="236" t="s">
        <v>159</v>
      </c>
      <c r="D11" s="740" t="s">
        <v>711</v>
      </c>
      <c r="E11" s="236" t="s">
        <v>712</v>
      </c>
      <c r="F11" s="236" t="s">
        <v>6</v>
      </c>
      <c r="G11" s="740" t="s">
        <v>828</v>
      </c>
      <c r="H11" s="740" t="s">
        <v>829</v>
      </c>
      <c r="I11" s="236">
        <v>3</v>
      </c>
      <c r="J11" s="236" t="s">
        <v>714</v>
      </c>
      <c r="K11" s="259" t="s">
        <v>622</v>
      </c>
      <c r="L11" s="259" t="s">
        <v>830</v>
      </c>
      <c r="M11" s="236" t="s">
        <v>624</v>
      </c>
      <c r="N11" s="236" t="s">
        <v>831</v>
      </c>
      <c r="O11" s="236" t="s">
        <v>786</v>
      </c>
      <c r="P11" s="236" t="s">
        <v>627</v>
      </c>
      <c r="Q11" s="236" t="s">
        <v>832</v>
      </c>
      <c r="R11" s="236" t="s">
        <v>788</v>
      </c>
      <c r="S11" s="236" t="s">
        <v>630</v>
      </c>
      <c r="T11" s="236" t="s">
        <v>833</v>
      </c>
      <c r="U11" s="236">
        <v>1</v>
      </c>
      <c r="V11" s="236" t="s">
        <v>632</v>
      </c>
      <c r="W11" s="236" t="b">
        <v>1</v>
      </c>
      <c r="X11" s="236" t="b">
        <v>0</v>
      </c>
      <c r="Y11" s="740">
        <v>0</v>
      </c>
      <c r="Z11" s="236" t="b">
        <v>0</v>
      </c>
      <c r="AA11" s="740">
        <v>0</v>
      </c>
      <c r="AB11" s="236" t="b">
        <v>0</v>
      </c>
      <c r="AC11" s="236" t="b">
        <v>1</v>
      </c>
      <c r="AD11" s="236">
        <v>0</v>
      </c>
      <c r="AE11" s="236">
        <v>0</v>
      </c>
      <c r="AF11" s="236" t="s">
        <v>50</v>
      </c>
      <c r="AG11" s="236">
        <v>0</v>
      </c>
      <c r="AH11" s="247"/>
      <c r="AI11" s="247" t="s">
        <v>634</v>
      </c>
      <c r="AJ11" s="247" t="s">
        <v>635</v>
      </c>
      <c r="AK11" s="236" t="s">
        <v>5</v>
      </c>
      <c r="AL11" s="247" t="s">
        <v>636</v>
      </c>
      <c r="AM11" s="247" t="s">
        <v>636</v>
      </c>
      <c r="AN11" s="247" t="s">
        <v>636</v>
      </c>
      <c r="AO11" s="247" t="s">
        <v>637</v>
      </c>
      <c r="AP11" s="247" t="s">
        <v>637</v>
      </c>
      <c r="AQ11" s="247" t="s">
        <v>637</v>
      </c>
      <c r="AR11" s="247" t="s">
        <v>160</v>
      </c>
      <c r="AS11" s="247" t="s">
        <v>160</v>
      </c>
      <c r="AT11" s="247" t="s">
        <v>160</v>
      </c>
      <c r="AU11" s="247" t="s">
        <v>637</v>
      </c>
      <c r="AV11" s="247" t="s">
        <v>637</v>
      </c>
      <c r="AW11" s="247" t="s">
        <v>637</v>
      </c>
      <c r="AX11" s="247" t="s">
        <v>638</v>
      </c>
      <c r="AY11" s="247" t="s">
        <v>711</v>
      </c>
      <c r="AZ11" s="247" t="s">
        <v>711</v>
      </c>
      <c r="BA11" s="247" t="s">
        <v>711</v>
      </c>
      <c r="BB11" s="247" t="s">
        <v>637</v>
      </c>
      <c r="BC11" s="247" t="s">
        <v>637</v>
      </c>
      <c r="BD11" s="247" t="s">
        <v>637</v>
      </c>
      <c r="BE11" s="247" t="s">
        <v>102</v>
      </c>
      <c r="BF11" s="247" t="s">
        <v>257</v>
      </c>
      <c r="BG11" s="247" t="s">
        <v>639</v>
      </c>
      <c r="BH11" s="247" t="s">
        <v>637</v>
      </c>
      <c r="BI11" s="247" t="s">
        <v>637</v>
      </c>
      <c r="BJ11" s="247" t="s">
        <v>637</v>
      </c>
      <c r="BK11" s="247">
        <v>3</v>
      </c>
      <c r="BL11" s="247">
        <v>3</v>
      </c>
      <c r="BM11" s="247">
        <v>3</v>
      </c>
      <c r="BN11" s="247">
        <v>0</v>
      </c>
      <c r="BO11" s="247">
        <v>0</v>
      </c>
      <c r="BP11" s="247">
        <v>0</v>
      </c>
      <c r="BQ11" s="247" t="s">
        <v>834</v>
      </c>
      <c r="BR11" s="247">
        <v>2</v>
      </c>
      <c r="BS11" s="247">
        <v>4</v>
      </c>
      <c r="BT11" s="247">
        <v>4</v>
      </c>
      <c r="BU11" s="247">
        <v>0</v>
      </c>
      <c r="BV11" s="247" t="s">
        <v>109</v>
      </c>
      <c r="BW11" s="247">
        <v>2</v>
      </c>
      <c r="BX11" s="247">
        <v>2</v>
      </c>
      <c r="BY11" s="247">
        <v>2</v>
      </c>
      <c r="BZ11" s="247">
        <v>0</v>
      </c>
      <c r="CA11" s="247" t="s">
        <v>640</v>
      </c>
      <c r="CB11" s="247">
        <v>1</v>
      </c>
      <c r="CC11" s="247">
        <v>1</v>
      </c>
      <c r="CD11" s="247">
        <v>1</v>
      </c>
      <c r="CE11" s="247">
        <v>0</v>
      </c>
      <c r="CF11" s="247" t="s">
        <v>637</v>
      </c>
      <c r="CG11" s="247">
        <v>0</v>
      </c>
      <c r="CH11" s="247">
        <v>0</v>
      </c>
      <c r="CI11" s="247">
        <v>0</v>
      </c>
      <c r="CJ11" s="247">
        <v>0</v>
      </c>
      <c r="CK11" s="247" t="s">
        <v>637</v>
      </c>
      <c r="CL11" s="247">
        <v>0</v>
      </c>
      <c r="CM11" s="247">
        <v>0</v>
      </c>
      <c r="CN11" s="247">
        <v>0</v>
      </c>
      <c r="CO11" s="247">
        <v>0</v>
      </c>
      <c r="CP11" s="247" t="s">
        <v>637</v>
      </c>
      <c r="CQ11" s="247">
        <v>0</v>
      </c>
      <c r="CR11" s="247">
        <v>0</v>
      </c>
      <c r="CS11" s="247">
        <v>0</v>
      </c>
      <c r="CT11" s="247">
        <v>0</v>
      </c>
      <c r="CU11" s="247" t="s">
        <v>641</v>
      </c>
      <c r="CV11" s="247">
        <v>20</v>
      </c>
      <c r="CW11" s="247">
        <v>20</v>
      </c>
      <c r="CX11" s="247">
        <v>20</v>
      </c>
      <c r="CY11" s="247">
        <v>0</v>
      </c>
      <c r="CZ11" s="247" t="s">
        <v>641</v>
      </c>
      <c r="DA11" s="247">
        <v>20</v>
      </c>
      <c r="DB11" s="247" t="s">
        <v>790</v>
      </c>
      <c r="DC11" s="247">
        <v>40</v>
      </c>
      <c r="DD11" s="247">
        <v>40</v>
      </c>
      <c r="DE11" s="247">
        <v>40</v>
      </c>
      <c r="DF11" s="247">
        <v>0</v>
      </c>
      <c r="DG11" s="247" t="s">
        <v>790</v>
      </c>
      <c r="DH11" s="247">
        <v>40</v>
      </c>
      <c r="DI11" s="247" t="s">
        <v>643</v>
      </c>
      <c r="DJ11" s="247">
        <v>160</v>
      </c>
      <c r="DK11" s="247">
        <v>160</v>
      </c>
      <c r="DL11" s="247">
        <v>160</v>
      </c>
      <c r="DM11" s="247">
        <v>0</v>
      </c>
      <c r="DN11" s="247" t="s">
        <v>643</v>
      </c>
      <c r="DO11" s="247">
        <v>160</v>
      </c>
      <c r="DP11" s="247" t="s">
        <v>637</v>
      </c>
      <c r="DQ11" s="247">
        <v>0</v>
      </c>
      <c r="DR11" s="247">
        <v>0</v>
      </c>
      <c r="DS11" s="247">
        <v>0</v>
      </c>
      <c r="DT11" s="247">
        <v>0</v>
      </c>
      <c r="DU11" s="247" t="s">
        <v>637</v>
      </c>
      <c r="DV11" s="247">
        <v>0</v>
      </c>
      <c r="DW11" s="247" t="s">
        <v>637</v>
      </c>
      <c r="DX11" s="247">
        <v>0</v>
      </c>
      <c r="DY11" s="247">
        <v>0</v>
      </c>
      <c r="DZ11" s="247">
        <v>0</v>
      </c>
      <c r="EA11" s="247">
        <v>0</v>
      </c>
      <c r="EB11" s="247" t="s">
        <v>637</v>
      </c>
      <c r="EC11" s="247">
        <v>0</v>
      </c>
      <c r="ED11" s="247" t="s">
        <v>637</v>
      </c>
      <c r="EE11" s="247">
        <v>0</v>
      </c>
      <c r="EF11" s="247">
        <v>0</v>
      </c>
      <c r="EG11" s="247">
        <v>0</v>
      </c>
      <c r="EH11" s="247">
        <v>0</v>
      </c>
      <c r="EI11" s="247" t="s">
        <v>637</v>
      </c>
      <c r="EJ11" s="247">
        <v>0</v>
      </c>
      <c r="EK11" s="247">
        <v>160</v>
      </c>
      <c r="EL11" s="247" t="s">
        <v>194</v>
      </c>
      <c r="EM11" s="247" t="s">
        <v>205</v>
      </c>
      <c r="EN11" s="247" t="s">
        <v>200</v>
      </c>
      <c r="EO11" s="247" t="s">
        <v>637</v>
      </c>
      <c r="EP11" s="247" t="s">
        <v>637</v>
      </c>
      <c r="EQ11" s="247" t="s">
        <v>637</v>
      </c>
      <c r="ER11" s="247" t="s">
        <v>835</v>
      </c>
      <c r="ES11" s="247">
        <v>23</v>
      </c>
      <c r="ET11" s="247">
        <v>23</v>
      </c>
      <c r="EU11" s="247">
        <v>23</v>
      </c>
      <c r="EV11" s="247">
        <v>0</v>
      </c>
      <c r="EW11" s="247" t="s">
        <v>836</v>
      </c>
      <c r="EX11" s="247" t="s">
        <v>837</v>
      </c>
      <c r="EY11" s="247">
        <v>28.5</v>
      </c>
      <c r="EZ11" s="247">
        <v>28.5</v>
      </c>
      <c r="FA11" s="247">
        <v>28.5</v>
      </c>
      <c r="FB11" s="247">
        <v>0</v>
      </c>
      <c r="FC11" s="247" t="s">
        <v>838</v>
      </c>
      <c r="FD11" s="247" t="s">
        <v>770</v>
      </c>
      <c r="FE11" s="247">
        <v>28</v>
      </c>
      <c r="FF11" s="247">
        <v>28</v>
      </c>
      <c r="FG11" s="247">
        <v>28</v>
      </c>
      <c r="FH11" s="247">
        <v>0</v>
      </c>
      <c r="FI11" s="247" t="s">
        <v>771</v>
      </c>
      <c r="FJ11" s="247" t="s">
        <v>637</v>
      </c>
      <c r="FK11" s="247">
        <v>0</v>
      </c>
      <c r="FL11" s="247">
        <v>0</v>
      </c>
      <c r="FM11" s="247">
        <v>0</v>
      </c>
      <c r="FN11" s="247">
        <v>0</v>
      </c>
      <c r="FO11" s="247" t="s">
        <v>637</v>
      </c>
      <c r="FP11" s="247" t="s">
        <v>637</v>
      </c>
      <c r="FQ11" s="247">
        <v>0</v>
      </c>
      <c r="FR11" s="247">
        <v>0</v>
      </c>
      <c r="FS11" s="247">
        <v>0</v>
      </c>
      <c r="FT11" s="247">
        <v>0</v>
      </c>
      <c r="FU11" s="247" t="s">
        <v>637</v>
      </c>
      <c r="FV11" s="247" t="s">
        <v>637</v>
      </c>
      <c r="FW11" s="247">
        <v>0</v>
      </c>
      <c r="FX11" s="247">
        <v>0</v>
      </c>
      <c r="FY11" s="247">
        <v>0</v>
      </c>
      <c r="FZ11" s="247">
        <v>0</v>
      </c>
      <c r="GA11" s="247" t="s">
        <v>637</v>
      </c>
      <c r="GB11" s="247" t="s">
        <v>51</v>
      </c>
      <c r="GC11" s="247">
        <v>23</v>
      </c>
      <c r="GD11" s="247">
        <v>28.5</v>
      </c>
      <c r="GE11" s="247">
        <v>28</v>
      </c>
      <c r="GF11" s="247">
        <v>0</v>
      </c>
      <c r="GG11" s="247">
        <v>0</v>
      </c>
      <c r="GH11" s="247">
        <v>0</v>
      </c>
      <c r="GI11" s="740">
        <v>23</v>
      </c>
      <c r="GJ11" s="740">
        <v>23</v>
      </c>
      <c r="GK11" s="247">
        <f t="shared" si="4"/>
        <v>10</v>
      </c>
      <c r="GL11" s="247"/>
      <c r="GM11" s="247">
        <f t="shared" si="5"/>
        <v>10</v>
      </c>
      <c r="GN11" s="247"/>
      <c r="GO11" s="247"/>
      <c r="GP11" s="247"/>
      <c r="GQ11" s="265" t="str">
        <f t="shared" si="6"/>
        <v>B00209260319TG05</v>
      </c>
      <c r="GR11" s="266">
        <v>209</v>
      </c>
      <c r="GS11" s="267" t="str">
        <f t="shared" si="7"/>
        <v>260319</v>
      </c>
      <c r="GT11" s="265" t="s">
        <v>646</v>
      </c>
      <c r="GU11" s="267" t="str">
        <f t="shared" si="8"/>
        <v>26/03/2019</v>
      </c>
      <c r="GV11" s="267" t="str">
        <f t="shared" si="9"/>
        <v>26/03/2024</v>
      </c>
      <c r="GW11" s="268" t="s">
        <v>742</v>
      </c>
      <c r="GX11" s="267">
        <f t="shared" si="10"/>
        <v>45377</v>
      </c>
      <c r="GY11" s="267" t="b">
        <f t="shared" si="11"/>
        <v>1</v>
      </c>
      <c r="GZ11" s="267" t="b">
        <f t="shared" si="12"/>
        <v>1</v>
      </c>
      <c r="HA11" s="269">
        <f t="shared" si="13"/>
        <v>3</v>
      </c>
      <c r="HB11" s="270" t="str">
        <f t="shared" si="14"/>
        <v>3-3</v>
      </c>
      <c r="HC11" s="270" t="str">
        <f t="shared" si="15"/>
        <v>CHUNG</v>
      </c>
      <c r="HD11" s="270" t="str">
        <f t="shared" si="16"/>
        <v>CHUNG</v>
      </c>
      <c r="HE11" s="270" t="str">
        <f t="shared" si="17"/>
      </c>
      <c r="HF11" s="270" t="str">
        <f t="shared" si="18"/>
      </c>
      <c r="HG11" s="270" t="str">
        <f t="shared" si="19"/>
      </c>
      <c r="HH11" s="270">
        <f t="shared" si="20"/>
        <v>3</v>
      </c>
      <c r="HI11" s="271">
        <f t="shared" si="21"/>
        <v>0</v>
      </c>
      <c r="HJ11" s="271" t="str">
        <f t="shared" si="22"/>
        <v>No</v>
      </c>
      <c r="HK11" s="271" t="str">
        <f t="shared" si="23"/>
        <v>No</v>
      </c>
    </row>
  </sheetData>
  <sheetProtection sheet="1" objects="1" scenarios="1" formatCells="0" formatColumns="0" formatRows="0" sort="0" autoFilter="0" pivotTables="0"/>
  <autoFilter ref="A1:AG2"/>
  <conditionalFormatting sqref="W12:X1048576">
    <cfRule type="containsText" dxfId="10" priority="540" operator="containsText" text="no">
      <formula>NOT(ISERROR(SEARCH("no",W12)))</formula>
    </cfRule>
  </conditionalFormatting>
  <conditionalFormatting sqref="A1:V1 A12:XFD1048576 AD1 AF1:EJ1 EL1:GJ1 HL1:XFD11 A2:A11">
    <cfRule type="containsErrors" dxfId="10" priority="538">
      <formula>ISERROR(A1)</formula>
    </cfRule>
  </conditionalFormatting>
  <conditionalFormatting sqref="GY1:GZ1">
    <cfRule type="cellIs" dxfId="10" priority="536" stopIfTrue="1" operator="notEqual">
      <formula>TRUE</formula>
    </cfRule>
  </conditionalFormatting>
  <conditionalFormatting sqref="GO2:GP2">
    <cfRule type="containsErrors" dxfId="10" priority="370">
      <formula>ISERROR(GO2)</formula>
    </cfRule>
  </conditionalFormatting>
  <conditionalFormatting sqref="X1 AC1">
    <cfRule type="containsText" dxfId="10" priority="123" operator="containsText" text="no">
      <formula>NOT(ISERROR(SEARCH("no",X1)))</formula>
    </cfRule>
  </conditionalFormatting>
  <conditionalFormatting sqref="EK1">
    <cfRule type="containsErrors" dxfId="10" priority="109">
      <formula>ISERROR(EK1)</formula>
    </cfRule>
  </conditionalFormatting>
  <conditionalFormatting sqref="B2:GN2 GK3:GK11 GM3:GM11">
    <cfRule type="containsErrors" dxfId="10" priority="20">
      <formula>ISERROR(B2)</formula>
    </cfRule>
  </conditionalFormatting>
  <conditionalFormatting sqref="W3:X3">
    <cfRule type="containsText" dxfId="10" priority="19" operator="containsText" text="no">
      <formula>NOT(ISERROR(SEARCH("no",W3)))</formula>
    </cfRule>
  </conditionalFormatting>
  <conditionalFormatting sqref="B3:GJ3 GL3 GN3">
    <cfRule type="containsErrors" dxfId="10" priority="18">
      <formula>ISERROR(B3)</formula>
    </cfRule>
  </conditionalFormatting>
  <conditionalFormatting sqref="W4:X4">
    <cfRule type="containsText" dxfId="10" priority="17" operator="containsText" text="no">
      <formula>NOT(ISERROR(SEARCH("no",W4)))</formula>
    </cfRule>
  </conditionalFormatting>
  <conditionalFormatting sqref="B4:GJ4 GL4 GN4">
    <cfRule type="containsErrors" dxfId="10" priority="16">
      <formula>ISERROR(B4)</formula>
    </cfRule>
  </conditionalFormatting>
  <conditionalFormatting sqref="W5:X5">
    <cfRule type="containsText" dxfId="10" priority="15" operator="containsText" text="no">
      <formula>NOT(ISERROR(SEARCH("no",W5)))</formula>
    </cfRule>
  </conditionalFormatting>
  <conditionalFormatting sqref="B5:GJ5 GL5 GN5">
    <cfRule type="containsErrors" dxfId="10" priority="14">
      <formula>ISERROR(B5)</formula>
    </cfRule>
  </conditionalFormatting>
  <conditionalFormatting sqref="W6:X6">
    <cfRule type="containsText" dxfId="10" priority="13" operator="containsText" text="no">
      <formula>NOT(ISERROR(SEARCH("no",W6)))</formula>
    </cfRule>
  </conditionalFormatting>
  <conditionalFormatting sqref="B6:GJ6 GL6 GN6">
    <cfRule type="containsErrors" dxfId="10" priority="12">
      <formula>ISERROR(B6)</formula>
    </cfRule>
  </conditionalFormatting>
  <conditionalFormatting sqref="W7:X7">
    <cfRule type="containsText" dxfId="10" priority="11" operator="containsText" text="no">
      <formula>NOT(ISERROR(SEARCH("no",W7)))</formula>
    </cfRule>
  </conditionalFormatting>
  <conditionalFormatting sqref="B7:GJ7 GL7 GN7">
    <cfRule type="containsErrors" dxfId="10" priority="10">
      <formula>ISERROR(B7)</formula>
    </cfRule>
  </conditionalFormatting>
  <conditionalFormatting sqref="W8:X8">
    <cfRule type="containsText" dxfId="10" priority="9" operator="containsText" text="no">
      <formula>NOT(ISERROR(SEARCH("no",W8)))</formula>
    </cfRule>
  </conditionalFormatting>
  <conditionalFormatting sqref="B8:GJ8 GL8 GN8">
    <cfRule type="containsErrors" dxfId="10" priority="8">
      <formula>ISERROR(B8)</formula>
    </cfRule>
  </conditionalFormatting>
  <conditionalFormatting sqref="W9:X9">
    <cfRule type="containsText" dxfId="10" priority="7" operator="containsText" text="no">
      <formula>NOT(ISERROR(SEARCH("no",W9)))</formula>
    </cfRule>
  </conditionalFormatting>
  <conditionalFormatting sqref="B9:GJ9 GL9 GN9">
    <cfRule type="containsErrors" dxfId="10" priority="6">
      <formula>ISERROR(B9)</formula>
    </cfRule>
  </conditionalFormatting>
  <conditionalFormatting sqref="W10:X10">
    <cfRule type="containsText" dxfId="10" priority="5" operator="containsText" text="no">
      <formula>NOT(ISERROR(SEARCH("no",W10)))</formula>
    </cfRule>
  </conditionalFormatting>
  <conditionalFormatting sqref="B10:GJ10 GL10 GN10">
    <cfRule type="containsErrors" dxfId="10" priority="4">
      <formula>ISERROR(B10)</formula>
    </cfRule>
  </conditionalFormatting>
  <conditionalFormatting sqref="W11:X11">
    <cfRule type="containsText" dxfId="10" priority="3" operator="containsText" text="no">
      <formula>NOT(ISERROR(SEARCH("no",W11)))</formula>
    </cfRule>
  </conditionalFormatting>
  <conditionalFormatting sqref="B11:GJ11 GL11 GN11">
    <cfRule type="containsErrors" dxfId="10" priority="2">
      <formula>ISERROR(B11)</formula>
    </cfRule>
  </conditionalFormatting>
  <conditionalFormatting sqref="GO3:GP11">
    <cfRule type="containsErrors" dxfId="10" priority="1">
      <formula>ISERROR(GO3)</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HK2"/>
  <sheetViews>
    <sheetView topLeftCell="FS1" zoomScale="85" zoomScaleNormal="85" workbookViewId="0">
      <selection activeCell="GK1" sqref="GK1"/>
    </sheetView>
  </sheetViews>
  <sheetFormatPr defaultColWidth="9.140625" defaultRowHeight="12.75"/>
  <cols>
    <col min="1" max="1" bestFit="1" width="5" customWidth="1" style="369"/>
    <col min="2" max="2" bestFit="1" width="17.140625" customWidth="1" style="371"/>
    <col min="3" max="3" bestFit="1" width="16.7109375" customWidth="1" style="369"/>
    <col min="4" max="4" width="9.140625" customWidth="1" style="738"/>
    <col min="5" max="5" width="54.140625" customWidth="1" style="369"/>
    <col min="6" max="6" width="16.5703125" customWidth="1" style="369"/>
    <col min="7" max="7" bestFit="1" width="9.140625" customWidth="1" style="738"/>
    <col min="8" max="8" bestFit="1" width="9.140625" customWidth="1" style="326"/>
    <col min="9" max="9" width="10.5703125" customWidth="1" style="372"/>
    <col min="10" max="10" width="23.140625" customWidth="1" style="359"/>
    <col min="11" max="12" bestFit="1" width="11.28515625" customWidth="1" style="373"/>
    <col min="13" max="13" width="33.28515625" customWidth="1" style="359"/>
    <col min="14" max="15" width="15.28515625" customWidth="1" style="359"/>
    <col min="16" max="16" width="9.140625" customWidth="1" style="359"/>
    <col min="17" max="17" bestFit="1" width="15.42578125" customWidth="1" style="359"/>
    <col min="18" max="18" width="42.140625" customWidth="1" style="359"/>
    <col min="19" max="19" width="27.28515625" customWidth="1" style="359"/>
    <col min="20" max="20" width="14.28515625" customWidth="1" style="359"/>
    <col min="21" max="21" width="7.7109375" customWidth="1" style="359"/>
    <col min="22" max="22" width="20.42578125" customWidth="1" style="359"/>
    <col min="23" max="24" width="10.5703125" customWidth="1" style="359"/>
    <col min="25" max="25" width="9.140625" customWidth="1" style="326"/>
    <col min="26" max="26" width="13" customWidth="1" style="359"/>
    <col min="27" max="27" width="9.140625" customWidth="1" style="326"/>
    <col min="28" max="29" width="13" customWidth="1" style="359"/>
    <col min="30" max="30" width="32.28515625" customWidth="1" style="359"/>
    <col min="31" max="31" width="14.140625" customWidth="1" style="359"/>
    <col min="32" max="32" width="10.7109375" customWidth="1" style="359"/>
    <col min="33" max="33" width="24.7109375" customWidth="1" style="359"/>
    <col min="34" max="34" width="4.7109375" customWidth="1" style="359"/>
    <col min="35" max="35" bestFit="1" width="15.42578125" customWidth="1" style="359"/>
    <col min="36" max="36" width="15.85546875" customWidth="1" style="359"/>
    <col min="37" max="37" width="9.140625" customWidth="1" style="369"/>
    <col min="38" max="183" width="9.140625" customWidth="1" style="359"/>
    <col min="184" max="184" bestFit="1" width="9.5703125" customWidth="1" style="359"/>
    <col min="185" max="190" width="9.140625" customWidth="1" style="359"/>
    <col min="191" max="191" width="9.140625" customWidth="1" style="326"/>
    <col min="192" max="192" width="9.140625" customWidth="1" style="326"/>
    <col min="193" max="198" width="9.140625" customWidth="1" style="359"/>
    <col min="199" max="202" width="15.140625" customWidth="1" style="359"/>
    <col min="203" max="219" width="14.140625" customWidth="1" style="359"/>
    <col min="220" max="220" width="12.28515625" customWidth="1" style="359"/>
    <col min="221" max="16384" width="9.140625" customWidth="1" style="359"/>
  </cols>
  <sheetData>
    <row r="1" ht="63" s="369" customFormat="1">
      <c r="A1" s="248" t="s">
        <v>0</v>
      </c>
      <c r="B1" s="248" t="s">
        <v>402</v>
      </c>
      <c r="C1" s="248" t="s">
        <v>403</v>
      </c>
      <c r="D1" s="355" t="s">
        <v>404</v>
      </c>
      <c r="E1" s="248" t="s">
        <v>47</v>
      </c>
      <c r="F1" s="248" t="s">
        <v>405</v>
      </c>
      <c r="G1" s="355" t="s">
        <v>406</v>
      </c>
      <c r="H1" s="355" t="s">
        <v>407</v>
      </c>
      <c r="I1" s="249" t="s">
        <v>408</v>
      </c>
      <c r="J1" s="249" t="s">
        <v>409</v>
      </c>
      <c r="K1" s="250" t="s">
        <v>410</v>
      </c>
      <c r="L1" s="250" t="s">
        <v>411</v>
      </c>
      <c r="M1" s="249" t="s">
        <v>412</v>
      </c>
      <c r="N1" s="249" t="s">
        <v>413</v>
      </c>
      <c r="O1" s="249" t="s">
        <v>414</v>
      </c>
      <c r="P1" s="249" t="s">
        <v>415</v>
      </c>
      <c r="Q1" s="249" t="s">
        <v>416</v>
      </c>
      <c r="R1" s="249" t="s">
        <v>417</v>
      </c>
      <c r="S1" s="249" t="s">
        <v>418</v>
      </c>
      <c r="T1" s="249" t="s">
        <v>419</v>
      </c>
      <c r="U1" s="249" t="s">
        <v>420</v>
      </c>
      <c r="V1" s="249" t="s">
        <v>421</v>
      </c>
      <c r="W1" s="235" t="s">
        <v>422</v>
      </c>
      <c r="X1" s="235" t="s">
        <v>423</v>
      </c>
      <c r="Y1" s="735" t="s">
        <v>424</v>
      </c>
      <c r="Z1" s="235" t="s">
        <v>425</v>
      </c>
      <c r="AA1" s="735" t="s">
        <v>426</v>
      </c>
      <c r="AB1" s="235" t="s">
        <v>427</v>
      </c>
      <c r="AC1" s="235" t="s">
        <v>428</v>
      </c>
      <c r="AD1" s="204" t="s">
        <v>429</v>
      </c>
      <c r="AE1" s="233" t="s">
        <v>430</v>
      </c>
      <c r="AF1" s="248" t="s">
        <v>431</v>
      </c>
      <c r="AG1" s="248" t="s">
        <v>432</v>
      </c>
      <c r="AH1" s="205"/>
      <c r="AI1" s="251" t="s">
        <v>433</v>
      </c>
      <c r="AJ1" s="251" t="s">
        <v>434</v>
      </c>
      <c r="AK1" s="252" t="s">
        <v>435</v>
      </c>
      <c r="AL1" s="253" t="s">
        <v>436</v>
      </c>
      <c r="AM1" s="253" t="s">
        <v>437</v>
      </c>
      <c r="AN1" s="253" t="s">
        <v>438</v>
      </c>
      <c r="AO1" s="253" t="s">
        <v>439</v>
      </c>
      <c r="AP1" s="253" t="s">
        <v>440</v>
      </c>
      <c r="AQ1" s="253" t="s">
        <v>441</v>
      </c>
      <c r="AR1" s="252" t="s">
        <v>442</v>
      </c>
      <c r="AS1" s="252" t="s">
        <v>443</v>
      </c>
      <c r="AT1" s="252" t="s">
        <v>444</v>
      </c>
      <c r="AU1" s="252" t="s">
        <v>445</v>
      </c>
      <c r="AV1" s="252" t="s">
        <v>446</v>
      </c>
      <c r="AW1" s="252" t="s">
        <v>447</v>
      </c>
      <c r="AX1" s="253" t="s">
        <v>448</v>
      </c>
      <c r="AY1" s="252" t="s">
        <v>449</v>
      </c>
      <c r="AZ1" s="252" t="s">
        <v>450</v>
      </c>
      <c r="BA1" s="252" t="s">
        <v>451</v>
      </c>
      <c r="BB1" s="252" t="s">
        <v>452</v>
      </c>
      <c r="BC1" s="252" t="s">
        <v>453</v>
      </c>
      <c r="BD1" s="252" t="s">
        <v>454</v>
      </c>
      <c r="BE1" s="253" t="s">
        <v>455</v>
      </c>
      <c r="BF1" s="253" t="s">
        <v>456</v>
      </c>
      <c r="BG1" s="253" t="s">
        <v>457</v>
      </c>
      <c r="BH1" s="253" t="s">
        <v>458</v>
      </c>
      <c r="BI1" s="253" t="s">
        <v>459</v>
      </c>
      <c r="BJ1" s="253" t="s">
        <v>460</v>
      </c>
      <c r="BK1" s="252" t="s">
        <v>461</v>
      </c>
      <c r="BL1" s="252" t="s">
        <v>462</v>
      </c>
      <c r="BM1" s="252" t="s">
        <v>463</v>
      </c>
      <c r="BN1" s="252" t="s">
        <v>464</v>
      </c>
      <c r="BO1" s="252" t="s">
        <v>465</v>
      </c>
      <c r="BP1" s="252" t="s">
        <v>466</v>
      </c>
      <c r="BQ1" s="253" t="s">
        <v>467</v>
      </c>
      <c r="BR1" s="252" t="s">
        <v>468</v>
      </c>
      <c r="BS1" s="252" t="s">
        <v>469</v>
      </c>
      <c r="BT1" s="252" t="s">
        <v>470</v>
      </c>
      <c r="BU1" s="252" t="s">
        <v>471</v>
      </c>
      <c r="BV1" s="253" t="s">
        <v>472</v>
      </c>
      <c r="BW1" s="252" t="s">
        <v>473</v>
      </c>
      <c r="BX1" s="252" t="s">
        <v>474</v>
      </c>
      <c r="BY1" s="252" t="s">
        <v>475</v>
      </c>
      <c r="BZ1" s="252" t="s">
        <v>476</v>
      </c>
      <c r="CA1" s="253" t="s">
        <v>477</v>
      </c>
      <c r="CB1" s="252" t="s">
        <v>478</v>
      </c>
      <c r="CC1" s="252" t="s">
        <v>479</v>
      </c>
      <c r="CD1" s="252" t="s">
        <v>480</v>
      </c>
      <c r="CE1" s="252" t="s">
        <v>481</v>
      </c>
      <c r="CF1" s="253" t="s">
        <v>482</v>
      </c>
      <c r="CG1" s="252" t="s">
        <v>483</v>
      </c>
      <c r="CH1" s="252" t="s">
        <v>484</v>
      </c>
      <c r="CI1" s="252" t="s">
        <v>485</v>
      </c>
      <c r="CJ1" s="252" t="s">
        <v>486</v>
      </c>
      <c r="CK1" s="253" t="s">
        <v>487</v>
      </c>
      <c r="CL1" s="252" t="s">
        <v>488</v>
      </c>
      <c r="CM1" s="252" t="s">
        <v>489</v>
      </c>
      <c r="CN1" s="252" t="s">
        <v>490</v>
      </c>
      <c r="CO1" s="252" t="s">
        <v>491</v>
      </c>
      <c r="CP1" s="253" t="s">
        <v>492</v>
      </c>
      <c r="CQ1" s="252" t="s">
        <v>493</v>
      </c>
      <c r="CR1" s="252" t="s">
        <v>494</v>
      </c>
      <c r="CS1" s="252" t="s">
        <v>495</v>
      </c>
      <c r="CT1" s="252" t="s">
        <v>496</v>
      </c>
      <c r="CU1" s="253" t="s">
        <v>497</v>
      </c>
      <c r="CV1" s="252" t="s">
        <v>498</v>
      </c>
      <c r="CW1" s="252" t="s">
        <v>499</v>
      </c>
      <c r="CX1" s="252" t="s">
        <v>500</v>
      </c>
      <c r="CY1" s="252" t="s">
        <v>501</v>
      </c>
      <c r="CZ1" s="254" t="s">
        <v>502</v>
      </c>
      <c r="DA1" s="254" t="s">
        <v>503</v>
      </c>
      <c r="DB1" s="253" t="s">
        <v>504</v>
      </c>
      <c r="DC1" s="252" t="s">
        <v>505</v>
      </c>
      <c r="DD1" s="252" t="s">
        <v>506</v>
      </c>
      <c r="DE1" s="252" t="s">
        <v>507</v>
      </c>
      <c r="DF1" s="252" t="s">
        <v>508</v>
      </c>
      <c r="DG1" s="254" t="s">
        <v>509</v>
      </c>
      <c r="DH1" s="254" t="s">
        <v>510</v>
      </c>
      <c r="DI1" s="253" t="s">
        <v>511</v>
      </c>
      <c r="DJ1" s="252" t="s">
        <v>512</v>
      </c>
      <c r="DK1" s="252" t="s">
        <v>513</v>
      </c>
      <c r="DL1" s="252" t="s">
        <v>514</v>
      </c>
      <c r="DM1" s="252" t="s">
        <v>515</v>
      </c>
      <c r="DN1" s="254" t="s">
        <v>516</v>
      </c>
      <c r="DO1" s="254" t="s">
        <v>517</v>
      </c>
      <c r="DP1" s="253" t="s">
        <v>518</v>
      </c>
      <c r="DQ1" s="252" t="s">
        <v>519</v>
      </c>
      <c r="DR1" s="252" t="s">
        <v>520</v>
      </c>
      <c r="DS1" s="252" t="s">
        <v>521</v>
      </c>
      <c r="DT1" s="252" t="s">
        <v>522</v>
      </c>
      <c r="DU1" s="254" t="s">
        <v>523</v>
      </c>
      <c r="DV1" s="254" t="s">
        <v>524</v>
      </c>
      <c r="DW1" s="253" t="s">
        <v>525</v>
      </c>
      <c r="DX1" s="252" t="s">
        <v>526</v>
      </c>
      <c r="DY1" s="252" t="s">
        <v>527</v>
      </c>
      <c r="DZ1" s="252" t="s">
        <v>528</v>
      </c>
      <c r="EA1" s="252" t="s">
        <v>529</v>
      </c>
      <c r="EB1" s="254" t="s">
        <v>530</v>
      </c>
      <c r="EC1" s="254" t="s">
        <v>531</v>
      </c>
      <c r="ED1" s="253" t="s">
        <v>532</v>
      </c>
      <c r="EE1" s="252" t="s">
        <v>533</v>
      </c>
      <c r="EF1" s="252" t="s">
        <v>534</v>
      </c>
      <c r="EG1" s="252" t="s">
        <v>535</v>
      </c>
      <c r="EH1" s="252" t="s">
        <v>536</v>
      </c>
      <c r="EI1" s="254" t="s">
        <v>537</v>
      </c>
      <c r="EJ1" s="254" t="s">
        <v>538</v>
      </c>
      <c r="EK1" s="254" t="s">
        <v>539</v>
      </c>
      <c r="EL1" s="255" t="s">
        <v>540</v>
      </c>
      <c r="EM1" s="255" t="s">
        <v>541</v>
      </c>
      <c r="EN1" s="255" t="s">
        <v>542</v>
      </c>
      <c r="EO1" s="255" t="s">
        <v>543</v>
      </c>
      <c r="EP1" s="255" t="s">
        <v>544</v>
      </c>
      <c r="EQ1" s="255" t="s">
        <v>545</v>
      </c>
      <c r="ER1" s="253" t="s">
        <v>546</v>
      </c>
      <c r="ES1" s="252" t="s">
        <v>547</v>
      </c>
      <c r="ET1" s="252" t="s">
        <v>548</v>
      </c>
      <c r="EU1" s="252" t="s">
        <v>549</v>
      </c>
      <c r="EV1" s="252" t="s">
        <v>550</v>
      </c>
      <c r="EW1" s="254" t="s">
        <v>551</v>
      </c>
      <c r="EX1" s="253" t="s">
        <v>552</v>
      </c>
      <c r="EY1" s="252" t="s">
        <v>553</v>
      </c>
      <c r="EZ1" s="252" t="s">
        <v>554</v>
      </c>
      <c r="FA1" s="252" t="s">
        <v>555</v>
      </c>
      <c r="FB1" s="252" t="s">
        <v>556</v>
      </c>
      <c r="FC1" s="254" t="s">
        <v>557</v>
      </c>
      <c r="FD1" s="253" t="s">
        <v>558</v>
      </c>
      <c r="FE1" s="252" t="s">
        <v>559</v>
      </c>
      <c r="FF1" s="252" t="s">
        <v>560</v>
      </c>
      <c r="FG1" s="252" t="s">
        <v>561</v>
      </c>
      <c r="FH1" s="252" t="s">
        <v>562</v>
      </c>
      <c r="FI1" s="254" t="s">
        <v>563</v>
      </c>
      <c r="FJ1" s="253" t="s">
        <v>564</v>
      </c>
      <c r="FK1" s="252" t="s">
        <v>565</v>
      </c>
      <c r="FL1" s="252" t="s">
        <v>566</v>
      </c>
      <c r="FM1" s="252" t="s">
        <v>567</v>
      </c>
      <c r="FN1" s="252" t="s">
        <v>568</v>
      </c>
      <c r="FO1" s="254" t="s">
        <v>569</v>
      </c>
      <c r="FP1" s="253" t="s">
        <v>570</v>
      </c>
      <c r="FQ1" s="252" t="s">
        <v>571</v>
      </c>
      <c r="FR1" s="252" t="s">
        <v>572</v>
      </c>
      <c r="FS1" s="252" t="s">
        <v>573</v>
      </c>
      <c r="FT1" s="252" t="s">
        <v>574</v>
      </c>
      <c r="FU1" s="254" t="s">
        <v>575</v>
      </c>
      <c r="FV1" s="253" t="s">
        <v>576</v>
      </c>
      <c r="FW1" s="252" t="s">
        <v>577</v>
      </c>
      <c r="FX1" s="252" t="s">
        <v>578</v>
      </c>
      <c r="FY1" s="252" t="s">
        <v>579</v>
      </c>
      <c r="FZ1" s="252" t="s">
        <v>580</v>
      </c>
      <c r="GA1" s="254" t="s">
        <v>581</v>
      </c>
      <c r="GB1" s="253" t="s">
        <v>582</v>
      </c>
      <c r="GC1" s="260" t="s">
        <v>583</v>
      </c>
      <c r="GD1" s="260" t="s">
        <v>584</v>
      </c>
      <c r="GE1" s="260" t="s">
        <v>585</v>
      </c>
      <c r="GF1" s="260" t="s">
        <v>586</v>
      </c>
      <c r="GG1" s="260" t="s">
        <v>587</v>
      </c>
      <c r="GH1" s="260" t="s">
        <v>588</v>
      </c>
      <c r="GI1" s="741" t="s">
        <v>589</v>
      </c>
      <c r="GJ1" s="741" t="s">
        <v>590</v>
      </c>
      <c r="GK1" s="257" t="s">
        <v>591</v>
      </c>
      <c r="GL1" s="258">
        <f>Check!GL1</f>
        <v>10</v>
      </c>
      <c r="GM1" s="257" t="s">
        <v>592</v>
      </c>
      <c r="GN1" s="258">
        <f>Check!GN1</f>
        <v>10</v>
      </c>
      <c r="GO1" s="261" t="s">
        <v>593</v>
      </c>
      <c r="GP1" s="261" t="s">
        <v>594</v>
      </c>
      <c r="GQ1" s="261" t="s">
        <v>595</v>
      </c>
      <c r="GR1" s="261" t="s">
        <v>596</v>
      </c>
      <c r="GS1" s="262" t="s">
        <v>597</v>
      </c>
      <c r="GT1" s="261" t="s">
        <v>598</v>
      </c>
      <c r="GU1" s="261" t="s">
        <v>599</v>
      </c>
      <c r="GV1" s="261" t="s">
        <v>600</v>
      </c>
      <c r="GW1" s="261" t="s">
        <v>601</v>
      </c>
      <c r="GX1" s="261" t="s">
        <v>602</v>
      </c>
      <c r="GY1" s="263" t="s">
        <v>603</v>
      </c>
      <c r="GZ1" s="263" t="s">
        <v>604</v>
      </c>
      <c r="HA1" s="264" t="s">
        <v>605</v>
      </c>
      <c r="HB1" s="264" t="s">
        <v>606</v>
      </c>
      <c r="HC1" s="264" t="s">
        <v>607</v>
      </c>
      <c r="HD1" s="264" t="s">
        <v>608</v>
      </c>
      <c r="HE1" s="264" t="s">
        <v>609</v>
      </c>
      <c r="HF1" s="264" t="s">
        <v>610</v>
      </c>
      <c r="HG1" s="264" t="s">
        <v>611</v>
      </c>
      <c r="HH1" s="264" t="s">
        <v>612</v>
      </c>
      <c r="HI1" s="264" t="s">
        <v>613</v>
      </c>
      <c r="HJ1" s="264" t="s">
        <v>614</v>
      </c>
      <c r="HK1" s="264" t="s">
        <v>615</v>
      </c>
    </row>
    <row r="2" ht="89.25" s="374" customFormat="1">
      <c r="A2" s="236">
        <v>1</v>
      </c>
      <c r="B2" s="236" t="s">
        <v>616</v>
      </c>
      <c r="C2" s="236" t="s">
        <v>159</v>
      </c>
      <c r="D2" s="740" t="s">
        <v>617</v>
      </c>
      <c r="E2" s="236" t="s">
        <v>618</v>
      </c>
      <c r="F2" s="236" t="s">
        <v>6</v>
      </c>
      <c r="G2" s="740" t="s">
        <v>619</v>
      </c>
      <c r="H2" s="740" t="s">
        <v>620</v>
      </c>
      <c r="I2" s="236">
        <v>3</v>
      </c>
      <c r="J2" s="236" t="s">
        <v>621</v>
      </c>
      <c r="K2" s="259" t="s">
        <v>622</v>
      </c>
      <c r="L2" s="259" t="s">
        <v>623</v>
      </c>
      <c r="M2" s="236" t="s">
        <v>624</v>
      </c>
      <c r="N2" s="236" t="s">
        <v>625</v>
      </c>
      <c r="O2" s="236" t="s">
        <v>626</v>
      </c>
      <c r="P2" s="236" t="s">
        <v>627</v>
      </c>
      <c r="Q2" s="236" t="s">
        <v>628</v>
      </c>
      <c r="R2" s="236" t="s">
        <v>629</v>
      </c>
      <c r="S2" s="236" t="s">
        <v>630</v>
      </c>
      <c r="T2" s="236" t="s">
        <v>631</v>
      </c>
      <c r="U2" s="236">
        <v>1</v>
      </c>
      <c r="V2" s="236" t="s">
        <v>632</v>
      </c>
      <c r="W2" s="236" t="b">
        <v>1</v>
      </c>
      <c r="X2" s="236" t="b">
        <v>0</v>
      </c>
      <c r="Y2" s="740">
        <v>0</v>
      </c>
      <c r="Z2" s="236" t="b">
        <v>0</v>
      </c>
      <c r="AA2" s="740">
        <v>0</v>
      </c>
      <c r="AB2" s="236" t="b">
        <v>0</v>
      </c>
      <c r="AC2" s="236" t="b">
        <v>0</v>
      </c>
      <c r="AD2" s="236">
        <v>0</v>
      </c>
      <c r="AE2" s="236">
        <v>0</v>
      </c>
      <c r="AF2" s="236" t="s">
        <v>50</v>
      </c>
      <c r="AG2" s="236" t="s">
        <v>633</v>
      </c>
      <c r="AH2" s="247"/>
      <c r="AI2" s="247" t="s">
        <v>634</v>
      </c>
      <c r="AJ2" s="247" t="s">
        <v>635</v>
      </c>
      <c r="AK2" s="236" t="s">
        <v>5</v>
      </c>
      <c r="AL2" s="247" t="s">
        <v>636</v>
      </c>
      <c r="AM2" s="247" t="s">
        <v>636</v>
      </c>
      <c r="AN2" s="247" t="s">
        <v>636</v>
      </c>
      <c r="AO2" s="247" t="s">
        <v>637</v>
      </c>
      <c r="AP2" s="247" t="s">
        <v>637</v>
      </c>
      <c r="AQ2" s="247" t="s">
        <v>637</v>
      </c>
      <c r="AR2" s="247" t="s">
        <v>160</v>
      </c>
      <c r="AS2" s="247" t="s">
        <v>160</v>
      </c>
      <c r="AT2" s="247" t="s">
        <v>160</v>
      </c>
      <c r="AU2" s="247" t="s">
        <v>637</v>
      </c>
      <c r="AV2" s="247" t="s">
        <v>637</v>
      </c>
      <c r="AW2" s="247" t="s">
        <v>637</v>
      </c>
      <c r="AX2" s="247" t="s">
        <v>638</v>
      </c>
      <c r="AY2" s="247" t="s">
        <v>617</v>
      </c>
      <c r="AZ2" s="247" t="s">
        <v>617</v>
      </c>
      <c r="BA2" s="247" t="s">
        <v>617</v>
      </c>
      <c r="BB2" s="247" t="s">
        <v>637</v>
      </c>
      <c r="BC2" s="247" t="s">
        <v>637</v>
      </c>
      <c r="BD2" s="247" t="s">
        <v>637</v>
      </c>
      <c r="BE2" s="247" t="s">
        <v>102</v>
      </c>
      <c r="BF2" s="247" t="s">
        <v>276</v>
      </c>
      <c r="BG2" s="247" t="s">
        <v>639</v>
      </c>
      <c r="BH2" s="247" t="s">
        <v>637</v>
      </c>
      <c r="BI2" s="247" t="s">
        <v>637</v>
      </c>
      <c r="BJ2" s="247" t="s">
        <v>637</v>
      </c>
      <c r="BK2" s="247">
        <v>3</v>
      </c>
      <c r="BL2" s="247">
        <v>3</v>
      </c>
      <c r="BM2" s="247">
        <v>3</v>
      </c>
      <c r="BN2" s="247">
        <v>0</v>
      </c>
      <c r="BO2" s="247">
        <v>0</v>
      </c>
      <c r="BP2" s="247">
        <v>0</v>
      </c>
      <c r="BQ2" s="247" t="s">
        <v>108</v>
      </c>
      <c r="BR2" s="247">
        <v>4</v>
      </c>
      <c r="BS2" s="247">
        <v>4</v>
      </c>
      <c r="BT2" s="247">
        <v>4</v>
      </c>
      <c r="BU2" s="247">
        <v>0</v>
      </c>
      <c r="BV2" s="247" t="s">
        <v>109</v>
      </c>
      <c r="BW2" s="247">
        <v>2</v>
      </c>
      <c r="BX2" s="247">
        <v>2</v>
      </c>
      <c r="BY2" s="247">
        <v>2</v>
      </c>
      <c r="BZ2" s="247">
        <v>0</v>
      </c>
      <c r="CA2" s="247" t="s">
        <v>640</v>
      </c>
      <c r="CB2" s="247">
        <v>1</v>
      </c>
      <c r="CC2" s="247">
        <v>1</v>
      </c>
      <c r="CD2" s="247">
        <v>1</v>
      </c>
      <c r="CE2" s="247">
        <v>0</v>
      </c>
      <c r="CF2" s="247" t="s">
        <v>637</v>
      </c>
      <c r="CG2" s="247">
        <v>0</v>
      </c>
      <c r="CH2" s="247">
        <v>0</v>
      </c>
      <c r="CI2" s="247">
        <v>0</v>
      </c>
      <c r="CJ2" s="247">
        <v>0</v>
      </c>
      <c r="CK2" s="247" t="s">
        <v>637</v>
      </c>
      <c r="CL2" s="247">
        <v>0</v>
      </c>
      <c r="CM2" s="247">
        <v>0</v>
      </c>
      <c r="CN2" s="247">
        <v>0</v>
      </c>
      <c r="CO2" s="247">
        <v>0</v>
      </c>
      <c r="CP2" s="247" t="s">
        <v>637</v>
      </c>
      <c r="CQ2" s="247">
        <v>0</v>
      </c>
      <c r="CR2" s="247">
        <v>0</v>
      </c>
      <c r="CS2" s="247">
        <v>0</v>
      </c>
      <c r="CT2" s="247">
        <v>0</v>
      </c>
      <c r="CU2" s="247" t="s">
        <v>641</v>
      </c>
      <c r="CV2" s="247">
        <v>20</v>
      </c>
      <c r="CW2" s="247">
        <v>20</v>
      </c>
      <c r="CX2" s="247">
        <v>20</v>
      </c>
      <c r="CY2" s="247">
        <v>0</v>
      </c>
      <c r="CZ2" s="247" t="s">
        <v>641</v>
      </c>
      <c r="DA2" s="247">
        <v>20</v>
      </c>
      <c r="DB2" s="247" t="s">
        <v>642</v>
      </c>
      <c r="DC2" s="247">
        <v>60</v>
      </c>
      <c r="DD2" s="247">
        <v>60</v>
      </c>
      <c r="DE2" s="247">
        <v>60</v>
      </c>
      <c r="DF2" s="247">
        <v>0</v>
      </c>
      <c r="DG2" s="247" t="s">
        <v>642</v>
      </c>
      <c r="DH2" s="247">
        <v>60</v>
      </c>
      <c r="DI2" s="247" t="s">
        <v>643</v>
      </c>
      <c r="DJ2" s="247">
        <v>160</v>
      </c>
      <c r="DK2" s="247">
        <v>160</v>
      </c>
      <c r="DL2" s="247">
        <v>160</v>
      </c>
      <c r="DM2" s="247">
        <v>0</v>
      </c>
      <c r="DN2" s="247" t="s">
        <v>643</v>
      </c>
      <c r="DO2" s="247">
        <v>160</v>
      </c>
      <c r="DP2" s="247" t="s">
        <v>637</v>
      </c>
      <c r="DQ2" s="247">
        <v>0</v>
      </c>
      <c r="DR2" s="247">
        <v>0</v>
      </c>
      <c r="DS2" s="247">
        <v>0</v>
      </c>
      <c r="DT2" s="247">
        <v>0</v>
      </c>
      <c r="DU2" s="247" t="s">
        <v>637</v>
      </c>
      <c r="DV2" s="247">
        <v>0</v>
      </c>
      <c r="DW2" s="247" t="s">
        <v>637</v>
      </c>
      <c r="DX2" s="247">
        <v>0</v>
      </c>
      <c r="DY2" s="247">
        <v>0</v>
      </c>
      <c r="DZ2" s="247">
        <v>0</v>
      </c>
      <c r="EA2" s="247">
        <v>0</v>
      </c>
      <c r="EB2" s="247" t="s">
        <v>637</v>
      </c>
      <c r="EC2" s="247">
        <v>0</v>
      </c>
      <c r="ED2" s="247" t="s">
        <v>637</v>
      </c>
      <c r="EE2" s="247">
        <v>0</v>
      </c>
      <c r="EF2" s="247">
        <v>0</v>
      </c>
      <c r="EG2" s="247">
        <v>0</v>
      </c>
      <c r="EH2" s="247">
        <v>0</v>
      </c>
      <c r="EI2" s="247" t="s">
        <v>637</v>
      </c>
      <c r="EJ2" s="247">
        <v>0</v>
      </c>
      <c r="EK2" s="247">
        <v>160</v>
      </c>
      <c r="EL2" s="247" t="s">
        <v>194</v>
      </c>
      <c r="EM2" s="247" t="s">
        <v>205</v>
      </c>
      <c r="EN2" s="247" t="s">
        <v>200</v>
      </c>
      <c r="EO2" s="247" t="s">
        <v>637</v>
      </c>
      <c r="EP2" s="247" t="s">
        <v>637</v>
      </c>
      <c r="EQ2" s="247" t="s">
        <v>637</v>
      </c>
      <c r="ER2" s="247" t="s">
        <v>644</v>
      </c>
      <c r="ES2" s="247">
        <v>36</v>
      </c>
      <c r="ET2" s="247">
        <v>36</v>
      </c>
      <c r="EU2" s="247">
        <v>36</v>
      </c>
      <c r="EV2" s="247">
        <v>0</v>
      </c>
      <c r="EW2" s="247" t="s">
        <v>645</v>
      </c>
      <c r="EX2" s="247" t="s">
        <v>644</v>
      </c>
      <c r="EY2" s="247">
        <v>36</v>
      </c>
      <c r="EZ2" s="247">
        <v>36</v>
      </c>
      <c r="FA2" s="247">
        <v>36</v>
      </c>
      <c r="FB2" s="247">
        <v>0</v>
      </c>
      <c r="FC2" s="247" t="s">
        <v>645</v>
      </c>
      <c r="FD2" s="247" t="s">
        <v>644</v>
      </c>
      <c r="FE2" s="247">
        <v>36</v>
      </c>
      <c r="FF2" s="247">
        <v>36</v>
      </c>
      <c r="FG2" s="247">
        <v>36</v>
      </c>
      <c r="FH2" s="247">
        <v>0</v>
      </c>
      <c r="FI2" s="247" t="s">
        <v>645</v>
      </c>
      <c r="FJ2" s="247" t="s">
        <v>637</v>
      </c>
      <c r="FK2" s="247">
        <v>0</v>
      </c>
      <c r="FL2" s="247">
        <v>0</v>
      </c>
      <c r="FM2" s="247">
        <v>0</v>
      </c>
      <c r="FN2" s="247">
        <v>0</v>
      </c>
      <c r="FO2" s="247" t="s">
        <v>637</v>
      </c>
      <c r="FP2" s="247" t="s">
        <v>637</v>
      </c>
      <c r="FQ2" s="247">
        <v>0</v>
      </c>
      <c r="FR2" s="247">
        <v>0</v>
      </c>
      <c r="FS2" s="247">
        <v>0</v>
      </c>
      <c r="FT2" s="247">
        <v>0</v>
      </c>
      <c r="FU2" s="247" t="s">
        <v>637</v>
      </c>
      <c r="FV2" s="247" t="s">
        <v>637</v>
      </c>
      <c r="FW2" s="247">
        <v>0</v>
      </c>
      <c r="FX2" s="247">
        <v>0</v>
      </c>
      <c r="FY2" s="247">
        <v>0</v>
      </c>
      <c r="FZ2" s="247">
        <v>0</v>
      </c>
      <c r="GA2" s="247" t="s">
        <v>637</v>
      </c>
      <c r="GB2" s="247" t="s">
        <v>51</v>
      </c>
      <c r="GC2" s="247">
        <v>36</v>
      </c>
      <c r="GD2" s="247">
        <v>36</v>
      </c>
      <c r="GE2" s="247">
        <v>36</v>
      </c>
      <c r="GF2" s="247">
        <v>0</v>
      </c>
      <c r="GG2" s="247">
        <v>0</v>
      </c>
      <c r="GH2" s="247">
        <v>0</v>
      </c>
      <c r="GI2" s="740">
        <v>36</v>
      </c>
      <c r="GJ2" s="740">
        <v>36</v>
      </c>
      <c r="GK2" s="579">
        <f>$GL$1</f>
        <v>10</v>
      </c>
      <c r="GL2" s="247"/>
      <c r="GM2" s="579">
        <f>$GN$1</f>
        <v>10</v>
      </c>
      <c r="GN2" s="247"/>
      <c r="GO2" s="247"/>
      <c r="GP2" s="247"/>
      <c r="GQ2" s="584" t="str">
        <f>IF(LEN(GR2)=4,"B0"&amp;GR2&amp;GS2&amp;GT2,IF(LEN(GR2)=3,"B00"&amp;GR2&amp;GS2&amp;GT2,IF(LEN(GR2)=2,"B000"&amp;GR2&amp;GS2&amp;GT2,IF(LEN(GR2)=1,"B0000"&amp;GR2&amp;GS2&amp;GT2,"B"&amp;GR2&amp;GS2&amp;GT2))))</f>
        <v>B00001030319TG05</v>
      </c>
      <c r="GR2" s="266">
        <v>1</v>
      </c>
      <c r="GS2" s="580" t="str">
        <f>TEXT(GW2,"ddmmyy")</f>
        <v>030319</v>
      </c>
      <c r="GT2" s="265" t="s">
        <v>646</v>
      </c>
      <c r="GU2" s="580" t="str">
        <f ref="GU2:GV2" t="shared" si="1">TEXT(GW2,"dd/mm/yyyy")</f>
        <v>03/03/2019</v>
      </c>
      <c r="GV2" s="580" t="str">
        <f t="shared" si="1"/>
        <v>03/03/2024</v>
      </c>
      <c r="GW2" s="268" t="s">
        <v>647</v>
      </c>
      <c r="GX2" s="580">
        <f>DATE(YEAR(GW2) + 5,MONTH(GW2),DAY(GW2))</f>
        <v>45354</v>
      </c>
      <c r="GY2" s="580" t="b">
        <f>RIGHT(E2,LEN(F2)+1)=(F2&amp;".")</f>
        <v>1</v>
      </c>
      <c r="GZ2" s="580" t="b">
        <f> IF((K2-L2)&gt;120,FALSE,TRUE)</f>
        <v>1</v>
      </c>
      <c r="HA2" s="581">
        <f>IFERROR(MATCH("",AL2:AQ2,0)-1,6)</f>
        <v>3</v>
      </c>
      <c r="HB2" s="582" t="str">
        <f>HA2&amp;"-"&amp;HH2</f>
        <v>3-3</v>
      </c>
      <c r="HC2" s="582" t="str">
        <f>IF(AM2&lt;&gt;"",IF(AM2=AL2,"CHUNG","KHAC"),"")</f>
        <v>CHUNG</v>
      </c>
      <c r="HD2" s="582" t="str">
        <f>IF(AN2&lt;&gt;"",IF(AN2=AL2,"CHUNG","KHAC"),"")</f>
        <v>CHUNG</v>
      </c>
      <c r="HE2" s="582" t="str">
        <f>IF(AO2&lt;&gt;"",IF(AO2=AL2,"CHUNG","KHAC"),"")</f>
      </c>
      <c r="HF2" s="582" t="str">
        <f>IF(AP2&lt;&gt;"",IF(AP2=AL2,"CHUNG","KHAC"),"")</f>
      </c>
      <c r="HG2" s="582" t="str">
        <f>IF(AQ2&lt;&gt;"",IF(AQ2=AL2,"CHUNG","KHAC"),"")</f>
      </c>
      <c r="HH2" s="582">
        <f>IF(COUNTIF(HC2:HG2,"CHUNG")=0,1,COUNTIF(HC2:HG2,"CHUNG")+1)</f>
        <v>3</v>
      </c>
      <c r="HI2" s="583">
        <f>HA2-HH2</f>
        <v>0</v>
      </c>
      <c r="HJ2" s="583" t="str">
        <f>IF(HI2=0,"No","Yes")</f>
        <v>No</v>
      </c>
      <c r="HK2" s="583" t="str">
        <f>IF(HI2=0,"No","Yes")</f>
        <v>No</v>
      </c>
    </row>
  </sheetData>
  <sheetProtection sheet="1" objects="1" scenarios="1" formatCells="0" formatColumns="0" formatRows="0" sort="0" autoFilter="0" pivotTables="0"/>
  <autoFilter ref="A1:AG2"/>
  <conditionalFormatting sqref="W3:X1048576">
    <cfRule type="containsText" dxfId="10" priority="134" operator="containsText" text="no">
      <formula>NOT(ISERROR(SEARCH("no",W3)))</formula>
    </cfRule>
  </conditionalFormatting>
  <conditionalFormatting sqref="AF1:CZ1 A1:V1 HL1:XFD2 A3:XFD1048576 AD1 DB1:DG1 DI1:DN1 DP1:DU1 DW1:EB1 ED1:EI1 EL1:GJ1 A2">
    <cfRule type="containsErrors" dxfId="10" priority="132">
      <formula>ISERROR(A1)</formula>
    </cfRule>
  </conditionalFormatting>
  <conditionalFormatting sqref="GY1:GZ1">
    <cfRule type="cellIs" dxfId="10" priority="131" stopIfTrue="1" operator="notEqual">
      <formula>TRUE</formula>
    </cfRule>
  </conditionalFormatting>
  <conditionalFormatting sqref="GO2:GP2">
    <cfRule type="containsErrors" dxfId="10" priority="130">
      <formula>ISERROR(GO2)</formula>
    </cfRule>
  </conditionalFormatting>
  <conditionalFormatting sqref="X1 AC1">
    <cfRule type="containsText" dxfId="10" priority="48" operator="containsText" text="no">
      <formula>NOT(ISERROR(SEARCH("no",X1)))</formula>
    </cfRule>
  </conditionalFormatting>
  <conditionalFormatting sqref="DA1">
    <cfRule type="containsErrors" dxfId="10" priority="40">
      <formula>ISERROR(DA1)</formula>
    </cfRule>
  </conditionalFormatting>
  <conditionalFormatting sqref="DH1">
    <cfRule type="containsErrors" dxfId="10" priority="39">
      <formula>ISERROR(DH1)</formula>
    </cfRule>
  </conditionalFormatting>
  <conditionalFormatting sqref="DO1">
    <cfRule type="containsErrors" dxfId="10" priority="38">
      <formula>ISERROR(DO1)</formula>
    </cfRule>
  </conditionalFormatting>
  <conditionalFormatting sqref="DV1">
    <cfRule type="containsErrors" dxfId="10" priority="37">
      <formula>ISERROR(DV1)</formula>
    </cfRule>
  </conditionalFormatting>
  <conditionalFormatting sqref="EC1">
    <cfRule type="containsErrors" dxfId="10" priority="36">
      <formula>ISERROR(EC1)</formula>
    </cfRule>
  </conditionalFormatting>
  <conditionalFormatting sqref="EJ1">
    <cfRule type="containsErrors" dxfId="10" priority="35">
      <formula>ISERROR(EJ1)</formula>
    </cfRule>
  </conditionalFormatting>
  <conditionalFormatting sqref="EK1">
    <cfRule type="containsErrors" dxfId="10" priority="34">
      <formula>ISERROR(EK1)</formula>
    </cfRule>
  </conditionalFormatting>
  <conditionalFormatting sqref="B2:GN2">
    <cfRule type="containsErrors" dxfId="10" priority="19">
      <formula>ISERROR(B2)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RowHeight="15"/>
  <cols>
    <col min="1" max="1" width="5.28515625" customWidth="1" style="376"/>
    <col min="2" max="2" width="7.140625" customWidth="1" style="376"/>
    <col min="3" max="3" width="60.140625" customWidth="1" style="209"/>
    <col min="4" max="4" width="18.42578125" customWidth="1" style="209"/>
    <col min="5" max="16384" width="9.140625" customWidth="1" style="209"/>
  </cols>
  <sheetData>
    <row r="1" s="376" customFormat="1">
      <c r="A1" s="272" t="s">
        <v>395</v>
      </c>
      <c r="B1" s="272" t="s">
        <v>396</v>
      </c>
      <c r="C1" s="272" t="s">
        <v>397</v>
      </c>
      <c r="D1" s="272" t="s">
        <v>398</v>
      </c>
    </row>
    <row r="2">
      <c r="A2" s="273">
        <v>1</v>
      </c>
      <c r="B2" s="273">
        <v>1</v>
      </c>
      <c r="C2" s="592" t="s">
        <v>399</v>
      </c>
      <c r="D2" s="592"/>
    </row>
    <row r="3">
      <c r="A3" s="273">
        <v>2</v>
      </c>
      <c r="B3" s="273">
        <v>2</v>
      </c>
      <c r="C3" s="592" t="s">
        <v>400</v>
      </c>
      <c r="D3" s="592"/>
    </row>
    <row r="4">
      <c r="A4" s="273">
        <v>3</v>
      </c>
      <c r="B4" s="273">
        <v>3</v>
      </c>
      <c r="C4" s="592" t="s">
        <v>401</v>
      </c>
      <c r="D4" s="592"/>
    </row>
  </sheetData>
  <pageMargins left="0.7" right="0.7" top="0.75" bottom="0.75" header="0.3" footer="0.3"/>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7"/>
  <sheetViews>
    <sheetView topLeftCell="B1" workbookViewId="0">
      <selection activeCell="A6" sqref="A6"/>
    </sheetView>
  </sheetViews>
  <sheetFormatPr defaultRowHeight="15"/>
  <cols>
    <col min="1" max="1" width="13.140625" customWidth="1" style="209"/>
    <col min="2" max="2" width="19.7109375" customWidth="1" style="209"/>
    <col min="3" max="5" width="11.28515625" customWidth="1" style="209"/>
    <col min="6" max="6" bestFit="1" width="13.42578125" customWidth="1" style="209"/>
    <col min="7" max="7" width="5.85546875" customWidth="1" style="209"/>
    <col min="8" max="8" width="5" customWidth="1" style="209"/>
    <col min="9" max="9" width="6.42578125" customWidth="1" style="209"/>
    <col min="10" max="10" width="5.42578125" customWidth="1" style="209"/>
    <col min="11" max="11" width="7.28515625" customWidth="1" style="209"/>
    <col min="12" max="12" bestFit="1" width="11.28515625" customWidth="1" style="209"/>
    <col min="13" max="16384" width="9.140625" customWidth="1" style="209"/>
  </cols>
  <sheetData>
    <row r="1">
      <c r="A1" s="399" t="s">
        <v>154</v>
      </c>
      <c r="B1" s="209" t="s">
        <v>384</v>
      </c>
    </row>
    <row r="3">
      <c r="A3" s="399" t="s">
        <v>391</v>
      </c>
      <c r="B3" s="399" t="s">
        <v>392</v>
      </c>
    </row>
    <row r="4">
      <c r="A4" s="399" t="s">
        <v>393</v>
      </c>
      <c r="B4" s="209" t="s">
        <v>205</v>
      </c>
      <c r="C4" s="209" t="s">
        <v>394</v>
      </c>
    </row>
    <row r="5">
      <c r="A5" s="400">
        <v>1</v>
      </c>
      <c r="B5" s="401">
        <v>1</v>
      </c>
      <c r="C5" s="401">
        <v>1</v>
      </c>
    </row>
    <row r="6">
      <c r="A6" s="400" t="s">
        <v>385</v>
      </c>
      <c r="B6" s="401">
        <v>1</v>
      </c>
      <c r="C6" s="401">
        <v>1</v>
      </c>
    </row>
    <row r="7">
      <c r="A7" s="400" t="s">
        <v>394</v>
      </c>
      <c r="B7" s="401">
        <v>2</v>
      </c>
      <c r="C7" s="401">
        <v>2</v>
      </c>
    </row>
  </sheetData>
  <pageMargins left="0.7" right="0.7" top="0.75" bottom="0.75" header="0.3" footer="0.3"/>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J679"/>
  <sheetViews>
    <sheetView zoomScale="110" zoomScaleNormal="110" workbookViewId="0">
      <selection activeCell="C403" sqref="C403"/>
    </sheetView>
  </sheetViews>
  <sheetFormatPr defaultColWidth="9.140625" defaultRowHeight="10.5"/>
  <cols>
    <col min="1" max="1" width="35.28515625" customWidth="1" style="568"/>
    <col min="2" max="2" width="9" customWidth="1" style="409"/>
    <col min="3" max="3" width="17" customWidth="1" style="410"/>
    <col min="4" max="4" width="9.140625" customWidth="1" style="410"/>
    <col min="5" max="5" width="5.42578125" customWidth="1" style="410"/>
    <col min="6" max="6" width="9.5703125" customWidth="1" style="569"/>
    <col min="7" max="7" width="7.7109375" customWidth="1" style="569"/>
    <col min="8" max="8" width="9.85546875" customWidth="1" style="570"/>
    <col min="9" max="9" width="7.7109375" customWidth="1" style="569"/>
    <col min="10" max="10" width="7.7109375" customWidth="1" style="570"/>
    <col min="11" max="15" width="7.7109375" customWidth="1" style="569"/>
    <col min="16" max="16" hidden="1" width="6" customWidth="1" style="405"/>
    <col min="17" max="22" hidden="1" width="6.28515625" customWidth="1" style="405"/>
    <col min="23" max="23" hidden="1" width="7" customWidth="1" style="405"/>
    <col min="24" max="24" width="2.28515625" customWidth="1" style="521"/>
    <col min="25" max="25" width="58.140625" customWidth="1" style="409"/>
    <col min="26" max="28" hidden="1" width="2.85546875" customWidth="1" style="405"/>
    <col min="29" max="29" width="2.42578125" customWidth="1" style="406"/>
    <col min="30" max="30" bestFit="1" width="42" customWidth="1" style="409"/>
    <col min="31" max="31" width="14.5703125" customWidth="1" style="410"/>
    <col min="32" max="32" width="9" customWidth="1" style="522"/>
    <col min="33" max="33" width="6.85546875" customWidth="1" style="522"/>
    <col min="34" max="34" width="6.85546875" customWidth="1" style="523"/>
    <col min="35" max="35" width="2.85546875" customWidth="1" style="409"/>
    <col min="36" max="36" bestFit="1" width="42" customWidth="1" style="409"/>
    <col min="37" max="37" width="2.5703125" customWidth="1" style="406"/>
    <col min="38" max="38" width="10.140625" customWidth="1" style="409"/>
    <col min="39" max="39" width="8.7109375" customWidth="1" style="524"/>
    <col min="40" max="40" width="9.7109375" customWidth="1" style="524"/>
    <col min="41" max="41" width="9" customWidth="1" style="409"/>
    <col min="42" max="42" width="7" customWidth="1" style="409"/>
    <col min="43" max="43" hidden="1" width="2.85546875" customWidth="1" style="409"/>
    <col min="44" max="44" hidden="1" width="2.7109375" customWidth="1" style="409"/>
    <col min="45" max="45" width="2.7109375" customWidth="1" style="406"/>
    <col min="46" max="46" width="52.42578125" customWidth="1" style="409"/>
    <col min="47" max="47" width="13.7109375" customWidth="1" style="410"/>
    <col min="48" max="48" bestFit="1" width="32.7109375" customWidth="1" style="410"/>
    <col min="49" max="49" width="52.5703125" customWidth="1" style="409"/>
    <col min="50" max="50" width="2.7109375" customWidth="1" style="406"/>
    <col min="51" max="51" hidden="1" width="2.7109375" customWidth="1" style="406"/>
    <col min="52" max="52" width="7.7109375" customWidth="1" style="410"/>
    <col min="53" max="53" width="2.5703125" customWidth="1" style="406"/>
    <col min="54" max="54" bestFit="1" width="16" customWidth="1" style="409"/>
    <col min="55" max="55" width="13.5703125" customWidth="1" style="480"/>
    <col min="56" max="56" width="2.5703125" customWidth="1" style="477"/>
    <col min="57" max="57" width="18.140625" customWidth="1" style="409"/>
    <col min="58" max="58" width="18.28515625" customWidth="1" style="409"/>
    <col min="59" max="61" width="8.42578125" customWidth="1" style="409"/>
    <col min="62" max="16384" width="9.140625" customWidth="1" style="409"/>
  </cols>
  <sheetData>
    <row r="1">
      <c r="A1" s="595" t="s">
        <v>145</v>
      </c>
      <c r="B1" s="596"/>
      <c r="C1" s="596"/>
      <c r="D1" s="596"/>
      <c r="E1" s="596"/>
      <c r="F1" s="596"/>
      <c r="G1" s="596"/>
      <c r="H1" s="596"/>
      <c r="I1" s="596"/>
      <c r="J1" s="596"/>
      <c r="K1" s="596"/>
      <c r="L1" s="596"/>
      <c r="M1" s="596"/>
      <c r="N1" s="596"/>
      <c r="O1" s="596"/>
      <c r="P1" s="587"/>
      <c r="Q1" s="587"/>
      <c r="R1" s="587"/>
      <c r="S1" s="587"/>
      <c r="T1" s="587"/>
      <c r="U1" s="587"/>
      <c r="V1" s="587"/>
      <c r="W1" s="402"/>
      <c r="X1" s="403"/>
      <c r="Y1" s="586" t="s">
        <v>146</v>
      </c>
      <c r="Z1" s="404"/>
      <c r="AD1" s="597" t="s">
        <v>147</v>
      </c>
      <c r="AE1" s="598"/>
      <c r="AF1" s="598"/>
      <c r="AG1" s="598"/>
      <c r="AH1" s="598"/>
      <c r="AI1" s="599"/>
      <c r="AJ1" s="407" t="s">
        <v>148</v>
      </c>
      <c r="AK1" s="408"/>
      <c r="AL1" s="597" t="s">
        <v>149</v>
      </c>
      <c r="AM1" s="598"/>
      <c r="AN1" s="598"/>
      <c r="AO1" s="599"/>
      <c r="AT1" s="596" t="s">
        <v>150</v>
      </c>
      <c r="AU1" s="596"/>
      <c r="AV1" s="596"/>
      <c r="AW1" s="586" t="s">
        <v>151</v>
      </c>
      <c r="BB1" s="596" t="s">
        <v>152</v>
      </c>
      <c r="BC1" s="596"/>
      <c r="BD1" s="411"/>
      <c r="BE1" s="594" t="s">
        <v>153</v>
      </c>
      <c r="BF1" s="594"/>
    </row>
    <row r="2" ht="52.5">
      <c r="A2" s="412" t="s">
        <v>154</v>
      </c>
      <c r="B2" s="412" t="s">
        <v>155</v>
      </c>
      <c r="C2" s="412" t="s">
        <v>156</v>
      </c>
      <c r="D2" s="412" t="s">
        <v>157</v>
      </c>
      <c r="E2" s="412" t="s">
        <v>158</v>
      </c>
      <c r="F2" s="413" t="s">
        <v>159</v>
      </c>
      <c r="G2" s="413"/>
      <c r="H2" s="414" t="s">
        <v>160</v>
      </c>
      <c r="I2" s="415"/>
      <c r="J2" s="416" t="s">
        <v>161</v>
      </c>
      <c r="K2" s="417"/>
      <c r="L2" s="418" t="s">
        <v>162</v>
      </c>
      <c r="M2" s="418"/>
      <c r="N2" s="419" t="s">
        <v>163</v>
      </c>
      <c r="O2" s="419"/>
      <c r="P2" s="420"/>
      <c r="Q2" s="420"/>
      <c r="R2" s="379"/>
      <c r="S2" s="379"/>
      <c r="T2" s="379"/>
      <c r="U2" s="379"/>
      <c r="V2" s="379"/>
      <c r="W2" s="379"/>
      <c r="X2" s="421"/>
      <c r="Y2" s="412" t="s">
        <v>164</v>
      </c>
      <c r="Z2" s="422"/>
      <c r="AA2" s="379"/>
      <c r="AB2" s="379"/>
      <c r="AC2" s="413"/>
      <c r="AD2" s="423" t="s">
        <v>165</v>
      </c>
      <c r="AE2" s="424" t="s">
        <v>166</v>
      </c>
      <c r="AF2" s="425" t="s">
        <v>167</v>
      </c>
      <c r="AG2" s="425" t="s">
        <v>168</v>
      </c>
      <c r="AH2" s="386" t="s">
        <v>169</v>
      </c>
      <c r="AI2" s="423"/>
      <c r="AJ2" s="423" t="s">
        <v>170</v>
      </c>
      <c r="AK2" s="413"/>
      <c r="AL2" s="426" t="s">
        <v>171</v>
      </c>
      <c r="AM2" s="427" t="s">
        <v>172</v>
      </c>
      <c r="AN2" s="426" t="s">
        <v>173</v>
      </c>
      <c r="AO2" s="427" t="s">
        <v>174</v>
      </c>
      <c r="AP2" s="426" t="s">
        <v>175</v>
      </c>
      <c r="AQ2" s="427"/>
      <c r="AR2" s="426"/>
      <c r="AS2" s="428"/>
      <c r="AT2" s="429" t="s">
        <v>176</v>
      </c>
      <c r="AU2" s="429" t="s">
        <v>177</v>
      </c>
      <c r="AV2" s="429" t="s">
        <v>178</v>
      </c>
      <c r="AW2" s="430" t="s">
        <v>179</v>
      </c>
      <c r="AX2" s="428"/>
      <c r="AY2" s="428"/>
      <c r="AZ2" s="426" t="s">
        <v>180</v>
      </c>
      <c r="BB2" s="417" t="s">
        <v>181</v>
      </c>
      <c r="BC2" s="431" t="s">
        <v>182</v>
      </c>
      <c r="BD2" s="432"/>
      <c r="BE2" s="433" t="s">
        <v>183</v>
      </c>
      <c r="BF2" s="433" t="s">
        <v>184</v>
      </c>
    </row>
    <row r="3" s="439" customFormat="1">
      <c r="A3" s="380"/>
      <c r="B3" s="434" t="s">
        <v>185</v>
      </c>
      <c r="C3" s="434" t="s">
        <v>186</v>
      </c>
      <c r="D3" s="434"/>
      <c r="E3" s="434" t="s">
        <v>187</v>
      </c>
      <c r="F3" s="434" t="s">
        <v>185</v>
      </c>
      <c r="G3" s="434" t="s">
        <v>188</v>
      </c>
      <c r="H3" s="435" t="s">
        <v>185</v>
      </c>
      <c r="I3" s="434" t="s">
        <v>188</v>
      </c>
      <c r="J3" s="435" t="s">
        <v>185</v>
      </c>
      <c r="K3" s="434" t="s">
        <v>188</v>
      </c>
      <c r="L3" s="434" t="s">
        <v>185</v>
      </c>
      <c r="M3" s="434" t="s">
        <v>188</v>
      </c>
      <c r="N3" s="434" t="s">
        <v>185</v>
      </c>
      <c r="O3" s="434" t="s">
        <v>188</v>
      </c>
      <c r="P3" s="434"/>
      <c r="Q3" s="434"/>
      <c r="R3" s="434"/>
      <c r="S3" s="434"/>
      <c r="T3" s="434"/>
      <c r="U3" s="434"/>
      <c r="V3" s="434"/>
      <c r="W3" s="434"/>
      <c r="X3" s="436"/>
      <c r="Y3" s="434"/>
      <c r="Z3" s="434"/>
      <c r="AA3" s="434"/>
      <c r="AB3" s="434"/>
      <c r="AC3" s="434"/>
      <c r="AD3" s="434"/>
      <c r="AE3" s="437" t="s">
        <v>186</v>
      </c>
      <c r="AF3" s="435" t="s">
        <v>189</v>
      </c>
      <c r="AG3" s="435" t="s">
        <v>187</v>
      </c>
      <c r="AH3" s="438" t="s">
        <v>190</v>
      </c>
      <c r="AI3" s="434"/>
      <c r="AJ3" s="434"/>
      <c r="AK3" s="434"/>
      <c r="AL3" s="434" t="s">
        <v>186</v>
      </c>
      <c r="AM3" s="435" t="s">
        <v>191</v>
      </c>
      <c r="AN3" s="434" t="s">
        <v>191</v>
      </c>
      <c r="AO3" s="435" t="s">
        <v>187</v>
      </c>
      <c r="AP3" s="434"/>
      <c r="AQ3" s="435"/>
      <c r="AR3" s="434"/>
      <c r="AS3" s="434"/>
      <c r="AT3" s="434"/>
      <c r="AU3" s="434"/>
      <c r="AV3" s="434"/>
      <c r="AW3" s="437"/>
      <c r="AX3" s="434"/>
      <c r="AY3" s="434"/>
      <c r="AZ3" s="434"/>
      <c r="BB3" s="440"/>
      <c r="BC3" s="441"/>
      <c r="BD3" s="442"/>
      <c r="BE3" s="440"/>
      <c r="BF3" s="440"/>
      <c r="BH3" s="443"/>
    </row>
    <row r="4">
      <c r="A4" s="380" t="s">
        <v>192</v>
      </c>
      <c r="B4" s="382" t="s">
        <v>193</v>
      </c>
      <c r="C4" s="381" t="s">
        <v>194</v>
      </c>
      <c r="D4" s="384">
        <v>2</v>
      </c>
      <c r="E4" s="382"/>
      <c r="F4" s="444">
        <v>60</v>
      </c>
      <c r="G4" s="382">
        <f>IF(F4&gt;0,ROUND(10*LOG10(F4)+30,2),0)</f>
        <v>47.78</v>
      </c>
      <c r="H4" s="382"/>
      <c r="I4" s="382">
        <f>IF(H4&gt;0,ROUND(10*LOG10(H4)+30,2),0)</f>
        <v>0</v>
      </c>
      <c r="J4" s="382"/>
      <c r="K4" s="382">
        <f ref="K4:K67" t="shared" si="0">IF(J4&gt;0,ROUND(10*LOG10(J4)+30,2),0)</f>
        <v>0</v>
      </c>
      <c r="L4" s="425">
        <v>40</v>
      </c>
      <c r="M4" s="382">
        <f ref="M4:M67" t="shared" si="1">IF(L4&gt;0,ROUND(10*LOG10(L4)+30,2),0)</f>
        <v>46.02</v>
      </c>
      <c r="N4" s="382"/>
      <c r="O4" s="382">
        <f ref="O4:O67" t="shared" si="2">IF(N4&gt;0,ROUND(10*LOG10(N4)+30,2),0)</f>
        <v>0</v>
      </c>
      <c r="P4" s="382"/>
      <c r="Q4" s="382"/>
      <c r="R4" s="382"/>
      <c r="S4" s="382"/>
      <c r="T4" s="382"/>
      <c r="U4" s="382"/>
      <c r="V4" s="382"/>
      <c r="W4" s="381"/>
      <c r="X4" s="445"/>
      <c r="Y4" s="380" t="s">
        <v>195</v>
      </c>
      <c r="Z4" s="380"/>
      <c r="AA4" s="380"/>
      <c r="AB4" s="380"/>
      <c r="AC4" s="446"/>
      <c r="AD4" s="447" t="s">
        <v>196</v>
      </c>
      <c r="AE4" s="392" t="s">
        <v>194</v>
      </c>
      <c r="AF4" s="382">
        <v>2.57</v>
      </c>
      <c r="AG4" s="382">
        <v>17.8</v>
      </c>
      <c r="AH4" s="384">
        <v>0</v>
      </c>
      <c r="AI4" s="382"/>
      <c r="AJ4" s="448" t="s">
        <v>197</v>
      </c>
      <c r="AK4" s="449"/>
      <c r="AL4" s="379" t="s">
        <v>194</v>
      </c>
      <c r="AM4" s="382">
        <v>11.5</v>
      </c>
      <c r="AN4" s="382">
        <v>3.67</v>
      </c>
      <c r="AO4" s="382">
        <f>0.1*2</f>
        <v>0.2</v>
      </c>
      <c r="AP4" s="450" t="s">
        <v>198</v>
      </c>
      <c r="AQ4" s="382"/>
      <c r="AR4" s="450"/>
      <c r="AS4" s="428"/>
      <c r="AT4" s="451" t="s">
        <v>199</v>
      </c>
      <c r="AU4" s="452" t="s">
        <v>200</v>
      </c>
      <c r="AV4" s="452" t="s">
        <v>201</v>
      </c>
      <c r="AW4" s="451" t="s">
        <v>199</v>
      </c>
      <c r="AX4" s="428"/>
      <c r="AY4" s="428"/>
      <c r="AZ4" s="452" t="s">
        <v>202</v>
      </c>
      <c r="BB4" s="451">
        <v>1</v>
      </c>
      <c r="BC4" s="453"/>
      <c r="BD4" s="454"/>
      <c r="BE4" s="451" t="s">
        <v>203</v>
      </c>
      <c r="BF4" s="451" t="s">
        <v>203</v>
      </c>
    </row>
    <row r="5">
      <c r="A5" s="380" t="s">
        <v>192</v>
      </c>
      <c r="B5" s="382" t="s">
        <v>193</v>
      </c>
      <c r="C5" s="381" t="s">
        <v>194</v>
      </c>
      <c r="D5" s="384">
        <v>4</v>
      </c>
      <c r="E5" s="382"/>
      <c r="F5" s="444">
        <v>60</v>
      </c>
      <c r="G5" s="382">
        <f ref="G5:G68" t="shared" si="3">IF(F5&gt;0,ROUND(10*LOG10(F5)+30,2),0)</f>
        <v>47.78</v>
      </c>
      <c r="H5" s="382"/>
      <c r="I5" s="382">
        <f ref="I5:I68" t="shared" si="4">IF(H5&gt;0,ROUND(10*LOG10(H5)+30,2),0)</f>
        <v>0</v>
      </c>
      <c r="J5" s="382"/>
      <c r="K5" s="382">
        <f t="shared" si="0"/>
        <v>0</v>
      </c>
      <c r="L5" s="382"/>
      <c r="M5" s="382">
        <f t="shared" si="1"/>
        <v>0</v>
      </c>
      <c r="N5" s="382"/>
      <c r="O5" s="382">
        <f t="shared" si="2"/>
        <v>0</v>
      </c>
      <c r="P5" s="455"/>
      <c r="Q5" s="455"/>
      <c r="R5" s="382"/>
      <c r="S5" s="382"/>
      <c r="T5" s="382"/>
      <c r="U5" s="382"/>
      <c r="V5" s="382"/>
      <c r="W5" s="381"/>
      <c r="X5" s="445"/>
      <c r="Y5" s="380" t="s">
        <v>192</v>
      </c>
      <c r="Z5" s="380"/>
      <c r="AA5" s="380"/>
      <c r="AB5" s="380"/>
      <c r="AC5" s="446"/>
      <c r="AD5" s="447" t="s">
        <v>197</v>
      </c>
      <c r="AE5" s="392" t="s">
        <v>204</v>
      </c>
      <c r="AF5" s="382">
        <v>1.31</v>
      </c>
      <c r="AG5" s="382">
        <v>17.6</v>
      </c>
      <c r="AH5" s="384">
        <v>0</v>
      </c>
      <c r="AI5" s="382"/>
      <c r="AJ5" s="448" t="s">
        <v>196</v>
      </c>
      <c r="AK5" s="449"/>
      <c r="AL5" s="381" t="s">
        <v>205</v>
      </c>
      <c r="AM5" s="382">
        <v>16.6</v>
      </c>
      <c r="AN5" s="382">
        <v>6.3</v>
      </c>
      <c r="AO5" s="382">
        <v>0.2</v>
      </c>
      <c r="AP5" s="450" t="s">
        <v>198</v>
      </c>
      <c r="AQ5" s="382"/>
      <c r="AR5" s="450"/>
      <c r="AS5" s="428"/>
      <c r="AT5" s="451" t="s">
        <v>206</v>
      </c>
      <c r="AU5" s="452" t="s">
        <v>205</v>
      </c>
      <c r="AV5" s="452" t="s">
        <v>207</v>
      </c>
      <c r="AW5" s="451" t="s">
        <v>206</v>
      </c>
      <c r="AX5" s="428"/>
      <c r="AY5" s="428"/>
      <c r="AZ5" s="452" t="s">
        <v>202</v>
      </c>
      <c r="BB5" s="451">
        <v>2</v>
      </c>
      <c r="BC5" s="453"/>
      <c r="BD5" s="454"/>
      <c r="BE5" s="451" t="s">
        <v>208</v>
      </c>
      <c r="BF5" s="451" t="s">
        <v>208</v>
      </c>
    </row>
    <row r="6">
      <c r="A6" s="380" t="s">
        <v>209</v>
      </c>
      <c r="B6" s="382" t="s">
        <v>193</v>
      </c>
      <c r="C6" s="381" t="s">
        <v>194</v>
      </c>
      <c r="D6" s="384">
        <v>2</v>
      </c>
      <c r="E6" s="382"/>
      <c r="F6" s="382">
        <v>60</v>
      </c>
      <c r="G6" s="382">
        <f t="shared" si="3"/>
        <v>47.78</v>
      </c>
      <c r="H6" s="382"/>
      <c r="I6" s="382">
        <f t="shared" si="4"/>
        <v>0</v>
      </c>
      <c r="J6" s="382"/>
      <c r="K6" s="382">
        <f t="shared" si="0"/>
        <v>0</v>
      </c>
      <c r="L6" s="382"/>
      <c r="M6" s="382">
        <f t="shared" si="1"/>
        <v>0</v>
      </c>
      <c r="N6" s="382"/>
      <c r="O6" s="382">
        <f t="shared" si="2"/>
        <v>0</v>
      </c>
      <c r="P6" s="382"/>
      <c r="Q6" s="382"/>
      <c r="R6" s="382"/>
      <c r="S6" s="382"/>
      <c r="T6" s="382"/>
      <c r="U6" s="382"/>
      <c r="V6" s="382"/>
      <c r="W6" s="381"/>
      <c r="X6" s="445"/>
      <c r="Y6" s="380" t="s">
        <v>209</v>
      </c>
      <c r="Z6" s="380"/>
      <c r="AA6" s="380"/>
      <c r="AB6" s="380"/>
      <c r="AC6" s="446"/>
      <c r="AD6" s="447" t="s">
        <v>197</v>
      </c>
      <c r="AE6" s="450" t="s">
        <v>205</v>
      </c>
      <c r="AF6" s="382">
        <v>1.31</v>
      </c>
      <c r="AG6" s="382">
        <v>18</v>
      </c>
      <c r="AH6" s="384">
        <v>0</v>
      </c>
      <c r="AI6" s="382"/>
      <c r="AJ6" s="456" t="s">
        <v>210</v>
      </c>
      <c r="AK6" s="457"/>
      <c r="AL6" s="381" t="s">
        <v>194</v>
      </c>
      <c r="AM6" s="382">
        <v>11.6</v>
      </c>
      <c r="AN6" s="382">
        <v>3.95</v>
      </c>
      <c r="AO6" s="382">
        <f ref="AO6:AO13" t="shared" si="5">0.1*2</f>
        <v>0.2</v>
      </c>
      <c r="AP6" s="452" t="s">
        <v>202</v>
      </c>
      <c r="AQ6" s="382"/>
      <c r="AR6" s="452"/>
      <c r="AS6" s="428"/>
      <c r="AT6" s="451" t="s">
        <v>206</v>
      </c>
      <c r="AU6" s="452" t="s">
        <v>211</v>
      </c>
      <c r="AV6" s="452" t="s">
        <v>212</v>
      </c>
      <c r="AW6" s="451" t="s">
        <v>213</v>
      </c>
      <c r="AX6" s="428"/>
      <c r="AY6" s="428"/>
      <c r="AZ6" s="452" t="s">
        <v>202</v>
      </c>
      <c r="BB6" s="451" t="s">
        <v>214</v>
      </c>
      <c r="BC6" s="453"/>
      <c r="BD6" s="454"/>
      <c r="BE6" s="451" t="s">
        <v>215</v>
      </c>
      <c r="BF6" s="451" t="s">
        <v>215</v>
      </c>
    </row>
    <row r="7">
      <c r="A7" s="380" t="s">
        <v>209</v>
      </c>
      <c r="B7" s="382" t="s">
        <v>193</v>
      </c>
      <c r="C7" s="381" t="s">
        <v>194</v>
      </c>
      <c r="D7" s="384">
        <v>4</v>
      </c>
      <c r="E7" s="382"/>
      <c r="F7" s="382">
        <v>60</v>
      </c>
      <c r="G7" s="382">
        <f t="shared" si="3"/>
        <v>47.78</v>
      </c>
      <c r="H7" s="382"/>
      <c r="I7" s="382">
        <f t="shared" si="4"/>
        <v>0</v>
      </c>
      <c r="J7" s="382"/>
      <c r="K7" s="382">
        <f t="shared" si="0"/>
        <v>0</v>
      </c>
      <c r="L7" s="382"/>
      <c r="M7" s="382">
        <f t="shared" si="1"/>
        <v>0</v>
      </c>
      <c r="N7" s="382"/>
      <c r="O7" s="382">
        <f t="shared" si="2"/>
        <v>0</v>
      </c>
      <c r="P7" s="382"/>
      <c r="Q7" s="382"/>
      <c r="R7" s="382"/>
      <c r="S7" s="382"/>
      <c r="T7" s="382"/>
      <c r="U7" s="382"/>
      <c r="V7" s="382"/>
      <c r="W7" s="381"/>
      <c r="X7" s="445"/>
      <c r="Y7" s="458" t="s">
        <v>216</v>
      </c>
      <c r="Z7" s="380"/>
      <c r="AA7" s="380"/>
      <c r="AB7" s="380"/>
      <c r="AC7" s="446"/>
      <c r="AD7" s="451" t="s">
        <v>210</v>
      </c>
      <c r="AE7" s="452" t="s">
        <v>217</v>
      </c>
      <c r="AF7" s="459">
        <v>1.92</v>
      </c>
      <c r="AG7" s="459">
        <v>16.4</v>
      </c>
      <c r="AH7" s="384">
        <v>0</v>
      </c>
      <c r="AI7" s="459"/>
      <c r="AJ7" s="456" t="s">
        <v>218</v>
      </c>
      <c r="AK7" s="457"/>
      <c r="AL7" s="381" t="s">
        <v>204</v>
      </c>
      <c r="AM7" s="382">
        <v>16.6</v>
      </c>
      <c r="AN7" s="382">
        <v>5.75</v>
      </c>
      <c r="AO7" s="382">
        <f t="shared" si="5"/>
        <v>0.2</v>
      </c>
      <c r="AP7" s="452" t="s">
        <v>202</v>
      </c>
      <c r="AQ7" s="382"/>
      <c r="AR7" s="452"/>
      <c r="AS7" s="428"/>
      <c r="AT7" s="451" t="s">
        <v>213</v>
      </c>
      <c r="AU7" s="452" t="s">
        <v>204</v>
      </c>
      <c r="AV7" s="452" t="s">
        <v>201</v>
      </c>
      <c r="AW7" s="451" t="s">
        <v>219</v>
      </c>
      <c r="AX7" s="428"/>
      <c r="AY7" s="428"/>
      <c r="AZ7" s="452" t="s">
        <v>202</v>
      </c>
      <c r="BB7" s="451" t="s">
        <v>220</v>
      </c>
      <c r="BC7" s="451"/>
      <c r="BD7" s="428"/>
      <c r="BE7" s="451" t="s">
        <v>221</v>
      </c>
      <c r="BF7" s="451" t="s">
        <v>221</v>
      </c>
      <c r="BI7" s="460"/>
    </row>
    <row r="8">
      <c r="A8" s="380" t="s">
        <v>216</v>
      </c>
      <c r="B8" s="382" t="s">
        <v>193</v>
      </c>
      <c r="C8" s="381" t="s">
        <v>194</v>
      </c>
      <c r="D8" s="384">
        <v>1</v>
      </c>
      <c r="E8" s="382"/>
      <c r="F8" s="382"/>
      <c r="G8" s="382">
        <f t="shared" si="3"/>
        <v>0</v>
      </c>
      <c r="H8" s="382"/>
      <c r="I8" s="382">
        <f t="shared" si="4"/>
        <v>0</v>
      </c>
      <c r="J8" s="382"/>
      <c r="K8" s="382">
        <f t="shared" si="0"/>
        <v>0</v>
      </c>
      <c r="L8" s="382"/>
      <c r="M8" s="382">
        <f t="shared" si="1"/>
        <v>0</v>
      </c>
      <c r="N8" s="382"/>
      <c r="O8" s="382">
        <f t="shared" si="2"/>
        <v>0</v>
      </c>
      <c r="P8" s="382"/>
      <c r="Q8" s="382"/>
      <c r="R8" s="382"/>
      <c r="S8" s="382"/>
      <c r="T8" s="382"/>
      <c r="U8" s="382"/>
      <c r="V8" s="382"/>
      <c r="W8" s="381"/>
      <c r="X8" s="445"/>
      <c r="Y8" s="458" t="s">
        <v>222</v>
      </c>
      <c r="Z8" s="380"/>
      <c r="AA8" s="380"/>
      <c r="AB8" s="380"/>
      <c r="AC8" s="446"/>
      <c r="AD8" s="451" t="s">
        <v>223</v>
      </c>
      <c r="AE8" s="452" t="s">
        <v>217</v>
      </c>
      <c r="AF8" s="459">
        <v>2.45</v>
      </c>
      <c r="AG8" s="459">
        <v>16.9</v>
      </c>
      <c r="AH8" s="384">
        <v>0</v>
      </c>
      <c r="AI8" s="459"/>
      <c r="AJ8" s="456" t="s">
        <v>223</v>
      </c>
      <c r="AK8" s="457"/>
      <c r="AL8" s="379" t="s">
        <v>205</v>
      </c>
      <c r="AM8" s="461">
        <v>18.1</v>
      </c>
      <c r="AN8" s="450">
        <v>6.78</v>
      </c>
      <c r="AO8" s="461">
        <f t="shared" si="5"/>
        <v>0.2</v>
      </c>
      <c r="AP8" s="452" t="s">
        <v>202</v>
      </c>
      <c r="AQ8" s="461"/>
      <c r="AR8" s="452"/>
      <c r="AS8" s="428"/>
      <c r="AT8" s="451" t="s">
        <v>213</v>
      </c>
      <c r="AU8" s="452" t="s">
        <v>194</v>
      </c>
      <c r="AV8" s="452" t="s">
        <v>212</v>
      </c>
      <c r="AW8" s="451" t="s">
        <v>224</v>
      </c>
      <c r="AX8" s="428"/>
      <c r="AY8" s="428"/>
      <c r="AZ8" s="452" t="s">
        <v>202</v>
      </c>
      <c r="BB8" s="451">
        <v>3</v>
      </c>
      <c r="BC8" s="453"/>
      <c r="BD8" s="454"/>
      <c r="BE8" s="451" t="s">
        <v>225</v>
      </c>
      <c r="BF8" s="451" t="s">
        <v>225</v>
      </c>
      <c r="BH8" s="462"/>
      <c r="BI8" s="460"/>
    </row>
    <row r="9">
      <c r="A9" s="380" t="s">
        <v>216</v>
      </c>
      <c r="B9" s="382" t="s">
        <v>193</v>
      </c>
      <c r="C9" s="381" t="s">
        <v>194</v>
      </c>
      <c r="D9" s="384">
        <v>2</v>
      </c>
      <c r="E9" s="382"/>
      <c r="F9" s="382">
        <v>60</v>
      </c>
      <c r="G9" s="382">
        <f t="shared" si="3"/>
        <v>47.78</v>
      </c>
      <c r="H9" s="382"/>
      <c r="I9" s="382">
        <f t="shared" si="4"/>
        <v>0</v>
      </c>
      <c r="J9" s="382"/>
      <c r="K9" s="382">
        <f t="shared" si="0"/>
        <v>0</v>
      </c>
      <c r="L9" s="382"/>
      <c r="M9" s="382">
        <f t="shared" si="1"/>
        <v>0</v>
      </c>
      <c r="N9" s="382"/>
      <c r="O9" s="382">
        <f t="shared" si="2"/>
        <v>0</v>
      </c>
      <c r="P9" s="382"/>
      <c r="Q9" s="382"/>
      <c r="R9" s="382"/>
      <c r="S9" s="382"/>
      <c r="T9" s="382"/>
      <c r="U9" s="382"/>
      <c r="V9" s="382"/>
      <c r="W9" s="381"/>
      <c r="X9" s="445"/>
      <c r="Y9" s="458" t="s">
        <v>226</v>
      </c>
      <c r="Z9" s="458"/>
      <c r="AA9" s="422"/>
      <c r="AB9" s="422"/>
      <c r="AC9" s="446"/>
      <c r="AD9" s="447" t="s">
        <v>227</v>
      </c>
      <c r="AE9" s="392" t="s">
        <v>194</v>
      </c>
      <c r="AF9" s="382">
        <v>2.44</v>
      </c>
      <c r="AG9" s="382">
        <v>17.9</v>
      </c>
      <c r="AH9" s="384">
        <v>3</v>
      </c>
      <c r="AI9" s="382"/>
      <c r="AJ9" s="448" t="s">
        <v>227</v>
      </c>
      <c r="AK9" s="457"/>
      <c r="AL9" s="452" t="s">
        <v>217</v>
      </c>
      <c r="AM9" s="382">
        <v>16.6</v>
      </c>
      <c r="AN9" s="382">
        <v>5.75</v>
      </c>
      <c r="AO9" s="382">
        <f t="shared" si="5"/>
        <v>0.2</v>
      </c>
      <c r="AP9" s="452" t="s">
        <v>202</v>
      </c>
      <c r="AQ9" s="382"/>
      <c r="AR9" s="452"/>
      <c r="AS9" s="428"/>
      <c r="AT9" s="451" t="s">
        <v>213</v>
      </c>
      <c r="AU9" s="452" t="s">
        <v>217</v>
      </c>
      <c r="AV9" s="452" t="s">
        <v>228</v>
      </c>
      <c r="AW9" s="451" t="s">
        <v>229</v>
      </c>
      <c r="AX9" s="428"/>
      <c r="AY9" s="428"/>
      <c r="AZ9" s="452" t="s">
        <v>202</v>
      </c>
      <c r="BB9" s="451">
        <v>4</v>
      </c>
      <c r="BC9" s="451" t="s">
        <v>230</v>
      </c>
      <c r="BD9" s="428"/>
      <c r="BE9" s="451" t="s">
        <v>231</v>
      </c>
      <c r="BF9" s="451" t="s">
        <v>231</v>
      </c>
      <c r="BH9" s="462"/>
      <c r="BI9" s="460"/>
    </row>
    <row r="10" ht="21">
      <c r="A10" s="380" t="s">
        <v>216</v>
      </c>
      <c r="B10" s="382" t="s">
        <v>193</v>
      </c>
      <c r="C10" s="381" t="s">
        <v>194</v>
      </c>
      <c r="D10" s="384">
        <v>3</v>
      </c>
      <c r="E10" s="382"/>
      <c r="F10" s="382">
        <v>60</v>
      </c>
      <c r="G10" s="382">
        <f t="shared" si="3"/>
        <v>47.78</v>
      </c>
      <c r="H10" s="382"/>
      <c r="I10" s="382">
        <f t="shared" si="4"/>
        <v>0</v>
      </c>
      <c r="J10" s="382"/>
      <c r="K10" s="382">
        <f t="shared" si="0"/>
        <v>0</v>
      </c>
      <c r="L10" s="382"/>
      <c r="M10" s="382">
        <f t="shared" si="1"/>
        <v>0</v>
      </c>
      <c r="N10" s="382"/>
      <c r="O10" s="382">
        <f t="shared" si="2"/>
        <v>0</v>
      </c>
      <c r="P10" s="382"/>
      <c r="Q10" s="382"/>
      <c r="R10" s="382"/>
      <c r="S10" s="382"/>
      <c r="T10" s="382"/>
      <c r="U10" s="382"/>
      <c r="V10" s="382"/>
      <c r="W10" s="381"/>
      <c r="X10" s="445"/>
      <c r="Y10" s="380" t="s">
        <v>232</v>
      </c>
      <c r="Z10" s="458"/>
      <c r="AA10" s="422"/>
      <c r="AB10" s="422"/>
      <c r="AC10" s="446"/>
      <c r="AD10" s="447" t="s">
        <v>233</v>
      </c>
      <c r="AE10" s="392" t="s">
        <v>194</v>
      </c>
      <c r="AF10" s="382">
        <v>2.44</v>
      </c>
      <c r="AG10" s="382">
        <v>16.8</v>
      </c>
      <c r="AH10" s="384">
        <v>0</v>
      </c>
      <c r="AI10" s="382"/>
      <c r="AJ10" s="463" t="s">
        <v>234</v>
      </c>
      <c r="AK10" s="457"/>
      <c r="AL10" s="381" t="s">
        <v>235</v>
      </c>
      <c r="AM10" s="461">
        <v>18.1</v>
      </c>
      <c r="AN10" s="450">
        <v>6.78</v>
      </c>
      <c r="AO10" s="461">
        <f t="shared" si="5"/>
        <v>0.2</v>
      </c>
      <c r="AP10" s="452" t="s">
        <v>202</v>
      </c>
      <c r="AQ10" s="382"/>
      <c r="AR10" s="452"/>
      <c r="AS10" s="428"/>
      <c r="AT10" s="451" t="s">
        <v>219</v>
      </c>
      <c r="AU10" s="452" t="s">
        <v>204</v>
      </c>
      <c r="AV10" s="452" t="s">
        <v>201</v>
      </c>
      <c r="AW10" s="451" t="s">
        <v>236</v>
      </c>
      <c r="AX10" s="428"/>
      <c r="AY10" s="428"/>
      <c r="AZ10" s="452" t="s">
        <v>202</v>
      </c>
      <c r="BB10" s="451" t="s">
        <v>237</v>
      </c>
      <c r="BC10" s="453"/>
      <c r="BD10" s="454"/>
      <c r="BE10" s="451" t="s">
        <v>238</v>
      </c>
      <c r="BF10" s="451" t="s">
        <v>238</v>
      </c>
      <c r="BH10" s="462"/>
      <c r="BI10" s="460"/>
    </row>
    <row r="11" ht="21">
      <c r="A11" s="380" t="s">
        <v>216</v>
      </c>
      <c r="B11" s="382" t="s">
        <v>193</v>
      </c>
      <c r="C11" s="381" t="s">
        <v>194</v>
      </c>
      <c r="D11" s="384">
        <v>4</v>
      </c>
      <c r="E11" s="382"/>
      <c r="F11" s="382">
        <v>60</v>
      </c>
      <c r="G11" s="382">
        <f t="shared" si="3"/>
        <v>47.78</v>
      </c>
      <c r="H11" s="382"/>
      <c r="I11" s="382">
        <f t="shared" si="4"/>
        <v>0</v>
      </c>
      <c r="J11" s="382"/>
      <c r="K11" s="382">
        <f t="shared" si="0"/>
        <v>0</v>
      </c>
      <c r="L11" s="382"/>
      <c r="M11" s="382">
        <f t="shared" si="1"/>
        <v>0</v>
      </c>
      <c r="N11" s="382"/>
      <c r="O11" s="382">
        <f t="shared" si="2"/>
        <v>0</v>
      </c>
      <c r="P11" s="382"/>
      <c r="Q11" s="382"/>
      <c r="R11" s="382"/>
      <c r="S11" s="382"/>
      <c r="T11" s="382"/>
      <c r="U11" s="382"/>
      <c r="V11" s="382"/>
      <c r="W11" s="381"/>
      <c r="X11" s="445"/>
      <c r="Y11" s="380" t="s">
        <v>239</v>
      </c>
      <c r="Z11" s="458"/>
      <c r="AA11" s="422"/>
      <c r="AB11" s="422"/>
      <c r="AC11" s="446"/>
      <c r="AD11" s="464" t="s">
        <v>240</v>
      </c>
      <c r="AE11" s="392" t="s">
        <v>204</v>
      </c>
      <c r="AF11" s="382">
        <v>1.3</v>
      </c>
      <c r="AG11" s="382">
        <v>18.1</v>
      </c>
      <c r="AH11" s="384">
        <v>0</v>
      </c>
      <c r="AI11" s="382"/>
      <c r="AJ11" s="458" t="s">
        <v>241</v>
      </c>
      <c r="AK11" s="465"/>
      <c r="AL11" s="381" t="s">
        <v>242</v>
      </c>
      <c r="AM11" s="461">
        <v>18.1</v>
      </c>
      <c r="AN11" s="450">
        <v>6.78</v>
      </c>
      <c r="AO11" s="461">
        <f t="shared" si="5"/>
        <v>0.2</v>
      </c>
      <c r="AP11" s="452" t="s">
        <v>202</v>
      </c>
      <c r="AQ11" s="382"/>
      <c r="AR11" s="452"/>
      <c r="AS11" s="428"/>
      <c r="AT11" s="451" t="s">
        <v>219</v>
      </c>
      <c r="AU11" s="452" t="s">
        <v>194</v>
      </c>
      <c r="AV11" s="452" t="s">
        <v>212</v>
      </c>
      <c r="AW11" s="466" t="s">
        <v>243</v>
      </c>
      <c r="AX11" s="428"/>
      <c r="AY11" s="428"/>
      <c r="AZ11" s="452" t="s">
        <v>202</v>
      </c>
      <c r="BB11" s="451" t="s">
        <v>244</v>
      </c>
      <c r="BC11" s="453"/>
      <c r="BD11" s="454"/>
      <c r="BE11" s="451" t="s">
        <v>245</v>
      </c>
      <c r="BF11" s="451" t="s">
        <v>245</v>
      </c>
      <c r="BH11" s="462"/>
      <c r="BI11" s="460"/>
    </row>
    <row r="12">
      <c r="A12" s="380" t="s">
        <v>232</v>
      </c>
      <c r="B12" s="382" t="s">
        <v>193</v>
      </c>
      <c r="C12" s="381" t="s">
        <v>194</v>
      </c>
      <c r="D12" s="384">
        <v>2</v>
      </c>
      <c r="E12" s="382"/>
      <c r="F12" s="382">
        <v>60</v>
      </c>
      <c r="G12" s="382">
        <f t="shared" si="3"/>
        <v>47.78</v>
      </c>
      <c r="H12" s="382"/>
      <c r="I12" s="382">
        <f t="shared" si="4"/>
        <v>0</v>
      </c>
      <c r="J12" s="382">
        <v>67.6</v>
      </c>
      <c r="K12" s="382">
        <f t="shared" si="0"/>
        <v>48.3</v>
      </c>
      <c r="L12" s="382"/>
      <c r="M12" s="382">
        <f t="shared" si="1"/>
        <v>0</v>
      </c>
      <c r="N12" s="382"/>
      <c r="O12" s="382">
        <f t="shared" si="2"/>
        <v>0</v>
      </c>
      <c r="P12" s="382"/>
      <c r="Q12" s="382"/>
      <c r="R12" s="382"/>
      <c r="S12" s="382"/>
      <c r="T12" s="382"/>
      <c r="U12" s="382"/>
      <c r="V12" s="382"/>
      <c r="W12" s="381"/>
      <c r="X12" s="445"/>
      <c r="Y12" s="380" t="s">
        <v>246</v>
      </c>
      <c r="Z12" s="380"/>
      <c r="AA12" s="380"/>
      <c r="AB12" s="380"/>
      <c r="AC12" s="467"/>
      <c r="AD12" s="464" t="s">
        <v>247</v>
      </c>
      <c r="AE12" s="450" t="s">
        <v>205</v>
      </c>
      <c r="AF12" s="382">
        <v>1.31</v>
      </c>
      <c r="AG12" s="382">
        <v>18</v>
      </c>
      <c r="AH12" s="384">
        <v>0</v>
      </c>
      <c r="AI12" s="382"/>
      <c r="AJ12" s="448" t="s">
        <v>248</v>
      </c>
      <c r="AK12" s="465"/>
      <c r="AL12" s="383" t="s">
        <v>211</v>
      </c>
      <c r="AM12" s="425">
        <v>11.6</v>
      </c>
      <c r="AN12" s="425">
        <v>3.95</v>
      </c>
      <c r="AO12" s="425">
        <f t="shared" si="5"/>
        <v>0.2</v>
      </c>
      <c r="AP12" s="424" t="s">
        <v>202</v>
      </c>
      <c r="AQ12" s="382"/>
      <c r="AR12" s="452"/>
      <c r="AS12" s="428"/>
      <c r="AT12" s="451" t="s">
        <v>219</v>
      </c>
      <c r="AU12" s="452" t="s">
        <v>217</v>
      </c>
      <c r="AV12" s="452" t="s">
        <v>228</v>
      </c>
      <c r="AW12" s="466" t="s">
        <v>249</v>
      </c>
      <c r="AZ12" s="452" t="s">
        <v>202</v>
      </c>
      <c r="BB12" s="451" t="s">
        <v>250</v>
      </c>
      <c r="BC12" s="453"/>
      <c r="BD12" s="454"/>
      <c r="BE12" s="451" t="s">
        <v>251</v>
      </c>
      <c r="BF12" s="451" t="s">
        <v>251</v>
      </c>
      <c r="BH12" s="462"/>
      <c r="BI12" s="460"/>
    </row>
    <row r="13">
      <c r="A13" s="380" t="s">
        <v>232</v>
      </c>
      <c r="B13" s="382" t="s">
        <v>193</v>
      </c>
      <c r="C13" s="381" t="s">
        <v>194</v>
      </c>
      <c r="D13" s="384">
        <v>4</v>
      </c>
      <c r="E13" s="382"/>
      <c r="F13" s="382">
        <v>60</v>
      </c>
      <c r="G13" s="382">
        <f t="shared" si="3"/>
        <v>47.78</v>
      </c>
      <c r="H13" s="382"/>
      <c r="I13" s="382">
        <f t="shared" si="4"/>
        <v>0</v>
      </c>
      <c r="J13" s="382">
        <v>63.2</v>
      </c>
      <c r="K13" s="382">
        <f t="shared" si="0"/>
        <v>48.01</v>
      </c>
      <c r="L13" s="382"/>
      <c r="M13" s="382">
        <f t="shared" si="1"/>
        <v>0</v>
      </c>
      <c r="N13" s="382"/>
      <c r="O13" s="382">
        <f t="shared" si="2"/>
        <v>0</v>
      </c>
      <c r="P13" s="382"/>
      <c r="Q13" s="382"/>
      <c r="R13" s="382"/>
      <c r="S13" s="382"/>
      <c r="T13" s="382"/>
      <c r="U13" s="382"/>
      <c r="V13" s="382"/>
      <c r="W13" s="381"/>
      <c r="X13" s="468"/>
      <c r="Y13" s="380" t="s">
        <v>252</v>
      </c>
      <c r="Z13" s="380"/>
      <c r="AA13" s="466"/>
      <c r="AB13" s="466"/>
      <c r="AC13" s="467"/>
      <c r="AD13" s="469" t="s">
        <v>253</v>
      </c>
      <c r="AE13" s="452" t="s">
        <v>217</v>
      </c>
      <c r="AF13" s="459">
        <v>2.57</v>
      </c>
      <c r="AG13" s="459">
        <v>17.4</v>
      </c>
      <c r="AH13" s="384">
        <v>0</v>
      </c>
      <c r="AI13" s="459"/>
      <c r="AJ13" s="448" t="s">
        <v>233</v>
      </c>
      <c r="AK13" s="470"/>
      <c r="AL13" s="383" t="s">
        <v>200</v>
      </c>
      <c r="AM13" s="425">
        <v>16.6</v>
      </c>
      <c r="AN13" s="425">
        <v>5.75</v>
      </c>
      <c r="AO13" s="425">
        <f t="shared" si="5"/>
        <v>0.2</v>
      </c>
      <c r="AP13" s="424" t="s">
        <v>202</v>
      </c>
      <c r="AQ13" s="382"/>
      <c r="AR13" s="452"/>
      <c r="AS13" s="428"/>
      <c r="AT13" s="451" t="s">
        <v>224</v>
      </c>
      <c r="AU13" s="452" t="s">
        <v>204</v>
      </c>
      <c r="AV13" s="452" t="s">
        <v>201</v>
      </c>
      <c r="AW13" s="451" t="s">
        <v>254</v>
      </c>
      <c r="AX13" s="428"/>
      <c r="AY13" s="428"/>
      <c r="AZ13" s="452" t="s">
        <v>202</v>
      </c>
      <c r="BB13" s="451" t="s">
        <v>255</v>
      </c>
      <c r="BC13" s="453"/>
      <c r="BD13" s="454"/>
      <c r="BE13" s="451" t="s">
        <v>256</v>
      </c>
      <c r="BF13" s="451" t="s">
        <v>256</v>
      </c>
      <c r="BH13" s="462"/>
    </row>
    <row r="14">
      <c r="A14" s="380" t="s">
        <v>246</v>
      </c>
      <c r="B14" s="382" t="s">
        <v>193</v>
      </c>
      <c r="C14" s="381" t="s">
        <v>194</v>
      </c>
      <c r="D14" s="384">
        <v>2</v>
      </c>
      <c r="E14" s="382"/>
      <c r="F14" s="382">
        <v>60</v>
      </c>
      <c r="G14" s="382">
        <f t="shared" si="3"/>
        <v>47.78</v>
      </c>
      <c r="H14" s="382"/>
      <c r="I14" s="382">
        <f t="shared" si="4"/>
        <v>0</v>
      </c>
      <c r="J14" s="382">
        <v>39.81</v>
      </c>
      <c r="K14" s="382">
        <f t="shared" si="0"/>
        <v>46</v>
      </c>
      <c r="L14" s="425">
        <v>40</v>
      </c>
      <c r="M14" s="382">
        <f t="shared" si="1"/>
        <v>46.02</v>
      </c>
      <c r="N14" s="382"/>
      <c r="O14" s="382">
        <f t="shared" si="2"/>
        <v>0</v>
      </c>
      <c r="P14" s="382"/>
      <c r="Q14" s="382"/>
      <c r="R14" s="382"/>
      <c r="S14" s="382"/>
      <c r="T14" s="382"/>
      <c r="U14" s="382"/>
      <c r="V14" s="382"/>
      <c r="W14" s="381"/>
      <c r="X14" s="445"/>
      <c r="Y14" s="458" t="s">
        <v>257</v>
      </c>
      <c r="Z14" s="380"/>
      <c r="AA14" s="380"/>
      <c r="AB14" s="380"/>
      <c r="AC14" s="467"/>
      <c r="AD14" s="447" t="s">
        <v>258</v>
      </c>
      <c r="AE14" s="392" t="s">
        <v>194</v>
      </c>
      <c r="AF14" s="382">
        <v>2.58</v>
      </c>
      <c r="AG14" s="382">
        <v>18</v>
      </c>
      <c r="AH14" s="384">
        <v>0</v>
      </c>
      <c r="AI14" s="382"/>
      <c r="AJ14" s="463" t="s">
        <v>240</v>
      </c>
      <c r="AK14" s="470"/>
      <c r="AL14" s="381" t="s">
        <v>194</v>
      </c>
      <c r="AM14" s="382">
        <v>6.87</v>
      </c>
      <c r="AN14" s="444">
        <v>3.88</v>
      </c>
      <c r="AO14" s="382">
        <f ref="AO14:AO24" t="shared" si="6">0.2</f>
        <v>0.2</v>
      </c>
      <c r="AP14" s="452" t="s">
        <v>259</v>
      </c>
      <c r="AQ14" s="382"/>
      <c r="AR14" s="452"/>
      <c r="AS14" s="428"/>
      <c r="AT14" s="451" t="s">
        <v>224</v>
      </c>
      <c r="AU14" s="452" t="s">
        <v>194</v>
      </c>
      <c r="AV14" s="452" t="s">
        <v>212</v>
      </c>
      <c r="AW14" s="466" t="s">
        <v>260</v>
      </c>
      <c r="AX14" s="428"/>
      <c r="AY14" s="428"/>
      <c r="AZ14" s="452" t="s">
        <v>259</v>
      </c>
      <c r="BB14" s="451" t="s">
        <v>261</v>
      </c>
      <c r="BC14" s="453"/>
      <c r="BD14" s="454"/>
      <c r="BE14" s="451"/>
      <c r="BF14" s="451"/>
      <c r="BH14" s="462"/>
      <c r="BI14" s="460"/>
    </row>
    <row r="15">
      <c r="A15" s="380" t="s">
        <v>246</v>
      </c>
      <c r="B15" s="382" t="s">
        <v>193</v>
      </c>
      <c r="C15" s="381" t="s">
        <v>194</v>
      </c>
      <c r="D15" s="384">
        <v>3</v>
      </c>
      <c r="E15" s="382"/>
      <c r="F15" s="382"/>
      <c r="G15" s="382">
        <f t="shared" si="3"/>
        <v>0</v>
      </c>
      <c r="H15" s="382"/>
      <c r="I15" s="382">
        <f t="shared" si="4"/>
        <v>0</v>
      </c>
      <c r="J15" s="382"/>
      <c r="K15" s="382">
        <f t="shared" si="0"/>
        <v>0</v>
      </c>
      <c r="L15" s="425">
        <v>76</v>
      </c>
      <c r="M15" s="382">
        <f t="shared" si="1"/>
        <v>48.81</v>
      </c>
      <c r="N15" s="382"/>
      <c r="O15" s="382">
        <f t="shared" si="2"/>
        <v>0</v>
      </c>
      <c r="P15" s="382"/>
      <c r="Q15" s="382"/>
      <c r="R15" s="382"/>
      <c r="S15" s="382"/>
      <c r="T15" s="382"/>
      <c r="U15" s="382"/>
      <c r="V15" s="382"/>
      <c r="W15" s="381"/>
      <c r="X15" s="468"/>
      <c r="Y15" s="458" t="s">
        <v>262</v>
      </c>
      <c r="Z15" s="380"/>
      <c r="AA15" s="466"/>
      <c r="AB15" s="466"/>
      <c r="AC15" s="467"/>
      <c r="AD15" s="447" t="s">
        <v>263</v>
      </c>
      <c r="AE15" s="392" t="s">
        <v>204</v>
      </c>
      <c r="AF15" s="382">
        <v>1.3</v>
      </c>
      <c r="AG15" s="382">
        <v>18</v>
      </c>
      <c r="AH15" s="384">
        <v>0</v>
      </c>
      <c r="AI15" s="382"/>
      <c r="AJ15" s="471" t="s">
        <v>253</v>
      </c>
      <c r="AK15" s="470"/>
      <c r="AL15" s="381" t="s">
        <v>204</v>
      </c>
      <c r="AM15" s="382">
        <v>10.15</v>
      </c>
      <c r="AN15" s="444">
        <v>5.75</v>
      </c>
      <c r="AO15" s="382">
        <f t="shared" si="6"/>
        <v>0.2</v>
      </c>
      <c r="AP15" s="452" t="s">
        <v>259</v>
      </c>
      <c r="AQ15" s="382"/>
      <c r="AR15" s="452"/>
      <c r="AS15" s="428"/>
      <c r="AT15" s="451" t="s">
        <v>224</v>
      </c>
      <c r="AU15" s="452" t="s">
        <v>217</v>
      </c>
      <c r="AV15" s="452" t="s">
        <v>228</v>
      </c>
      <c r="AW15" s="466" t="s">
        <v>264</v>
      </c>
      <c r="AX15" s="428"/>
      <c r="AY15" s="428"/>
      <c r="AZ15" s="452" t="s">
        <v>259</v>
      </c>
      <c r="BB15" s="451" t="s">
        <v>265</v>
      </c>
      <c r="BC15" s="453"/>
      <c r="BD15" s="454"/>
      <c r="BE15" s="451"/>
      <c r="BF15" s="451"/>
      <c r="BH15" s="462"/>
    </row>
    <row r="16">
      <c r="A16" s="380" t="s">
        <v>246</v>
      </c>
      <c r="B16" s="382" t="s">
        <v>193</v>
      </c>
      <c r="C16" s="381" t="s">
        <v>194</v>
      </c>
      <c r="D16" s="384">
        <v>4</v>
      </c>
      <c r="E16" s="382"/>
      <c r="F16" s="382">
        <v>60</v>
      </c>
      <c r="G16" s="382">
        <f t="shared" si="3"/>
        <v>47.78</v>
      </c>
      <c r="H16" s="382"/>
      <c r="I16" s="382">
        <f t="shared" si="4"/>
        <v>0</v>
      </c>
      <c r="J16" s="382">
        <v>35.56</v>
      </c>
      <c r="K16" s="382">
        <f t="shared" si="0"/>
        <v>45.51</v>
      </c>
      <c r="L16" s="425">
        <v>80</v>
      </c>
      <c r="M16" s="382">
        <f t="shared" si="1"/>
        <v>49.03</v>
      </c>
      <c r="N16" s="382"/>
      <c r="O16" s="382">
        <f t="shared" si="2"/>
        <v>0</v>
      </c>
      <c r="P16" s="382"/>
      <c r="Q16" s="382"/>
      <c r="R16" s="382"/>
      <c r="S16" s="382"/>
      <c r="T16" s="382"/>
      <c r="U16" s="382"/>
      <c r="V16" s="382"/>
      <c r="W16" s="381"/>
      <c r="X16" s="445"/>
      <c r="Y16" s="458" t="s">
        <v>266</v>
      </c>
      <c r="Z16" s="458"/>
      <c r="AA16" s="422"/>
      <c r="AB16" s="422"/>
      <c r="AC16" s="467"/>
      <c r="AD16" s="447" t="s">
        <v>267</v>
      </c>
      <c r="AE16" s="392" t="s">
        <v>194</v>
      </c>
      <c r="AF16" s="382">
        <v>2.58</v>
      </c>
      <c r="AG16" s="382">
        <v>18</v>
      </c>
      <c r="AH16" s="384">
        <v>0</v>
      </c>
      <c r="AJ16" s="463" t="s">
        <v>247</v>
      </c>
      <c r="AK16" s="470"/>
      <c r="AL16" s="379" t="s">
        <v>211</v>
      </c>
      <c r="AM16" s="382">
        <v>6.87</v>
      </c>
      <c r="AN16" s="444">
        <v>3.88</v>
      </c>
      <c r="AO16" s="382">
        <f t="shared" si="6"/>
        <v>0.2</v>
      </c>
      <c r="AP16" s="452" t="s">
        <v>259</v>
      </c>
      <c r="AQ16" s="382"/>
      <c r="AR16" s="452"/>
      <c r="AS16" s="428"/>
      <c r="AT16" s="451" t="s">
        <v>229</v>
      </c>
      <c r="AU16" s="452" t="s">
        <v>204</v>
      </c>
      <c r="AV16" s="452" t="s">
        <v>201</v>
      </c>
      <c r="AW16" s="466" t="s">
        <v>268</v>
      </c>
      <c r="AX16" s="428"/>
      <c r="AY16" s="428"/>
      <c r="AZ16" s="452" t="s">
        <v>259</v>
      </c>
      <c r="BB16" s="451" t="s">
        <v>269</v>
      </c>
      <c r="BC16" s="453"/>
      <c r="BD16" s="454"/>
      <c r="BE16" s="451"/>
      <c r="BF16" s="451"/>
      <c r="BH16" s="462"/>
    </row>
    <row r="17">
      <c r="A17" s="380" t="s">
        <v>270</v>
      </c>
      <c r="B17" s="382" t="s">
        <v>193</v>
      </c>
      <c r="C17" s="381" t="s">
        <v>194</v>
      </c>
      <c r="D17" s="452">
        <v>1</v>
      </c>
      <c r="E17" s="452"/>
      <c r="F17" s="461"/>
      <c r="G17" s="382">
        <f t="shared" si="3"/>
        <v>0</v>
      </c>
      <c r="H17" s="472">
        <v>20</v>
      </c>
      <c r="I17" s="382">
        <f t="shared" si="4"/>
        <v>43.01</v>
      </c>
      <c r="J17" s="461"/>
      <c r="K17" s="382">
        <f t="shared" si="0"/>
        <v>0</v>
      </c>
      <c r="L17" s="450"/>
      <c r="M17" s="382">
        <f t="shared" si="1"/>
        <v>0</v>
      </c>
      <c r="N17" s="450"/>
      <c r="O17" s="382">
        <f t="shared" si="2"/>
        <v>0</v>
      </c>
      <c r="P17" s="382"/>
      <c r="Q17" s="382"/>
      <c r="R17" s="382"/>
      <c r="S17" s="382"/>
      <c r="T17" s="382"/>
      <c r="U17" s="382"/>
      <c r="V17" s="382"/>
      <c r="W17" s="381"/>
      <c r="X17" s="445"/>
      <c r="Y17" s="463" t="s">
        <v>271</v>
      </c>
      <c r="Z17" s="458"/>
      <c r="AA17" s="422"/>
      <c r="AB17" s="422"/>
      <c r="AC17" s="467"/>
      <c r="AD17" s="464" t="s">
        <v>272</v>
      </c>
      <c r="AE17" s="392" t="s">
        <v>204</v>
      </c>
      <c r="AF17" s="382">
        <v>1.3</v>
      </c>
      <c r="AG17" s="382">
        <v>17.5</v>
      </c>
      <c r="AH17" s="384">
        <v>0</v>
      </c>
      <c r="AI17" s="382"/>
      <c r="AJ17" s="448" t="s">
        <v>273</v>
      </c>
      <c r="AK17" s="470"/>
      <c r="AL17" s="379" t="s">
        <v>205</v>
      </c>
      <c r="AM17" s="382">
        <v>20</v>
      </c>
      <c r="AN17" s="444">
        <v>6.21</v>
      </c>
      <c r="AO17" s="382">
        <f t="shared" si="6"/>
        <v>0.2</v>
      </c>
      <c r="AP17" s="452" t="s">
        <v>259</v>
      </c>
      <c r="AQ17" s="382"/>
      <c r="AR17" s="452"/>
      <c r="AS17" s="428"/>
      <c r="AT17" s="451" t="s">
        <v>229</v>
      </c>
      <c r="AU17" s="452" t="s">
        <v>194</v>
      </c>
      <c r="AV17" s="452" t="s">
        <v>212</v>
      </c>
      <c r="AW17" s="466" t="s">
        <v>274</v>
      </c>
      <c r="AX17" s="428"/>
      <c r="AY17" s="428"/>
      <c r="AZ17" s="452" t="s">
        <v>259</v>
      </c>
      <c r="BB17" s="451" t="s">
        <v>275</v>
      </c>
      <c r="BC17" s="453"/>
      <c r="BD17" s="454"/>
      <c r="BE17" s="451"/>
      <c r="BF17" s="451"/>
    </row>
    <row r="18">
      <c r="A18" s="380" t="s">
        <v>270</v>
      </c>
      <c r="B18" s="382" t="s">
        <v>193</v>
      </c>
      <c r="C18" s="381" t="s">
        <v>194</v>
      </c>
      <c r="D18" s="452">
        <v>2</v>
      </c>
      <c r="E18" s="452"/>
      <c r="F18" s="461">
        <v>60</v>
      </c>
      <c r="G18" s="382">
        <f t="shared" si="3"/>
        <v>47.78</v>
      </c>
      <c r="H18" s="472">
        <v>40</v>
      </c>
      <c r="I18" s="382">
        <f t="shared" si="4"/>
        <v>46.02</v>
      </c>
      <c r="J18" s="461"/>
      <c r="K18" s="382">
        <f t="shared" si="0"/>
        <v>0</v>
      </c>
      <c r="L18" s="450"/>
      <c r="M18" s="382">
        <f t="shared" si="1"/>
        <v>0</v>
      </c>
      <c r="N18" s="450"/>
      <c r="O18" s="382">
        <f t="shared" si="2"/>
        <v>0</v>
      </c>
      <c r="P18" s="382"/>
      <c r="Q18" s="382"/>
      <c r="R18" s="382"/>
      <c r="S18" s="382"/>
      <c r="T18" s="382"/>
      <c r="U18" s="382"/>
      <c r="V18" s="382"/>
      <c r="W18" s="381"/>
      <c r="X18" s="445"/>
      <c r="Y18" s="463" t="s">
        <v>276</v>
      </c>
      <c r="Z18" s="458"/>
      <c r="AA18" s="422"/>
      <c r="AB18" s="422"/>
      <c r="AC18" s="467"/>
      <c r="AD18" s="464" t="s">
        <v>277</v>
      </c>
      <c r="AE18" s="450" t="s">
        <v>205</v>
      </c>
      <c r="AF18" s="382">
        <v>1.31</v>
      </c>
      <c r="AG18" s="382">
        <v>18</v>
      </c>
      <c r="AH18" s="384">
        <v>0</v>
      </c>
      <c r="AI18" s="382"/>
      <c r="AJ18" s="448" t="s">
        <v>278</v>
      </c>
      <c r="AK18" s="449"/>
      <c r="AL18" s="381" t="s">
        <v>200</v>
      </c>
      <c r="AM18" s="382">
        <v>10.15</v>
      </c>
      <c r="AN18" s="444">
        <v>5.75</v>
      </c>
      <c r="AO18" s="382">
        <f t="shared" si="6"/>
        <v>0.2</v>
      </c>
      <c r="AP18" s="452" t="s">
        <v>259</v>
      </c>
      <c r="AQ18" s="382"/>
      <c r="AR18" s="452"/>
      <c r="AS18" s="428"/>
      <c r="AT18" s="466" t="s">
        <v>229</v>
      </c>
      <c r="AU18" s="452" t="s">
        <v>217</v>
      </c>
      <c r="AV18" s="452" t="s">
        <v>228</v>
      </c>
      <c r="AW18" s="451" t="s">
        <v>279</v>
      </c>
      <c r="AX18" s="428"/>
      <c r="AY18" s="428"/>
      <c r="AZ18" s="452" t="s">
        <v>259</v>
      </c>
      <c r="BB18" s="451">
        <v>6</v>
      </c>
      <c r="BC18" s="451" t="s">
        <v>280</v>
      </c>
      <c r="BD18" s="428"/>
      <c r="BE18" s="451"/>
      <c r="BF18" s="451"/>
    </row>
    <row r="19" ht="21">
      <c r="A19" s="380" t="s">
        <v>270</v>
      </c>
      <c r="B19" s="382" t="s">
        <v>193</v>
      </c>
      <c r="C19" s="381" t="s">
        <v>194</v>
      </c>
      <c r="D19" s="452">
        <v>3</v>
      </c>
      <c r="E19" s="452"/>
      <c r="F19" s="461"/>
      <c r="G19" s="382">
        <f t="shared" si="3"/>
        <v>0</v>
      </c>
      <c r="H19" s="472">
        <v>60</v>
      </c>
      <c r="I19" s="382">
        <f t="shared" si="4"/>
        <v>47.78</v>
      </c>
      <c r="J19" s="461"/>
      <c r="K19" s="382">
        <f t="shared" si="0"/>
        <v>0</v>
      </c>
      <c r="L19" s="450"/>
      <c r="M19" s="382">
        <f t="shared" si="1"/>
        <v>0</v>
      </c>
      <c r="N19" s="450"/>
      <c r="O19" s="382">
        <f t="shared" si="2"/>
        <v>0</v>
      </c>
      <c r="P19" s="382"/>
      <c r="Q19" s="382"/>
      <c r="R19" s="382"/>
      <c r="S19" s="382"/>
      <c r="T19" s="382"/>
      <c r="U19" s="382"/>
      <c r="V19" s="382"/>
      <c r="W19" s="381"/>
      <c r="X19" s="445"/>
      <c r="Y19" s="463" t="s">
        <v>270</v>
      </c>
      <c r="Z19" s="458"/>
      <c r="AA19" s="422"/>
      <c r="AB19" s="422"/>
      <c r="AC19" s="446"/>
      <c r="AD19" s="447" t="s">
        <v>281</v>
      </c>
      <c r="AE19" s="452" t="s">
        <v>217</v>
      </c>
      <c r="AF19" s="382">
        <v>1.94</v>
      </c>
      <c r="AG19" s="382">
        <v>17.8</v>
      </c>
      <c r="AH19" s="384">
        <v>0</v>
      </c>
      <c r="AI19" s="382"/>
      <c r="AJ19" s="458" t="s">
        <v>282</v>
      </c>
      <c r="AK19" s="449"/>
      <c r="AL19" s="381" t="s">
        <v>217</v>
      </c>
      <c r="AM19" s="382">
        <v>10.15</v>
      </c>
      <c r="AN19" s="382">
        <v>5.75</v>
      </c>
      <c r="AO19" s="382">
        <f t="shared" si="6"/>
        <v>0.2</v>
      </c>
      <c r="AP19" s="452" t="s">
        <v>259</v>
      </c>
      <c r="AQ19" s="455"/>
      <c r="AR19" s="452"/>
      <c r="AS19" s="428"/>
      <c r="AT19" s="466" t="s">
        <v>236</v>
      </c>
      <c r="AU19" s="452" t="s">
        <v>204</v>
      </c>
      <c r="AV19" s="452" t="s">
        <v>201</v>
      </c>
      <c r="AW19" s="451" t="s">
        <v>283</v>
      </c>
      <c r="AX19" s="428"/>
      <c r="AY19" s="428"/>
      <c r="AZ19" s="452" t="s">
        <v>259</v>
      </c>
      <c r="BB19" s="451" t="s">
        <v>284</v>
      </c>
      <c r="BC19" s="451"/>
      <c r="BD19" s="473"/>
      <c r="BE19" s="451"/>
      <c r="BF19" s="451"/>
    </row>
    <row r="20" ht="15.75" customHeight="1">
      <c r="A20" s="380" t="s">
        <v>270</v>
      </c>
      <c r="B20" s="382" t="s">
        <v>193</v>
      </c>
      <c r="C20" s="381" t="s">
        <v>194</v>
      </c>
      <c r="D20" s="450">
        <v>4</v>
      </c>
      <c r="E20" s="466"/>
      <c r="F20" s="461">
        <v>60</v>
      </c>
      <c r="G20" s="382">
        <f t="shared" si="3"/>
        <v>47.78</v>
      </c>
      <c r="H20" s="472">
        <v>80</v>
      </c>
      <c r="I20" s="382">
        <f t="shared" si="4"/>
        <v>49.03</v>
      </c>
      <c r="J20" s="466"/>
      <c r="K20" s="382">
        <f t="shared" si="0"/>
        <v>0</v>
      </c>
      <c r="L20" s="450"/>
      <c r="M20" s="382">
        <f t="shared" si="1"/>
        <v>0</v>
      </c>
      <c r="N20" s="466"/>
      <c r="O20" s="382">
        <f t="shared" si="2"/>
        <v>0</v>
      </c>
      <c r="P20" s="382"/>
      <c r="Q20" s="382"/>
      <c r="R20" s="382"/>
      <c r="S20" s="382"/>
      <c r="T20" s="382"/>
      <c r="U20" s="382"/>
      <c r="V20" s="382"/>
      <c r="W20" s="381"/>
      <c r="X20" s="445"/>
      <c r="Y20" s="466" t="s">
        <v>285</v>
      </c>
      <c r="Z20" s="463"/>
      <c r="AA20" s="464"/>
      <c r="AB20" s="464"/>
      <c r="AC20" s="446"/>
      <c r="AD20" s="464" t="s">
        <v>286</v>
      </c>
      <c r="AE20" s="392" t="s">
        <v>194</v>
      </c>
      <c r="AF20" s="461">
        <v>2.58</v>
      </c>
      <c r="AG20" s="461">
        <v>17.5</v>
      </c>
      <c r="AH20" s="384">
        <v>0</v>
      </c>
      <c r="AI20" s="382"/>
      <c r="AJ20" s="463" t="s">
        <v>287</v>
      </c>
      <c r="AK20" s="465"/>
      <c r="AL20" s="381" t="s">
        <v>194</v>
      </c>
      <c r="AM20" s="382">
        <v>7.12</v>
      </c>
      <c r="AN20" s="382">
        <v>3.67</v>
      </c>
      <c r="AO20" s="382">
        <f t="shared" si="6"/>
        <v>0.2</v>
      </c>
      <c r="AP20" s="452" t="s">
        <v>161</v>
      </c>
      <c r="AQ20" s="455"/>
      <c r="AR20" s="452"/>
      <c r="AS20" s="428"/>
      <c r="AT20" s="466" t="s">
        <v>236</v>
      </c>
      <c r="AU20" s="452" t="s">
        <v>194</v>
      </c>
      <c r="AV20" s="452" t="s">
        <v>212</v>
      </c>
      <c r="AW20" s="451" t="s">
        <v>288</v>
      </c>
      <c r="AX20" s="428"/>
      <c r="AY20" s="428"/>
      <c r="AZ20" s="452" t="s">
        <v>259</v>
      </c>
      <c r="BB20" s="451">
        <v>8</v>
      </c>
      <c r="BC20" s="453" t="s">
        <v>289</v>
      </c>
      <c r="BD20" s="474"/>
    </row>
    <row r="21">
      <c r="A21" s="475" t="s">
        <v>276</v>
      </c>
      <c r="B21" s="382" t="s">
        <v>193</v>
      </c>
      <c r="C21" s="381" t="s">
        <v>194</v>
      </c>
      <c r="D21" s="452">
        <v>2</v>
      </c>
      <c r="E21" s="452"/>
      <c r="F21" s="450"/>
      <c r="G21" s="382">
        <f t="shared" si="3"/>
        <v>0</v>
      </c>
      <c r="H21" s="461"/>
      <c r="I21" s="382">
        <f t="shared" si="4"/>
        <v>0</v>
      </c>
      <c r="J21" s="472">
        <v>40</v>
      </c>
      <c r="K21" s="382">
        <f t="shared" si="0"/>
        <v>46.02</v>
      </c>
      <c r="L21" s="424">
        <v>40</v>
      </c>
      <c r="M21" s="382">
        <f t="shared" si="1"/>
        <v>46.02</v>
      </c>
      <c r="N21" s="450"/>
      <c r="O21" s="382">
        <f t="shared" si="2"/>
        <v>0</v>
      </c>
      <c r="P21" s="382"/>
      <c r="Q21" s="382"/>
      <c r="R21" s="382"/>
      <c r="S21" s="382"/>
      <c r="T21" s="382"/>
      <c r="U21" s="382"/>
      <c r="V21" s="382"/>
      <c r="W21" s="381"/>
      <c r="X21" s="445"/>
      <c r="Y21" s="447" t="s">
        <v>290</v>
      </c>
      <c r="Z21" s="464"/>
      <c r="AA21" s="464"/>
      <c r="AB21" s="464"/>
      <c r="AC21" s="446"/>
      <c r="AD21" s="464" t="s">
        <v>291</v>
      </c>
      <c r="AE21" s="392" t="s">
        <v>194</v>
      </c>
      <c r="AF21" s="461">
        <v>2.6</v>
      </c>
      <c r="AG21" s="461">
        <v>18</v>
      </c>
      <c r="AH21" s="384">
        <v>0</v>
      </c>
      <c r="AI21" s="382"/>
      <c r="AJ21" s="448" t="s">
        <v>263</v>
      </c>
      <c r="AK21" s="465"/>
      <c r="AL21" s="381" t="s">
        <v>204</v>
      </c>
      <c r="AM21" s="382">
        <v>10.06</v>
      </c>
      <c r="AN21" s="382">
        <v>5.04</v>
      </c>
      <c r="AO21" s="382">
        <f t="shared" si="6"/>
        <v>0.2</v>
      </c>
      <c r="AP21" s="452" t="s">
        <v>161</v>
      </c>
      <c r="AQ21" s="451"/>
      <c r="AR21" s="451"/>
      <c r="AS21" s="428"/>
      <c r="AT21" s="466" t="s">
        <v>236</v>
      </c>
      <c r="AU21" s="452" t="s">
        <v>217</v>
      </c>
      <c r="AV21" s="452" t="s">
        <v>228</v>
      </c>
      <c r="AW21" s="451" t="s">
        <v>292</v>
      </c>
      <c r="AX21" s="428"/>
      <c r="AY21" s="428"/>
      <c r="AZ21" s="452" t="s">
        <v>259</v>
      </c>
      <c r="BB21" s="451">
        <v>10</v>
      </c>
      <c r="BC21" s="453"/>
      <c r="BD21" s="474"/>
    </row>
    <row r="22">
      <c r="A22" s="475" t="s">
        <v>276</v>
      </c>
      <c r="B22" s="382" t="s">
        <v>193</v>
      </c>
      <c r="C22" s="381" t="s">
        <v>194</v>
      </c>
      <c r="D22" s="450">
        <v>4</v>
      </c>
      <c r="E22" s="466"/>
      <c r="F22" s="466"/>
      <c r="G22" s="382">
        <f t="shared" si="3"/>
        <v>0</v>
      </c>
      <c r="H22" s="466"/>
      <c r="I22" s="382">
        <f t="shared" si="4"/>
        <v>0</v>
      </c>
      <c r="J22" s="472">
        <v>80</v>
      </c>
      <c r="K22" s="382">
        <f t="shared" si="0"/>
        <v>49.03</v>
      </c>
      <c r="L22" s="424">
        <v>80</v>
      </c>
      <c r="M22" s="382">
        <f t="shared" si="1"/>
        <v>49.03</v>
      </c>
      <c r="N22" s="466"/>
      <c r="O22" s="382">
        <f t="shared" si="2"/>
        <v>0</v>
      </c>
      <c r="P22" s="382"/>
      <c r="Q22" s="382"/>
      <c r="R22" s="382"/>
      <c r="S22" s="382"/>
      <c r="T22" s="382"/>
      <c r="U22" s="382"/>
      <c r="V22" s="382"/>
      <c r="W22" s="381"/>
      <c r="X22" s="445"/>
      <c r="Y22" s="447" t="s">
        <v>293</v>
      </c>
      <c r="Z22" s="380"/>
      <c r="AA22" s="380"/>
      <c r="AB22" s="380"/>
      <c r="AC22" s="467"/>
      <c r="AD22" s="447" t="s">
        <v>294</v>
      </c>
      <c r="AE22" s="392" t="s">
        <v>204</v>
      </c>
      <c r="AF22" s="382">
        <v>1.35</v>
      </c>
      <c r="AG22" s="382">
        <v>17.6</v>
      </c>
      <c r="AH22" s="384">
        <v>0</v>
      </c>
      <c r="AI22" s="461"/>
      <c r="AJ22" s="448" t="s">
        <v>258</v>
      </c>
      <c r="AK22" s="465"/>
      <c r="AL22" s="381" t="s">
        <v>211</v>
      </c>
      <c r="AM22" s="382">
        <v>7.12</v>
      </c>
      <c r="AN22" s="382">
        <v>3.67</v>
      </c>
      <c r="AO22" s="382">
        <f t="shared" si="6"/>
        <v>0.2</v>
      </c>
      <c r="AP22" s="452" t="s">
        <v>161</v>
      </c>
      <c r="AQ22" s="451"/>
      <c r="AR22" s="451"/>
      <c r="AS22" s="428"/>
      <c r="AT22" s="466" t="s">
        <v>243</v>
      </c>
      <c r="AU22" s="450" t="s">
        <v>204</v>
      </c>
      <c r="AV22" s="452" t="s">
        <v>201</v>
      </c>
      <c r="AW22" s="451" t="s">
        <v>295</v>
      </c>
      <c r="AX22" s="428"/>
      <c r="AY22" s="428"/>
      <c r="AZ22" s="452" t="s">
        <v>259</v>
      </c>
      <c r="BB22" s="451">
        <v>12</v>
      </c>
      <c r="BC22" s="453"/>
      <c r="BD22" s="474"/>
    </row>
    <row r="23">
      <c r="A23" s="475" t="s">
        <v>276</v>
      </c>
      <c r="B23" s="382" t="s">
        <v>193</v>
      </c>
      <c r="C23" s="381" t="s">
        <v>194</v>
      </c>
      <c r="D23" s="450">
        <v>6</v>
      </c>
      <c r="E23" s="466"/>
      <c r="F23" s="466"/>
      <c r="G23" s="382">
        <f t="shared" si="3"/>
        <v>0</v>
      </c>
      <c r="H23" s="466"/>
      <c r="I23" s="382">
        <f t="shared" si="4"/>
        <v>0</v>
      </c>
      <c r="J23" s="466"/>
      <c r="K23" s="382">
        <f t="shared" si="0"/>
        <v>0</v>
      </c>
      <c r="L23" s="424">
        <v>120</v>
      </c>
      <c r="M23" s="382">
        <f t="shared" si="1"/>
        <v>50.79</v>
      </c>
      <c r="N23" s="466"/>
      <c r="O23" s="382">
        <f t="shared" si="2"/>
        <v>0</v>
      </c>
      <c r="P23" s="382"/>
      <c r="Q23" s="382"/>
      <c r="R23" s="382"/>
      <c r="S23" s="382"/>
      <c r="T23" s="382"/>
      <c r="U23" s="382"/>
      <c r="V23" s="382"/>
      <c r="W23" s="381"/>
      <c r="X23" s="445"/>
      <c r="Y23" s="447" t="s">
        <v>296</v>
      </c>
      <c r="Z23" s="380"/>
      <c r="AA23" s="380"/>
      <c r="AB23" s="380"/>
      <c r="AC23" s="467"/>
      <c r="AD23" s="464" t="s">
        <v>294</v>
      </c>
      <c r="AE23" s="450" t="s">
        <v>205</v>
      </c>
      <c r="AF23" s="382">
        <v>1.35</v>
      </c>
      <c r="AG23" s="382">
        <v>18.6</v>
      </c>
      <c r="AH23" s="384">
        <v>0</v>
      </c>
      <c r="AI23" s="450"/>
      <c r="AJ23" s="448" t="s">
        <v>297</v>
      </c>
      <c r="AK23" s="465"/>
      <c r="AL23" s="381" t="s">
        <v>205</v>
      </c>
      <c r="AM23" s="382">
        <v>10.96</v>
      </c>
      <c r="AN23" s="382">
        <v>5.53</v>
      </c>
      <c r="AO23" s="382">
        <f>0.1*2</f>
        <v>0.2</v>
      </c>
      <c r="AP23" s="452" t="s">
        <v>161</v>
      </c>
      <c r="AQ23" s="466"/>
      <c r="AR23" s="466"/>
      <c r="AS23" s="428"/>
      <c r="AT23" s="466" t="s">
        <v>243</v>
      </c>
      <c r="AU23" s="452" t="s">
        <v>194</v>
      </c>
      <c r="AV23" s="452" t="s">
        <v>212</v>
      </c>
      <c r="AW23" s="451" t="s">
        <v>298</v>
      </c>
      <c r="AX23" s="428"/>
      <c r="AY23" s="428"/>
      <c r="AZ23" s="452" t="s">
        <v>259</v>
      </c>
      <c r="BB23" s="451">
        <v>0</v>
      </c>
      <c r="BC23" s="453"/>
      <c r="BD23" s="474"/>
      <c r="BE23" s="405"/>
      <c r="BF23" s="405"/>
      <c r="BG23" s="405"/>
    </row>
    <row r="24">
      <c r="A24" s="380" t="s">
        <v>195</v>
      </c>
      <c r="B24" s="382" t="s">
        <v>193</v>
      </c>
      <c r="C24" s="381" t="s">
        <v>194</v>
      </c>
      <c r="D24" s="384">
        <v>1</v>
      </c>
      <c r="E24" s="382"/>
      <c r="F24" s="382"/>
      <c r="G24" s="382">
        <f t="shared" si="3"/>
        <v>0</v>
      </c>
      <c r="H24" s="382"/>
      <c r="I24" s="382">
        <f t="shared" si="4"/>
        <v>0</v>
      </c>
      <c r="J24" s="382">
        <v>35.48</v>
      </c>
      <c r="K24" s="382">
        <f t="shared" si="0"/>
        <v>45.5</v>
      </c>
      <c r="L24" s="382"/>
      <c r="M24" s="382">
        <f t="shared" si="1"/>
        <v>0</v>
      </c>
      <c r="N24" s="382"/>
      <c r="O24" s="382">
        <f t="shared" si="2"/>
        <v>0</v>
      </c>
      <c r="P24" s="382"/>
      <c r="Q24" s="382"/>
      <c r="R24" s="382"/>
      <c r="S24" s="382"/>
      <c r="T24" s="382"/>
      <c r="U24" s="382"/>
      <c r="V24" s="382"/>
      <c r="W24" s="381"/>
      <c r="X24" s="445"/>
      <c r="Y24" s="380" t="s">
        <v>299</v>
      </c>
      <c r="Z24" s="380"/>
      <c r="AA24" s="380"/>
      <c r="AB24" s="380"/>
      <c r="AC24" s="467"/>
      <c r="AD24" s="447" t="s">
        <v>300</v>
      </c>
      <c r="AE24" s="452" t="s">
        <v>217</v>
      </c>
      <c r="AF24" s="382">
        <v>2.08</v>
      </c>
      <c r="AG24" s="382">
        <v>16.7</v>
      </c>
      <c r="AH24" s="384">
        <v>0</v>
      </c>
      <c r="AI24" s="382"/>
      <c r="AJ24" s="463" t="s">
        <v>301</v>
      </c>
      <c r="AK24" s="470"/>
      <c r="AL24" s="383" t="s">
        <v>200</v>
      </c>
      <c r="AM24" s="425">
        <v>10.06</v>
      </c>
      <c r="AN24" s="425">
        <v>5.04</v>
      </c>
      <c r="AO24" s="425">
        <f t="shared" si="6"/>
        <v>0.2</v>
      </c>
      <c r="AP24" s="424" t="s">
        <v>161</v>
      </c>
      <c r="AQ24" s="466"/>
      <c r="AR24" s="466"/>
      <c r="AS24" s="428"/>
      <c r="AT24" s="466" t="s">
        <v>249</v>
      </c>
      <c r="AU24" s="450" t="s">
        <v>204</v>
      </c>
      <c r="AV24" s="452" t="s">
        <v>201</v>
      </c>
      <c r="AW24" s="466" t="s">
        <v>302</v>
      </c>
      <c r="AX24" s="428"/>
      <c r="AY24" s="428"/>
      <c r="AZ24" s="452" t="s">
        <v>161</v>
      </c>
      <c r="BB24" s="405"/>
      <c r="BC24" s="476"/>
      <c r="BE24" s="405"/>
      <c r="BF24" s="405"/>
      <c r="BG24" s="405"/>
    </row>
    <row r="25">
      <c r="A25" s="380" t="s">
        <v>195</v>
      </c>
      <c r="B25" s="382" t="s">
        <v>193</v>
      </c>
      <c r="C25" s="381" t="s">
        <v>194</v>
      </c>
      <c r="D25" s="384">
        <v>2</v>
      </c>
      <c r="E25" s="382"/>
      <c r="F25" s="382">
        <v>60</v>
      </c>
      <c r="G25" s="382">
        <f t="shared" si="3"/>
        <v>47.78</v>
      </c>
      <c r="H25" s="382"/>
      <c r="I25" s="382">
        <f t="shared" si="4"/>
        <v>0</v>
      </c>
      <c r="J25" s="382">
        <v>32.43</v>
      </c>
      <c r="K25" s="382">
        <f t="shared" si="0"/>
        <v>45.11</v>
      </c>
      <c r="L25" s="382"/>
      <c r="M25" s="382">
        <f t="shared" si="1"/>
        <v>0</v>
      </c>
      <c r="N25" s="382"/>
      <c r="O25" s="382">
        <f t="shared" si="2"/>
        <v>0</v>
      </c>
      <c r="P25" s="382"/>
      <c r="Q25" s="382"/>
      <c r="R25" s="382"/>
      <c r="S25" s="382"/>
      <c r="T25" s="382"/>
      <c r="U25" s="382"/>
      <c r="V25" s="382"/>
      <c r="W25" s="381"/>
      <c r="X25" s="445"/>
      <c r="Y25" s="380" t="s">
        <v>303</v>
      </c>
      <c r="Z25" s="380"/>
      <c r="AA25" s="380"/>
      <c r="AB25" s="380"/>
      <c r="AC25" s="467"/>
      <c r="AD25" s="469" t="s">
        <v>304</v>
      </c>
      <c r="AE25" s="392" t="s">
        <v>194</v>
      </c>
      <c r="AF25" s="459">
        <v>2.64</v>
      </c>
      <c r="AG25" s="459">
        <v>18</v>
      </c>
      <c r="AH25" s="384">
        <v>0</v>
      </c>
      <c r="AI25" s="382"/>
      <c r="AJ25" s="463" t="s">
        <v>305</v>
      </c>
      <c r="AK25" s="470"/>
      <c r="AL25" s="381" t="s">
        <v>204</v>
      </c>
      <c r="AM25" s="382">
        <v>13</v>
      </c>
      <c r="AN25" s="382">
        <v>6</v>
      </c>
      <c r="AO25" s="382">
        <v>0.2</v>
      </c>
      <c r="AP25" s="452" t="s">
        <v>306</v>
      </c>
      <c r="AQ25" s="455"/>
      <c r="AR25" s="452"/>
      <c r="AS25" s="428"/>
      <c r="AT25" s="451" t="s">
        <v>249</v>
      </c>
      <c r="AU25" s="450" t="s">
        <v>194</v>
      </c>
      <c r="AV25" s="452" t="s">
        <v>212</v>
      </c>
      <c r="AW25" s="451" t="s">
        <v>307</v>
      </c>
      <c r="AX25" s="428"/>
      <c r="AY25" s="428"/>
      <c r="AZ25" s="452" t="s">
        <v>161</v>
      </c>
      <c r="BB25" s="405"/>
      <c r="BC25" s="476"/>
      <c r="BE25" s="405"/>
      <c r="BF25" s="405"/>
      <c r="BG25" s="405"/>
    </row>
    <row r="26">
      <c r="A26" s="380" t="s">
        <v>195</v>
      </c>
      <c r="B26" s="382" t="s">
        <v>193</v>
      </c>
      <c r="C26" s="381" t="s">
        <v>194</v>
      </c>
      <c r="D26" s="384">
        <v>3</v>
      </c>
      <c r="E26" s="382"/>
      <c r="F26" s="382">
        <v>60</v>
      </c>
      <c r="G26" s="382">
        <f t="shared" si="3"/>
        <v>47.78</v>
      </c>
      <c r="H26" s="382"/>
      <c r="I26" s="382">
        <f t="shared" si="4"/>
        <v>0</v>
      </c>
      <c r="J26" s="382">
        <v>32.43</v>
      </c>
      <c r="K26" s="382">
        <f t="shared" si="0"/>
        <v>45.11</v>
      </c>
      <c r="L26" s="382"/>
      <c r="M26" s="382">
        <f t="shared" si="1"/>
        <v>0</v>
      </c>
      <c r="N26" s="382"/>
      <c r="O26" s="382">
        <f t="shared" si="2"/>
        <v>0</v>
      </c>
      <c r="P26" s="382"/>
      <c r="Q26" s="382"/>
      <c r="R26" s="382"/>
      <c r="S26" s="382"/>
      <c r="T26" s="382"/>
      <c r="U26" s="382"/>
      <c r="V26" s="382"/>
      <c r="W26" s="381"/>
      <c r="X26" s="445"/>
      <c r="Y26" s="380" t="s">
        <v>308</v>
      </c>
      <c r="Z26" s="380"/>
      <c r="AA26" s="380"/>
      <c r="AB26" s="380"/>
      <c r="AC26" s="467"/>
      <c r="AD26" s="464" t="s">
        <v>309</v>
      </c>
      <c r="AE26" s="392" t="s">
        <v>204</v>
      </c>
      <c r="AF26" s="382">
        <v>1.31</v>
      </c>
      <c r="AG26" s="382">
        <v>17.8</v>
      </c>
      <c r="AH26" s="384">
        <v>0</v>
      </c>
      <c r="AI26" s="382"/>
      <c r="AJ26" s="456" t="s">
        <v>272</v>
      </c>
      <c r="AK26" s="449"/>
      <c r="AL26" s="398"/>
      <c r="AM26" s="382"/>
      <c r="AN26" s="382"/>
      <c r="AO26" s="382"/>
      <c r="AP26" s="478"/>
      <c r="AQ26" s="455"/>
      <c r="AR26" s="452"/>
      <c r="AS26" s="428"/>
      <c r="AT26" s="451" t="s">
        <v>254</v>
      </c>
      <c r="AU26" s="450" t="s">
        <v>235</v>
      </c>
      <c r="AV26" s="452" t="s">
        <v>310</v>
      </c>
      <c r="AW26" s="451" t="s">
        <v>311</v>
      </c>
      <c r="AX26" s="428"/>
      <c r="AY26" s="428"/>
      <c r="AZ26" s="452" t="s">
        <v>161</v>
      </c>
      <c r="BB26" s="405"/>
      <c r="BC26" s="476"/>
      <c r="BE26" s="405"/>
      <c r="BF26" s="405"/>
      <c r="BG26" s="405"/>
    </row>
    <row r="27">
      <c r="A27" s="380" t="s">
        <v>195</v>
      </c>
      <c r="B27" s="382" t="s">
        <v>193</v>
      </c>
      <c r="C27" s="381" t="s">
        <v>194</v>
      </c>
      <c r="D27" s="384">
        <v>4</v>
      </c>
      <c r="E27" s="382"/>
      <c r="F27" s="382">
        <v>60</v>
      </c>
      <c r="G27" s="382">
        <f t="shared" si="3"/>
        <v>47.78</v>
      </c>
      <c r="H27" s="382"/>
      <c r="I27" s="382">
        <f t="shared" si="4"/>
        <v>0</v>
      </c>
      <c r="J27" s="382">
        <v>14.49</v>
      </c>
      <c r="K27" s="382">
        <f t="shared" si="0"/>
        <v>41.61</v>
      </c>
      <c r="L27" s="382"/>
      <c r="M27" s="382">
        <f t="shared" si="1"/>
        <v>0</v>
      </c>
      <c r="N27" s="382"/>
      <c r="O27" s="382">
        <f t="shared" si="2"/>
        <v>0</v>
      </c>
      <c r="P27" s="382"/>
      <c r="Q27" s="382"/>
      <c r="R27" s="382"/>
      <c r="S27" s="382"/>
      <c r="T27" s="382"/>
      <c r="U27" s="382"/>
      <c r="V27" s="382"/>
      <c r="W27" s="381"/>
      <c r="X27" s="445"/>
      <c r="Y27" s="380" t="s">
        <v>312</v>
      </c>
      <c r="Z27" s="466"/>
      <c r="AA27" s="466"/>
      <c r="AB27" s="466"/>
      <c r="AC27" s="467"/>
      <c r="AD27" s="469" t="s">
        <v>313</v>
      </c>
      <c r="AE27" s="450" t="s">
        <v>205</v>
      </c>
      <c r="AF27" s="459">
        <v>1.31</v>
      </c>
      <c r="AG27" s="459">
        <v>18</v>
      </c>
      <c r="AH27" s="384">
        <v>0</v>
      </c>
      <c r="AI27" s="459"/>
      <c r="AJ27" s="456" t="s">
        <v>267</v>
      </c>
      <c r="AK27" s="449"/>
      <c r="AL27" s="398"/>
      <c r="AM27" s="382"/>
      <c r="AN27" s="382"/>
      <c r="AO27" s="382"/>
      <c r="AP27" s="478"/>
      <c r="AQ27" s="455"/>
      <c r="AR27" s="452"/>
      <c r="AS27" s="428"/>
      <c r="AT27" s="466" t="s">
        <v>254</v>
      </c>
      <c r="AU27" s="450" t="s">
        <v>242</v>
      </c>
      <c r="AV27" s="450" t="s">
        <v>314</v>
      </c>
      <c r="AW27" s="451" t="s">
        <v>315</v>
      </c>
      <c r="AX27" s="428"/>
      <c r="AY27" s="428"/>
      <c r="AZ27" s="452" t="s">
        <v>161</v>
      </c>
      <c r="BB27" s="405"/>
      <c r="BC27" s="476"/>
      <c r="BE27" s="405"/>
      <c r="BF27" s="405"/>
      <c r="BG27" s="405"/>
    </row>
    <row r="28">
      <c r="A28" s="380" t="s">
        <v>299</v>
      </c>
      <c r="B28" s="382" t="s">
        <v>193</v>
      </c>
      <c r="C28" s="381" t="s">
        <v>194</v>
      </c>
      <c r="D28" s="384">
        <v>2</v>
      </c>
      <c r="E28" s="382"/>
      <c r="F28" s="382">
        <v>60</v>
      </c>
      <c r="G28" s="382">
        <f t="shared" si="3"/>
        <v>47.78</v>
      </c>
      <c r="H28" s="425">
        <v>60</v>
      </c>
      <c r="I28" s="382">
        <f t="shared" si="4"/>
        <v>47.78</v>
      </c>
      <c r="J28" s="382"/>
      <c r="K28" s="382">
        <f t="shared" si="0"/>
        <v>0</v>
      </c>
      <c r="L28" s="382"/>
      <c r="M28" s="382">
        <f t="shared" si="1"/>
        <v>0</v>
      </c>
      <c r="N28" s="382"/>
      <c r="O28" s="382">
        <f t="shared" si="2"/>
        <v>0</v>
      </c>
      <c r="P28" s="382"/>
      <c r="Q28" s="382"/>
      <c r="R28" s="382"/>
      <c r="S28" s="382"/>
      <c r="T28" s="382"/>
      <c r="U28" s="382"/>
      <c r="V28" s="382"/>
      <c r="W28" s="381"/>
      <c r="X28" s="445"/>
      <c r="Y28" s="466" t="s">
        <v>316</v>
      </c>
      <c r="Z28" s="458"/>
      <c r="AA28" s="422"/>
      <c r="AB28" s="422"/>
      <c r="AC28" s="446"/>
      <c r="AD28" s="451" t="s">
        <v>317</v>
      </c>
      <c r="AE28" s="452" t="s">
        <v>217</v>
      </c>
      <c r="AF28" s="382">
        <v>2.52</v>
      </c>
      <c r="AG28" s="382">
        <v>17.5</v>
      </c>
      <c r="AH28" s="384">
        <v>0</v>
      </c>
      <c r="AI28" s="382"/>
      <c r="AJ28" s="456" t="s">
        <v>318</v>
      </c>
      <c r="AK28" s="457"/>
      <c r="AL28" s="466"/>
      <c r="AM28" s="466"/>
      <c r="AN28" s="466"/>
      <c r="AO28" s="466"/>
      <c r="AP28" s="466"/>
      <c r="AQ28" s="466"/>
      <c r="AR28" s="466"/>
      <c r="AS28" s="428"/>
      <c r="AT28" s="466" t="s">
        <v>260</v>
      </c>
      <c r="AU28" s="450" t="s">
        <v>200</v>
      </c>
      <c r="AV28" s="450" t="s">
        <v>319</v>
      </c>
      <c r="AW28" s="451" t="s">
        <v>320</v>
      </c>
      <c r="AX28" s="428"/>
      <c r="AY28" s="428"/>
      <c r="AZ28" s="452" t="s">
        <v>161</v>
      </c>
      <c r="BB28" s="405"/>
      <c r="BC28" s="476"/>
      <c r="BE28" s="405"/>
      <c r="BF28" s="405"/>
      <c r="BG28" s="405"/>
    </row>
    <row r="29">
      <c r="A29" s="380" t="s">
        <v>299</v>
      </c>
      <c r="B29" s="382" t="s">
        <v>193</v>
      </c>
      <c r="C29" s="381" t="s">
        <v>194</v>
      </c>
      <c r="D29" s="384">
        <v>4</v>
      </c>
      <c r="E29" s="382"/>
      <c r="F29" s="382">
        <v>60</v>
      </c>
      <c r="G29" s="382">
        <f t="shared" si="3"/>
        <v>47.78</v>
      </c>
      <c r="H29" s="425">
        <v>60</v>
      </c>
      <c r="I29" s="382">
        <f t="shared" si="4"/>
        <v>47.78</v>
      </c>
      <c r="J29" s="382"/>
      <c r="K29" s="382">
        <f t="shared" si="0"/>
        <v>0</v>
      </c>
      <c r="L29" s="382"/>
      <c r="M29" s="382">
        <f t="shared" si="1"/>
        <v>0</v>
      </c>
      <c r="N29" s="382"/>
      <c r="O29" s="382">
        <f t="shared" si="2"/>
        <v>0</v>
      </c>
      <c r="P29" s="382"/>
      <c r="Q29" s="382"/>
      <c r="R29" s="382"/>
      <c r="S29" s="382"/>
      <c r="T29" s="382"/>
      <c r="U29" s="382"/>
      <c r="V29" s="382"/>
      <c r="W29" s="381"/>
      <c r="X29" s="445"/>
      <c r="Y29" s="458" t="s">
        <v>321</v>
      </c>
      <c r="Z29" s="458"/>
      <c r="AA29" s="422"/>
      <c r="AB29" s="422"/>
      <c r="AC29" s="446"/>
      <c r="AD29" s="447" t="s">
        <v>322</v>
      </c>
      <c r="AE29" s="392" t="s">
        <v>194</v>
      </c>
      <c r="AF29" s="382">
        <v>2.58</v>
      </c>
      <c r="AG29" s="382">
        <v>18</v>
      </c>
      <c r="AH29" s="384">
        <v>0</v>
      </c>
      <c r="AI29" s="459"/>
      <c r="AJ29" s="463" t="s">
        <v>281</v>
      </c>
      <c r="AK29" s="457"/>
      <c r="AL29" s="398"/>
      <c r="AM29" s="455"/>
      <c r="AN29" s="455"/>
      <c r="AO29" s="455"/>
      <c r="AP29" s="478"/>
      <c r="AQ29" s="455"/>
      <c r="AR29" s="452"/>
      <c r="AS29" s="428"/>
      <c r="AT29" s="466" t="s">
        <v>264</v>
      </c>
      <c r="AU29" s="450" t="s">
        <v>205</v>
      </c>
      <c r="AV29" s="450" t="s">
        <v>323</v>
      </c>
      <c r="AW29" s="451" t="s">
        <v>324</v>
      </c>
      <c r="AX29" s="428"/>
      <c r="AY29" s="428"/>
      <c r="AZ29" s="452" t="s">
        <v>161</v>
      </c>
      <c r="BC29" s="476"/>
      <c r="BE29" s="405"/>
      <c r="BF29" s="405"/>
      <c r="BG29" s="405"/>
    </row>
    <row r="30">
      <c r="A30" s="380" t="s">
        <v>303</v>
      </c>
      <c r="B30" s="382" t="s">
        <v>193</v>
      </c>
      <c r="C30" s="381" t="s">
        <v>194</v>
      </c>
      <c r="D30" s="384">
        <v>1</v>
      </c>
      <c r="E30" s="382"/>
      <c r="F30" s="382"/>
      <c r="G30" s="382">
        <f t="shared" si="3"/>
        <v>0</v>
      </c>
      <c r="H30" s="382"/>
      <c r="I30" s="382">
        <f t="shared" si="4"/>
        <v>0</v>
      </c>
      <c r="J30" s="382"/>
      <c r="K30" s="382">
        <f t="shared" si="0"/>
        <v>0</v>
      </c>
      <c r="L30" s="382"/>
      <c r="M30" s="382">
        <f t="shared" si="1"/>
        <v>0</v>
      </c>
      <c r="N30" s="382"/>
      <c r="O30" s="382">
        <f t="shared" si="2"/>
        <v>0</v>
      </c>
      <c r="P30" s="382"/>
      <c r="Q30" s="382"/>
      <c r="R30" s="382"/>
      <c r="S30" s="382"/>
      <c r="T30" s="382"/>
      <c r="U30" s="382"/>
      <c r="V30" s="382"/>
      <c r="W30" s="381"/>
      <c r="X30" s="445"/>
      <c r="Y30" s="458" t="s">
        <v>325</v>
      </c>
      <c r="Z30" s="380"/>
      <c r="AA30" s="380"/>
      <c r="AB30" s="380"/>
      <c r="AC30" s="446"/>
      <c r="AD30" s="447" t="s">
        <v>326</v>
      </c>
      <c r="AE30" s="392" t="s">
        <v>194</v>
      </c>
      <c r="AF30" s="382">
        <v>2.58</v>
      </c>
      <c r="AG30" s="382">
        <v>18</v>
      </c>
      <c r="AH30" s="384">
        <v>0</v>
      </c>
      <c r="AI30" s="382"/>
      <c r="AJ30" s="448" t="s">
        <v>327</v>
      </c>
      <c r="AK30" s="479"/>
      <c r="AL30" s="381"/>
      <c r="AM30" s="382"/>
      <c r="AN30" s="382"/>
      <c r="AO30" s="382"/>
      <c r="AP30" s="478"/>
      <c r="AQ30" s="455"/>
      <c r="AR30" s="452"/>
      <c r="AS30" s="428"/>
      <c r="AT30" s="466" t="s">
        <v>264</v>
      </c>
      <c r="AU30" s="452" t="s">
        <v>211</v>
      </c>
      <c r="AV30" s="452" t="s">
        <v>328</v>
      </c>
      <c r="AW30" s="451" t="s">
        <v>329</v>
      </c>
      <c r="AX30" s="428"/>
      <c r="AY30" s="428"/>
      <c r="AZ30" s="452" t="s">
        <v>161</v>
      </c>
      <c r="BB30" s="405"/>
      <c r="BC30" s="476"/>
      <c r="BE30" s="405"/>
      <c r="BF30" s="405"/>
      <c r="BG30" s="405"/>
    </row>
    <row r="31">
      <c r="A31" s="380" t="s">
        <v>303</v>
      </c>
      <c r="B31" s="382" t="s">
        <v>193</v>
      </c>
      <c r="C31" s="381" t="s">
        <v>194</v>
      </c>
      <c r="D31" s="384">
        <v>2</v>
      </c>
      <c r="E31" s="382"/>
      <c r="F31" s="382"/>
      <c r="G31" s="382">
        <f t="shared" si="3"/>
        <v>0</v>
      </c>
      <c r="H31" s="382"/>
      <c r="I31" s="382">
        <f t="shared" si="4"/>
        <v>0</v>
      </c>
      <c r="J31" s="382"/>
      <c r="K31" s="382">
        <f t="shared" si="0"/>
        <v>0</v>
      </c>
      <c r="L31" s="382"/>
      <c r="M31" s="382">
        <f t="shared" si="1"/>
        <v>0</v>
      </c>
      <c r="N31" s="382"/>
      <c r="O31" s="382">
        <f t="shared" si="2"/>
        <v>0</v>
      </c>
      <c r="P31" s="382"/>
      <c r="Q31" s="382"/>
      <c r="R31" s="382"/>
      <c r="S31" s="382"/>
      <c r="T31" s="382"/>
      <c r="U31" s="382"/>
      <c r="V31" s="382"/>
      <c r="W31" s="381"/>
      <c r="X31" s="445"/>
      <c r="Y31" s="458" t="s">
        <v>330</v>
      </c>
      <c r="Z31" s="463"/>
      <c r="AA31" s="464"/>
      <c r="AB31" s="464"/>
      <c r="AC31" s="446"/>
      <c r="AD31" s="447" t="s">
        <v>331</v>
      </c>
      <c r="AE31" s="392" t="s">
        <v>204</v>
      </c>
      <c r="AF31" s="382">
        <v>1.3</v>
      </c>
      <c r="AG31" s="382">
        <v>17.5</v>
      </c>
      <c r="AH31" s="384">
        <v>0</v>
      </c>
      <c r="AI31" s="382"/>
      <c r="AJ31" s="448" t="s">
        <v>277</v>
      </c>
      <c r="AK31" s="479"/>
      <c r="AL31" s="381"/>
      <c r="AM31" s="382"/>
      <c r="AN31" s="382"/>
      <c r="AO31" s="382"/>
      <c r="AP31" s="478"/>
      <c r="AQ31" s="455"/>
      <c r="AR31" s="452"/>
      <c r="AS31" s="428"/>
      <c r="AT31" s="451" t="s">
        <v>268</v>
      </c>
      <c r="AU31" s="450" t="s">
        <v>194</v>
      </c>
      <c r="AV31" s="450" t="s">
        <v>328</v>
      </c>
      <c r="AW31" s="451" t="s">
        <v>332</v>
      </c>
      <c r="AX31" s="428"/>
      <c r="AY31" s="428"/>
      <c r="AZ31" s="452" t="s">
        <v>161</v>
      </c>
      <c r="BC31" s="476"/>
      <c r="BE31" s="405"/>
      <c r="BF31" s="405"/>
      <c r="BG31" s="405"/>
      <c r="BH31" s="405"/>
      <c r="BI31" s="405"/>
      <c r="BJ31" s="405"/>
    </row>
    <row r="32">
      <c r="A32" s="380" t="s">
        <v>303</v>
      </c>
      <c r="B32" s="382" t="s">
        <v>193</v>
      </c>
      <c r="C32" s="381" t="s">
        <v>194</v>
      </c>
      <c r="D32" s="384">
        <v>3</v>
      </c>
      <c r="E32" s="382"/>
      <c r="F32" s="382"/>
      <c r="G32" s="382">
        <f t="shared" si="3"/>
        <v>0</v>
      </c>
      <c r="H32" s="382"/>
      <c r="I32" s="382">
        <f t="shared" si="4"/>
        <v>0</v>
      </c>
      <c r="J32" s="382"/>
      <c r="K32" s="382">
        <f t="shared" si="0"/>
        <v>0</v>
      </c>
      <c r="L32" s="382"/>
      <c r="M32" s="382">
        <f t="shared" si="1"/>
        <v>0</v>
      </c>
      <c r="N32" s="382"/>
      <c r="O32" s="382">
        <f t="shared" si="2"/>
        <v>0</v>
      </c>
      <c r="P32" s="382"/>
      <c r="Q32" s="382"/>
      <c r="R32" s="382"/>
      <c r="S32" s="382"/>
      <c r="T32" s="382"/>
      <c r="U32" s="382"/>
      <c r="V32" s="382"/>
      <c r="W32" s="381"/>
      <c r="X32" s="445"/>
      <c r="Y32" s="458" t="s">
        <v>102</v>
      </c>
      <c r="Z32" s="458"/>
      <c r="AA32" s="466"/>
      <c r="AB32" s="466"/>
      <c r="AC32" s="467"/>
      <c r="AD32" s="447" t="s">
        <v>331</v>
      </c>
      <c r="AE32" s="450" t="s">
        <v>205</v>
      </c>
      <c r="AF32" s="382">
        <v>1.3</v>
      </c>
      <c r="AG32" s="382">
        <v>18</v>
      </c>
      <c r="AH32" s="384">
        <v>0</v>
      </c>
      <c r="AI32" s="382"/>
      <c r="AJ32" s="463" t="s">
        <v>333</v>
      </c>
      <c r="AK32" s="449"/>
      <c r="AL32" s="398"/>
      <c r="AM32" s="455"/>
      <c r="AN32" s="455"/>
      <c r="AO32" s="455"/>
      <c r="AP32" s="478"/>
      <c r="AQ32" s="455"/>
      <c r="AR32" s="452"/>
      <c r="AS32" s="428"/>
      <c r="AT32" s="451" t="s">
        <v>268</v>
      </c>
      <c r="AU32" s="450" t="s">
        <v>204</v>
      </c>
      <c r="AV32" s="450" t="s">
        <v>319</v>
      </c>
      <c r="AW32" s="451" t="s">
        <v>334</v>
      </c>
      <c r="AX32" s="428"/>
      <c r="AY32" s="428"/>
      <c r="AZ32" s="452" t="s">
        <v>161</v>
      </c>
      <c r="BB32" s="405"/>
      <c r="BC32" s="476"/>
      <c r="BE32" s="405"/>
      <c r="BF32" s="405"/>
      <c r="BG32" s="405"/>
      <c r="BH32" s="405"/>
      <c r="BI32" s="405"/>
      <c r="BJ32" s="405"/>
    </row>
    <row r="33" s="405" customFormat="1">
      <c r="A33" s="380" t="s">
        <v>303</v>
      </c>
      <c r="B33" s="382" t="s">
        <v>193</v>
      </c>
      <c r="C33" s="381" t="s">
        <v>194</v>
      </c>
      <c r="D33" s="384">
        <v>4</v>
      </c>
      <c r="E33" s="382"/>
      <c r="F33" s="382"/>
      <c r="G33" s="382">
        <f t="shared" si="3"/>
        <v>0</v>
      </c>
      <c r="H33" s="382"/>
      <c r="I33" s="382">
        <f t="shared" si="4"/>
        <v>0</v>
      </c>
      <c r="J33" s="382"/>
      <c r="K33" s="382">
        <f t="shared" si="0"/>
        <v>0</v>
      </c>
      <c r="L33" s="382"/>
      <c r="M33" s="382">
        <f t="shared" si="1"/>
        <v>0</v>
      </c>
      <c r="N33" s="382"/>
      <c r="O33" s="382">
        <f t="shared" si="2"/>
        <v>0</v>
      </c>
      <c r="P33" s="382"/>
      <c r="Q33" s="382"/>
      <c r="R33" s="382"/>
      <c r="S33" s="382"/>
      <c r="T33" s="382"/>
      <c r="U33" s="382"/>
      <c r="V33" s="382"/>
      <c r="W33" s="381"/>
      <c r="X33" s="445"/>
      <c r="Y33" s="458" t="s">
        <v>335</v>
      </c>
      <c r="Z33" s="458"/>
      <c r="AA33" s="466"/>
      <c r="AB33" s="466"/>
      <c r="AC33" s="467"/>
      <c r="AD33" s="469" t="s">
        <v>336</v>
      </c>
      <c r="AE33" s="452" t="s">
        <v>217</v>
      </c>
      <c r="AF33" s="461">
        <v>2.58</v>
      </c>
      <c r="AG33" s="461">
        <v>17.2</v>
      </c>
      <c r="AH33" s="384">
        <v>0</v>
      </c>
      <c r="AI33" s="382"/>
      <c r="AJ33" s="456" t="s">
        <v>337</v>
      </c>
      <c r="AK33" s="449"/>
      <c r="AL33" s="398"/>
      <c r="AM33" s="455"/>
      <c r="AN33" s="455"/>
      <c r="AO33" s="455"/>
      <c r="AP33" s="478"/>
      <c r="AQ33" s="455"/>
      <c r="AR33" s="452"/>
      <c r="AS33" s="428"/>
      <c r="AT33" s="451" t="s">
        <v>268</v>
      </c>
      <c r="AU33" s="452" t="s">
        <v>217</v>
      </c>
      <c r="AV33" s="452" t="s">
        <v>338</v>
      </c>
      <c r="AW33" s="451" t="s">
        <v>339</v>
      </c>
      <c r="AX33" s="428"/>
      <c r="AY33" s="428"/>
      <c r="AZ33" s="452" t="s">
        <v>198</v>
      </c>
      <c r="BA33" s="406"/>
      <c r="BC33" s="476"/>
      <c r="BD33" s="477"/>
    </row>
    <row r="34" s="405" customFormat="1">
      <c r="A34" s="385" t="s">
        <v>308</v>
      </c>
      <c r="B34" s="425" t="s">
        <v>193</v>
      </c>
      <c r="C34" s="383" t="s">
        <v>194</v>
      </c>
      <c r="D34" s="386">
        <v>2</v>
      </c>
      <c r="E34" s="425"/>
      <c r="F34" s="425">
        <v>60</v>
      </c>
      <c r="G34" s="425">
        <f t="shared" si="3"/>
        <v>47.78</v>
      </c>
      <c r="H34" s="425">
        <v>71</v>
      </c>
      <c r="I34" s="382">
        <f t="shared" si="4"/>
        <v>48.51</v>
      </c>
      <c r="J34" s="382">
        <v>90</v>
      </c>
      <c r="K34" s="382">
        <f t="shared" si="0"/>
        <v>49.54</v>
      </c>
      <c r="L34" s="425">
        <v>40</v>
      </c>
      <c r="M34" s="382">
        <f t="shared" si="1"/>
        <v>46.02</v>
      </c>
      <c r="N34" s="382"/>
      <c r="O34" s="382">
        <f t="shared" si="2"/>
        <v>0</v>
      </c>
      <c r="P34" s="382"/>
      <c r="Q34" s="382"/>
      <c r="R34" s="382"/>
      <c r="S34" s="382"/>
      <c r="T34" s="382"/>
      <c r="U34" s="382"/>
      <c r="V34" s="382"/>
      <c r="W34" s="381"/>
      <c r="X34" s="445"/>
      <c r="Y34" s="380" t="s">
        <v>340</v>
      </c>
      <c r="Z34" s="380"/>
      <c r="AA34" s="380"/>
      <c r="AB34" s="380"/>
      <c r="AC34" s="446"/>
      <c r="AD34" s="447" t="s">
        <v>341</v>
      </c>
      <c r="AE34" s="450" t="s">
        <v>205</v>
      </c>
      <c r="AF34" s="382">
        <v>1.31</v>
      </c>
      <c r="AG34" s="382">
        <v>18</v>
      </c>
      <c r="AH34" s="384">
        <v>0</v>
      </c>
      <c r="AI34" s="382"/>
      <c r="AJ34" s="456" t="s">
        <v>342</v>
      </c>
      <c r="AK34" s="465"/>
      <c r="AL34" s="381"/>
      <c r="AM34" s="382"/>
      <c r="AN34" s="382"/>
      <c r="AO34" s="382"/>
      <c r="AP34" s="478"/>
      <c r="AQ34" s="455"/>
      <c r="AR34" s="452"/>
      <c r="AS34" s="428"/>
      <c r="AT34" s="451" t="s">
        <v>274</v>
      </c>
      <c r="AU34" s="450" t="s">
        <v>194</v>
      </c>
      <c r="AV34" s="450" t="s">
        <v>328</v>
      </c>
      <c r="AW34" s="451" t="s">
        <v>343</v>
      </c>
      <c r="AX34" s="428"/>
      <c r="AY34" s="428"/>
      <c r="AZ34" s="452" t="s">
        <v>198</v>
      </c>
      <c r="BA34" s="406"/>
      <c r="BC34" s="476"/>
      <c r="BD34" s="477"/>
    </row>
    <row r="35" s="405" customFormat="1">
      <c r="A35" s="380" t="s">
        <v>308</v>
      </c>
      <c r="B35" s="382" t="s">
        <v>193</v>
      </c>
      <c r="C35" s="381" t="s">
        <v>194</v>
      </c>
      <c r="D35" s="384">
        <v>3</v>
      </c>
      <c r="E35" s="382"/>
      <c r="F35" s="382"/>
      <c r="G35" s="382">
        <f t="shared" si="3"/>
        <v>0</v>
      </c>
      <c r="H35" s="425">
        <v>71</v>
      </c>
      <c r="I35" s="382">
        <f t="shared" si="4"/>
        <v>48.51</v>
      </c>
      <c r="J35" s="382"/>
      <c r="K35" s="382">
        <f t="shared" si="0"/>
        <v>0</v>
      </c>
      <c r="L35" s="425">
        <v>60</v>
      </c>
      <c r="M35" s="382">
        <f t="shared" si="1"/>
        <v>47.78</v>
      </c>
      <c r="N35" s="382"/>
      <c r="O35" s="382">
        <f t="shared" si="2"/>
        <v>0</v>
      </c>
      <c r="P35" s="382"/>
      <c r="Q35" s="382"/>
      <c r="R35" s="382"/>
      <c r="S35" s="382"/>
      <c r="T35" s="382"/>
      <c r="U35" s="382"/>
      <c r="V35" s="382"/>
      <c r="W35" s="381"/>
      <c r="X35" s="445"/>
      <c r="Y35" s="463" t="s">
        <v>344</v>
      </c>
      <c r="Z35" s="458"/>
      <c r="AA35" s="464"/>
      <c r="AB35" s="464"/>
      <c r="AC35" s="446"/>
      <c r="AD35" s="451" t="s">
        <v>218</v>
      </c>
      <c r="AE35" s="392" t="s">
        <v>194</v>
      </c>
      <c r="AF35" s="459">
        <v>2.45</v>
      </c>
      <c r="AG35" s="459">
        <v>17.5</v>
      </c>
      <c r="AH35" s="384">
        <v>0</v>
      </c>
      <c r="AI35" s="450"/>
      <c r="AJ35" s="471" t="s">
        <v>286</v>
      </c>
      <c r="AK35" s="465"/>
      <c r="AL35" s="381"/>
      <c r="AM35" s="382"/>
      <c r="AN35" s="382"/>
      <c r="AO35" s="382"/>
      <c r="AP35" s="478"/>
      <c r="AQ35" s="455"/>
      <c r="AR35" s="452"/>
      <c r="AS35" s="428"/>
      <c r="AT35" s="451" t="s">
        <v>274</v>
      </c>
      <c r="AU35" s="450" t="s">
        <v>204</v>
      </c>
      <c r="AV35" s="450" t="s">
        <v>319</v>
      </c>
      <c r="AW35" s="451" t="s">
        <v>345</v>
      </c>
      <c r="AX35" s="428"/>
      <c r="AY35" s="428"/>
      <c r="AZ35" s="452" t="s">
        <v>198</v>
      </c>
      <c r="BA35" s="406"/>
      <c r="BB35" s="409"/>
      <c r="BC35" s="480"/>
      <c r="BD35" s="477"/>
      <c r="BE35" s="409"/>
      <c r="BF35" s="409"/>
      <c r="BG35" s="409"/>
    </row>
    <row r="36" s="405" customFormat="1">
      <c r="A36" s="385" t="s">
        <v>308</v>
      </c>
      <c r="B36" s="425" t="s">
        <v>193</v>
      </c>
      <c r="C36" s="383" t="s">
        <v>194</v>
      </c>
      <c r="D36" s="386">
        <v>4</v>
      </c>
      <c r="E36" s="425"/>
      <c r="F36" s="425">
        <v>60</v>
      </c>
      <c r="G36" s="425">
        <f t="shared" si="3"/>
        <v>47.78</v>
      </c>
      <c r="H36" s="425">
        <v>71</v>
      </c>
      <c r="I36" s="382">
        <f t="shared" si="4"/>
        <v>48.51</v>
      </c>
      <c r="J36" s="382">
        <v>40</v>
      </c>
      <c r="K36" s="382">
        <f t="shared" si="0"/>
        <v>46.02</v>
      </c>
      <c r="L36" s="425">
        <v>80</v>
      </c>
      <c r="M36" s="382">
        <f t="shared" si="1"/>
        <v>49.03</v>
      </c>
      <c r="N36" s="382"/>
      <c r="O36" s="382">
        <f t="shared" si="2"/>
        <v>0</v>
      </c>
      <c r="P36" s="382"/>
      <c r="Q36" s="382"/>
      <c r="R36" s="382"/>
      <c r="S36" s="382"/>
      <c r="T36" s="382"/>
      <c r="U36" s="382"/>
      <c r="V36" s="382"/>
      <c r="W36" s="381"/>
      <c r="X36" s="445"/>
      <c r="Y36" s="458" t="s">
        <v>346</v>
      </c>
      <c r="Z36" s="458"/>
      <c r="AA36" s="464"/>
      <c r="AB36" s="464"/>
      <c r="AC36" s="467"/>
      <c r="AD36" s="451" t="s">
        <v>218</v>
      </c>
      <c r="AE36" s="392" t="s">
        <v>204</v>
      </c>
      <c r="AF36" s="459">
        <v>2.45</v>
      </c>
      <c r="AG36" s="459">
        <v>17</v>
      </c>
      <c r="AH36" s="384">
        <v>0</v>
      </c>
      <c r="AI36" s="382"/>
      <c r="AJ36" s="463" t="s">
        <v>347</v>
      </c>
      <c r="AK36" s="470"/>
      <c r="AL36" s="381"/>
      <c r="AM36" s="382"/>
      <c r="AN36" s="382"/>
      <c r="AO36" s="382"/>
      <c r="AP36" s="478"/>
      <c r="AQ36" s="455"/>
      <c r="AR36" s="452"/>
      <c r="AS36" s="428"/>
      <c r="AT36" s="451" t="s">
        <v>274</v>
      </c>
      <c r="AU36" s="452" t="s">
        <v>217</v>
      </c>
      <c r="AV36" s="452" t="s">
        <v>338</v>
      </c>
      <c r="AW36" s="451" t="s">
        <v>348</v>
      </c>
      <c r="AX36" s="428"/>
      <c r="AY36" s="428"/>
      <c r="AZ36" s="452" t="s">
        <v>198</v>
      </c>
      <c r="BA36" s="406"/>
      <c r="BB36" s="409"/>
      <c r="BC36" s="480"/>
      <c r="BD36" s="477"/>
      <c r="BE36" s="409"/>
      <c r="BF36" s="409"/>
      <c r="BG36" s="409"/>
    </row>
    <row r="37" s="405" customFormat="1">
      <c r="A37" s="380" t="s">
        <v>308</v>
      </c>
      <c r="B37" s="382" t="s">
        <v>193</v>
      </c>
      <c r="C37" s="381" t="s">
        <v>194</v>
      </c>
      <c r="D37" s="384">
        <v>6</v>
      </c>
      <c r="E37" s="382"/>
      <c r="F37" s="382"/>
      <c r="G37" s="382">
        <f t="shared" si="3"/>
        <v>0</v>
      </c>
      <c r="H37" s="382"/>
      <c r="I37" s="382">
        <f t="shared" si="4"/>
        <v>0</v>
      </c>
      <c r="J37" s="382"/>
      <c r="K37" s="382">
        <f t="shared" si="0"/>
        <v>0</v>
      </c>
      <c r="L37" s="425">
        <v>120</v>
      </c>
      <c r="M37" s="382">
        <f t="shared" si="1"/>
        <v>50.79</v>
      </c>
      <c r="N37" s="382"/>
      <c r="O37" s="382">
        <f t="shared" si="2"/>
        <v>0</v>
      </c>
      <c r="P37" s="382"/>
      <c r="Q37" s="382"/>
      <c r="R37" s="382"/>
      <c r="S37" s="382"/>
      <c r="T37" s="382"/>
      <c r="U37" s="382"/>
      <c r="V37" s="382"/>
      <c r="W37" s="381"/>
      <c r="X37" s="445"/>
      <c r="Y37" s="458" t="s">
        <v>349</v>
      </c>
      <c r="Z37" s="458"/>
      <c r="AA37" s="464"/>
      <c r="AB37" s="464"/>
      <c r="AC37" s="467"/>
      <c r="AD37" s="451" t="s">
        <v>223</v>
      </c>
      <c r="AE37" s="392" t="s">
        <v>194</v>
      </c>
      <c r="AF37" s="459">
        <v>2.45</v>
      </c>
      <c r="AG37" s="459">
        <v>17.1</v>
      </c>
      <c r="AH37" s="384">
        <v>0</v>
      </c>
      <c r="AI37" s="452"/>
      <c r="AJ37" s="471" t="s">
        <v>300</v>
      </c>
      <c r="AK37" s="470"/>
      <c r="AL37" s="381"/>
      <c r="AM37" s="382"/>
      <c r="AN37" s="382"/>
      <c r="AO37" s="382"/>
      <c r="AP37" s="478"/>
      <c r="AQ37" s="455"/>
      <c r="AR37" s="452"/>
      <c r="AS37" s="428"/>
      <c r="AT37" s="451" t="s">
        <v>279</v>
      </c>
      <c r="AU37" s="450" t="s">
        <v>194</v>
      </c>
      <c r="AV37" s="450" t="s">
        <v>328</v>
      </c>
      <c r="AW37" s="466" t="s">
        <v>350</v>
      </c>
      <c r="AX37" s="428"/>
      <c r="AY37" s="428"/>
      <c r="AZ37" s="452" t="s">
        <v>198</v>
      </c>
      <c r="BA37" s="406"/>
      <c r="BB37" s="409"/>
      <c r="BC37" s="480"/>
      <c r="BD37" s="477"/>
      <c r="BE37" s="409"/>
      <c r="BF37" s="409"/>
      <c r="BG37" s="409"/>
    </row>
    <row r="38" s="405" customFormat="1">
      <c r="A38" s="380" t="s">
        <v>312</v>
      </c>
      <c r="B38" s="382" t="s">
        <v>193</v>
      </c>
      <c r="C38" s="381" t="s">
        <v>194</v>
      </c>
      <c r="D38" s="384">
        <v>1</v>
      </c>
      <c r="E38" s="382"/>
      <c r="F38" s="382"/>
      <c r="G38" s="382">
        <f t="shared" si="3"/>
        <v>0</v>
      </c>
      <c r="H38" s="382"/>
      <c r="I38" s="382">
        <f t="shared" si="4"/>
        <v>0</v>
      </c>
      <c r="J38" s="382"/>
      <c r="K38" s="382">
        <f t="shared" si="0"/>
        <v>0</v>
      </c>
      <c r="L38" s="382"/>
      <c r="M38" s="382">
        <f t="shared" si="1"/>
        <v>0</v>
      </c>
      <c r="N38" s="382"/>
      <c r="O38" s="382">
        <f t="shared" si="2"/>
        <v>0</v>
      </c>
      <c r="P38" s="382"/>
      <c r="Q38" s="382"/>
      <c r="R38" s="382"/>
      <c r="S38" s="382"/>
      <c r="T38" s="382"/>
      <c r="U38" s="382"/>
      <c r="V38" s="382"/>
      <c r="W38" s="381"/>
      <c r="X38" s="445"/>
      <c r="Y38" s="469" t="s">
        <v>351</v>
      </c>
      <c r="Z38" s="382"/>
      <c r="AA38" s="466"/>
      <c r="AB38" s="466"/>
      <c r="AC38" s="467"/>
      <c r="AD38" s="451" t="s">
        <v>223</v>
      </c>
      <c r="AE38" s="392" t="s">
        <v>204</v>
      </c>
      <c r="AF38" s="459">
        <v>2.45</v>
      </c>
      <c r="AG38" s="459">
        <v>16.7</v>
      </c>
      <c r="AH38" s="384">
        <v>0</v>
      </c>
      <c r="AI38" s="452"/>
      <c r="AJ38" s="448" t="s">
        <v>294</v>
      </c>
      <c r="AK38" s="470"/>
      <c r="AL38" s="381"/>
      <c r="AM38" s="382"/>
      <c r="AN38" s="382"/>
      <c r="AO38" s="382"/>
      <c r="AP38" s="478"/>
      <c r="AQ38" s="455"/>
      <c r="AR38" s="452"/>
      <c r="AS38" s="428"/>
      <c r="AT38" s="451" t="s">
        <v>279</v>
      </c>
      <c r="AU38" s="450" t="s">
        <v>204</v>
      </c>
      <c r="AV38" s="450" t="s">
        <v>319</v>
      </c>
      <c r="AW38" s="466" t="s">
        <v>352</v>
      </c>
      <c r="AX38" s="428"/>
      <c r="AY38" s="428"/>
      <c r="AZ38" s="452" t="s">
        <v>198</v>
      </c>
      <c r="BA38" s="406"/>
      <c r="BB38" s="409"/>
      <c r="BC38" s="480"/>
      <c r="BD38" s="477"/>
      <c r="BE38" s="409"/>
      <c r="BF38" s="409"/>
      <c r="BG38" s="409"/>
    </row>
    <row r="39" s="405" customFormat="1">
      <c r="A39" s="380" t="s">
        <v>312</v>
      </c>
      <c r="B39" s="382" t="s">
        <v>193</v>
      </c>
      <c r="C39" s="381" t="s">
        <v>194</v>
      </c>
      <c r="D39" s="384">
        <v>2</v>
      </c>
      <c r="E39" s="382"/>
      <c r="F39" s="382">
        <v>60</v>
      </c>
      <c r="G39" s="382">
        <f t="shared" si="3"/>
        <v>47.78</v>
      </c>
      <c r="H39" s="382"/>
      <c r="I39" s="382">
        <f t="shared" si="4"/>
        <v>0</v>
      </c>
      <c r="J39" s="382">
        <v>90</v>
      </c>
      <c r="K39" s="382">
        <f t="shared" si="0"/>
        <v>49.54</v>
      </c>
      <c r="L39" s="425">
        <v>40</v>
      </c>
      <c r="M39" s="382">
        <f t="shared" si="1"/>
        <v>46.02</v>
      </c>
      <c r="N39" s="382"/>
      <c r="O39" s="382">
        <f t="shared" si="2"/>
        <v>0</v>
      </c>
      <c r="P39" s="382"/>
      <c r="Q39" s="382"/>
      <c r="R39" s="382"/>
      <c r="S39" s="382"/>
      <c r="T39" s="382"/>
      <c r="U39" s="382"/>
      <c r="V39" s="382"/>
      <c r="W39" s="381"/>
      <c r="X39" s="445"/>
      <c r="Y39" s="466" t="s">
        <v>353</v>
      </c>
      <c r="Z39" s="382"/>
      <c r="AA39" s="466"/>
      <c r="AB39" s="466"/>
      <c r="AC39" s="467"/>
      <c r="AD39" s="464" t="s">
        <v>234</v>
      </c>
      <c r="AE39" s="392" t="s">
        <v>194</v>
      </c>
      <c r="AF39" s="382">
        <v>2.45</v>
      </c>
      <c r="AG39" s="382">
        <v>17.8</v>
      </c>
      <c r="AH39" s="384">
        <v>0</v>
      </c>
      <c r="AI39" s="459"/>
      <c r="AJ39" s="448" t="s">
        <v>291</v>
      </c>
      <c r="AK39" s="470"/>
      <c r="AL39" s="381"/>
      <c r="AM39" s="382"/>
      <c r="AN39" s="382"/>
      <c r="AO39" s="382"/>
      <c r="AP39" s="478"/>
      <c r="AQ39" s="455"/>
      <c r="AR39" s="452"/>
      <c r="AS39" s="428"/>
      <c r="AT39" s="451" t="s">
        <v>279</v>
      </c>
      <c r="AU39" s="452" t="s">
        <v>217</v>
      </c>
      <c r="AV39" s="452" t="s">
        <v>338</v>
      </c>
      <c r="AW39" s="466" t="s">
        <v>354</v>
      </c>
      <c r="AX39" s="428"/>
      <c r="AY39" s="428"/>
      <c r="AZ39" s="452" t="s">
        <v>198</v>
      </c>
      <c r="BA39" s="406"/>
      <c r="BB39" s="409"/>
      <c r="BC39" s="480"/>
      <c r="BD39" s="477"/>
      <c r="BE39" s="409"/>
      <c r="BF39" s="409"/>
      <c r="BG39" s="409"/>
    </row>
    <row r="40" s="405" customFormat="1">
      <c r="A40" s="380" t="s">
        <v>312</v>
      </c>
      <c r="B40" s="382" t="s">
        <v>193</v>
      </c>
      <c r="C40" s="381" t="s">
        <v>194</v>
      </c>
      <c r="D40" s="384">
        <v>3</v>
      </c>
      <c r="E40" s="382"/>
      <c r="F40" s="382"/>
      <c r="G40" s="382">
        <f t="shared" si="3"/>
        <v>0</v>
      </c>
      <c r="H40" s="382"/>
      <c r="I40" s="382">
        <f t="shared" si="4"/>
        <v>0</v>
      </c>
      <c r="J40" s="382"/>
      <c r="K40" s="382">
        <f t="shared" si="0"/>
        <v>0</v>
      </c>
      <c r="L40" s="425">
        <v>60</v>
      </c>
      <c r="M40" s="382">
        <f t="shared" si="1"/>
        <v>47.78</v>
      </c>
      <c r="N40" s="382"/>
      <c r="O40" s="382">
        <f t="shared" si="2"/>
        <v>0</v>
      </c>
      <c r="P40" s="382"/>
      <c r="Q40" s="382"/>
      <c r="R40" s="382"/>
      <c r="S40" s="382"/>
      <c r="T40" s="382"/>
      <c r="U40" s="382"/>
      <c r="V40" s="382"/>
      <c r="W40" s="381"/>
      <c r="X40" s="445"/>
      <c r="Y40" s="466" t="s">
        <v>355</v>
      </c>
      <c r="Z40" s="382"/>
      <c r="AA40" s="380"/>
      <c r="AB40" s="380"/>
      <c r="AC40" s="467"/>
      <c r="AD40" s="447" t="s">
        <v>248</v>
      </c>
      <c r="AE40" s="392" t="s">
        <v>194</v>
      </c>
      <c r="AF40" s="382">
        <v>2.44</v>
      </c>
      <c r="AG40" s="382">
        <v>18.1</v>
      </c>
      <c r="AH40" s="384">
        <v>0</v>
      </c>
      <c r="AI40" s="459"/>
      <c r="AJ40" s="471" t="s">
        <v>356</v>
      </c>
      <c r="AK40" s="449"/>
      <c r="AL40" s="398"/>
      <c r="AM40" s="455"/>
      <c r="AN40" s="455"/>
      <c r="AO40" s="455"/>
      <c r="AP40" s="478"/>
      <c r="AQ40" s="455"/>
      <c r="AR40" s="452"/>
      <c r="AS40" s="428"/>
      <c r="AT40" s="451" t="s">
        <v>283</v>
      </c>
      <c r="AU40" s="450" t="s">
        <v>194</v>
      </c>
      <c r="AV40" s="450" t="s">
        <v>328</v>
      </c>
      <c r="AW40" s="466" t="s">
        <v>357</v>
      </c>
      <c r="AX40" s="428"/>
      <c r="AY40" s="428"/>
      <c r="AZ40" s="452" t="s">
        <v>198</v>
      </c>
      <c r="BA40" s="406"/>
      <c r="BB40" s="409"/>
      <c r="BC40" s="480"/>
      <c r="BD40" s="477"/>
      <c r="BE40" s="409"/>
      <c r="BF40" s="409"/>
      <c r="BG40" s="409"/>
    </row>
    <row r="41" s="405" customFormat="1">
      <c r="A41" s="380" t="s">
        <v>312</v>
      </c>
      <c r="B41" s="382" t="s">
        <v>193</v>
      </c>
      <c r="C41" s="381" t="s">
        <v>194</v>
      </c>
      <c r="D41" s="384">
        <v>4</v>
      </c>
      <c r="E41" s="382"/>
      <c r="F41" s="382">
        <v>60</v>
      </c>
      <c r="G41" s="382">
        <f t="shared" si="3"/>
        <v>47.78</v>
      </c>
      <c r="H41" s="382"/>
      <c r="I41" s="382">
        <f t="shared" si="4"/>
        <v>0</v>
      </c>
      <c r="J41" s="382">
        <v>40</v>
      </c>
      <c r="K41" s="382">
        <f t="shared" si="0"/>
        <v>46.02</v>
      </c>
      <c r="L41" s="425">
        <v>80</v>
      </c>
      <c r="M41" s="382">
        <f t="shared" si="1"/>
        <v>49.03</v>
      </c>
      <c r="N41" s="382"/>
      <c r="O41" s="382">
        <f t="shared" si="2"/>
        <v>0</v>
      </c>
      <c r="P41" s="382"/>
      <c r="Q41" s="382"/>
      <c r="R41" s="382"/>
      <c r="S41" s="382"/>
      <c r="T41" s="382"/>
      <c r="U41" s="382"/>
      <c r="V41" s="382"/>
      <c r="W41" s="382"/>
      <c r="X41" s="445"/>
      <c r="Y41" s="466"/>
      <c r="Z41" s="382"/>
      <c r="AA41" s="380"/>
      <c r="AB41" s="380"/>
      <c r="AC41" s="467"/>
      <c r="AD41" s="451" t="s">
        <v>356</v>
      </c>
      <c r="AE41" s="450" t="s">
        <v>205</v>
      </c>
      <c r="AF41" s="459">
        <v>1.35</v>
      </c>
      <c r="AG41" s="459">
        <v>18.4</v>
      </c>
      <c r="AH41" s="384">
        <v>0</v>
      </c>
      <c r="AI41" s="382"/>
      <c r="AJ41" s="448" t="s">
        <v>358</v>
      </c>
      <c r="AK41" s="449"/>
      <c r="AL41" s="398"/>
      <c r="AM41" s="455"/>
      <c r="AN41" s="455"/>
      <c r="AO41" s="455"/>
      <c r="AP41" s="478"/>
      <c r="AQ41" s="455"/>
      <c r="AR41" s="452"/>
      <c r="AS41" s="428"/>
      <c r="AT41" s="451" t="s">
        <v>283</v>
      </c>
      <c r="AU41" s="450" t="s">
        <v>204</v>
      </c>
      <c r="AV41" s="450" t="s">
        <v>319</v>
      </c>
      <c r="AW41" s="466" t="s">
        <v>359</v>
      </c>
      <c r="AX41" s="428"/>
      <c r="AY41" s="428"/>
      <c r="AZ41" s="452" t="s">
        <v>306</v>
      </c>
      <c r="BA41" s="406"/>
      <c r="BB41" s="409"/>
      <c r="BC41" s="480"/>
      <c r="BD41" s="477"/>
      <c r="BE41" s="409"/>
      <c r="BF41" s="409"/>
      <c r="BG41" s="409"/>
    </row>
    <row r="42" s="405" customFormat="1">
      <c r="A42" s="380" t="s">
        <v>312</v>
      </c>
      <c r="B42" s="382" t="s">
        <v>193</v>
      </c>
      <c r="C42" s="381" t="s">
        <v>194</v>
      </c>
      <c r="D42" s="384">
        <v>6</v>
      </c>
      <c r="E42" s="382"/>
      <c r="F42" s="382"/>
      <c r="G42" s="382">
        <f t="shared" si="3"/>
        <v>0</v>
      </c>
      <c r="H42" s="382"/>
      <c r="I42" s="382">
        <f t="shared" si="4"/>
        <v>0</v>
      </c>
      <c r="J42" s="382"/>
      <c r="K42" s="382">
        <f t="shared" si="0"/>
        <v>0</v>
      </c>
      <c r="L42" s="425">
        <v>120</v>
      </c>
      <c r="M42" s="382">
        <f t="shared" si="1"/>
        <v>50.79</v>
      </c>
      <c r="N42" s="382"/>
      <c r="O42" s="382">
        <f t="shared" si="2"/>
        <v>0</v>
      </c>
      <c r="P42" s="382"/>
      <c r="Q42" s="382"/>
      <c r="R42" s="382"/>
      <c r="S42" s="382"/>
      <c r="T42" s="382"/>
      <c r="U42" s="382"/>
      <c r="V42" s="382"/>
      <c r="W42" s="382"/>
      <c r="X42" s="445"/>
      <c r="Y42" s="466"/>
      <c r="Z42" s="382"/>
      <c r="AA42" s="464"/>
      <c r="AB42" s="464"/>
      <c r="AC42" s="446"/>
      <c r="AD42" s="451" t="s">
        <v>342</v>
      </c>
      <c r="AE42" s="450" t="s">
        <v>205</v>
      </c>
      <c r="AF42" s="459">
        <v>1.3</v>
      </c>
      <c r="AG42" s="459">
        <v>18</v>
      </c>
      <c r="AH42" s="384">
        <v>0</v>
      </c>
      <c r="AI42" s="382"/>
      <c r="AJ42" s="448" t="s">
        <v>360</v>
      </c>
      <c r="AK42" s="465"/>
      <c r="AL42" s="381"/>
      <c r="AM42" s="382"/>
      <c r="AN42" s="382"/>
      <c r="AO42" s="382"/>
      <c r="AP42" s="478"/>
      <c r="AQ42" s="455"/>
      <c r="AR42" s="452"/>
      <c r="AS42" s="428"/>
      <c r="AT42" s="451" t="s">
        <v>283</v>
      </c>
      <c r="AU42" s="452" t="s">
        <v>217</v>
      </c>
      <c r="AV42" s="452" t="s">
        <v>338</v>
      </c>
      <c r="AW42" s="466" t="s">
        <v>361</v>
      </c>
      <c r="AX42" s="428"/>
      <c r="AY42" s="428"/>
      <c r="AZ42" s="452" t="s">
        <v>306</v>
      </c>
      <c r="BA42" s="406"/>
      <c r="BB42" s="409"/>
      <c r="BC42" s="480"/>
      <c r="BD42" s="477"/>
      <c r="BE42" s="409"/>
      <c r="BF42" s="409"/>
      <c r="BG42" s="409"/>
    </row>
    <row r="43" s="405" customFormat="1">
      <c r="A43" s="458" t="s">
        <v>316</v>
      </c>
      <c r="B43" s="382" t="s">
        <v>193</v>
      </c>
      <c r="C43" s="381" t="s">
        <v>194</v>
      </c>
      <c r="D43" s="481">
        <v>2</v>
      </c>
      <c r="E43" s="382"/>
      <c r="F43" s="482">
        <v>60</v>
      </c>
      <c r="G43" s="382">
        <f t="shared" si="3"/>
        <v>47.78</v>
      </c>
      <c r="H43" s="483">
        <v>20</v>
      </c>
      <c r="I43" s="382">
        <f t="shared" si="4"/>
        <v>43.01</v>
      </c>
      <c r="J43" s="482">
        <v>40</v>
      </c>
      <c r="K43" s="382">
        <f t="shared" si="0"/>
        <v>46.02</v>
      </c>
      <c r="L43" s="382"/>
      <c r="M43" s="382">
        <f t="shared" si="1"/>
        <v>0</v>
      </c>
      <c r="N43" s="382"/>
      <c r="O43" s="382">
        <f t="shared" si="2"/>
        <v>0</v>
      </c>
      <c r="P43" s="382"/>
      <c r="Q43" s="382"/>
      <c r="R43" s="382"/>
      <c r="S43" s="382"/>
      <c r="T43" s="382"/>
      <c r="U43" s="382"/>
      <c r="V43" s="382"/>
      <c r="W43" s="381"/>
      <c r="X43" s="445"/>
      <c r="Y43" s="466"/>
      <c r="Z43" s="382"/>
      <c r="AA43" s="380"/>
      <c r="AB43" s="380"/>
      <c r="AC43" s="446"/>
      <c r="AD43" s="451" t="s">
        <v>337</v>
      </c>
      <c r="AE43" s="450" t="s">
        <v>205</v>
      </c>
      <c r="AF43" s="459">
        <v>1.3</v>
      </c>
      <c r="AG43" s="459">
        <v>18.1</v>
      </c>
      <c r="AH43" s="384">
        <v>0</v>
      </c>
      <c r="AI43" s="452"/>
      <c r="AJ43" s="448" t="s">
        <v>362</v>
      </c>
      <c r="AK43" s="465"/>
      <c r="AL43" s="381"/>
      <c r="AM43" s="382"/>
      <c r="AN43" s="382"/>
      <c r="AO43" s="382"/>
      <c r="AP43" s="478"/>
      <c r="AQ43" s="455"/>
      <c r="AR43" s="452"/>
      <c r="AS43" s="428"/>
      <c r="AT43" s="451" t="s">
        <v>288</v>
      </c>
      <c r="AU43" s="450" t="s">
        <v>194</v>
      </c>
      <c r="AV43" s="450" t="s">
        <v>328</v>
      </c>
      <c r="AW43" s="466" t="s">
        <v>363</v>
      </c>
      <c r="AX43" s="428"/>
      <c r="AY43" s="428"/>
      <c r="AZ43" s="452" t="s">
        <v>306</v>
      </c>
      <c r="BA43" s="406"/>
      <c r="BB43" s="409"/>
      <c r="BC43" s="480"/>
      <c r="BD43" s="477"/>
      <c r="BE43" s="409"/>
      <c r="BF43" s="409"/>
      <c r="BG43" s="409"/>
      <c r="BH43" s="409"/>
      <c r="BI43" s="409"/>
      <c r="BJ43" s="409"/>
    </row>
    <row r="44" s="405" customFormat="1">
      <c r="A44" s="458" t="s">
        <v>316</v>
      </c>
      <c r="B44" s="382" t="s">
        <v>193</v>
      </c>
      <c r="C44" s="381" t="s">
        <v>194</v>
      </c>
      <c r="D44" s="481">
        <v>4</v>
      </c>
      <c r="E44" s="382"/>
      <c r="F44" s="482"/>
      <c r="G44" s="382">
        <f t="shared" si="3"/>
        <v>0</v>
      </c>
      <c r="H44" s="483">
        <v>15</v>
      </c>
      <c r="I44" s="382">
        <f t="shared" si="4"/>
        <v>41.76</v>
      </c>
      <c r="J44" s="482">
        <v>20</v>
      </c>
      <c r="K44" s="382">
        <f t="shared" si="0"/>
        <v>43.01</v>
      </c>
      <c r="L44" s="382"/>
      <c r="M44" s="382">
        <f t="shared" si="1"/>
        <v>0</v>
      </c>
      <c r="N44" s="382"/>
      <c r="O44" s="382">
        <f t="shared" si="2"/>
        <v>0</v>
      </c>
      <c r="P44" s="382"/>
      <c r="Q44" s="382"/>
      <c r="R44" s="382"/>
      <c r="S44" s="382"/>
      <c r="T44" s="382"/>
      <c r="U44" s="382"/>
      <c r="V44" s="382"/>
      <c r="W44" s="381"/>
      <c r="X44" s="445"/>
      <c r="Y44" s="466"/>
      <c r="Z44" s="482"/>
      <c r="AA44" s="464"/>
      <c r="AB44" s="464"/>
      <c r="AC44" s="467"/>
      <c r="AD44" s="451" t="s">
        <v>333</v>
      </c>
      <c r="AE44" s="392" t="s">
        <v>194</v>
      </c>
      <c r="AF44" s="450">
        <v>0.493</v>
      </c>
      <c r="AG44" s="461">
        <v>2</v>
      </c>
      <c r="AH44" s="384">
        <v>0</v>
      </c>
      <c r="AI44" s="452"/>
      <c r="AJ44" s="484" t="s">
        <v>317</v>
      </c>
      <c r="AK44" s="470"/>
      <c r="AL44" s="381"/>
      <c r="AM44" s="382"/>
      <c r="AN44" s="382"/>
      <c r="AO44" s="382"/>
      <c r="AP44" s="478"/>
      <c r="AQ44" s="455"/>
      <c r="AR44" s="452"/>
      <c r="AS44" s="428"/>
      <c r="AT44" s="451" t="s">
        <v>288</v>
      </c>
      <c r="AU44" s="450" t="s">
        <v>204</v>
      </c>
      <c r="AV44" s="450" t="s">
        <v>319</v>
      </c>
      <c r="AW44" s="466" t="s">
        <v>364</v>
      </c>
      <c r="AX44" s="428"/>
      <c r="AY44" s="428"/>
      <c r="AZ44" s="452" t="s">
        <v>306</v>
      </c>
      <c r="BA44" s="406"/>
      <c r="BB44" s="409"/>
      <c r="BC44" s="480"/>
      <c r="BD44" s="477"/>
      <c r="BE44" s="409"/>
      <c r="BF44" s="409"/>
      <c r="BG44" s="409"/>
      <c r="BH44" s="409"/>
      <c r="BI44" s="409"/>
      <c r="BJ44" s="409"/>
    </row>
    <row r="45">
      <c r="A45" s="380" t="s">
        <v>102</v>
      </c>
      <c r="B45" s="382" t="s">
        <v>193</v>
      </c>
      <c r="C45" s="381" t="s">
        <v>194</v>
      </c>
      <c r="D45" s="384">
        <v>2</v>
      </c>
      <c r="E45" s="382"/>
      <c r="F45" s="382"/>
      <c r="G45" s="382">
        <f t="shared" si="3"/>
        <v>0</v>
      </c>
      <c r="H45" s="425">
        <v>20</v>
      </c>
      <c r="I45" s="382">
        <f t="shared" si="4"/>
        <v>43.01</v>
      </c>
      <c r="J45" s="382"/>
      <c r="K45" s="382">
        <f t="shared" si="0"/>
        <v>0</v>
      </c>
      <c r="L45" s="382"/>
      <c r="M45" s="382">
        <f t="shared" si="1"/>
        <v>0</v>
      </c>
      <c r="N45" s="405"/>
      <c r="O45" s="382">
        <f t="shared" si="2"/>
        <v>0</v>
      </c>
      <c r="P45" s="382"/>
      <c r="Q45" s="382"/>
      <c r="R45" s="382"/>
      <c r="S45" s="382"/>
      <c r="T45" s="382"/>
      <c r="U45" s="382"/>
      <c r="V45" s="382"/>
      <c r="W45" s="381"/>
      <c r="X45" s="445"/>
      <c r="Y45" s="482"/>
      <c r="Z45" s="482"/>
      <c r="AA45" s="464"/>
      <c r="AB45" s="464"/>
      <c r="AC45" s="467"/>
      <c r="AD45" s="451" t="s">
        <v>333</v>
      </c>
      <c r="AE45" s="392" t="s">
        <v>204</v>
      </c>
      <c r="AF45" s="459">
        <v>0.493</v>
      </c>
      <c r="AG45" s="459">
        <v>2</v>
      </c>
      <c r="AH45" s="485">
        <v>0</v>
      </c>
      <c r="AI45" s="452"/>
      <c r="AJ45" s="486" t="s">
        <v>304</v>
      </c>
      <c r="AK45" s="470"/>
      <c r="AL45" s="381"/>
      <c r="AM45" s="382"/>
      <c r="AN45" s="382"/>
      <c r="AO45" s="382"/>
      <c r="AP45" s="478"/>
      <c r="AQ45" s="455"/>
      <c r="AR45" s="452"/>
      <c r="AS45" s="428"/>
      <c r="AT45" s="451" t="s">
        <v>288</v>
      </c>
      <c r="AU45" s="450" t="s">
        <v>217</v>
      </c>
      <c r="AV45" s="450" t="s">
        <v>338</v>
      </c>
      <c r="AW45" s="466" t="s">
        <v>365</v>
      </c>
      <c r="AX45" s="428"/>
      <c r="AY45" s="428"/>
      <c r="AZ45" s="452" t="s">
        <v>306</v>
      </c>
      <c r="BB45" s="405"/>
      <c r="BC45" s="476"/>
      <c r="BE45" s="405"/>
      <c r="BF45" s="405"/>
      <c r="BG45" s="405"/>
    </row>
    <row r="46">
      <c r="A46" s="380" t="s">
        <v>102</v>
      </c>
      <c r="B46" s="382" t="s">
        <v>193</v>
      </c>
      <c r="C46" s="381" t="s">
        <v>194</v>
      </c>
      <c r="D46" s="384">
        <v>3</v>
      </c>
      <c r="E46" s="382"/>
      <c r="F46" s="382"/>
      <c r="G46" s="382">
        <f t="shared" si="3"/>
        <v>0</v>
      </c>
      <c r="H46" s="425">
        <v>20</v>
      </c>
      <c r="I46" s="382">
        <f t="shared" si="4"/>
        <v>43.01</v>
      </c>
      <c r="J46" s="382"/>
      <c r="K46" s="382">
        <f t="shared" si="0"/>
        <v>0</v>
      </c>
      <c r="L46" s="382"/>
      <c r="M46" s="382">
        <f t="shared" si="1"/>
        <v>0</v>
      </c>
      <c r="N46" s="382"/>
      <c r="O46" s="382">
        <f t="shared" si="2"/>
        <v>0</v>
      </c>
      <c r="P46" s="382"/>
      <c r="Q46" s="382"/>
      <c r="R46" s="382"/>
      <c r="S46" s="382"/>
      <c r="T46" s="382"/>
      <c r="U46" s="382"/>
      <c r="V46" s="382"/>
      <c r="W46" s="381"/>
      <c r="X46" s="445"/>
      <c r="Y46" s="482"/>
      <c r="Z46" s="482"/>
      <c r="AA46" s="464"/>
      <c r="AB46" s="464"/>
      <c r="AC46" s="467"/>
      <c r="AD46" s="451" t="s">
        <v>333</v>
      </c>
      <c r="AE46" s="450" t="s">
        <v>205</v>
      </c>
      <c r="AF46" s="459">
        <v>0.493</v>
      </c>
      <c r="AG46" s="459">
        <v>2</v>
      </c>
      <c r="AH46" s="384">
        <v>0</v>
      </c>
      <c r="AI46" s="382"/>
      <c r="AJ46" s="448" t="s">
        <v>309</v>
      </c>
      <c r="AK46" s="465"/>
      <c r="AL46" s="379"/>
      <c r="AM46" s="382"/>
      <c r="AN46" s="382"/>
      <c r="AO46" s="382"/>
      <c r="AP46" s="478"/>
      <c r="AQ46" s="455"/>
      <c r="AR46" s="452"/>
      <c r="AS46" s="428"/>
      <c r="AT46" s="451" t="s">
        <v>292</v>
      </c>
      <c r="AU46" s="450" t="s">
        <v>194</v>
      </c>
      <c r="AV46" s="450" t="s">
        <v>328</v>
      </c>
      <c r="AW46" s="466" t="s">
        <v>366</v>
      </c>
      <c r="AX46" s="428"/>
      <c r="AY46" s="428"/>
      <c r="AZ46" s="452" t="s">
        <v>306</v>
      </c>
      <c r="BB46" s="405"/>
      <c r="BC46" s="476"/>
      <c r="BE46" s="405"/>
      <c r="BF46" s="405"/>
      <c r="BG46" s="405"/>
    </row>
    <row r="47">
      <c r="A47" s="380" t="s">
        <v>102</v>
      </c>
      <c r="B47" s="382" t="s">
        <v>193</v>
      </c>
      <c r="C47" s="381" t="s">
        <v>194</v>
      </c>
      <c r="D47" s="384">
        <v>4</v>
      </c>
      <c r="E47" s="382"/>
      <c r="F47" s="382">
        <v>30</v>
      </c>
      <c r="G47" s="382">
        <f t="shared" si="3"/>
        <v>44.77</v>
      </c>
      <c r="H47" s="425">
        <v>20</v>
      </c>
      <c r="I47" s="382">
        <f t="shared" si="4"/>
        <v>43.01</v>
      </c>
      <c r="J47" s="382"/>
      <c r="K47" s="382">
        <f t="shared" si="0"/>
        <v>0</v>
      </c>
      <c r="L47" s="382"/>
      <c r="M47" s="382">
        <f t="shared" si="1"/>
        <v>0</v>
      </c>
      <c r="N47" s="382"/>
      <c r="O47" s="382">
        <f t="shared" si="2"/>
        <v>0</v>
      </c>
      <c r="P47" s="382"/>
      <c r="Q47" s="382"/>
      <c r="R47" s="382"/>
      <c r="S47" s="382"/>
      <c r="T47" s="382"/>
      <c r="U47" s="382"/>
      <c r="V47" s="382"/>
      <c r="W47" s="381"/>
      <c r="X47" s="445"/>
      <c r="Y47" s="482"/>
      <c r="Z47" s="482"/>
      <c r="AA47" s="466"/>
      <c r="AB47" s="466"/>
      <c r="AC47" s="467"/>
      <c r="AD47" s="447" t="s">
        <v>367</v>
      </c>
      <c r="AE47" s="392" t="s">
        <v>204</v>
      </c>
      <c r="AF47" s="382">
        <v>1.35</v>
      </c>
      <c r="AG47" s="382">
        <v>18</v>
      </c>
      <c r="AH47" s="384">
        <v>0</v>
      </c>
      <c r="AI47" s="382"/>
      <c r="AJ47" s="487" t="s">
        <v>313</v>
      </c>
      <c r="AK47" s="465"/>
      <c r="AL47" s="379"/>
      <c r="AM47" s="382"/>
      <c r="AN47" s="382"/>
      <c r="AO47" s="382"/>
      <c r="AP47" s="478"/>
      <c r="AQ47" s="455"/>
      <c r="AR47" s="452"/>
      <c r="AS47" s="428"/>
      <c r="AT47" s="451" t="s">
        <v>292</v>
      </c>
      <c r="AU47" s="450" t="s">
        <v>204</v>
      </c>
      <c r="AV47" s="450" t="s">
        <v>319</v>
      </c>
      <c r="AW47" s="466" t="s">
        <v>368</v>
      </c>
      <c r="AX47" s="428"/>
      <c r="AY47" s="428"/>
      <c r="AZ47" s="452" t="s">
        <v>306</v>
      </c>
      <c r="BB47" s="405"/>
      <c r="BC47" s="476"/>
      <c r="BE47" s="405"/>
      <c r="BF47" s="405"/>
      <c r="BG47" s="405"/>
    </row>
    <row r="48">
      <c r="A48" s="380" t="s">
        <v>335</v>
      </c>
      <c r="B48" s="382" t="s">
        <v>193</v>
      </c>
      <c r="C48" s="381" t="s">
        <v>194</v>
      </c>
      <c r="D48" s="384">
        <v>1</v>
      </c>
      <c r="E48" s="382"/>
      <c r="F48" s="382"/>
      <c r="G48" s="382">
        <f t="shared" si="3"/>
        <v>0</v>
      </c>
      <c r="H48" s="425">
        <v>63</v>
      </c>
      <c r="I48" s="382">
        <f t="shared" si="4"/>
        <v>47.99</v>
      </c>
      <c r="J48" s="382"/>
      <c r="K48" s="382">
        <f t="shared" si="0"/>
        <v>0</v>
      </c>
      <c r="L48" s="382"/>
      <c r="M48" s="382">
        <f t="shared" si="1"/>
        <v>0</v>
      </c>
      <c r="N48" s="382"/>
      <c r="O48" s="382">
        <f t="shared" si="2"/>
        <v>0</v>
      </c>
      <c r="P48" s="382"/>
      <c r="Q48" s="382"/>
      <c r="R48" s="382"/>
      <c r="S48" s="382"/>
      <c r="T48" s="382"/>
      <c r="U48" s="382"/>
      <c r="V48" s="382"/>
      <c r="W48" s="381"/>
      <c r="X48" s="445"/>
      <c r="Y48" s="482"/>
      <c r="Z48" s="482"/>
      <c r="AA48" s="466"/>
      <c r="AB48" s="466"/>
      <c r="AC48" s="467"/>
      <c r="AD48" s="447" t="s">
        <v>367</v>
      </c>
      <c r="AE48" s="450" t="s">
        <v>205</v>
      </c>
      <c r="AF48" s="382">
        <v>1.35</v>
      </c>
      <c r="AG48" s="382">
        <v>18</v>
      </c>
      <c r="AH48" s="384">
        <v>0</v>
      </c>
      <c r="AI48" s="382"/>
      <c r="AJ48" s="487" t="s">
        <v>369</v>
      </c>
      <c r="AK48" s="465"/>
      <c r="AL48" s="379"/>
      <c r="AM48" s="382"/>
      <c r="AN48" s="382"/>
      <c r="AO48" s="382"/>
      <c r="AP48" s="478"/>
      <c r="AQ48" s="455"/>
      <c r="AR48" s="452"/>
      <c r="AS48" s="428"/>
      <c r="AT48" s="466" t="s">
        <v>295</v>
      </c>
      <c r="AU48" s="450" t="s">
        <v>194</v>
      </c>
      <c r="AV48" s="450" t="s">
        <v>328</v>
      </c>
      <c r="AW48" s="466" t="s">
        <v>370</v>
      </c>
      <c r="AX48" s="428"/>
      <c r="AY48" s="428"/>
      <c r="AZ48" s="452" t="s">
        <v>306</v>
      </c>
      <c r="BB48" s="405"/>
      <c r="BC48" s="476"/>
      <c r="BE48" s="405"/>
      <c r="BF48" s="405"/>
      <c r="BG48" s="405"/>
    </row>
    <row r="49">
      <c r="A49" s="458" t="s">
        <v>335</v>
      </c>
      <c r="B49" s="382" t="s">
        <v>193</v>
      </c>
      <c r="C49" s="381" t="s">
        <v>194</v>
      </c>
      <c r="D49" s="384">
        <v>2</v>
      </c>
      <c r="E49" s="382"/>
      <c r="F49" s="382"/>
      <c r="G49" s="382">
        <f t="shared" si="3"/>
        <v>0</v>
      </c>
      <c r="H49" s="425">
        <v>63</v>
      </c>
      <c r="I49" s="382">
        <f t="shared" si="4"/>
        <v>47.99</v>
      </c>
      <c r="J49" s="382"/>
      <c r="K49" s="382">
        <f t="shared" si="0"/>
        <v>0</v>
      </c>
      <c r="L49" s="382"/>
      <c r="M49" s="382">
        <f t="shared" si="1"/>
        <v>0</v>
      </c>
      <c r="N49" s="382"/>
      <c r="O49" s="382">
        <f t="shared" si="2"/>
        <v>0</v>
      </c>
      <c r="P49" s="382"/>
      <c r="Q49" s="382"/>
      <c r="R49" s="382"/>
      <c r="S49" s="382"/>
      <c r="T49" s="382"/>
      <c r="U49" s="382"/>
      <c r="V49" s="382"/>
      <c r="W49" s="381"/>
      <c r="X49" s="445"/>
      <c r="Y49" s="482"/>
      <c r="Z49" s="482"/>
      <c r="AA49" s="488"/>
      <c r="AB49" s="488"/>
      <c r="AC49" s="467"/>
      <c r="AD49" s="464" t="s">
        <v>327</v>
      </c>
      <c r="AE49" s="392" t="s">
        <v>194</v>
      </c>
      <c r="AF49" s="382">
        <v>2.58</v>
      </c>
      <c r="AG49" s="382">
        <v>17.5</v>
      </c>
      <c r="AH49" s="384">
        <v>6</v>
      </c>
      <c r="AI49" s="382"/>
      <c r="AJ49" s="487" t="s">
        <v>371</v>
      </c>
      <c r="AK49" s="465"/>
      <c r="AL49" s="379"/>
      <c r="AM49" s="382"/>
      <c r="AN49" s="382"/>
      <c r="AO49" s="382"/>
      <c r="AP49" s="478"/>
      <c r="AQ49" s="455"/>
      <c r="AR49" s="452"/>
      <c r="AS49" s="428"/>
      <c r="AT49" s="466" t="s">
        <v>295</v>
      </c>
      <c r="AU49" s="450" t="s">
        <v>204</v>
      </c>
      <c r="AV49" s="450" t="s">
        <v>319</v>
      </c>
      <c r="AW49" s="451"/>
      <c r="AX49" s="428"/>
      <c r="AY49" s="428"/>
      <c r="AZ49" s="452"/>
      <c r="BB49" s="405"/>
      <c r="BC49" s="476"/>
      <c r="BE49" s="405"/>
      <c r="BF49" s="405"/>
      <c r="BG49" s="405"/>
    </row>
    <row r="50">
      <c r="A50" s="458" t="s">
        <v>335</v>
      </c>
      <c r="B50" s="382" t="s">
        <v>193</v>
      </c>
      <c r="C50" s="381" t="s">
        <v>194</v>
      </c>
      <c r="D50" s="384">
        <v>3</v>
      </c>
      <c r="E50" s="382"/>
      <c r="F50" s="382"/>
      <c r="G50" s="382">
        <f t="shared" si="3"/>
        <v>0</v>
      </c>
      <c r="H50" s="482"/>
      <c r="I50" s="382">
        <f t="shared" si="4"/>
        <v>0</v>
      </c>
      <c r="J50" s="482"/>
      <c r="K50" s="382">
        <f t="shared" si="0"/>
        <v>0</v>
      </c>
      <c r="L50" s="382"/>
      <c r="M50" s="382">
        <f t="shared" si="1"/>
        <v>0</v>
      </c>
      <c r="N50" s="382"/>
      <c r="O50" s="382">
        <f t="shared" si="2"/>
        <v>0</v>
      </c>
      <c r="P50" s="382"/>
      <c r="Q50" s="382"/>
      <c r="R50" s="382"/>
      <c r="S50" s="382"/>
      <c r="T50" s="382"/>
      <c r="U50" s="382"/>
      <c r="V50" s="382"/>
      <c r="W50" s="381"/>
      <c r="X50" s="445"/>
      <c r="Y50" s="482"/>
      <c r="Z50" s="482"/>
      <c r="AA50" s="488"/>
      <c r="AB50" s="488"/>
      <c r="AC50" s="467"/>
      <c r="AD50" s="464" t="s">
        <v>327</v>
      </c>
      <c r="AE50" s="392" t="s">
        <v>204</v>
      </c>
      <c r="AF50" s="382">
        <v>2.58</v>
      </c>
      <c r="AG50" s="382">
        <v>17.5</v>
      </c>
      <c r="AH50" s="384">
        <v>6</v>
      </c>
      <c r="AI50" s="382"/>
      <c r="AJ50" s="448" t="s">
        <v>372</v>
      </c>
      <c r="AK50" s="465"/>
      <c r="AL50" s="379"/>
      <c r="AM50" s="382"/>
      <c r="AN50" s="382"/>
      <c r="AO50" s="382"/>
      <c r="AP50" s="478"/>
      <c r="AQ50" s="455"/>
      <c r="AR50" s="452"/>
      <c r="AS50" s="428"/>
      <c r="AT50" s="466" t="s">
        <v>298</v>
      </c>
      <c r="AU50" s="450" t="s">
        <v>242</v>
      </c>
      <c r="AV50" s="450" t="s">
        <v>373</v>
      </c>
      <c r="AW50" s="466"/>
      <c r="AX50" s="428"/>
      <c r="AY50" s="428"/>
      <c r="AZ50" s="452"/>
      <c r="BB50" s="405"/>
      <c r="BC50" s="476"/>
      <c r="BE50" s="405"/>
      <c r="BF50" s="405"/>
      <c r="BG50" s="405"/>
    </row>
    <row r="51">
      <c r="A51" s="458" t="s">
        <v>335</v>
      </c>
      <c r="B51" s="382" t="s">
        <v>193</v>
      </c>
      <c r="C51" s="381" t="s">
        <v>194</v>
      </c>
      <c r="D51" s="384">
        <v>4</v>
      </c>
      <c r="E51" s="382"/>
      <c r="F51" s="382"/>
      <c r="G51" s="382">
        <f t="shared" si="3"/>
        <v>0</v>
      </c>
      <c r="H51" s="482"/>
      <c r="I51" s="382">
        <f t="shared" si="4"/>
        <v>0</v>
      </c>
      <c r="J51" s="482"/>
      <c r="K51" s="382">
        <f t="shared" si="0"/>
        <v>0</v>
      </c>
      <c r="L51" s="382"/>
      <c r="M51" s="382">
        <f t="shared" si="1"/>
        <v>0</v>
      </c>
      <c r="N51" s="382"/>
      <c r="O51" s="382">
        <f t="shared" si="2"/>
        <v>0</v>
      </c>
      <c r="P51" s="382"/>
      <c r="Q51" s="382"/>
      <c r="R51" s="382"/>
      <c r="S51" s="382"/>
      <c r="T51" s="382"/>
      <c r="U51" s="382"/>
      <c r="V51" s="382"/>
      <c r="W51" s="381"/>
      <c r="X51" s="445"/>
      <c r="Y51" s="482"/>
      <c r="Z51" s="482"/>
      <c r="AA51" s="488"/>
      <c r="AB51" s="488"/>
      <c r="AC51" s="467"/>
      <c r="AD51" s="464" t="s">
        <v>327</v>
      </c>
      <c r="AE51" s="452" t="s">
        <v>217</v>
      </c>
      <c r="AF51" s="382">
        <v>2.58</v>
      </c>
      <c r="AG51" s="382">
        <v>17.5</v>
      </c>
      <c r="AH51" s="384">
        <v>6</v>
      </c>
      <c r="AI51" s="382"/>
      <c r="AJ51" s="448" t="s">
        <v>331</v>
      </c>
      <c r="AK51" s="465"/>
      <c r="AL51" s="379"/>
      <c r="AM51" s="382"/>
      <c r="AN51" s="382"/>
      <c r="AO51" s="382"/>
      <c r="AP51" s="478"/>
      <c r="AQ51" s="455"/>
      <c r="AR51" s="452"/>
      <c r="AS51" s="428"/>
      <c r="AT51" s="466" t="s">
        <v>302</v>
      </c>
      <c r="AU51" s="452" t="s">
        <v>200</v>
      </c>
      <c r="AV51" s="450" t="s">
        <v>374</v>
      </c>
      <c r="AW51" s="466"/>
      <c r="AX51" s="428"/>
      <c r="AY51" s="428"/>
      <c r="AZ51" s="452"/>
      <c r="BB51" s="405"/>
      <c r="BC51" s="476"/>
      <c r="BE51" s="405"/>
      <c r="BF51" s="405"/>
      <c r="BG51" s="405"/>
    </row>
    <row r="52">
      <c r="A52" s="458" t="s">
        <v>321</v>
      </c>
      <c r="B52" s="382" t="s">
        <v>193</v>
      </c>
      <c r="C52" s="381" t="s">
        <v>194</v>
      </c>
      <c r="D52" s="384">
        <v>1</v>
      </c>
      <c r="E52" s="382"/>
      <c r="F52" s="382">
        <v>40</v>
      </c>
      <c r="G52" s="382">
        <f t="shared" si="3"/>
        <v>46.02</v>
      </c>
      <c r="H52" s="482"/>
      <c r="I52" s="382">
        <f t="shared" si="4"/>
        <v>0</v>
      </c>
      <c r="J52" s="482"/>
      <c r="K52" s="382">
        <f t="shared" si="0"/>
        <v>0</v>
      </c>
      <c r="L52" s="425">
        <v>40</v>
      </c>
      <c r="M52" s="382">
        <f t="shared" si="1"/>
        <v>46.02</v>
      </c>
      <c r="N52" s="382"/>
      <c r="O52" s="382">
        <f t="shared" si="2"/>
        <v>0</v>
      </c>
      <c r="P52" s="382"/>
      <c r="Q52" s="382"/>
      <c r="R52" s="382"/>
      <c r="S52" s="382"/>
      <c r="T52" s="382"/>
      <c r="U52" s="382"/>
      <c r="V52" s="382"/>
      <c r="W52" s="381"/>
      <c r="X52" s="445"/>
      <c r="Y52" s="482"/>
      <c r="Z52" s="482"/>
      <c r="AA52" s="488"/>
      <c r="AB52" s="488"/>
      <c r="AC52" s="467"/>
      <c r="AD52" s="464" t="s">
        <v>318</v>
      </c>
      <c r="AE52" s="392" t="s">
        <v>194</v>
      </c>
      <c r="AF52" s="382">
        <v>2.58</v>
      </c>
      <c r="AG52" s="382">
        <v>18</v>
      </c>
      <c r="AH52" s="384">
        <v>6</v>
      </c>
      <c r="AI52" s="382"/>
      <c r="AJ52" s="448" t="s">
        <v>336</v>
      </c>
      <c r="AK52" s="465"/>
      <c r="AL52" s="379"/>
      <c r="AM52" s="382"/>
      <c r="AN52" s="382"/>
      <c r="AO52" s="382"/>
      <c r="AP52" s="478"/>
      <c r="AQ52" s="455"/>
      <c r="AR52" s="452"/>
      <c r="AS52" s="428"/>
      <c r="AT52" s="466" t="s">
        <v>307</v>
      </c>
      <c r="AU52" s="450" t="s">
        <v>205</v>
      </c>
      <c r="AV52" s="450" t="s">
        <v>375</v>
      </c>
      <c r="AW52" s="466"/>
      <c r="AX52" s="428"/>
      <c r="AY52" s="428"/>
      <c r="AZ52" s="452"/>
      <c r="BB52" s="405"/>
      <c r="BC52" s="476"/>
      <c r="BE52" s="405"/>
      <c r="BF52" s="405"/>
      <c r="BG52" s="405"/>
    </row>
    <row r="53">
      <c r="A53" s="458" t="s">
        <v>321</v>
      </c>
      <c r="B53" s="382" t="s">
        <v>193</v>
      </c>
      <c r="C53" s="381" t="s">
        <v>194</v>
      </c>
      <c r="D53" s="384">
        <v>2</v>
      </c>
      <c r="E53" s="382"/>
      <c r="F53" s="382">
        <v>80</v>
      </c>
      <c r="G53" s="382">
        <f t="shared" si="3"/>
        <v>49.03</v>
      </c>
      <c r="H53" s="482"/>
      <c r="I53" s="382">
        <f t="shared" si="4"/>
        <v>0</v>
      </c>
      <c r="J53" s="482"/>
      <c r="K53" s="382">
        <f t="shared" si="0"/>
        <v>0</v>
      </c>
      <c r="L53" s="425">
        <v>80</v>
      </c>
      <c r="M53" s="382">
        <f t="shared" si="1"/>
        <v>49.03</v>
      </c>
      <c r="N53" s="382"/>
      <c r="O53" s="382">
        <f t="shared" si="2"/>
        <v>0</v>
      </c>
      <c r="P53" s="382"/>
      <c r="Q53" s="382"/>
      <c r="R53" s="382"/>
      <c r="S53" s="382"/>
      <c r="T53" s="382"/>
      <c r="U53" s="382"/>
      <c r="V53" s="382"/>
      <c r="W53" s="381"/>
      <c r="X53" s="445"/>
      <c r="Y53" s="482"/>
      <c r="Z53" s="482"/>
      <c r="AA53" s="488"/>
      <c r="AB53" s="488"/>
      <c r="AC53" s="467"/>
      <c r="AD53" s="447" t="s">
        <v>360</v>
      </c>
      <c r="AE53" s="450" t="s">
        <v>194</v>
      </c>
      <c r="AF53" s="382">
        <v>2.55</v>
      </c>
      <c r="AG53" s="382">
        <v>16.8</v>
      </c>
      <c r="AH53" s="384">
        <v>0</v>
      </c>
      <c r="AI53" s="382"/>
      <c r="AJ53" s="487" t="s">
        <v>326</v>
      </c>
      <c r="AK53" s="465"/>
      <c r="AL53" s="379"/>
      <c r="AM53" s="382"/>
      <c r="AN53" s="382"/>
      <c r="AO53" s="382"/>
      <c r="AP53" s="478"/>
      <c r="AQ53" s="455"/>
      <c r="AR53" s="452"/>
      <c r="AS53" s="428"/>
      <c r="AT53" s="466" t="s">
        <v>307</v>
      </c>
      <c r="AU53" s="450" t="s">
        <v>211</v>
      </c>
      <c r="AV53" s="450" t="s">
        <v>376</v>
      </c>
      <c r="AW53" s="466"/>
      <c r="AX53" s="428"/>
      <c r="AY53" s="428"/>
      <c r="AZ53" s="452"/>
      <c r="BB53" s="405"/>
      <c r="BC53" s="476"/>
      <c r="BE53" s="405"/>
      <c r="BF53" s="405"/>
      <c r="BG53" s="405"/>
      <c r="BH53" s="405"/>
      <c r="BI53" s="405"/>
      <c r="BJ53" s="405"/>
    </row>
    <row r="54">
      <c r="A54" s="458" t="s">
        <v>321</v>
      </c>
      <c r="B54" s="382" t="s">
        <v>193</v>
      </c>
      <c r="C54" s="381" t="s">
        <v>194</v>
      </c>
      <c r="D54" s="384">
        <v>4</v>
      </c>
      <c r="E54" s="382"/>
      <c r="F54" s="382">
        <v>80</v>
      </c>
      <c r="G54" s="382">
        <f t="shared" si="3"/>
        <v>49.03</v>
      </c>
      <c r="H54" s="482"/>
      <c r="I54" s="382">
        <f t="shared" si="4"/>
        <v>0</v>
      </c>
      <c r="J54" s="482"/>
      <c r="K54" s="382">
        <f t="shared" si="0"/>
        <v>0</v>
      </c>
      <c r="L54" s="382"/>
      <c r="M54" s="382">
        <f t="shared" si="1"/>
        <v>0</v>
      </c>
      <c r="N54" s="382"/>
      <c r="O54" s="382">
        <f t="shared" si="2"/>
        <v>0</v>
      </c>
      <c r="P54" s="382"/>
      <c r="Q54" s="382"/>
      <c r="R54" s="382"/>
      <c r="S54" s="382"/>
      <c r="T54" s="382"/>
      <c r="U54" s="382"/>
      <c r="V54" s="382"/>
      <c r="W54" s="381"/>
      <c r="X54" s="445"/>
      <c r="Y54" s="482"/>
      <c r="Z54" s="482"/>
      <c r="AA54" s="488"/>
      <c r="AB54" s="488"/>
      <c r="AC54" s="467"/>
      <c r="AD54" s="447" t="s">
        <v>360</v>
      </c>
      <c r="AE54" s="450" t="s">
        <v>204</v>
      </c>
      <c r="AF54" s="382">
        <v>2.55</v>
      </c>
      <c r="AG54" s="382">
        <v>16.8</v>
      </c>
      <c r="AH54" s="384">
        <v>0</v>
      </c>
      <c r="AI54" s="382"/>
      <c r="AJ54" s="487" t="s">
        <v>322</v>
      </c>
      <c r="AK54" s="465"/>
      <c r="AL54" s="379"/>
      <c r="AM54" s="382"/>
      <c r="AN54" s="382"/>
      <c r="AO54" s="382"/>
      <c r="AP54" s="478"/>
      <c r="AQ54" s="455"/>
      <c r="AR54" s="452"/>
      <c r="AS54" s="428"/>
      <c r="AT54" s="466" t="s">
        <v>311</v>
      </c>
      <c r="AU54" s="452" t="s">
        <v>204</v>
      </c>
      <c r="AV54" s="450" t="s">
        <v>374</v>
      </c>
      <c r="AW54" s="451"/>
      <c r="AX54" s="428"/>
      <c r="AY54" s="428"/>
      <c r="AZ54" s="452"/>
      <c r="BH54" s="405"/>
      <c r="BI54" s="405"/>
      <c r="BJ54" s="405"/>
    </row>
    <row r="55" s="405" customFormat="1">
      <c r="A55" s="458" t="s">
        <v>325</v>
      </c>
      <c r="B55" s="382" t="s">
        <v>193</v>
      </c>
      <c r="C55" s="381" t="s">
        <v>194</v>
      </c>
      <c r="D55" s="481">
        <v>1</v>
      </c>
      <c r="E55" s="382"/>
      <c r="F55" s="482">
        <v>40</v>
      </c>
      <c r="G55" s="382">
        <f t="shared" si="3"/>
        <v>46.02</v>
      </c>
      <c r="H55" s="482"/>
      <c r="I55" s="382">
        <f t="shared" si="4"/>
        <v>0</v>
      </c>
      <c r="J55" s="482"/>
      <c r="K55" s="382">
        <f t="shared" si="0"/>
        <v>0</v>
      </c>
      <c r="L55" s="382"/>
      <c r="M55" s="382">
        <f t="shared" si="1"/>
        <v>0</v>
      </c>
      <c r="N55" s="382"/>
      <c r="O55" s="382">
        <f t="shared" si="2"/>
        <v>0</v>
      </c>
      <c r="P55" s="382"/>
      <c r="Q55" s="382"/>
      <c r="R55" s="382"/>
      <c r="S55" s="382"/>
      <c r="T55" s="382"/>
      <c r="U55" s="382"/>
      <c r="V55" s="382"/>
      <c r="W55" s="381"/>
      <c r="X55" s="445"/>
      <c r="Y55" s="482"/>
      <c r="Z55" s="482"/>
      <c r="AA55" s="466"/>
      <c r="AB55" s="466"/>
      <c r="AC55" s="467"/>
      <c r="AD55" s="447" t="s">
        <v>360</v>
      </c>
      <c r="AE55" s="450" t="s">
        <v>205</v>
      </c>
      <c r="AF55" s="382">
        <v>2.55</v>
      </c>
      <c r="AG55" s="382">
        <v>17.5</v>
      </c>
      <c r="AH55" s="384">
        <v>0</v>
      </c>
      <c r="AI55" s="382"/>
      <c r="AJ55" s="487" t="s">
        <v>341</v>
      </c>
      <c r="AK55" s="465"/>
      <c r="AL55" s="379"/>
      <c r="AM55" s="382"/>
      <c r="AN55" s="382"/>
      <c r="AO55" s="382"/>
      <c r="AP55" s="478"/>
      <c r="AQ55" s="455"/>
      <c r="AR55" s="452"/>
      <c r="AS55" s="428"/>
      <c r="AT55" s="466" t="s">
        <v>311</v>
      </c>
      <c r="AU55" s="450" t="s">
        <v>194</v>
      </c>
      <c r="AV55" s="450" t="s">
        <v>376</v>
      </c>
      <c r="AW55" s="451"/>
      <c r="AX55" s="428"/>
      <c r="AY55" s="428"/>
      <c r="AZ55" s="452"/>
      <c r="BA55" s="406"/>
      <c r="BB55" s="409"/>
      <c r="BC55" s="480"/>
      <c r="BD55" s="477"/>
      <c r="BE55" s="409"/>
      <c r="BF55" s="409"/>
      <c r="BG55" s="409"/>
    </row>
    <row r="56" s="405" customFormat="1">
      <c r="A56" s="458" t="s">
        <v>325</v>
      </c>
      <c r="B56" s="382" t="s">
        <v>193</v>
      </c>
      <c r="C56" s="381" t="s">
        <v>194</v>
      </c>
      <c r="D56" s="481">
        <v>2</v>
      </c>
      <c r="E56" s="382"/>
      <c r="F56" s="482">
        <v>80</v>
      </c>
      <c r="G56" s="382">
        <f t="shared" si="3"/>
        <v>49.03</v>
      </c>
      <c r="H56" s="482"/>
      <c r="I56" s="382">
        <f t="shared" si="4"/>
        <v>0</v>
      </c>
      <c r="J56" s="482"/>
      <c r="K56" s="382">
        <f t="shared" si="0"/>
        <v>0</v>
      </c>
      <c r="L56" s="382"/>
      <c r="M56" s="382">
        <f t="shared" si="1"/>
        <v>0</v>
      </c>
      <c r="N56" s="382"/>
      <c r="O56" s="382">
        <f t="shared" si="2"/>
        <v>0</v>
      </c>
      <c r="P56" s="382"/>
      <c r="Q56" s="382"/>
      <c r="R56" s="382"/>
      <c r="S56" s="382"/>
      <c r="T56" s="382"/>
      <c r="U56" s="382"/>
      <c r="V56" s="382"/>
      <c r="W56" s="381"/>
      <c r="X56" s="445"/>
      <c r="Y56" s="482"/>
      <c r="Z56" s="482"/>
      <c r="AA56" s="466"/>
      <c r="AB56" s="466"/>
      <c r="AC56" s="467"/>
      <c r="AD56" s="489" t="s">
        <v>369</v>
      </c>
      <c r="AE56" s="450" t="s">
        <v>204</v>
      </c>
      <c r="AF56" s="382">
        <v>1.47</v>
      </c>
      <c r="AG56" s="382">
        <v>17.3</v>
      </c>
      <c r="AH56" s="384">
        <v>0</v>
      </c>
      <c r="AI56" s="382"/>
      <c r="AJ56" s="382"/>
      <c r="AK56" s="490"/>
      <c r="AL56" s="379"/>
      <c r="AM56" s="382"/>
      <c r="AN56" s="382"/>
      <c r="AO56" s="382"/>
      <c r="AP56" s="478"/>
      <c r="AQ56" s="455"/>
      <c r="AR56" s="452"/>
      <c r="AS56" s="428"/>
      <c r="AT56" s="466" t="s">
        <v>311</v>
      </c>
      <c r="AU56" s="450" t="s">
        <v>217</v>
      </c>
      <c r="AV56" s="450" t="s">
        <v>377</v>
      </c>
      <c r="AW56" s="451"/>
      <c r="AX56" s="428"/>
      <c r="AY56" s="428"/>
      <c r="AZ56" s="452"/>
      <c r="BA56" s="406"/>
      <c r="BB56" s="409"/>
      <c r="BC56" s="480"/>
      <c r="BD56" s="477"/>
      <c r="BE56" s="409"/>
      <c r="BF56" s="409"/>
      <c r="BG56" s="409"/>
    </row>
    <row r="57" s="405" customFormat="1">
      <c r="A57" s="458" t="s">
        <v>325</v>
      </c>
      <c r="B57" s="382" t="s">
        <v>193</v>
      </c>
      <c r="C57" s="381" t="s">
        <v>194</v>
      </c>
      <c r="D57" s="481">
        <v>4</v>
      </c>
      <c r="E57" s="382"/>
      <c r="F57" s="482">
        <v>80</v>
      </c>
      <c r="G57" s="382">
        <f t="shared" si="3"/>
        <v>49.03</v>
      </c>
      <c r="H57" s="482"/>
      <c r="I57" s="382">
        <f t="shared" si="4"/>
        <v>0</v>
      </c>
      <c r="J57" s="482"/>
      <c r="K57" s="382">
        <f t="shared" si="0"/>
        <v>0</v>
      </c>
      <c r="L57" s="382"/>
      <c r="M57" s="382">
        <f t="shared" si="1"/>
        <v>0</v>
      </c>
      <c r="N57" s="382"/>
      <c r="O57" s="382">
        <f t="shared" si="2"/>
        <v>0</v>
      </c>
      <c r="P57" s="382"/>
      <c r="Q57" s="382"/>
      <c r="R57" s="382"/>
      <c r="S57" s="382"/>
      <c r="T57" s="382"/>
      <c r="U57" s="382"/>
      <c r="V57" s="382"/>
      <c r="W57" s="381"/>
      <c r="X57" s="445"/>
      <c r="Y57" s="482"/>
      <c r="Z57" s="482"/>
      <c r="AA57" s="466"/>
      <c r="AB57" s="466"/>
      <c r="AC57" s="467"/>
      <c r="AD57" s="489" t="s">
        <v>369</v>
      </c>
      <c r="AE57" s="450" t="s">
        <v>205</v>
      </c>
      <c r="AF57" s="382">
        <v>1.47</v>
      </c>
      <c r="AG57" s="382">
        <v>17.7</v>
      </c>
      <c r="AH57" s="384">
        <v>0</v>
      </c>
      <c r="AI57" s="382"/>
      <c r="AJ57" s="382"/>
      <c r="AK57" s="490"/>
      <c r="AL57" s="379"/>
      <c r="AM57" s="382"/>
      <c r="AN57" s="382"/>
      <c r="AO57" s="382"/>
      <c r="AP57" s="478"/>
      <c r="AQ57" s="455"/>
      <c r="AR57" s="452"/>
      <c r="AS57" s="428"/>
      <c r="AT57" s="466" t="s">
        <v>315</v>
      </c>
      <c r="AU57" s="452" t="s">
        <v>204</v>
      </c>
      <c r="AV57" s="450" t="s">
        <v>374</v>
      </c>
      <c r="AW57" s="451"/>
      <c r="AX57" s="428"/>
      <c r="AY57" s="428"/>
      <c r="AZ57" s="452"/>
      <c r="BA57" s="406"/>
      <c r="BB57" s="409"/>
      <c r="BC57" s="480"/>
      <c r="BD57" s="477"/>
      <c r="BE57" s="409"/>
      <c r="BF57" s="409"/>
      <c r="BG57" s="409"/>
    </row>
    <row r="58" s="405" customFormat="1">
      <c r="A58" s="458" t="s">
        <v>330</v>
      </c>
      <c r="B58" s="382" t="s">
        <v>193</v>
      </c>
      <c r="C58" s="381" t="s">
        <v>194</v>
      </c>
      <c r="D58" s="481">
        <v>1</v>
      </c>
      <c r="E58" s="382"/>
      <c r="F58" s="482">
        <v>40</v>
      </c>
      <c r="G58" s="382">
        <f t="shared" si="3"/>
        <v>46.02</v>
      </c>
      <c r="H58" s="482"/>
      <c r="I58" s="382">
        <f t="shared" si="4"/>
        <v>0</v>
      </c>
      <c r="J58" s="482"/>
      <c r="K58" s="382">
        <f t="shared" si="0"/>
        <v>0</v>
      </c>
      <c r="L58" s="382"/>
      <c r="M58" s="382">
        <f t="shared" si="1"/>
        <v>0</v>
      </c>
      <c r="N58" s="382"/>
      <c r="O58" s="382">
        <f t="shared" si="2"/>
        <v>0</v>
      </c>
      <c r="P58" s="382"/>
      <c r="Q58" s="382"/>
      <c r="R58" s="382"/>
      <c r="S58" s="382"/>
      <c r="T58" s="382"/>
      <c r="U58" s="382"/>
      <c r="V58" s="382"/>
      <c r="W58" s="381"/>
      <c r="X58" s="445"/>
      <c r="Y58" s="482"/>
      <c r="Z58" s="482"/>
      <c r="AA58" s="488"/>
      <c r="AB58" s="488"/>
      <c r="AC58" s="467"/>
      <c r="AD58" s="489" t="s">
        <v>369</v>
      </c>
      <c r="AE58" s="450" t="s">
        <v>200</v>
      </c>
      <c r="AF58" s="382">
        <v>1.47</v>
      </c>
      <c r="AG58" s="382">
        <v>18</v>
      </c>
      <c r="AH58" s="384">
        <v>0</v>
      </c>
      <c r="AI58" s="382"/>
      <c r="AJ58" s="382"/>
      <c r="AK58" s="490"/>
      <c r="AL58" s="379"/>
      <c r="AM58" s="382"/>
      <c r="AN58" s="382"/>
      <c r="AO58" s="382"/>
      <c r="AP58" s="478"/>
      <c r="AQ58" s="455"/>
      <c r="AR58" s="452"/>
      <c r="AS58" s="428"/>
      <c r="AT58" s="466" t="s">
        <v>315</v>
      </c>
      <c r="AU58" s="450" t="s">
        <v>194</v>
      </c>
      <c r="AV58" s="450" t="s">
        <v>376</v>
      </c>
      <c r="AW58" s="451"/>
      <c r="AX58" s="428"/>
      <c r="AY58" s="428"/>
      <c r="AZ58" s="451"/>
      <c r="BA58" s="406"/>
      <c r="BB58" s="409"/>
      <c r="BC58" s="480"/>
      <c r="BD58" s="477"/>
      <c r="BE58" s="409"/>
      <c r="BF58" s="409"/>
      <c r="BG58" s="409"/>
    </row>
    <row r="59" s="405" customFormat="1">
      <c r="A59" s="458" t="s">
        <v>330</v>
      </c>
      <c r="B59" s="382" t="s">
        <v>193</v>
      </c>
      <c r="C59" s="381" t="s">
        <v>194</v>
      </c>
      <c r="D59" s="481">
        <v>2</v>
      </c>
      <c r="E59" s="382"/>
      <c r="F59" s="482">
        <v>80</v>
      </c>
      <c r="G59" s="382">
        <f t="shared" si="3"/>
        <v>49.03</v>
      </c>
      <c r="H59" s="482"/>
      <c r="I59" s="382">
        <f t="shared" si="4"/>
        <v>0</v>
      </c>
      <c r="J59" s="482">
        <v>41.7</v>
      </c>
      <c r="K59" s="382">
        <f t="shared" si="0"/>
        <v>46.2</v>
      </c>
      <c r="L59" s="382"/>
      <c r="M59" s="382">
        <f t="shared" si="1"/>
        <v>0</v>
      </c>
      <c r="N59" s="382"/>
      <c r="O59" s="382">
        <f t="shared" si="2"/>
        <v>0</v>
      </c>
      <c r="P59" s="382"/>
      <c r="Q59" s="382"/>
      <c r="R59" s="382"/>
      <c r="S59" s="382"/>
      <c r="T59" s="382"/>
      <c r="U59" s="382"/>
      <c r="V59" s="382"/>
      <c r="W59" s="381"/>
      <c r="X59" s="445"/>
      <c r="Y59" s="482"/>
      <c r="Z59" s="482"/>
      <c r="AA59" s="488"/>
      <c r="AB59" s="488"/>
      <c r="AC59" s="467"/>
      <c r="AD59" s="489" t="s">
        <v>247</v>
      </c>
      <c r="AE59" s="450" t="s">
        <v>211</v>
      </c>
      <c r="AF59" s="382">
        <v>1.31</v>
      </c>
      <c r="AG59" s="382">
        <v>18</v>
      </c>
      <c r="AH59" s="384">
        <v>0</v>
      </c>
      <c r="AI59" s="382"/>
      <c r="AJ59" s="382"/>
      <c r="AK59" s="490"/>
      <c r="AL59" s="379"/>
      <c r="AM59" s="382"/>
      <c r="AN59" s="382"/>
      <c r="AO59" s="382"/>
      <c r="AP59" s="478"/>
      <c r="AQ59" s="455"/>
      <c r="AR59" s="452"/>
      <c r="AS59" s="428"/>
      <c r="AT59" s="466" t="s">
        <v>315</v>
      </c>
      <c r="AU59" s="450" t="s">
        <v>217</v>
      </c>
      <c r="AV59" s="450" t="s">
        <v>377</v>
      </c>
      <c r="AW59" s="451"/>
      <c r="AX59" s="428"/>
      <c r="AY59" s="428"/>
      <c r="AZ59" s="451"/>
      <c r="BA59" s="406"/>
      <c r="BB59" s="409"/>
      <c r="BC59" s="480"/>
      <c r="BD59" s="477"/>
      <c r="BE59" s="409"/>
      <c r="BF59" s="409"/>
      <c r="BG59" s="409"/>
    </row>
    <row r="60" s="405" customFormat="1">
      <c r="A60" s="458" t="s">
        <v>330</v>
      </c>
      <c r="B60" s="382" t="s">
        <v>193</v>
      </c>
      <c r="C60" s="381" t="s">
        <v>194</v>
      </c>
      <c r="D60" s="481">
        <v>4</v>
      </c>
      <c r="E60" s="382"/>
      <c r="F60" s="482">
        <v>80</v>
      </c>
      <c r="G60" s="382">
        <f t="shared" si="3"/>
        <v>49.03</v>
      </c>
      <c r="H60" s="482"/>
      <c r="I60" s="382">
        <f t="shared" si="4"/>
        <v>0</v>
      </c>
      <c r="J60" s="482"/>
      <c r="K60" s="382">
        <f t="shared" si="0"/>
        <v>0</v>
      </c>
      <c r="L60" s="382"/>
      <c r="M60" s="382">
        <f t="shared" si="1"/>
        <v>0</v>
      </c>
      <c r="N60" s="382"/>
      <c r="O60" s="382">
        <f t="shared" si="2"/>
        <v>0</v>
      </c>
      <c r="Y60" s="382"/>
      <c r="Z60" s="382"/>
      <c r="AA60" s="488"/>
      <c r="AB60" s="488"/>
      <c r="AC60" s="467"/>
      <c r="AD60" s="489" t="s">
        <v>371</v>
      </c>
      <c r="AE60" s="450" t="s">
        <v>204</v>
      </c>
      <c r="AF60" s="382">
        <v>1.94</v>
      </c>
      <c r="AG60" s="382">
        <v>17.5</v>
      </c>
      <c r="AH60" s="384">
        <v>0</v>
      </c>
      <c r="AI60" s="382"/>
      <c r="AJ60" s="382"/>
      <c r="AK60" s="490"/>
      <c r="AL60" s="379"/>
      <c r="AM60" s="382"/>
      <c r="AN60" s="382"/>
      <c r="AO60" s="382"/>
      <c r="AP60" s="478"/>
      <c r="AQ60" s="455"/>
      <c r="AR60" s="452"/>
      <c r="AS60" s="428"/>
      <c r="AT60" s="466" t="s">
        <v>320</v>
      </c>
      <c r="AU60" s="452" t="s">
        <v>204</v>
      </c>
      <c r="AV60" s="450" t="s">
        <v>374</v>
      </c>
      <c r="AW60" s="451"/>
      <c r="AX60" s="428"/>
      <c r="AY60" s="428"/>
      <c r="AZ60" s="451"/>
      <c r="BA60" s="406"/>
      <c r="BB60" s="409"/>
      <c r="BC60" s="480"/>
      <c r="BD60" s="477"/>
      <c r="BE60" s="409"/>
      <c r="BF60" s="409"/>
      <c r="BG60" s="409"/>
    </row>
    <row r="61" s="405" customFormat="1">
      <c r="A61" s="458" t="s">
        <v>340</v>
      </c>
      <c r="B61" s="382" t="s">
        <v>193</v>
      </c>
      <c r="C61" s="381" t="s">
        <v>194</v>
      </c>
      <c r="D61" s="481">
        <v>2</v>
      </c>
      <c r="E61" s="382"/>
      <c r="F61" s="482">
        <v>60</v>
      </c>
      <c r="G61" s="382">
        <f t="shared" si="3"/>
        <v>47.78</v>
      </c>
      <c r="H61" s="482"/>
      <c r="I61" s="382">
        <f t="shared" si="4"/>
        <v>0</v>
      </c>
      <c r="J61" s="482">
        <v>37.24</v>
      </c>
      <c r="K61" s="382">
        <f t="shared" si="0"/>
        <v>45.71</v>
      </c>
      <c r="L61" s="382"/>
      <c r="M61" s="382">
        <f t="shared" si="1"/>
        <v>0</v>
      </c>
      <c r="N61" s="382"/>
      <c r="O61" s="382">
        <f t="shared" si="2"/>
        <v>0</v>
      </c>
      <c r="Y61" s="382"/>
      <c r="Z61" s="382"/>
      <c r="AA61" s="488"/>
      <c r="AB61" s="488"/>
      <c r="AC61" s="467"/>
      <c r="AD61" s="489" t="s">
        <v>371</v>
      </c>
      <c r="AE61" s="450" t="s">
        <v>205</v>
      </c>
      <c r="AF61" s="382">
        <v>1.94</v>
      </c>
      <c r="AG61" s="382">
        <v>17.6</v>
      </c>
      <c r="AH61" s="384">
        <v>0</v>
      </c>
      <c r="AI61" s="382"/>
      <c r="AJ61" s="382"/>
      <c r="AK61" s="490"/>
      <c r="AL61" s="379"/>
      <c r="AM61" s="382"/>
      <c r="AN61" s="382"/>
      <c r="AO61" s="382"/>
      <c r="AP61" s="478"/>
      <c r="AQ61" s="455"/>
      <c r="AR61" s="452"/>
      <c r="AS61" s="428"/>
      <c r="AT61" s="466" t="s">
        <v>320</v>
      </c>
      <c r="AU61" s="450" t="s">
        <v>194</v>
      </c>
      <c r="AV61" s="450" t="s">
        <v>376</v>
      </c>
      <c r="AW61" s="451"/>
      <c r="AX61" s="428"/>
      <c r="AY61" s="428"/>
      <c r="AZ61" s="451"/>
      <c r="BA61" s="406"/>
      <c r="BB61" s="409"/>
      <c r="BC61" s="480"/>
      <c r="BD61" s="477"/>
      <c r="BE61" s="409"/>
      <c r="BF61" s="409"/>
      <c r="BG61" s="409"/>
    </row>
    <row r="62" s="405" customFormat="1">
      <c r="A62" s="458" t="s">
        <v>340</v>
      </c>
      <c r="B62" s="382" t="s">
        <v>193</v>
      </c>
      <c r="C62" s="381" t="s">
        <v>194</v>
      </c>
      <c r="D62" s="481">
        <v>3</v>
      </c>
      <c r="E62" s="382"/>
      <c r="F62" s="482"/>
      <c r="G62" s="382">
        <f t="shared" si="3"/>
        <v>0</v>
      </c>
      <c r="H62" s="482"/>
      <c r="I62" s="382">
        <f t="shared" si="4"/>
        <v>0</v>
      </c>
      <c r="J62" s="482"/>
      <c r="K62" s="382">
        <f t="shared" si="0"/>
        <v>0</v>
      </c>
      <c r="L62" s="382"/>
      <c r="M62" s="382">
        <f t="shared" si="1"/>
        <v>0</v>
      </c>
      <c r="N62" s="382"/>
      <c r="O62" s="382">
        <f t="shared" si="2"/>
        <v>0</v>
      </c>
      <c r="P62" s="382"/>
      <c r="Q62" s="382"/>
      <c r="R62" s="382"/>
      <c r="S62" s="382"/>
      <c r="T62" s="382"/>
      <c r="U62" s="382"/>
      <c r="V62" s="382"/>
      <c r="W62" s="382"/>
      <c r="X62" s="445"/>
      <c r="Y62" s="382"/>
      <c r="Z62" s="382"/>
      <c r="AA62" s="488"/>
      <c r="AB62" s="488"/>
      <c r="AC62" s="467"/>
      <c r="AD62" s="489" t="s">
        <v>371</v>
      </c>
      <c r="AE62" s="450" t="s">
        <v>200</v>
      </c>
      <c r="AF62" s="382">
        <v>1.94</v>
      </c>
      <c r="AG62" s="382">
        <v>18</v>
      </c>
      <c r="AH62" s="384">
        <v>0</v>
      </c>
      <c r="AI62" s="491"/>
      <c r="AJ62" s="491"/>
      <c r="AK62" s="490"/>
      <c r="AL62" s="387"/>
      <c r="AM62" s="382"/>
      <c r="AN62" s="382"/>
      <c r="AO62" s="382"/>
      <c r="AP62" s="478"/>
      <c r="AQ62" s="455"/>
      <c r="AR62" s="452"/>
      <c r="AS62" s="428"/>
      <c r="AT62" s="466" t="s">
        <v>320</v>
      </c>
      <c r="AU62" s="450" t="s">
        <v>217</v>
      </c>
      <c r="AV62" s="450" t="s">
        <v>377</v>
      </c>
      <c r="AW62" s="451"/>
      <c r="AX62" s="428"/>
      <c r="AY62" s="428"/>
      <c r="AZ62" s="451"/>
      <c r="BA62" s="406"/>
      <c r="BB62" s="409"/>
      <c r="BC62" s="480"/>
      <c r="BD62" s="477"/>
      <c r="BE62" s="409"/>
      <c r="BF62" s="409"/>
      <c r="BG62" s="409"/>
      <c r="BH62" s="409"/>
      <c r="BI62" s="409"/>
      <c r="BJ62" s="409"/>
    </row>
    <row r="63" s="405" customFormat="1">
      <c r="A63" s="458" t="s">
        <v>340</v>
      </c>
      <c r="B63" s="382" t="s">
        <v>193</v>
      </c>
      <c r="C63" s="381" t="s">
        <v>194</v>
      </c>
      <c r="D63" s="481">
        <v>4</v>
      </c>
      <c r="E63" s="382"/>
      <c r="F63" s="482"/>
      <c r="G63" s="382">
        <f t="shared" si="3"/>
        <v>0</v>
      </c>
      <c r="H63" s="482"/>
      <c r="I63" s="382">
        <f t="shared" si="4"/>
        <v>0</v>
      </c>
      <c r="J63" s="482"/>
      <c r="K63" s="382">
        <f t="shared" si="0"/>
        <v>0</v>
      </c>
      <c r="L63" s="382"/>
      <c r="M63" s="382">
        <f t="shared" si="1"/>
        <v>0</v>
      </c>
      <c r="N63" s="382"/>
      <c r="O63" s="382">
        <f t="shared" si="2"/>
        <v>0</v>
      </c>
      <c r="P63" s="382"/>
      <c r="Q63" s="382"/>
      <c r="R63" s="382"/>
      <c r="S63" s="382"/>
      <c r="T63" s="382"/>
      <c r="U63" s="382"/>
      <c r="V63" s="382"/>
      <c r="W63" s="382"/>
      <c r="X63" s="445"/>
      <c r="Y63" s="382"/>
      <c r="Z63" s="382"/>
      <c r="AA63" s="488"/>
      <c r="AB63" s="488"/>
      <c r="AC63" s="467"/>
      <c r="AD63" s="492" t="s">
        <v>282</v>
      </c>
      <c r="AE63" s="478" t="s">
        <v>204</v>
      </c>
      <c r="AF63" s="493">
        <v>1.39</v>
      </c>
      <c r="AG63" s="493">
        <v>17.4</v>
      </c>
      <c r="AH63" s="494">
        <v>0</v>
      </c>
      <c r="AI63" s="491"/>
      <c r="AJ63" s="491"/>
      <c r="AK63" s="490"/>
      <c r="AL63" s="387"/>
      <c r="AM63" s="382"/>
      <c r="AN63" s="382"/>
      <c r="AO63" s="382"/>
      <c r="AP63" s="478"/>
      <c r="AQ63" s="455"/>
      <c r="AR63" s="452"/>
      <c r="AS63" s="428"/>
      <c r="AT63" s="466" t="s">
        <v>324</v>
      </c>
      <c r="AU63" s="452" t="s">
        <v>204</v>
      </c>
      <c r="AV63" s="450" t="s">
        <v>374</v>
      </c>
      <c r="AW63" s="451"/>
      <c r="AX63" s="428"/>
      <c r="AY63" s="428"/>
      <c r="AZ63" s="451"/>
      <c r="BA63" s="406"/>
      <c r="BB63" s="409"/>
      <c r="BC63" s="480"/>
      <c r="BD63" s="477"/>
      <c r="BE63" s="409"/>
      <c r="BF63" s="409"/>
      <c r="BG63" s="409"/>
      <c r="BH63" s="409"/>
      <c r="BI63" s="409"/>
      <c r="BJ63" s="409"/>
    </row>
    <row r="64">
      <c r="A64" s="458" t="s">
        <v>346</v>
      </c>
      <c r="B64" s="382" t="s">
        <v>193</v>
      </c>
      <c r="C64" s="381" t="s">
        <v>194</v>
      </c>
      <c r="D64" s="481">
        <v>2</v>
      </c>
      <c r="E64" s="382"/>
      <c r="F64" s="482">
        <v>60</v>
      </c>
      <c r="G64" s="382">
        <f t="shared" si="3"/>
        <v>47.78</v>
      </c>
      <c r="H64" s="482"/>
      <c r="I64" s="382">
        <f t="shared" si="4"/>
        <v>0</v>
      </c>
      <c r="J64" s="482"/>
      <c r="K64" s="382">
        <f t="shared" si="0"/>
        <v>0</v>
      </c>
      <c r="L64" s="382"/>
      <c r="M64" s="382">
        <f t="shared" si="1"/>
        <v>0</v>
      </c>
      <c r="N64" s="382"/>
      <c r="O64" s="382">
        <f t="shared" si="2"/>
        <v>0</v>
      </c>
      <c r="P64" s="382"/>
      <c r="Q64" s="382"/>
      <c r="R64" s="382"/>
      <c r="S64" s="382"/>
      <c r="T64" s="382"/>
      <c r="U64" s="382"/>
      <c r="V64" s="382"/>
      <c r="W64" s="382"/>
      <c r="X64" s="445"/>
      <c r="Y64" s="382"/>
      <c r="Z64" s="382"/>
      <c r="AA64" s="488"/>
      <c r="AB64" s="488"/>
      <c r="AC64" s="467"/>
      <c r="AD64" s="492" t="s">
        <v>282</v>
      </c>
      <c r="AE64" s="478" t="s">
        <v>205</v>
      </c>
      <c r="AF64" s="493">
        <v>1.39</v>
      </c>
      <c r="AG64" s="493">
        <v>17.9</v>
      </c>
      <c r="AH64" s="494">
        <v>0</v>
      </c>
      <c r="AI64" s="491"/>
      <c r="AJ64" s="491"/>
      <c r="AK64" s="490"/>
      <c r="AL64" s="387"/>
      <c r="AM64" s="382"/>
      <c r="AN64" s="382"/>
      <c r="AO64" s="382"/>
      <c r="AP64" s="478"/>
      <c r="AQ64" s="455"/>
      <c r="AR64" s="452"/>
      <c r="AS64" s="428"/>
      <c r="AT64" s="466" t="s">
        <v>324</v>
      </c>
      <c r="AU64" s="450" t="s">
        <v>194</v>
      </c>
      <c r="AV64" s="450" t="s">
        <v>376</v>
      </c>
      <c r="AW64" s="451"/>
      <c r="AX64" s="428"/>
      <c r="AY64" s="428"/>
      <c r="AZ64" s="451"/>
    </row>
    <row r="65">
      <c r="A65" s="458" t="s">
        <v>346</v>
      </c>
      <c r="B65" s="382" t="s">
        <v>193</v>
      </c>
      <c r="C65" s="381" t="s">
        <v>194</v>
      </c>
      <c r="D65" s="481">
        <v>4</v>
      </c>
      <c r="E65" s="382"/>
      <c r="F65" s="482">
        <v>60</v>
      </c>
      <c r="G65" s="382">
        <f t="shared" si="3"/>
        <v>47.78</v>
      </c>
      <c r="H65" s="466"/>
      <c r="I65" s="382">
        <f t="shared" si="4"/>
        <v>0</v>
      </c>
      <c r="J65" s="466"/>
      <c r="K65" s="382">
        <f t="shared" si="0"/>
        <v>0</v>
      </c>
      <c r="L65" s="466"/>
      <c r="M65" s="382">
        <f t="shared" si="1"/>
        <v>0</v>
      </c>
      <c r="N65" s="382"/>
      <c r="O65" s="382">
        <f t="shared" si="2"/>
        <v>0</v>
      </c>
      <c r="P65" s="382"/>
      <c r="Q65" s="382"/>
      <c r="R65" s="382"/>
      <c r="S65" s="382"/>
      <c r="T65" s="382"/>
      <c r="U65" s="382"/>
      <c r="V65" s="382"/>
      <c r="W65" s="382"/>
      <c r="X65" s="445"/>
      <c r="Y65" s="382"/>
      <c r="Z65" s="382"/>
      <c r="AA65" s="488"/>
      <c r="AB65" s="488"/>
      <c r="AC65" s="467"/>
      <c r="AD65" s="492" t="s">
        <v>278</v>
      </c>
      <c r="AE65" s="478" t="s">
        <v>204</v>
      </c>
      <c r="AF65" s="493">
        <v>1.39</v>
      </c>
      <c r="AG65" s="493">
        <v>19.3</v>
      </c>
      <c r="AH65" s="494">
        <v>0</v>
      </c>
      <c r="AI65" s="491"/>
      <c r="AJ65" s="491"/>
      <c r="AK65" s="490"/>
      <c r="AL65" s="387"/>
      <c r="AM65" s="382"/>
      <c r="AN65" s="382"/>
      <c r="AO65" s="382"/>
      <c r="AP65" s="478"/>
      <c r="AQ65" s="455"/>
      <c r="AR65" s="452"/>
      <c r="AS65" s="428"/>
      <c r="AT65" s="466" t="s">
        <v>324</v>
      </c>
      <c r="AU65" s="452" t="s">
        <v>217</v>
      </c>
      <c r="AV65" s="452" t="s">
        <v>377</v>
      </c>
      <c r="AW65" s="451"/>
      <c r="AX65" s="428"/>
      <c r="AY65" s="428"/>
      <c r="AZ65" s="451"/>
    </row>
    <row r="66">
      <c r="A66" s="458" t="s">
        <v>346</v>
      </c>
      <c r="B66" s="382" t="s">
        <v>193</v>
      </c>
      <c r="C66" s="381" t="s">
        <v>194</v>
      </c>
      <c r="D66" s="481">
        <v>6</v>
      </c>
      <c r="E66" s="382"/>
      <c r="F66" s="482"/>
      <c r="G66" s="382">
        <f t="shared" si="3"/>
        <v>0</v>
      </c>
      <c r="H66" s="466"/>
      <c r="I66" s="382">
        <f t="shared" si="4"/>
        <v>0</v>
      </c>
      <c r="J66" s="466"/>
      <c r="K66" s="382">
        <f t="shared" si="0"/>
        <v>0</v>
      </c>
      <c r="L66" s="466"/>
      <c r="M66" s="382">
        <f t="shared" si="1"/>
        <v>0</v>
      </c>
      <c r="N66" s="466"/>
      <c r="O66" s="382">
        <f t="shared" si="2"/>
        <v>0</v>
      </c>
      <c r="P66" s="382"/>
      <c r="Q66" s="382"/>
      <c r="R66" s="382"/>
      <c r="S66" s="382"/>
      <c r="T66" s="382"/>
      <c r="U66" s="382"/>
      <c r="V66" s="382"/>
      <c r="W66" s="382"/>
      <c r="X66" s="445"/>
      <c r="Y66" s="382"/>
      <c r="Z66" s="382"/>
      <c r="AA66" s="488"/>
      <c r="AB66" s="488"/>
      <c r="AC66" s="467"/>
      <c r="AD66" s="492" t="s">
        <v>278</v>
      </c>
      <c r="AE66" s="478" t="s">
        <v>205</v>
      </c>
      <c r="AF66" s="493">
        <v>1.39</v>
      </c>
      <c r="AG66" s="455">
        <v>19.9</v>
      </c>
      <c r="AH66" s="494">
        <v>0</v>
      </c>
      <c r="AI66" s="455"/>
      <c r="AJ66" s="455"/>
      <c r="AK66" s="449"/>
      <c r="AL66" s="390"/>
      <c r="AM66" s="455"/>
      <c r="AN66" s="455"/>
      <c r="AO66" s="455"/>
      <c r="AP66" s="478"/>
      <c r="AQ66" s="455"/>
      <c r="AR66" s="452"/>
      <c r="AS66" s="428"/>
      <c r="AT66" s="451" t="s">
        <v>329</v>
      </c>
      <c r="AU66" s="452" t="s">
        <v>204</v>
      </c>
      <c r="AV66" s="452" t="s">
        <v>374</v>
      </c>
      <c r="AW66" s="451"/>
      <c r="AX66" s="428"/>
      <c r="AY66" s="428"/>
      <c r="AZ66" s="451"/>
    </row>
    <row r="67">
      <c r="A67" s="495" t="s">
        <v>355</v>
      </c>
      <c r="B67" s="425" t="s">
        <v>193</v>
      </c>
      <c r="C67" s="383" t="s">
        <v>194</v>
      </c>
      <c r="D67" s="424">
        <v>2</v>
      </c>
      <c r="E67" s="452"/>
      <c r="F67" s="450"/>
      <c r="G67" s="382">
        <f t="shared" si="3"/>
        <v>0</v>
      </c>
      <c r="H67" s="461">
        <v>60</v>
      </c>
      <c r="I67" s="382">
        <f t="shared" si="4"/>
        <v>47.78</v>
      </c>
      <c r="J67" s="461"/>
      <c r="K67" s="382">
        <f t="shared" si="0"/>
        <v>0</v>
      </c>
      <c r="L67" s="450"/>
      <c r="M67" s="382">
        <f t="shared" si="1"/>
        <v>0</v>
      </c>
      <c r="N67" s="450"/>
      <c r="O67" s="382">
        <f t="shared" si="2"/>
        <v>0</v>
      </c>
      <c r="P67" s="382"/>
      <c r="Q67" s="382"/>
      <c r="R67" s="382"/>
      <c r="S67" s="382"/>
      <c r="T67" s="382"/>
      <c r="U67" s="382"/>
      <c r="V67" s="382"/>
      <c r="W67" s="382"/>
      <c r="X67" s="445"/>
      <c r="Y67" s="382"/>
      <c r="Z67" s="382"/>
      <c r="AA67" s="488"/>
      <c r="AB67" s="488"/>
      <c r="AC67" s="467"/>
      <c r="AD67" s="492" t="s">
        <v>273</v>
      </c>
      <c r="AE67" s="478" t="s">
        <v>204</v>
      </c>
      <c r="AF67" s="455">
        <v>1.6</v>
      </c>
      <c r="AG67" s="455">
        <v>20</v>
      </c>
      <c r="AH67" s="494">
        <v>0</v>
      </c>
      <c r="AI67" s="455"/>
      <c r="AJ67" s="455"/>
      <c r="AK67" s="449"/>
      <c r="AL67" s="390"/>
      <c r="AM67" s="455"/>
      <c r="AN67" s="455"/>
      <c r="AO67" s="455"/>
      <c r="AP67" s="478"/>
      <c r="AQ67" s="455"/>
      <c r="AR67" s="452"/>
      <c r="AS67" s="428"/>
      <c r="AT67" s="451" t="s">
        <v>329</v>
      </c>
      <c r="AU67" s="452" t="s">
        <v>194</v>
      </c>
      <c r="AV67" s="452" t="s">
        <v>376</v>
      </c>
      <c r="AW67" s="451"/>
      <c r="AX67" s="428"/>
      <c r="AY67" s="428"/>
      <c r="AZ67" s="451"/>
    </row>
    <row r="68">
      <c r="A68" s="469"/>
      <c r="B68" s="451" t="s">
        <v>378</v>
      </c>
      <c r="C68" s="452"/>
      <c r="D68" s="452"/>
      <c r="E68" s="452"/>
      <c r="F68" s="450"/>
      <c r="G68" s="382">
        <f t="shared" si="3"/>
        <v>0</v>
      </c>
      <c r="H68" s="461"/>
      <c r="I68" s="382">
        <f t="shared" si="4"/>
        <v>0</v>
      </c>
      <c r="J68" s="461"/>
      <c r="K68" s="382">
        <f ref="K68:K131" t="shared" si="7">IF(J68&gt;0,ROUND(10*LOG10(J68)+30,2),0)</f>
        <v>0</v>
      </c>
      <c r="L68" s="450"/>
      <c r="M68" s="382">
        <f ref="M68:M131" t="shared" si="8">IF(L68&gt;0,ROUND(10*LOG10(L68)+30,2),0)</f>
        <v>0</v>
      </c>
      <c r="N68" s="450"/>
      <c r="O68" s="382">
        <f ref="O68:O131" t="shared" si="9">IF(N68&gt;0,ROUND(10*LOG10(N68)+30,2),0)</f>
        <v>0</v>
      </c>
      <c r="P68" s="382"/>
      <c r="Q68" s="382"/>
      <c r="R68" s="382"/>
      <c r="S68" s="382"/>
      <c r="T68" s="382"/>
      <c r="U68" s="382"/>
      <c r="V68" s="382"/>
      <c r="W68" s="382"/>
      <c r="X68" s="445"/>
      <c r="Y68" s="382"/>
      <c r="Z68" s="382"/>
      <c r="AA68" s="488"/>
      <c r="AB68" s="488"/>
      <c r="AC68" s="467"/>
      <c r="AD68" s="492" t="s">
        <v>273</v>
      </c>
      <c r="AE68" s="478" t="s">
        <v>205</v>
      </c>
      <c r="AF68" s="455">
        <v>1.6</v>
      </c>
      <c r="AG68" s="455">
        <v>21</v>
      </c>
      <c r="AH68" s="494">
        <v>0</v>
      </c>
      <c r="AI68" s="455"/>
      <c r="AJ68" s="455"/>
      <c r="AK68" s="449"/>
      <c r="AL68" s="390"/>
      <c r="AM68" s="455"/>
      <c r="AN68" s="455"/>
      <c r="AO68" s="455"/>
      <c r="AP68" s="478"/>
      <c r="AQ68" s="455"/>
      <c r="AR68" s="452"/>
      <c r="AS68" s="428"/>
      <c r="AT68" s="451" t="s">
        <v>329</v>
      </c>
      <c r="AU68" s="452" t="s">
        <v>217</v>
      </c>
      <c r="AV68" s="452" t="s">
        <v>377</v>
      </c>
      <c r="AW68" s="466"/>
      <c r="AX68" s="428"/>
      <c r="AY68" s="428"/>
      <c r="AZ68" s="451"/>
    </row>
    <row r="69">
      <c r="A69" s="469"/>
      <c r="B69" s="451" t="s">
        <v>378</v>
      </c>
      <c r="C69" s="452"/>
      <c r="D69" s="452"/>
      <c r="E69" s="452"/>
      <c r="F69" s="450"/>
      <c r="G69" s="382">
        <f ref="G69:G132" t="shared" si="10">IF(F69&gt;0,ROUND(10*LOG10(F69)+30,2),0)</f>
        <v>0</v>
      </c>
      <c r="H69" s="461"/>
      <c r="I69" s="382">
        <f ref="I69:I132" t="shared" si="11">IF(H69&gt;0,ROUND(10*LOG10(H69)+30,2),0)</f>
        <v>0</v>
      </c>
      <c r="J69" s="461"/>
      <c r="K69" s="382">
        <f t="shared" si="7"/>
        <v>0</v>
      </c>
      <c r="L69" s="450"/>
      <c r="M69" s="382">
        <f t="shared" si="8"/>
        <v>0</v>
      </c>
      <c r="N69" s="450"/>
      <c r="O69" s="382">
        <f t="shared" si="9"/>
        <v>0</v>
      </c>
      <c r="P69" s="382"/>
      <c r="Q69" s="382"/>
      <c r="R69" s="382"/>
      <c r="S69" s="382"/>
      <c r="T69" s="382"/>
      <c r="U69" s="382"/>
      <c r="V69" s="382"/>
      <c r="W69" s="382"/>
      <c r="X69" s="445"/>
      <c r="Y69" s="382"/>
      <c r="Z69" s="382"/>
      <c r="AA69" s="488"/>
      <c r="AB69" s="488"/>
      <c r="AC69" s="446"/>
      <c r="AD69" s="496" t="s">
        <v>301</v>
      </c>
      <c r="AE69" s="478" t="s">
        <v>211</v>
      </c>
      <c r="AF69" s="455">
        <v>1.5</v>
      </c>
      <c r="AG69" s="455">
        <v>14.7</v>
      </c>
      <c r="AH69" s="494">
        <v>0</v>
      </c>
      <c r="AI69" s="455"/>
      <c r="AJ69" s="455"/>
      <c r="AK69" s="449"/>
      <c r="AL69" s="390"/>
      <c r="AM69" s="455"/>
      <c r="AN69" s="455"/>
      <c r="AO69" s="455"/>
      <c r="AP69" s="478"/>
      <c r="AQ69" s="455"/>
      <c r="AR69" s="452"/>
      <c r="AS69" s="428"/>
      <c r="AT69" s="451" t="s">
        <v>332</v>
      </c>
      <c r="AU69" s="452" t="s">
        <v>204</v>
      </c>
      <c r="AV69" s="452" t="s">
        <v>374</v>
      </c>
      <c r="AW69" s="466"/>
      <c r="AX69" s="428"/>
      <c r="AY69" s="428"/>
      <c r="AZ69" s="452"/>
    </row>
    <row r="70">
      <c r="A70" s="469"/>
      <c r="B70" s="451" t="s">
        <v>378</v>
      </c>
      <c r="C70" s="452"/>
      <c r="D70" s="452"/>
      <c r="E70" s="452"/>
      <c r="F70" s="450"/>
      <c r="G70" s="382">
        <f t="shared" si="10"/>
        <v>0</v>
      </c>
      <c r="H70" s="461"/>
      <c r="I70" s="382">
        <f t="shared" si="11"/>
        <v>0</v>
      </c>
      <c r="J70" s="461"/>
      <c r="K70" s="382">
        <f t="shared" si="7"/>
        <v>0</v>
      </c>
      <c r="L70" s="450"/>
      <c r="M70" s="382">
        <f t="shared" si="8"/>
        <v>0</v>
      </c>
      <c r="N70" s="450"/>
      <c r="O70" s="382">
        <f t="shared" si="9"/>
        <v>0</v>
      </c>
      <c r="P70" s="382"/>
      <c r="Q70" s="382"/>
      <c r="R70" s="382"/>
      <c r="S70" s="382"/>
      <c r="T70" s="382"/>
      <c r="U70" s="382"/>
      <c r="V70" s="382"/>
      <c r="W70" s="382"/>
      <c r="X70" s="445"/>
      <c r="Y70" s="382"/>
      <c r="Z70" s="382"/>
      <c r="AA70" s="466"/>
      <c r="AB70" s="466"/>
      <c r="AC70" s="446"/>
      <c r="AD70" s="496" t="s">
        <v>301</v>
      </c>
      <c r="AE70" s="478" t="s">
        <v>204</v>
      </c>
      <c r="AF70" s="455">
        <v>1.5</v>
      </c>
      <c r="AG70" s="455">
        <v>16.8</v>
      </c>
      <c r="AH70" s="494">
        <v>0</v>
      </c>
      <c r="AI70" s="455"/>
      <c r="AJ70" s="455"/>
      <c r="AK70" s="449"/>
      <c r="AL70" s="390"/>
      <c r="AM70" s="455"/>
      <c r="AN70" s="455"/>
      <c r="AO70" s="455"/>
      <c r="AP70" s="478"/>
      <c r="AQ70" s="455"/>
      <c r="AR70" s="452"/>
      <c r="AS70" s="428"/>
      <c r="AT70" s="451" t="s">
        <v>332</v>
      </c>
      <c r="AU70" s="452" t="s">
        <v>194</v>
      </c>
      <c r="AV70" s="452" t="s">
        <v>376</v>
      </c>
      <c r="AW70" s="466"/>
      <c r="AX70" s="428"/>
      <c r="AY70" s="428"/>
      <c r="AZ70" s="452"/>
    </row>
    <row r="71">
      <c r="A71" s="469"/>
      <c r="B71" s="451" t="s">
        <v>378</v>
      </c>
      <c r="C71" s="452"/>
      <c r="D71" s="452"/>
      <c r="E71" s="452"/>
      <c r="F71" s="450"/>
      <c r="G71" s="382">
        <f t="shared" si="10"/>
        <v>0</v>
      </c>
      <c r="H71" s="461"/>
      <c r="I71" s="382">
        <f t="shared" si="11"/>
        <v>0</v>
      </c>
      <c r="J71" s="461"/>
      <c r="K71" s="382">
        <f t="shared" si="7"/>
        <v>0</v>
      </c>
      <c r="L71" s="450"/>
      <c r="M71" s="382">
        <f t="shared" si="8"/>
        <v>0</v>
      </c>
      <c r="N71" s="450"/>
      <c r="O71" s="382">
        <f t="shared" si="9"/>
        <v>0</v>
      </c>
      <c r="P71" s="382"/>
      <c r="Q71" s="382"/>
      <c r="R71" s="382"/>
      <c r="S71" s="382"/>
      <c r="T71" s="382"/>
      <c r="U71" s="382"/>
      <c r="V71" s="382"/>
      <c r="W71" s="382"/>
      <c r="X71" s="445"/>
      <c r="Y71" s="382"/>
      <c r="Z71" s="382"/>
      <c r="AA71" s="466"/>
      <c r="AB71" s="466"/>
      <c r="AC71" s="446"/>
      <c r="AD71" s="496" t="s">
        <v>301</v>
      </c>
      <c r="AE71" s="478" t="s">
        <v>205</v>
      </c>
      <c r="AF71" s="455">
        <v>1.5</v>
      </c>
      <c r="AG71" s="455">
        <v>17.2</v>
      </c>
      <c r="AH71" s="494">
        <v>0</v>
      </c>
      <c r="AI71" s="455"/>
      <c r="AJ71" s="455"/>
      <c r="AK71" s="449"/>
      <c r="AL71" s="390"/>
      <c r="AM71" s="455"/>
      <c r="AN71" s="455"/>
      <c r="AO71" s="455"/>
      <c r="AP71" s="478"/>
      <c r="AQ71" s="455"/>
      <c r="AR71" s="452"/>
      <c r="AS71" s="428"/>
      <c r="AT71" s="451" t="s">
        <v>334</v>
      </c>
      <c r="AU71" s="452" t="s">
        <v>204</v>
      </c>
      <c r="AV71" s="452" t="s">
        <v>374</v>
      </c>
      <c r="AW71" s="466"/>
      <c r="AX71" s="428"/>
      <c r="AY71" s="428"/>
      <c r="AZ71" s="452"/>
    </row>
    <row r="72">
      <c r="A72" s="469"/>
      <c r="B72" s="451" t="s">
        <v>378</v>
      </c>
      <c r="C72" s="452"/>
      <c r="D72" s="452"/>
      <c r="E72" s="452"/>
      <c r="F72" s="450"/>
      <c r="G72" s="382">
        <f t="shared" si="10"/>
        <v>0</v>
      </c>
      <c r="H72" s="461"/>
      <c r="I72" s="382">
        <f t="shared" si="11"/>
        <v>0</v>
      </c>
      <c r="J72" s="461"/>
      <c r="K72" s="382">
        <f t="shared" si="7"/>
        <v>0</v>
      </c>
      <c r="L72" s="450"/>
      <c r="M72" s="382">
        <f t="shared" si="8"/>
        <v>0</v>
      </c>
      <c r="N72" s="450"/>
      <c r="O72" s="382">
        <f t="shared" si="9"/>
        <v>0</v>
      </c>
      <c r="P72" s="382"/>
      <c r="Q72" s="382"/>
      <c r="R72" s="382"/>
      <c r="S72" s="382"/>
      <c r="T72" s="382"/>
      <c r="U72" s="382"/>
      <c r="V72" s="382"/>
      <c r="W72" s="482"/>
      <c r="X72" s="445"/>
      <c r="Y72" s="482"/>
      <c r="Z72" s="482"/>
      <c r="AA72" s="466"/>
      <c r="AB72" s="466"/>
      <c r="AC72" s="446"/>
      <c r="AD72" s="447" t="s">
        <v>358</v>
      </c>
      <c r="AE72" s="388" t="s">
        <v>211</v>
      </c>
      <c r="AF72" s="382">
        <v>2.4</v>
      </c>
      <c r="AG72" s="382">
        <v>16.9</v>
      </c>
      <c r="AH72" s="384">
        <v>0</v>
      </c>
      <c r="AI72" s="455"/>
      <c r="AJ72" s="455"/>
      <c r="AK72" s="449"/>
      <c r="AL72" s="390"/>
      <c r="AM72" s="455"/>
      <c r="AN72" s="455"/>
      <c r="AO72" s="455"/>
      <c r="AP72" s="478"/>
      <c r="AQ72" s="455"/>
      <c r="AR72" s="452"/>
      <c r="AS72" s="428"/>
      <c r="AT72" s="466" t="s">
        <v>334</v>
      </c>
      <c r="AU72" s="452" t="s">
        <v>194</v>
      </c>
      <c r="AV72" s="452" t="s">
        <v>376</v>
      </c>
      <c r="AW72" s="466"/>
      <c r="AX72" s="428"/>
      <c r="AY72" s="428"/>
      <c r="AZ72" s="452"/>
    </row>
    <row r="73">
      <c r="A73" s="469"/>
      <c r="B73" s="451" t="s">
        <v>378</v>
      </c>
      <c r="C73" s="452"/>
      <c r="D73" s="452"/>
      <c r="E73" s="452"/>
      <c r="F73" s="450"/>
      <c r="G73" s="382">
        <f t="shared" si="10"/>
        <v>0</v>
      </c>
      <c r="H73" s="461"/>
      <c r="I73" s="382">
        <f t="shared" si="11"/>
        <v>0</v>
      </c>
      <c r="J73" s="461"/>
      <c r="K73" s="382">
        <f t="shared" si="7"/>
        <v>0</v>
      </c>
      <c r="L73" s="450"/>
      <c r="M73" s="382">
        <f t="shared" si="8"/>
        <v>0</v>
      </c>
      <c r="N73" s="450"/>
      <c r="O73" s="382">
        <f t="shared" si="9"/>
        <v>0</v>
      </c>
      <c r="P73" s="382"/>
      <c r="Q73" s="382"/>
      <c r="R73" s="382"/>
      <c r="S73" s="382"/>
      <c r="T73" s="382"/>
      <c r="U73" s="382"/>
      <c r="V73" s="382"/>
      <c r="W73" s="482"/>
      <c r="X73" s="445"/>
      <c r="Y73" s="482"/>
      <c r="Z73" s="482"/>
      <c r="AA73" s="466"/>
      <c r="AB73" s="466"/>
      <c r="AC73" s="446"/>
      <c r="AD73" s="497" t="s">
        <v>362</v>
      </c>
      <c r="AE73" s="388" t="s">
        <v>211</v>
      </c>
      <c r="AF73" s="491">
        <v>2.58</v>
      </c>
      <c r="AG73" s="491">
        <v>17</v>
      </c>
      <c r="AH73" s="498">
        <v>0</v>
      </c>
      <c r="AI73" s="491"/>
      <c r="AJ73" s="491"/>
      <c r="AK73" s="465"/>
      <c r="AL73" s="387"/>
      <c r="AM73" s="382"/>
      <c r="AN73" s="382"/>
      <c r="AO73" s="382"/>
      <c r="AP73" s="478"/>
      <c r="AQ73" s="455"/>
      <c r="AR73" s="452"/>
      <c r="AS73" s="428"/>
      <c r="AT73" s="466" t="s">
        <v>339</v>
      </c>
      <c r="AU73" s="452" t="s">
        <v>205</v>
      </c>
      <c r="AV73" s="452" t="s">
        <v>379</v>
      </c>
      <c r="AW73" s="466"/>
      <c r="AX73" s="428"/>
      <c r="AY73" s="428"/>
      <c r="AZ73" s="451"/>
    </row>
    <row r="74">
      <c r="A74" s="469"/>
      <c r="B74" s="451" t="s">
        <v>378</v>
      </c>
      <c r="C74" s="452"/>
      <c r="D74" s="452"/>
      <c r="E74" s="452"/>
      <c r="F74" s="450"/>
      <c r="G74" s="382">
        <f t="shared" si="10"/>
        <v>0</v>
      </c>
      <c r="H74" s="461"/>
      <c r="I74" s="382">
        <f t="shared" si="11"/>
        <v>0</v>
      </c>
      <c r="J74" s="461"/>
      <c r="K74" s="382">
        <f t="shared" si="7"/>
        <v>0</v>
      </c>
      <c r="L74" s="450"/>
      <c r="M74" s="382">
        <f t="shared" si="8"/>
        <v>0</v>
      </c>
      <c r="N74" s="450"/>
      <c r="O74" s="382">
        <f t="shared" si="9"/>
        <v>0</v>
      </c>
      <c r="P74" s="382"/>
      <c r="Q74" s="382"/>
      <c r="R74" s="382"/>
      <c r="S74" s="382"/>
      <c r="T74" s="382"/>
      <c r="U74" s="382"/>
      <c r="V74" s="382"/>
      <c r="W74" s="482"/>
      <c r="X74" s="445"/>
      <c r="Y74" s="482"/>
      <c r="Z74" s="482"/>
      <c r="AA74" s="466"/>
      <c r="AB74" s="466"/>
      <c r="AC74" s="446"/>
      <c r="AD74" s="497" t="s">
        <v>362</v>
      </c>
      <c r="AE74" s="388" t="s">
        <v>200</v>
      </c>
      <c r="AF74" s="491">
        <v>2.58</v>
      </c>
      <c r="AG74" s="491">
        <v>17.8</v>
      </c>
      <c r="AH74" s="498">
        <v>0</v>
      </c>
      <c r="AI74" s="491"/>
      <c r="AJ74" s="491"/>
      <c r="AK74" s="465"/>
      <c r="AL74" s="387"/>
      <c r="AM74" s="382"/>
      <c r="AN74" s="382"/>
      <c r="AO74" s="382"/>
      <c r="AP74" s="478"/>
      <c r="AQ74" s="455"/>
      <c r="AR74" s="452"/>
      <c r="AS74" s="428"/>
      <c r="AT74" s="466" t="s">
        <v>343</v>
      </c>
      <c r="AU74" s="452" t="s">
        <v>194</v>
      </c>
      <c r="AV74" s="452" t="s">
        <v>380</v>
      </c>
      <c r="AW74" s="466"/>
      <c r="AX74" s="428"/>
      <c r="AY74" s="428"/>
      <c r="AZ74" s="451"/>
    </row>
    <row r="75">
      <c r="A75" s="469"/>
      <c r="B75" s="451" t="s">
        <v>378</v>
      </c>
      <c r="C75" s="452"/>
      <c r="D75" s="452"/>
      <c r="E75" s="452"/>
      <c r="F75" s="450"/>
      <c r="G75" s="382">
        <f t="shared" si="10"/>
        <v>0</v>
      </c>
      <c r="H75" s="461"/>
      <c r="I75" s="382">
        <f t="shared" si="11"/>
        <v>0</v>
      </c>
      <c r="J75" s="461"/>
      <c r="K75" s="382">
        <f t="shared" si="7"/>
        <v>0</v>
      </c>
      <c r="L75" s="450"/>
      <c r="M75" s="382">
        <f t="shared" si="8"/>
        <v>0</v>
      </c>
      <c r="N75" s="450"/>
      <c r="O75" s="382">
        <f t="shared" si="9"/>
        <v>0</v>
      </c>
      <c r="P75" s="382"/>
      <c r="Q75" s="382"/>
      <c r="R75" s="382"/>
      <c r="S75" s="382"/>
      <c r="T75" s="382"/>
      <c r="U75" s="382"/>
      <c r="V75" s="382"/>
      <c r="W75" s="482"/>
      <c r="X75" s="445"/>
      <c r="Y75" s="482"/>
      <c r="Z75" s="482"/>
      <c r="AA75" s="466"/>
      <c r="AB75" s="466"/>
      <c r="AC75" s="467"/>
      <c r="AD75" s="492" t="s">
        <v>287</v>
      </c>
      <c r="AE75" s="478" t="s">
        <v>194</v>
      </c>
      <c r="AF75" s="493">
        <v>1.41</v>
      </c>
      <c r="AG75" s="493">
        <v>14.3</v>
      </c>
      <c r="AH75" s="494">
        <v>0</v>
      </c>
      <c r="AI75" s="493"/>
      <c r="AJ75" s="493"/>
      <c r="AK75" s="449"/>
      <c r="AL75" s="390"/>
      <c r="AM75" s="455"/>
      <c r="AN75" s="455"/>
      <c r="AO75" s="455"/>
      <c r="AP75" s="478"/>
      <c r="AQ75" s="455"/>
      <c r="AR75" s="452"/>
      <c r="AS75" s="428"/>
      <c r="AT75" s="466" t="s">
        <v>345</v>
      </c>
      <c r="AU75" s="452" t="s">
        <v>194</v>
      </c>
      <c r="AV75" s="452" t="s">
        <v>380</v>
      </c>
      <c r="AW75" s="466"/>
      <c r="AX75" s="428"/>
      <c r="AY75" s="428"/>
      <c r="AZ75" s="451"/>
    </row>
    <row r="76">
      <c r="A76" s="469"/>
      <c r="B76" s="451" t="s">
        <v>378</v>
      </c>
      <c r="C76" s="452"/>
      <c r="D76" s="452"/>
      <c r="E76" s="452"/>
      <c r="F76" s="450"/>
      <c r="G76" s="382">
        <f t="shared" si="10"/>
        <v>0</v>
      </c>
      <c r="H76" s="461"/>
      <c r="I76" s="382">
        <f t="shared" si="11"/>
        <v>0</v>
      </c>
      <c r="J76" s="461"/>
      <c r="K76" s="382">
        <f t="shared" si="7"/>
        <v>0</v>
      </c>
      <c r="L76" s="450"/>
      <c r="M76" s="382">
        <f t="shared" si="8"/>
        <v>0</v>
      </c>
      <c r="N76" s="450"/>
      <c r="O76" s="382">
        <f t="shared" si="9"/>
        <v>0</v>
      </c>
      <c r="P76" s="382"/>
      <c r="Q76" s="382"/>
      <c r="R76" s="382"/>
      <c r="S76" s="382"/>
      <c r="T76" s="382"/>
      <c r="U76" s="382"/>
      <c r="V76" s="382"/>
      <c r="W76" s="482"/>
      <c r="X76" s="445"/>
      <c r="Y76" s="482"/>
      <c r="Z76" s="482"/>
      <c r="AA76" s="488"/>
      <c r="AB76" s="488"/>
      <c r="AC76" s="467"/>
      <c r="AD76" s="492" t="s">
        <v>287</v>
      </c>
      <c r="AE76" s="478" t="s">
        <v>204</v>
      </c>
      <c r="AF76" s="493">
        <v>1.41</v>
      </c>
      <c r="AG76" s="493">
        <v>17.1</v>
      </c>
      <c r="AH76" s="494">
        <v>0</v>
      </c>
      <c r="AI76" s="493"/>
      <c r="AJ76" s="493"/>
      <c r="AK76" s="449"/>
      <c r="AL76" s="390"/>
      <c r="AM76" s="455"/>
      <c r="AN76" s="455"/>
      <c r="AO76" s="455"/>
      <c r="AP76" s="478"/>
      <c r="AQ76" s="455"/>
      <c r="AR76" s="452"/>
      <c r="AS76" s="428"/>
      <c r="AT76" s="466" t="s">
        <v>348</v>
      </c>
      <c r="AU76" s="450" t="s">
        <v>194</v>
      </c>
      <c r="AV76" s="450" t="s">
        <v>380</v>
      </c>
      <c r="AW76" s="466"/>
      <c r="AX76" s="428"/>
      <c r="AY76" s="428"/>
      <c r="AZ76" s="452"/>
    </row>
    <row r="77">
      <c r="A77" s="469"/>
      <c r="B77" s="451" t="s">
        <v>378</v>
      </c>
      <c r="C77" s="452"/>
      <c r="D77" s="452"/>
      <c r="E77" s="452"/>
      <c r="F77" s="450"/>
      <c r="G77" s="382">
        <f t="shared" si="10"/>
        <v>0</v>
      </c>
      <c r="H77" s="461"/>
      <c r="I77" s="382">
        <f t="shared" si="11"/>
        <v>0</v>
      </c>
      <c r="J77" s="461"/>
      <c r="K77" s="382">
        <f t="shared" si="7"/>
        <v>0</v>
      </c>
      <c r="L77" s="450"/>
      <c r="M77" s="382">
        <f t="shared" si="8"/>
        <v>0</v>
      </c>
      <c r="N77" s="450"/>
      <c r="O77" s="382">
        <f t="shared" si="9"/>
        <v>0</v>
      </c>
      <c r="P77" s="382"/>
      <c r="Q77" s="382"/>
      <c r="R77" s="382"/>
      <c r="S77" s="382"/>
      <c r="T77" s="382"/>
      <c r="U77" s="382"/>
      <c r="V77" s="382"/>
      <c r="W77" s="482"/>
      <c r="X77" s="445"/>
      <c r="Y77" s="482"/>
      <c r="Z77" s="482"/>
      <c r="AA77" s="488"/>
      <c r="AB77" s="488"/>
      <c r="AC77" s="446"/>
      <c r="AD77" s="492" t="s">
        <v>287</v>
      </c>
      <c r="AE77" s="478" t="s">
        <v>194</v>
      </c>
      <c r="AF77" s="493">
        <v>1.41</v>
      </c>
      <c r="AG77" s="493">
        <v>17.5</v>
      </c>
      <c r="AH77" s="494">
        <v>0</v>
      </c>
      <c r="AI77" s="491"/>
      <c r="AJ77" s="491"/>
      <c r="AK77" s="490"/>
      <c r="AL77" s="387"/>
      <c r="AM77" s="382"/>
      <c r="AN77" s="382"/>
      <c r="AO77" s="382"/>
      <c r="AP77" s="478"/>
      <c r="AQ77" s="455"/>
      <c r="AR77" s="452"/>
      <c r="AS77" s="428"/>
      <c r="AT77" s="466" t="s">
        <v>350</v>
      </c>
      <c r="AU77" s="450" t="s">
        <v>194</v>
      </c>
      <c r="AV77" s="450" t="s">
        <v>380</v>
      </c>
      <c r="AW77" s="466"/>
      <c r="AX77" s="428"/>
      <c r="AY77" s="428"/>
      <c r="AZ77" s="452"/>
    </row>
    <row r="78">
      <c r="A78" s="469"/>
      <c r="B78" s="451" t="s">
        <v>378</v>
      </c>
      <c r="C78" s="452"/>
      <c r="D78" s="452"/>
      <c r="E78" s="452"/>
      <c r="F78" s="450"/>
      <c r="G78" s="382">
        <f t="shared" si="10"/>
        <v>0</v>
      </c>
      <c r="H78" s="461"/>
      <c r="I78" s="382">
        <f t="shared" si="11"/>
        <v>0</v>
      </c>
      <c r="J78" s="461"/>
      <c r="K78" s="382">
        <f t="shared" si="7"/>
        <v>0</v>
      </c>
      <c r="L78" s="450"/>
      <c r="M78" s="382">
        <f t="shared" si="8"/>
        <v>0</v>
      </c>
      <c r="N78" s="450"/>
      <c r="O78" s="382">
        <f t="shared" si="9"/>
        <v>0</v>
      </c>
      <c r="P78" s="382"/>
      <c r="Q78" s="382"/>
      <c r="R78" s="382"/>
      <c r="S78" s="382"/>
      <c r="T78" s="382"/>
      <c r="U78" s="382"/>
      <c r="V78" s="382"/>
      <c r="W78" s="482"/>
      <c r="X78" s="445"/>
      <c r="Y78" s="482"/>
      <c r="Z78" s="482"/>
      <c r="AA78" s="488"/>
      <c r="AB78" s="488"/>
      <c r="AC78" s="446"/>
      <c r="AD78" s="499" t="s">
        <v>347</v>
      </c>
      <c r="AE78" s="388" t="s">
        <v>204</v>
      </c>
      <c r="AF78" s="491">
        <v>1.43</v>
      </c>
      <c r="AG78" s="491">
        <v>17.3</v>
      </c>
      <c r="AH78" s="498">
        <v>0</v>
      </c>
      <c r="AI78" s="491"/>
      <c r="AJ78" s="491"/>
      <c r="AK78" s="490"/>
      <c r="AL78" s="451"/>
      <c r="AM78" s="500"/>
      <c r="AN78" s="500"/>
      <c r="AO78" s="382"/>
      <c r="AP78" s="478"/>
      <c r="AQ78" s="455"/>
      <c r="AR78" s="452"/>
      <c r="AS78" s="428"/>
      <c r="AT78" s="466" t="s">
        <v>352</v>
      </c>
      <c r="AU78" s="450" t="s">
        <v>194</v>
      </c>
      <c r="AV78" s="450" t="s">
        <v>380</v>
      </c>
      <c r="AW78" s="466"/>
      <c r="AX78" s="428"/>
      <c r="AY78" s="428"/>
      <c r="AZ78" s="452"/>
    </row>
    <row r="79">
      <c r="A79" s="469"/>
      <c r="B79" s="451" t="s">
        <v>378</v>
      </c>
      <c r="C79" s="452"/>
      <c r="D79" s="452"/>
      <c r="E79" s="452"/>
      <c r="F79" s="450"/>
      <c r="G79" s="382">
        <f t="shared" si="10"/>
        <v>0</v>
      </c>
      <c r="H79" s="461"/>
      <c r="I79" s="382">
        <f t="shared" si="11"/>
        <v>0</v>
      </c>
      <c r="J79" s="461"/>
      <c r="K79" s="382">
        <f t="shared" si="7"/>
        <v>0</v>
      </c>
      <c r="L79" s="450"/>
      <c r="M79" s="382">
        <f t="shared" si="8"/>
        <v>0</v>
      </c>
      <c r="N79" s="450"/>
      <c r="O79" s="382">
        <f t="shared" si="9"/>
        <v>0</v>
      </c>
      <c r="P79" s="382"/>
      <c r="Q79" s="382"/>
      <c r="R79" s="382"/>
      <c r="S79" s="382"/>
      <c r="T79" s="382"/>
      <c r="U79" s="382"/>
      <c r="V79" s="382"/>
      <c r="W79" s="482"/>
      <c r="X79" s="445"/>
      <c r="Y79" s="482"/>
      <c r="Z79" s="482"/>
      <c r="AA79" s="488"/>
      <c r="AB79" s="488"/>
      <c r="AC79" s="467"/>
      <c r="AD79" s="499" t="s">
        <v>347</v>
      </c>
      <c r="AE79" s="388" t="s">
        <v>205</v>
      </c>
      <c r="AF79" s="491">
        <v>1.43</v>
      </c>
      <c r="AG79" s="491">
        <v>17.7</v>
      </c>
      <c r="AH79" s="498">
        <v>0</v>
      </c>
      <c r="AI79" s="491"/>
      <c r="AJ79" s="491"/>
      <c r="AK79" s="490"/>
      <c r="AL79" s="387"/>
      <c r="AM79" s="382"/>
      <c r="AN79" s="382"/>
      <c r="AO79" s="382"/>
      <c r="AP79" s="478"/>
      <c r="AQ79" s="455"/>
      <c r="AR79" s="452"/>
      <c r="AS79" s="428"/>
      <c r="AT79" s="466" t="s">
        <v>354</v>
      </c>
      <c r="AU79" s="450" t="s">
        <v>194</v>
      </c>
      <c r="AV79" s="450" t="s">
        <v>380</v>
      </c>
      <c r="AW79" s="451"/>
      <c r="AX79" s="428"/>
      <c r="AY79" s="428"/>
      <c r="AZ79" s="452"/>
    </row>
    <row r="80">
      <c r="A80" s="469"/>
      <c r="B80" s="451" t="s">
        <v>378</v>
      </c>
      <c r="C80" s="452"/>
      <c r="D80" s="452"/>
      <c r="E80" s="452"/>
      <c r="F80" s="450"/>
      <c r="G80" s="382">
        <f t="shared" si="10"/>
        <v>0</v>
      </c>
      <c r="H80" s="461"/>
      <c r="I80" s="382">
        <f t="shared" si="11"/>
        <v>0</v>
      </c>
      <c r="J80" s="461"/>
      <c r="K80" s="382">
        <f t="shared" si="7"/>
        <v>0</v>
      </c>
      <c r="L80" s="450"/>
      <c r="M80" s="382">
        <f t="shared" si="8"/>
        <v>0</v>
      </c>
      <c r="N80" s="450"/>
      <c r="O80" s="382">
        <f t="shared" si="9"/>
        <v>0</v>
      </c>
      <c r="P80" s="382"/>
      <c r="Q80" s="382"/>
      <c r="R80" s="382"/>
      <c r="S80" s="382"/>
      <c r="T80" s="382"/>
      <c r="U80" s="382"/>
      <c r="V80" s="382"/>
      <c r="W80" s="482"/>
      <c r="X80" s="445"/>
      <c r="Y80" s="482"/>
      <c r="Z80" s="482"/>
      <c r="AA80" s="488"/>
      <c r="AB80" s="488"/>
      <c r="AC80" s="467"/>
      <c r="AD80" s="499" t="s">
        <v>297</v>
      </c>
      <c r="AE80" s="388" t="s">
        <v>204</v>
      </c>
      <c r="AF80" s="491">
        <v>1.365</v>
      </c>
      <c r="AG80" s="491">
        <v>17.4</v>
      </c>
      <c r="AH80" s="498">
        <v>0</v>
      </c>
      <c r="AI80" s="491"/>
      <c r="AJ80" s="491"/>
      <c r="AK80" s="490"/>
      <c r="AL80" s="387"/>
      <c r="AM80" s="382"/>
      <c r="AN80" s="382"/>
      <c r="AO80" s="382"/>
      <c r="AP80" s="478"/>
      <c r="AQ80" s="455"/>
      <c r="AR80" s="452"/>
      <c r="AS80" s="428"/>
      <c r="AT80" s="466" t="s">
        <v>357</v>
      </c>
      <c r="AU80" s="450" t="s">
        <v>194</v>
      </c>
      <c r="AV80" s="450" t="s">
        <v>380</v>
      </c>
      <c r="AW80" s="451"/>
      <c r="AX80" s="428"/>
      <c r="AY80" s="428"/>
      <c r="AZ80" s="452"/>
    </row>
    <row r="81">
      <c r="A81" s="469"/>
      <c r="B81" s="451" t="s">
        <v>378</v>
      </c>
      <c r="C81" s="452"/>
      <c r="D81" s="452"/>
      <c r="E81" s="452"/>
      <c r="F81" s="450"/>
      <c r="G81" s="382">
        <f t="shared" si="10"/>
        <v>0</v>
      </c>
      <c r="H81" s="461"/>
      <c r="I81" s="382">
        <f t="shared" si="11"/>
        <v>0</v>
      </c>
      <c r="J81" s="461"/>
      <c r="K81" s="382">
        <f t="shared" si="7"/>
        <v>0</v>
      </c>
      <c r="L81" s="450"/>
      <c r="M81" s="382">
        <f t="shared" si="8"/>
        <v>0</v>
      </c>
      <c r="N81" s="450"/>
      <c r="O81" s="382">
        <f t="shared" si="9"/>
        <v>0</v>
      </c>
      <c r="P81" s="382"/>
      <c r="Q81" s="382"/>
      <c r="R81" s="382"/>
      <c r="S81" s="382"/>
      <c r="T81" s="382"/>
      <c r="U81" s="382"/>
      <c r="V81" s="382"/>
      <c r="W81" s="482"/>
      <c r="X81" s="445"/>
      <c r="Y81" s="482"/>
      <c r="Z81" s="482"/>
      <c r="AA81" s="488"/>
      <c r="AB81" s="488"/>
      <c r="AC81" s="467"/>
      <c r="AD81" s="499" t="s">
        <v>297</v>
      </c>
      <c r="AE81" s="388" t="s">
        <v>205</v>
      </c>
      <c r="AF81" s="491">
        <v>1.365</v>
      </c>
      <c r="AG81" s="491">
        <v>17.9</v>
      </c>
      <c r="AH81" s="498">
        <v>0</v>
      </c>
      <c r="AI81" s="491"/>
      <c r="AJ81" s="491"/>
      <c r="AK81" s="490"/>
      <c r="AL81" s="387"/>
      <c r="AM81" s="382"/>
      <c r="AN81" s="382"/>
      <c r="AO81" s="382"/>
      <c r="AP81" s="478"/>
      <c r="AQ81" s="455"/>
      <c r="AR81" s="452"/>
      <c r="AS81" s="428"/>
      <c r="AT81" s="466" t="s">
        <v>359</v>
      </c>
      <c r="AU81" s="450" t="s">
        <v>200</v>
      </c>
      <c r="AV81" s="450" t="s">
        <v>381</v>
      </c>
      <c r="AW81" s="451"/>
      <c r="AX81" s="428"/>
      <c r="AY81" s="428"/>
      <c r="AZ81" s="452"/>
    </row>
    <row r="82">
      <c r="A82" s="469"/>
      <c r="B82" s="451" t="s">
        <v>378</v>
      </c>
      <c r="C82" s="452"/>
      <c r="D82" s="452"/>
      <c r="E82" s="452"/>
      <c r="F82" s="450"/>
      <c r="G82" s="382">
        <f t="shared" si="10"/>
        <v>0</v>
      </c>
      <c r="H82" s="461"/>
      <c r="I82" s="382">
        <f t="shared" si="11"/>
        <v>0</v>
      </c>
      <c r="J82" s="461"/>
      <c r="K82" s="382">
        <f t="shared" si="7"/>
        <v>0</v>
      </c>
      <c r="L82" s="450"/>
      <c r="M82" s="382">
        <f t="shared" si="8"/>
        <v>0</v>
      </c>
      <c r="N82" s="450"/>
      <c r="O82" s="382">
        <f t="shared" si="9"/>
        <v>0</v>
      </c>
      <c r="P82" s="382"/>
      <c r="Q82" s="382"/>
      <c r="R82" s="382"/>
      <c r="S82" s="382"/>
      <c r="T82" s="382"/>
      <c r="U82" s="382"/>
      <c r="V82" s="382"/>
      <c r="W82" s="482"/>
      <c r="X82" s="445"/>
      <c r="Y82" s="482"/>
      <c r="Z82" s="482"/>
      <c r="AA82" s="488"/>
      <c r="AB82" s="488"/>
      <c r="AC82" s="467"/>
      <c r="AD82" s="499"/>
      <c r="AE82" s="388"/>
      <c r="AF82" s="491"/>
      <c r="AG82" s="491"/>
      <c r="AH82" s="498"/>
      <c r="AI82" s="491"/>
      <c r="AJ82" s="491"/>
      <c r="AK82" s="490"/>
      <c r="AL82" s="387"/>
      <c r="AM82" s="382"/>
      <c r="AN82" s="382"/>
      <c r="AO82" s="382"/>
      <c r="AP82" s="478"/>
      <c r="AQ82" s="455"/>
      <c r="AR82" s="452"/>
      <c r="AS82" s="428"/>
      <c r="AT82" s="466" t="s">
        <v>361</v>
      </c>
      <c r="AU82" s="450" t="s">
        <v>204</v>
      </c>
      <c r="AV82" s="450" t="s">
        <v>381</v>
      </c>
      <c r="AW82" s="451"/>
      <c r="AX82" s="428"/>
      <c r="AY82" s="428"/>
      <c r="AZ82" s="452"/>
    </row>
    <row r="83">
      <c r="A83" s="469"/>
      <c r="B83" s="451" t="s">
        <v>378</v>
      </c>
      <c r="C83" s="452"/>
      <c r="D83" s="452"/>
      <c r="E83" s="452"/>
      <c r="F83" s="450"/>
      <c r="G83" s="382">
        <f t="shared" si="10"/>
        <v>0</v>
      </c>
      <c r="H83" s="461"/>
      <c r="I83" s="382">
        <f t="shared" si="11"/>
        <v>0</v>
      </c>
      <c r="J83" s="461"/>
      <c r="K83" s="382">
        <f t="shared" si="7"/>
        <v>0</v>
      </c>
      <c r="L83" s="450"/>
      <c r="M83" s="382">
        <f t="shared" si="8"/>
        <v>0</v>
      </c>
      <c r="N83" s="450"/>
      <c r="O83" s="382">
        <f t="shared" si="9"/>
        <v>0</v>
      </c>
      <c r="P83" s="382"/>
      <c r="Q83" s="382"/>
      <c r="R83" s="382"/>
      <c r="S83" s="382"/>
      <c r="T83" s="382"/>
      <c r="U83" s="382"/>
      <c r="V83" s="382"/>
      <c r="W83" s="482"/>
      <c r="X83" s="445"/>
      <c r="Y83" s="482"/>
      <c r="Z83" s="482"/>
      <c r="AA83" s="488"/>
      <c r="AB83" s="488"/>
      <c r="AC83" s="467"/>
      <c r="AD83" s="499"/>
      <c r="AE83" s="388"/>
      <c r="AF83" s="491"/>
      <c r="AG83" s="491"/>
      <c r="AH83" s="498"/>
      <c r="AI83" s="491"/>
      <c r="AJ83" s="491"/>
      <c r="AK83" s="490"/>
      <c r="AL83" s="387"/>
      <c r="AM83" s="382"/>
      <c r="AN83" s="382"/>
      <c r="AO83" s="382"/>
      <c r="AP83" s="478"/>
      <c r="AQ83" s="455"/>
      <c r="AR83" s="452"/>
      <c r="AS83" s="428"/>
      <c r="AT83" s="409" t="s">
        <v>363</v>
      </c>
      <c r="AU83" s="410" t="s">
        <v>204</v>
      </c>
      <c r="AV83" s="410" t="s">
        <v>381</v>
      </c>
      <c r="AW83" s="466"/>
      <c r="AX83" s="428"/>
      <c r="AY83" s="428"/>
      <c r="AZ83" s="452"/>
    </row>
    <row r="84">
      <c r="A84" s="469"/>
      <c r="B84" s="451" t="s">
        <v>378</v>
      </c>
      <c r="C84" s="452"/>
      <c r="D84" s="452"/>
      <c r="E84" s="452"/>
      <c r="F84" s="450"/>
      <c r="G84" s="382">
        <f t="shared" si="10"/>
        <v>0</v>
      </c>
      <c r="H84" s="461"/>
      <c r="I84" s="382">
        <f t="shared" si="11"/>
        <v>0</v>
      </c>
      <c r="J84" s="461"/>
      <c r="K84" s="382">
        <f t="shared" si="7"/>
        <v>0</v>
      </c>
      <c r="L84" s="450"/>
      <c r="M84" s="382">
        <f t="shared" si="8"/>
        <v>0</v>
      </c>
      <c r="N84" s="450"/>
      <c r="O84" s="382">
        <f t="shared" si="9"/>
        <v>0</v>
      </c>
      <c r="P84" s="382"/>
      <c r="Q84" s="382"/>
      <c r="R84" s="382"/>
      <c r="S84" s="382"/>
      <c r="T84" s="382"/>
      <c r="U84" s="382"/>
      <c r="V84" s="382"/>
      <c r="W84" s="482"/>
      <c r="X84" s="445"/>
      <c r="Y84" s="482"/>
      <c r="Z84" s="482"/>
      <c r="AA84" s="488"/>
      <c r="AB84" s="488"/>
      <c r="AC84" s="467"/>
      <c r="AD84" s="499"/>
      <c r="AE84" s="388"/>
      <c r="AF84" s="491"/>
      <c r="AG84" s="491"/>
      <c r="AH84" s="498"/>
      <c r="AI84" s="491"/>
      <c r="AJ84" s="491"/>
      <c r="AK84" s="490"/>
      <c r="AL84" s="387"/>
      <c r="AM84" s="382"/>
      <c r="AN84" s="382"/>
      <c r="AO84" s="382"/>
      <c r="AP84" s="478"/>
      <c r="AQ84" s="455"/>
      <c r="AR84" s="452"/>
      <c r="AS84" s="428"/>
      <c r="AT84" s="451" t="s">
        <v>364</v>
      </c>
      <c r="AU84" s="450" t="s">
        <v>204</v>
      </c>
      <c r="AV84" s="450" t="s">
        <v>381</v>
      </c>
      <c r="AW84" s="451"/>
      <c r="AX84" s="428"/>
      <c r="AY84" s="428"/>
      <c r="AZ84" s="452"/>
    </row>
    <row r="85">
      <c r="A85" s="391" t="s">
        <v>192</v>
      </c>
      <c r="B85" s="396" t="s">
        <v>193</v>
      </c>
      <c r="C85" s="501" t="s">
        <v>204</v>
      </c>
      <c r="D85" s="502">
        <v>2</v>
      </c>
      <c r="E85" s="396"/>
      <c r="F85" s="503">
        <v>60</v>
      </c>
      <c r="G85" s="396">
        <f t="shared" si="10"/>
        <v>47.78</v>
      </c>
      <c r="H85" s="503"/>
      <c r="I85" s="396">
        <f t="shared" si="11"/>
        <v>0</v>
      </c>
      <c r="J85" s="503"/>
      <c r="K85" s="396">
        <f t="shared" si="7"/>
        <v>0</v>
      </c>
      <c r="L85" s="396"/>
      <c r="M85" s="396">
        <f t="shared" si="8"/>
        <v>0</v>
      </c>
      <c r="N85" s="396"/>
      <c r="O85" s="396">
        <f t="shared" si="9"/>
        <v>0</v>
      </c>
      <c r="P85" s="382"/>
      <c r="Q85" s="382"/>
      <c r="R85" s="382"/>
      <c r="S85" s="382"/>
      <c r="T85" s="382"/>
      <c r="U85" s="382"/>
      <c r="V85" s="382"/>
      <c r="W85" s="482"/>
      <c r="X85" s="445"/>
      <c r="Y85" s="482"/>
      <c r="Z85" s="482"/>
      <c r="AA85" s="488"/>
      <c r="AB85" s="488"/>
      <c r="AC85" s="467"/>
      <c r="AD85" s="496"/>
      <c r="AE85" s="389"/>
      <c r="AF85" s="455"/>
      <c r="AG85" s="455"/>
      <c r="AH85" s="494"/>
      <c r="AI85" s="455"/>
      <c r="AJ85" s="455"/>
      <c r="AK85" s="449"/>
      <c r="AL85" s="390"/>
      <c r="AM85" s="455"/>
      <c r="AN85" s="455"/>
      <c r="AO85" s="455"/>
      <c r="AP85" s="478"/>
      <c r="AQ85" s="455"/>
      <c r="AR85" s="452"/>
      <c r="AS85" s="428"/>
      <c r="AT85" s="451" t="s">
        <v>365</v>
      </c>
      <c r="AU85" s="450" t="s">
        <v>204</v>
      </c>
      <c r="AV85" s="450" t="s">
        <v>381</v>
      </c>
      <c r="AW85" s="451"/>
      <c r="AX85" s="428"/>
      <c r="AY85" s="428"/>
      <c r="AZ85" s="452"/>
    </row>
    <row r="86">
      <c r="A86" s="391" t="s">
        <v>192</v>
      </c>
      <c r="B86" s="396" t="s">
        <v>193</v>
      </c>
      <c r="C86" s="501" t="s">
        <v>204</v>
      </c>
      <c r="D86" s="502">
        <v>4</v>
      </c>
      <c r="E86" s="396"/>
      <c r="F86" s="503">
        <v>60</v>
      </c>
      <c r="G86" s="396">
        <f t="shared" si="10"/>
        <v>47.78</v>
      </c>
      <c r="H86" s="503"/>
      <c r="I86" s="396">
        <f t="shared" si="11"/>
        <v>0</v>
      </c>
      <c r="J86" s="503"/>
      <c r="K86" s="396">
        <f t="shared" si="7"/>
        <v>0</v>
      </c>
      <c r="L86" s="396"/>
      <c r="M86" s="396">
        <f t="shared" si="8"/>
        <v>0</v>
      </c>
      <c r="N86" s="396"/>
      <c r="O86" s="396">
        <f t="shared" si="9"/>
        <v>0</v>
      </c>
      <c r="P86" s="382"/>
      <c r="Q86" s="382"/>
      <c r="R86" s="382"/>
      <c r="S86" s="382"/>
      <c r="T86" s="382"/>
      <c r="U86" s="382"/>
      <c r="V86" s="382"/>
      <c r="W86" s="482"/>
      <c r="X86" s="445"/>
      <c r="Y86" s="482"/>
      <c r="Z86" s="482"/>
      <c r="AA86" s="488"/>
      <c r="AB86" s="488"/>
      <c r="AC86" s="467"/>
      <c r="AD86" s="496"/>
      <c r="AE86" s="389"/>
      <c r="AF86" s="455"/>
      <c r="AG86" s="455"/>
      <c r="AH86" s="494"/>
      <c r="AI86" s="455"/>
      <c r="AJ86" s="455"/>
      <c r="AK86" s="449"/>
      <c r="AL86" s="390"/>
      <c r="AM86" s="455"/>
      <c r="AN86" s="455"/>
      <c r="AO86" s="455"/>
      <c r="AP86" s="478"/>
      <c r="AQ86" s="455"/>
      <c r="AR86" s="452"/>
      <c r="AS86" s="428"/>
      <c r="AT86" s="451" t="s">
        <v>366</v>
      </c>
      <c r="AU86" s="452" t="s">
        <v>204</v>
      </c>
      <c r="AV86" s="452" t="s">
        <v>381</v>
      </c>
      <c r="AW86" s="451"/>
      <c r="AX86" s="428"/>
      <c r="AY86" s="428"/>
      <c r="AZ86" s="452"/>
    </row>
    <row r="87">
      <c r="A87" s="391" t="s">
        <v>209</v>
      </c>
      <c r="B87" s="396" t="s">
        <v>193</v>
      </c>
      <c r="C87" s="501" t="s">
        <v>204</v>
      </c>
      <c r="D87" s="502">
        <v>2</v>
      </c>
      <c r="E87" s="396"/>
      <c r="F87" s="503">
        <v>60</v>
      </c>
      <c r="G87" s="396">
        <f t="shared" si="10"/>
        <v>47.78</v>
      </c>
      <c r="H87" s="503"/>
      <c r="I87" s="396">
        <f t="shared" si="11"/>
        <v>0</v>
      </c>
      <c r="J87" s="503"/>
      <c r="K87" s="396">
        <f t="shared" si="7"/>
        <v>0</v>
      </c>
      <c r="L87" s="396"/>
      <c r="M87" s="396">
        <f t="shared" si="8"/>
        <v>0</v>
      </c>
      <c r="N87" s="396"/>
      <c r="O87" s="396">
        <f t="shared" si="9"/>
        <v>0</v>
      </c>
      <c r="P87" s="382"/>
      <c r="Q87" s="382"/>
      <c r="R87" s="382"/>
      <c r="S87" s="382"/>
      <c r="T87" s="382"/>
      <c r="U87" s="382"/>
      <c r="V87" s="382"/>
      <c r="W87" s="482"/>
      <c r="X87" s="445"/>
      <c r="Y87" s="482"/>
      <c r="Z87" s="482"/>
      <c r="AA87" s="488"/>
      <c r="AB87" s="488"/>
      <c r="AC87" s="446"/>
      <c r="AD87" s="496"/>
      <c r="AE87" s="389"/>
      <c r="AF87" s="455"/>
      <c r="AG87" s="455"/>
      <c r="AH87" s="494"/>
      <c r="AI87" s="455"/>
      <c r="AJ87" s="455"/>
      <c r="AK87" s="449"/>
      <c r="AL87" s="390"/>
      <c r="AM87" s="455"/>
      <c r="AN87" s="455"/>
      <c r="AO87" s="455"/>
      <c r="AP87" s="478"/>
      <c r="AQ87" s="455"/>
      <c r="AR87" s="452"/>
      <c r="AS87" s="428"/>
      <c r="AT87" s="451" t="s">
        <v>368</v>
      </c>
      <c r="AU87" s="452" t="s">
        <v>204</v>
      </c>
      <c r="AV87" s="452" t="s">
        <v>381</v>
      </c>
      <c r="AW87" s="451"/>
      <c r="AX87" s="428"/>
      <c r="AY87" s="428"/>
      <c r="AZ87" s="452"/>
    </row>
    <row r="88">
      <c r="A88" s="391" t="s">
        <v>209</v>
      </c>
      <c r="B88" s="396" t="s">
        <v>193</v>
      </c>
      <c r="C88" s="501" t="s">
        <v>204</v>
      </c>
      <c r="D88" s="502">
        <v>4</v>
      </c>
      <c r="E88" s="396"/>
      <c r="F88" s="503">
        <v>60</v>
      </c>
      <c r="G88" s="396">
        <f t="shared" si="10"/>
        <v>47.78</v>
      </c>
      <c r="H88" s="503"/>
      <c r="I88" s="396">
        <f t="shared" si="11"/>
        <v>0</v>
      </c>
      <c r="J88" s="503"/>
      <c r="K88" s="396">
        <f t="shared" si="7"/>
        <v>0</v>
      </c>
      <c r="L88" s="396"/>
      <c r="M88" s="396">
        <f t="shared" si="8"/>
        <v>0</v>
      </c>
      <c r="N88" s="396"/>
      <c r="O88" s="396">
        <f t="shared" si="9"/>
        <v>0</v>
      </c>
      <c r="P88" s="382"/>
      <c r="Q88" s="382"/>
      <c r="R88" s="382"/>
      <c r="S88" s="382"/>
      <c r="T88" s="382"/>
      <c r="U88" s="382"/>
      <c r="V88" s="382"/>
      <c r="W88" s="482"/>
      <c r="X88" s="445"/>
      <c r="Y88" s="482"/>
      <c r="Z88" s="482"/>
      <c r="AA88" s="488"/>
      <c r="AB88" s="488"/>
      <c r="AC88" s="446"/>
      <c r="AD88" s="496"/>
      <c r="AE88" s="389"/>
      <c r="AF88" s="455"/>
      <c r="AG88" s="455"/>
      <c r="AH88" s="494"/>
      <c r="AI88" s="455"/>
      <c r="AJ88" s="455"/>
      <c r="AK88" s="449"/>
      <c r="AL88" s="390"/>
      <c r="AM88" s="455"/>
      <c r="AN88" s="455"/>
      <c r="AO88" s="455"/>
      <c r="AP88" s="478"/>
      <c r="AQ88" s="455"/>
      <c r="AR88" s="452"/>
      <c r="AS88" s="428"/>
      <c r="AT88" s="451" t="s">
        <v>370</v>
      </c>
      <c r="AU88" s="452" t="s">
        <v>204</v>
      </c>
      <c r="AV88" s="452" t="s">
        <v>381</v>
      </c>
      <c r="AW88" s="451"/>
      <c r="AX88" s="428"/>
      <c r="AY88" s="428"/>
      <c r="AZ88" s="452"/>
    </row>
    <row r="89">
      <c r="A89" s="391" t="s">
        <v>216</v>
      </c>
      <c r="B89" s="396" t="s">
        <v>193</v>
      </c>
      <c r="C89" s="501" t="s">
        <v>204</v>
      </c>
      <c r="D89" s="502">
        <v>1</v>
      </c>
      <c r="E89" s="396"/>
      <c r="F89" s="503">
        <v>60</v>
      </c>
      <c r="G89" s="396">
        <f t="shared" si="10"/>
        <v>47.78</v>
      </c>
      <c r="H89" s="503"/>
      <c r="I89" s="396">
        <f t="shared" si="11"/>
        <v>0</v>
      </c>
      <c r="J89" s="503"/>
      <c r="K89" s="396">
        <f t="shared" si="7"/>
        <v>0</v>
      </c>
      <c r="L89" s="396"/>
      <c r="M89" s="396">
        <f t="shared" si="8"/>
        <v>0</v>
      </c>
      <c r="N89" s="396"/>
      <c r="O89" s="396">
        <f t="shared" si="9"/>
        <v>0</v>
      </c>
      <c r="P89" s="382"/>
      <c r="Q89" s="382"/>
      <c r="R89" s="382"/>
      <c r="S89" s="382"/>
      <c r="T89" s="382"/>
      <c r="U89" s="382"/>
      <c r="V89" s="382"/>
      <c r="W89" s="482"/>
      <c r="X89" s="445"/>
      <c r="Y89" s="482"/>
      <c r="Z89" s="482"/>
      <c r="AA89" s="488"/>
      <c r="AB89" s="488"/>
      <c r="AC89" s="446"/>
      <c r="AD89" s="496"/>
      <c r="AE89" s="389"/>
      <c r="AF89" s="455"/>
      <c r="AG89" s="455"/>
      <c r="AH89" s="494"/>
      <c r="AI89" s="455"/>
      <c r="AJ89" s="455"/>
      <c r="AK89" s="449"/>
      <c r="AL89" s="390"/>
      <c r="AM89" s="455"/>
      <c r="AN89" s="455"/>
      <c r="AO89" s="455"/>
      <c r="AP89" s="478"/>
      <c r="AQ89" s="455"/>
      <c r="AR89" s="452"/>
      <c r="AS89" s="428"/>
      <c r="AT89" s="451"/>
      <c r="AU89" s="452"/>
      <c r="AV89" s="452"/>
      <c r="AW89" s="451"/>
      <c r="AX89" s="428"/>
      <c r="AY89" s="428"/>
      <c r="AZ89" s="452"/>
    </row>
    <row r="90">
      <c r="A90" s="391" t="s">
        <v>216</v>
      </c>
      <c r="B90" s="396" t="s">
        <v>193</v>
      </c>
      <c r="C90" s="501" t="s">
        <v>204</v>
      </c>
      <c r="D90" s="502">
        <v>2</v>
      </c>
      <c r="E90" s="396"/>
      <c r="F90" s="503">
        <v>60</v>
      </c>
      <c r="G90" s="396">
        <f t="shared" si="10"/>
        <v>47.78</v>
      </c>
      <c r="H90" s="503"/>
      <c r="I90" s="396">
        <f t="shared" si="11"/>
        <v>0</v>
      </c>
      <c r="J90" s="503"/>
      <c r="K90" s="396">
        <f t="shared" si="7"/>
        <v>0</v>
      </c>
      <c r="L90" s="396"/>
      <c r="M90" s="396">
        <f t="shared" si="8"/>
        <v>0</v>
      </c>
      <c r="N90" s="396"/>
      <c r="O90" s="396">
        <f t="shared" si="9"/>
        <v>0</v>
      </c>
      <c r="P90" s="382"/>
      <c r="Q90" s="382"/>
      <c r="R90" s="382"/>
      <c r="S90" s="382"/>
      <c r="T90" s="382"/>
      <c r="U90" s="382"/>
      <c r="V90" s="382"/>
      <c r="W90" s="482"/>
      <c r="X90" s="445"/>
      <c r="Y90" s="482"/>
      <c r="Z90" s="482"/>
      <c r="AA90" s="488"/>
      <c r="AB90" s="488"/>
      <c r="AC90" s="446"/>
      <c r="AD90" s="499"/>
      <c r="AE90" s="392"/>
      <c r="AF90" s="491"/>
      <c r="AG90" s="491"/>
      <c r="AH90" s="498"/>
      <c r="AI90" s="491"/>
      <c r="AJ90" s="491"/>
      <c r="AK90" s="490"/>
      <c r="AL90" s="381"/>
      <c r="AM90" s="382"/>
      <c r="AN90" s="382"/>
      <c r="AO90" s="382"/>
      <c r="AP90" s="478"/>
      <c r="AQ90" s="455"/>
      <c r="AR90" s="452"/>
      <c r="AS90" s="428"/>
      <c r="AT90" s="451"/>
      <c r="AU90" s="452"/>
      <c r="AV90" s="452"/>
      <c r="AW90" s="451"/>
      <c r="AX90" s="428"/>
      <c r="AY90" s="428"/>
      <c r="AZ90" s="452"/>
    </row>
    <row r="91">
      <c r="A91" s="391" t="s">
        <v>216</v>
      </c>
      <c r="B91" s="396" t="s">
        <v>193</v>
      </c>
      <c r="C91" s="501" t="s">
        <v>204</v>
      </c>
      <c r="D91" s="502">
        <v>3</v>
      </c>
      <c r="E91" s="396"/>
      <c r="F91" s="503"/>
      <c r="G91" s="396">
        <f t="shared" si="10"/>
        <v>0</v>
      </c>
      <c r="H91" s="503"/>
      <c r="I91" s="396">
        <f t="shared" si="11"/>
        <v>0</v>
      </c>
      <c r="J91" s="503"/>
      <c r="K91" s="396">
        <f t="shared" si="7"/>
        <v>0</v>
      </c>
      <c r="L91" s="396"/>
      <c r="M91" s="396">
        <f t="shared" si="8"/>
        <v>0</v>
      </c>
      <c r="N91" s="396"/>
      <c r="O91" s="396">
        <f t="shared" si="9"/>
        <v>0</v>
      </c>
      <c r="P91" s="382"/>
      <c r="Q91" s="382"/>
      <c r="R91" s="382"/>
      <c r="S91" s="382"/>
      <c r="T91" s="382"/>
      <c r="U91" s="382"/>
      <c r="V91" s="382"/>
      <c r="W91" s="482"/>
      <c r="X91" s="445"/>
      <c r="Y91" s="482"/>
      <c r="Z91" s="482"/>
      <c r="AA91" s="488"/>
      <c r="AB91" s="488"/>
      <c r="AC91" s="446"/>
      <c r="AD91" s="499"/>
      <c r="AE91" s="392"/>
      <c r="AF91" s="491"/>
      <c r="AG91" s="491"/>
      <c r="AH91" s="498"/>
      <c r="AI91" s="491"/>
      <c r="AJ91" s="491"/>
      <c r="AK91" s="490"/>
      <c r="AL91" s="381"/>
      <c r="AM91" s="382"/>
      <c r="AN91" s="382"/>
      <c r="AO91" s="382"/>
      <c r="AP91" s="478"/>
      <c r="AQ91" s="455"/>
      <c r="AR91" s="452"/>
      <c r="AS91" s="428"/>
      <c r="AT91" s="451"/>
      <c r="AU91" s="452"/>
      <c r="AV91" s="452"/>
      <c r="AW91" s="451"/>
      <c r="AX91" s="428"/>
      <c r="AY91" s="428"/>
      <c r="AZ91" s="452"/>
    </row>
    <row r="92">
      <c r="A92" s="391" t="s">
        <v>216</v>
      </c>
      <c r="B92" s="396" t="s">
        <v>193</v>
      </c>
      <c r="C92" s="501" t="s">
        <v>204</v>
      </c>
      <c r="D92" s="502">
        <v>4</v>
      </c>
      <c r="E92" s="396"/>
      <c r="F92" s="503">
        <v>60</v>
      </c>
      <c r="G92" s="396">
        <f t="shared" si="10"/>
        <v>47.78</v>
      </c>
      <c r="H92" s="503"/>
      <c r="I92" s="396">
        <f t="shared" si="11"/>
        <v>0</v>
      </c>
      <c r="J92" s="503"/>
      <c r="K92" s="396">
        <f t="shared" si="7"/>
        <v>0</v>
      </c>
      <c r="L92" s="396"/>
      <c r="M92" s="396">
        <f t="shared" si="8"/>
        <v>0</v>
      </c>
      <c r="N92" s="396"/>
      <c r="O92" s="396">
        <f t="shared" si="9"/>
        <v>0</v>
      </c>
      <c r="P92" s="382"/>
      <c r="Q92" s="382"/>
      <c r="R92" s="382"/>
      <c r="S92" s="382"/>
      <c r="T92" s="382"/>
      <c r="U92" s="382"/>
      <c r="V92" s="382"/>
      <c r="W92" s="482"/>
      <c r="X92" s="445"/>
      <c r="Y92" s="482"/>
      <c r="Z92" s="482"/>
      <c r="AA92" s="488"/>
      <c r="AB92" s="488"/>
      <c r="AC92" s="467"/>
      <c r="AD92" s="499"/>
      <c r="AE92" s="392"/>
      <c r="AF92" s="491"/>
      <c r="AG92" s="491"/>
      <c r="AH92" s="498"/>
      <c r="AI92" s="491"/>
      <c r="AJ92" s="491"/>
      <c r="AK92" s="490"/>
      <c r="AL92" s="381"/>
      <c r="AM92" s="382"/>
      <c r="AN92" s="382"/>
      <c r="AO92" s="382"/>
      <c r="AP92" s="478"/>
      <c r="AQ92" s="455"/>
      <c r="AR92" s="452"/>
      <c r="AS92" s="428"/>
      <c r="AT92" s="466"/>
      <c r="AU92" s="450"/>
      <c r="AV92" s="450"/>
      <c r="AW92" s="451"/>
      <c r="AX92" s="428"/>
      <c r="AY92" s="428"/>
      <c r="AZ92" s="452"/>
    </row>
    <row r="93">
      <c r="A93" s="391" t="s">
        <v>232</v>
      </c>
      <c r="B93" s="396" t="s">
        <v>193</v>
      </c>
      <c r="C93" s="501" t="s">
        <v>204</v>
      </c>
      <c r="D93" s="502">
        <v>2</v>
      </c>
      <c r="E93" s="396"/>
      <c r="F93" s="503">
        <v>60</v>
      </c>
      <c r="G93" s="396">
        <f t="shared" si="10"/>
        <v>47.78</v>
      </c>
      <c r="H93" s="503"/>
      <c r="I93" s="396">
        <f t="shared" si="11"/>
        <v>0</v>
      </c>
      <c r="J93" s="503">
        <v>47.9</v>
      </c>
      <c r="K93" s="396">
        <f t="shared" si="7"/>
        <v>46.8</v>
      </c>
      <c r="L93" s="396"/>
      <c r="M93" s="396">
        <f t="shared" si="8"/>
        <v>0</v>
      </c>
      <c r="N93" s="396"/>
      <c r="O93" s="396">
        <f t="shared" si="9"/>
        <v>0</v>
      </c>
      <c r="P93" s="382"/>
      <c r="Q93" s="382"/>
      <c r="R93" s="382"/>
      <c r="S93" s="382"/>
      <c r="T93" s="382"/>
      <c r="U93" s="382"/>
      <c r="V93" s="382"/>
      <c r="W93" s="482"/>
      <c r="X93" s="445"/>
      <c r="Y93" s="482"/>
      <c r="Z93" s="482"/>
      <c r="AA93" s="466"/>
      <c r="AB93" s="466"/>
      <c r="AC93" s="467"/>
      <c r="AD93" s="499"/>
      <c r="AE93" s="392"/>
      <c r="AF93" s="491"/>
      <c r="AG93" s="491"/>
      <c r="AH93" s="498"/>
      <c r="AI93" s="491"/>
      <c r="AJ93" s="491"/>
      <c r="AK93" s="490"/>
      <c r="AL93" s="381"/>
      <c r="AM93" s="382"/>
      <c r="AN93" s="382"/>
      <c r="AO93" s="382"/>
      <c r="AP93" s="478"/>
      <c r="AQ93" s="455"/>
      <c r="AR93" s="452"/>
      <c r="AS93" s="428"/>
      <c r="AT93" s="466"/>
      <c r="AU93" s="450"/>
      <c r="AV93" s="450"/>
      <c r="AW93" s="451"/>
      <c r="AX93" s="428"/>
      <c r="AY93" s="428"/>
      <c r="AZ93" s="452"/>
    </row>
    <row r="94">
      <c r="A94" s="391" t="s">
        <v>232</v>
      </c>
      <c r="B94" s="396" t="s">
        <v>193</v>
      </c>
      <c r="C94" s="501" t="s">
        <v>204</v>
      </c>
      <c r="D94" s="502">
        <v>4</v>
      </c>
      <c r="E94" s="396"/>
      <c r="F94" s="503">
        <v>60</v>
      </c>
      <c r="G94" s="396">
        <f t="shared" si="10"/>
        <v>47.78</v>
      </c>
      <c r="H94" s="503"/>
      <c r="I94" s="396">
        <f t="shared" si="11"/>
        <v>0</v>
      </c>
      <c r="J94" s="503">
        <v>44.8</v>
      </c>
      <c r="K94" s="396">
        <f t="shared" si="7"/>
        <v>46.51</v>
      </c>
      <c r="L94" s="396"/>
      <c r="M94" s="396">
        <f t="shared" si="8"/>
        <v>0</v>
      </c>
      <c r="N94" s="396"/>
      <c r="O94" s="396">
        <f t="shared" si="9"/>
        <v>0</v>
      </c>
      <c r="P94" s="382"/>
      <c r="Q94" s="382"/>
      <c r="R94" s="382"/>
      <c r="S94" s="382"/>
      <c r="T94" s="382"/>
      <c r="U94" s="382"/>
      <c r="V94" s="382"/>
      <c r="W94" s="482"/>
      <c r="X94" s="445"/>
      <c r="Y94" s="482"/>
      <c r="Z94" s="482"/>
      <c r="AA94" s="466"/>
      <c r="AB94" s="466"/>
      <c r="AC94" s="467"/>
      <c r="AD94" s="504"/>
      <c r="AE94" s="393"/>
      <c r="AF94" s="505"/>
      <c r="AG94" s="505"/>
      <c r="AH94" s="506"/>
      <c r="AI94" s="505"/>
      <c r="AJ94" s="505"/>
      <c r="AK94" s="507"/>
      <c r="AL94" s="394"/>
      <c r="AM94" s="508"/>
      <c r="AN94" s="508"/>
      <c r="AO94" s="508"/>
      <c r="AP94" s="509"/>
      <c r="AQ94" s="508"/>
      <c r="AR94" s="510"/>
      <c r="AS94" s="511"/>
      <c r="AU94" s="409"/>
      <c r="AV94" s="409"/>
      <c r="AW94" s="512"/>
      <c r="AX94" s="511"/>
      <c r="AY94" s="511"/>
      <c r="AZ94" s="510"/>
    </row>
    <row r="95">
      <c r="A95" s="391" t="s">
        <v>246</v>
      </c>
      <c r="B95" s="396" t="s">
        <v>193</v>
      </c>
      <c r="C95" s="501" t="s">
        <v>204</v>
      </c>
      <c r="D95" s="502">
        <v>2</v>
      </c>
      <c r="E95" s="396"/>
      <c r="F95" s="503">
        <v>60</v>
      </c>
      <c r="G95" s="396">
        <f t="shared" si="10"/>
        <v>47.78</v>
      </c>
      <c r="H95" s="503"/>
      <c r="I95" s="396">
        <f t="shared" si="11"/>
        <v>0</v>
      </c>
      <c r="J95" s="503">
        <v>35.48</v>
      </c>
      <c r="K95" s="396">
        <f t="shared" si="7"/>
        <v>45.5</v>
      </c>
      <c r="L95" s="396"/>
      <c r="M95" s="396">
        <f t="shared" si="8"/>
        <v>0</v>
      </c>
      <c r="N95" s="396"/>
      <c r="O95" s="396">
        <f t="shared" si="9"/>
        <v>0</v>
      </c>
      <c r="P95" s="382"/>
      <c r="Q95" s="382"/>
      <c r="R95" s="382"/>
      <c r="S95" s="382"/>
      <c r="T95" s="382"/>
      <c r="U95" s="382"/>
      <c r="V95" s="382"/>
      <c r="W95" s="482"/>
      <c r="X95" s="445"/>
      <c r="Y95" s="482"/>
      <c r="Z95" s="482"/>
      <c r="AA95" s="466"/>
      <c r="AB95" s="466"/>
      <c r="AC95" s="467"/>
      <c r="AD95" s="451"/>
      <c r="AE95" s="452"/>
      <c r="AF95" s="459"/>
      <c r="AG95" s="459"/>
      <c r="AH95" s="485"/>
      <c r="AI95" s="451"/>
      <c r="AJ95" s="451"/>
      <c r="AK95" s="451"/>
      <c r="AL95" s="451"/>
      <c r="AM95" s="451"/>
      <c r="AN95" s="451"/>
      <c r="AO95" s="451"/>
      <c r="AP95" s="451"/>
      <c r="AQ95" s="451"/>
      <c r="AR95" s="451"/>
      <c r="AS95" s="451"/>
      <c r="AT95" s="451"/>
      <c r="AU95" s="451"/>
      <c r="AV95" s="451"/>
      <c r="AW95" s="451"/>
      <c r="AX95" s="451"/>
      <c r="AY95" s="451"/>
      <c r="AZ95" s="451"/>
    </row>
    <row r="96">
      <c r="A96" s="391" t="s">
        <v>246</v>
      </c>
      <c r="B96" s="396" t="s">
        <v>193</v>
      </c>
      <c r="C96" s="501" t="s">
        <v>204</v>
      </c>
      <c r="D96" s="395">
        <v>3</v>
      </c>
      <c r="E96" s="396"/>
      <c r="F96" s="396"/>
      <c r="G96" s="396">
        <f t="shared" si="10"/>
        <v>0</v>
      </c>
      <c r="H96" s="396"/>
      <c r="I96" s="396">
        <f t="shared" si="11"/>
        <v>0</v>
      </c>
      <c r="J96" s="396"/>
      <c r="K96" s="396">
        <f t="shared" si="7"/>
        <v>0</v>
      </c>
      <c r="L96" s="396"/>
      <c r="M96" s="396">
        <f t="shared" si="8"/>
        <v>0</v>
      </c>
      <c r="N96" s="396"/>
      <c r="O96" s="396">
        <f t="shared" si="9"/>
        <v>0</v>
      </c>
      <c r="P96" s="382"/>
      <c r="Q96" s="382"/>
      <c r="R96" s="382"/>
      <c r="S96" s="382"/>
      <c r="T96" s="382"/>
      <c r="U96" s="382"/>
      <c r="V96" s="382"/>
      <c r="W96" s="513"/>
      <c r="X96" s="514"/>
      <c r="Y96" s="513"/>
      <c r="Z96" s="513"/>
      <c r="AA96" s="466"/>
      <c r="AB96" s="466"/>
      <c r="AC96" s="446"/>
      <c r="AD96" s="451"/>
      <c r="AE96" s="452"/>
      <c r="AF96" s="459"/>
      <c r="AG96" s="459"/>
      <c r="AH96" s="485"/>
      <c r="AI96" s="451"/>
      <c r="AJ96" s="451"/>
      <c r="AK96" s="451"/>
      <c r="AL96" s="451"/>
      <c r="AM96" s="451"/>
      <c r="AN96" s="451"/>
      <c r="AO96" s="451"/>
      <c r="AP96" s="451"/>
      <c r="AQ96" s="451"/>
      <c r="AR96" s="451"/>
      <c r="AS96" s="451"/>
      <c r="AT96" s="451"/>
      <c r="AU96" s="451"/>
      <c r="AV96" s="451"/>
      <c r="AW96" s="451"/>
      <c r="AX96" s="451"/>
      <c r="AY96" s="451"/>
      <c r="AZ96" s="451"/>
    </row>
    <row r="97">
      <c r="A97" s="391" t="s">
        <v>246</v>
      </c>
      <c r="B97" s="396" t="s">
        <v>193</v>
      </c>
      <c r="C97" s="501" t="s">
        <v>204</v>
      </c>
      <c r="D97" s="395">
        <v>4</v>
      </c>
      <c r="E97" s="396"/>
      <c r="F97" s="396">
        <v>60</v>
      </c>
      <c r="G97" s="396">
        <f t="shared" si="10"/>
        <v>47.78</v>
      </c>
      <c r="H97" s="396"/>
      <c r="I97" s="396">
        <f t="shared" si="11"/>
        <v>0</v>
      </c>
      <c r="J97" s="396">
        <v>31.7</v>
      </c>
      <c r="K97" s="396">
        <f t="shared" si="7"/>
        <v>45.01</v>
      </c>
      <c r="L97" s="396"/>
      <c r="M97" s="396">
        <f t="shared" si="8"/>
        <v>0</v>
      </c>
      <c r="N97" s="396"/>
      <c r="O97" s="396">
        <f t="shared" si="9"/>
        <v>0</v>
      </c>
      <c r="P97" s="382"/>
      <c r="Q97" s="382"/>
      <c r="R97" s="382"/>
      <c r="S97" s="382"/>
      <c r="T97" s="382"/>
      <c r="U97" s="382"/>
      <c r="V97" s="382"/>
      <c r="W97" s="513"/>
      <c r="X97" s="514"/>
      <c r="Y97" s="513"/>
      <c r="Z97" s="513"/>
      <c r="AA97" s="466"/>
      <c r="AB97" s="466"/>
      <c r="AC97" s="451"/>
      <c r="AD97" s="451"/>
      <c r="AE97" s="452"/>
      <c r="AF97" s="459"/>
      <c r="AG97" s="459"/>
      <c r="AH97" s="485"/>
      <c r="AI97" s="451"/>
      <c r="AJ97" s="451"/>
      <c r="AK97" s="451"/>
      <c r="AL97" s="451"/>
      <c r="AM97" s="451"/>
      <c r="AN97" s="451"/>
      <c r="AO97" s="451"/>
      <c r="AP97" s="451"/>
      <c r="AQ97" s="451"/>
      <c r="AR97" s="451"/>
      <c r="AS97" s="451"/>
      <c r="AT97" s="451"/>
      <c r="AU97" s="451"/>
      <c r="AV97" s="451"/>
      <c r="AW97" s="451"/>
      <c r="AX97" s="451"/>
      <c r="AY97" s="451"/>
      <c r="AZ97" s="451"/>
    </row>
    <row r="98">
      <c r="A98" s="391" t="s">
        <v>270</v>
      </c>
      <c r="B98" s="396" t="s">
        <v>193</v>
      </c>
      <c r="C98" s="501" t="s">
        <v>204</v>
      </c>
      <c r="D98" s="515">
        <v>1</v>
      </c>
      <c r="E98" s="396"/>
      <c r="F98" s="396"/>
      <c r="G98" s="396">
        <f t="shared" si="10"/>
        <v>0</v>
      </c>
      <c r="H98" s="425">
        <v>20</v>
      </c>
      <c r="I98" s="396">
        <f t="shared" si="11"/>
        <v>43.01</v>
      </c>
      <c r="J98" s="396"/>
      <c r="K98" s="396">
        <f t="shared" si="7"/>
        <v>0</v>
      </c>
      <c r="L98" s="396"/>
      <c r="M98" s="396">
        <f t="shared" si="8"/>
        <v>0</v>
      </c>
      <c r="N98" s="396"/>
      <c r="O98" s="396">
        <f t="shared" si="9"/>
        <v>0</v>
      </c>
      <c r="P98" s="382"/>
      <c r="Q98" s="382"/>
      <c r="R98" s="382"/>
      <c r="S98" s="382"/>
      <c r="T98" s="382"/>
      <c r="U98" s="382"/>
      <c r="V98" s="382"/>
      <c r="W98" s="513"/>
      <c r="X98" s="514"/>
      <c r="Y98" s="513"/>
      <c r="Z98" s="513"/>
      <c r="AA98" s="466"/>
      <c r="AB98" s="466"/>
      <c r="AC98" s="451"/>
      <c r="AD98" s="451"/>
      <c r="AE98" s="452"/>
      <c r="AF98" s="459"/>
      <c r="AG98" s="459"/>
      <c r="AH98" s="485"/>
      <c r="AI98" s="451"/>
      <c r="AJ98" s="451"/>
      <c r="AK98" s="451"/>
      <c r="AL98" s="451"/>
      <c r="AM98" s="451"/>
      <c r="AN98" s="451"/>
      <c r="AO98" s="451"/>
      <c r="AP98" s="451"/>
      <c r="AQ98" s="451"/>
      <c r="AR98" s="451"/>
      <c r="AS98" s="451"/>
      <c r="AT98" s="451"/>
      <c r="AU98" s="451"/>
      <c r="AV98" s="451"/>
      <c r="AW98" s="451"/>
      <c r="AX98" s="451"/>
      <c r="AY98" s="451"/>
      <c r="AZ98" s="451"/>
    </row>
    <row r="99">
      <c r="A99" s="391" t="s">
        <v>270</v>
      </c>
      <c r="B99" s="396" t="s">
        <v>193</v>
      </c>
      <c r="C99" s="501" t="s">
        <v>204</v>
      </c>
      <c r="D99" s="515">
        <v>2</v>
      </c>
      <c r="E99" s="396"/>
      <c r="F99" s="396">
        <v>60</v>
      </c>
      <c r="G99" s="396">
        <f t="shared" si="10"/>
        <v>47.78</v>
      </c>
      <c r="H99" s="425">
        <v>40</v>
      </c>
      <c r="I99" s="396">
        <f t="shared" si="11"/>
        <v>46.02</v>
      </c>
      <c r="J99" s="396"/>
      <c r="K99" s="396">
        <f t="shared" si="7"/>
        <v>0</v>
      </c>
      <c r="L99" s="396"/>
      <c r="M99" s="396">
        <f t="shared" si="8"/>
        <v>0</v>
      </c>
      <c r="N99" s="396"/>
      <c r="O99" s="396">
        <f t="shared" si="9"/>
        <v>0</v>
      </c>
      <c r="P99" s="382"/>
      <c r="Q99" s="382"/>
      <c r="R99" s="382"/>
      <c r="S99" s="382"/>
      <c r="T99" s="382"/>
      <c r="U99" s="382"/>
      <c r="V99" s="382"/>
      <c r="W99" s="513"/>
      <c r="X99" s="514"/>
      <c r="Y99" s="513"/>
      <c r="Z99" s="513"/>
      <c r="AA99" s="466"/>
      <c r="AB99" s="466"/>
      <c r="AC99" s="451"/>
      <c r="AD99" s="451"/>
      <c r="AE99" s="452"/>
      <c r="AF99" s="459"/>
      <c r="AG99" s="459"/>
      <c r="AH99" s="485"/>
      <c r="AI99" s="451"/>
      <c r="AJ99" s="451"/>
      <c r="AK99" s="451"/>
      <c r="AL99" s="451"/>
      <c r="AM99" s="451"/>
      <c r="AN99" s="451"/>
      <c r="AO99" s="451"/>
      <c r="AP99" s="451"/>
      <c r="AQ99" s="451"/>
      <c r="AR99" s="451"/>
      <c r="AS99" s="451"/>
      <c r="AT99" s="451"/>
      <c r="AU99" s="451"/>
      <c r="AV99" s="451"/>
      <c r="AW99" s="451"/>
      <c r="AX99" s="451"/>
      <c r="AY99" s="451"/>
      <c r="AZ99" s="451"/>
    </row>
    <row r="100">
      <c r="A100" s="391" t="s">
        <v>270</v>
      </c>
      <c r="B100" s="396" t="s">
        <v>193</v>
      </c>
      <c r="C100" s="501" t="s">
        <v>204</v>
      </c>
      <c r="D100" s="395">
        <v>3</v>
      </c>
      <c r="E100" s="396"/>
      <c r="F100" s="396"/>
      <c r="G100" s="396">
        <f t="shared" si="10"/>
        <v>0</v>
      </c>
      <c r="H100" s="425">
        <v>60</v>
      </c>
      <c r="I100" s="396">
        <f t="shared" si="11"/>
        <v>47.78</v>
      </c>
      <c r="J100" s="396">
        <v>27.54</v>
      </c>
      <c r="K100" s="396">
        <f t="shared" si="7"/>
        <v>44.4</v>
      </c>
      <c r="L100" s="396"/>
      <c r="M100" s="396">
        <f t="shared" si="8"/>
        <v>0</v>
      </c>
      <c r="N100" s="396"/>
      <c r="O100" s="396">
        <f t="shared" si="9"/>
        <v>0</v>
      </c>
      <c r="P100" s="382"/>
      <c r="Q100" s="382"/>
      <c r="R100" s="382"/>
      <c r="S100" s="382"/>
      <c r="T100" s="382"/>
      <c r="U100" s="382"/>
      <c r="V100" s="382"/>
      <c r="W100" s="513"/>
      <c r="X100" s="514"/>
      <c r="Y100" s="513"/>
      <c r="Z100" s="513"/>
      <c r="AA100" s="466"/>
      <c r="AB100" s="466"/>
      <c r="AC100" s="451"/>
      <c r="AD100" s="451"/>
      <c r="AE100" s="452"/>
      <c r="AF100" s="459"/>
      <c r="AG100" s="459"/>
      <c r="AH100" s="485"/>
      <c r="AI100" s="451"/>
      <c r="AJ100" s="451"/>
      <c r="AK100" s="451"/>
      <c r="AL100" s="451"/>
      <c r="AM100" s="451"/>
      <c r="AN100" s="451"/>
      <c r="AO100" s="451"/>
      <c r="AP100" s="451"/>
      <c r="AQ100" s="451"/>
      <c r="AR100" s="451"/>
      <c r="AS100" s="451"/>
      <c r="AT100" s="451"/>
      <c r="AU100" s="451"/>
      <c r="AV100" s="451"/>
      <c r="AW100" s="451"/>
      <c r="AX100" s="451"/>
      <c r="AY100" s="451"/>
      <c r="AZ100" s="451"/>
    </row>
    <row r="101">
      <c r="A101" s="391" t="s">
        <v>270</v>
      </c>
      <c r="B101" s="396" t="s">
        <v>193</v>
      </c>
      <c r="C101" s="501" t="s">
        <v>204</v>
      </c>
      <c r="D101" s="395">
        <v>4</v>
      </c>
      <c r="E101" s="396"/>
      <c r="F101" s="396">
        <v>60</v>
      </c>
      <c r="G101" s="396">
        <f t="shared" si="10"/>
        <v>47.78</v>
      </c>
      <c r="H101" s="425">
        <v>80</v>
      </c>
      <c r="I101" s="396">
        <f t="shared" si="11"/>
        <v>49.03</v>
      </c>
      <c r="J101" s="396">
        <v>25.18</v>
      </c>
      <c r="K101" s="396">
        <f t="shared" si="7"/>
        <v>44.01</v>
      </c>
      <c r="L101" s="396"/>
      <c r="M101" s="396">
        <f t="shared" si="8"/>
        <v>0</v>
      </c>
      <c r="N101" s="396"/>
      <c r="O101" s="396">
        <f t="shared" si="9"/>
        <v>0</v>
      </c>
      <c r="P101" s="382"/>
      <c r="Q101" s="382"/>
      <c r="R101" s="382"/>
      <c r="S101" s="382"/>
      <c r="T101" s="382"/>
      <c r="U101" s="382"/>
      <c r="V101" s="382"/>
      <c r="W101" s="513"/>
      <c r="X101" s="514"/>
      <c r="Y101" s="513"/>
      <c r="Z101" s="513"/>
      <c r="AA101" s="466"/>
      <c r="AB101" s="466"/>
      <c r="AC101" s="451"/>
      <c r="AD101" s="451"/>
      <c r="AE101" s="452"/>
      <c r="AF101" s="459"/>
      <c r="AG101" s="459"/>
      <c r="AH101" s="485"/>
      <c r="AI101" s="451"/>
      <c r="AJ101" s="451"/>
      <c r="AK101" s="451"/>
      <c r="AL101" s="451"/>
      <c r="AM101" s="451"/>
      <c r="AN101" s="451"/>
      <c r="AO101" s="451"/>
      <c r="AP101" s="451"/>
      <c r="AQ101" s="451"/>
      <c r="AR101" s="451"/>
      <c r="AS101" s="451"/>
      <c r="AT101" s="451"/>
      <c r="AU101" s="451"/>
      <c r="AV101" s="451"/>
      <c r="AW101" s="451"/>
      <c r="AX101" s="451"/>
      <c r="AY101" s="451"/>
      <c r="AZ101" s="451"/>
    </row>
    <row r="102">
      <c r="A102" s="391" t="s">
        <v>195</v>
      </c>
      <c r="B102" s="396" t="s">
        <v>193</v>
      </c>
      <c r="C102" s="501" t="s">
        <v>204</v>
      </c>
      <c r="D102" s="395">
        <v>1</v>
      </c>
      <c r="E102" s="396"/>
      <c r="F102" s="396">
        <v>60</v>
      </c>
      <c r="G102" s="396">
        <f t="shared" si="10"/>
        <v>47.78</v>
      </c>
      <c r="H102" s="396"/>
      <c r="I102" s="396">
        <f t="shared" si="11"/>
        <v>0</v>
      </c>
      <c r="J102" s="396">
        <v>27.54</v>
      </c>
      <c r="K102" s="396">
        <f t="shared" si="7"/>
        <v>44.4</v>
      </c>
      <c r="L102" s="396"/>
      <c r="M102" s="396">
        <f t="shared" si="8"/>
        <v>0</v>
      </c>
      <c r="N102" s="396"/>
      <c r="O102" s="396">
        <f t="shared" si="9"/>
        <v>0</v>
      </c>
      <c r="P102" s="382"/>
      <c r="Q102" s="382"/>
      <c r="R102" s="382"/>
      <c r="S102" s="382"/>
      <c r="T102" s="382"/>
      <c r="U102" s="382"/>
      <c r="V102" s="382"/>
      <c r="W102" s="513"/>
      <c r="X102" s="514"/>
      <c r="Y102" s="513"/>
      <c r="Z102" s="513"/>
      <c r="AA102" s="466"/>
      <c r="AB102" s="466"/>
      <c r="AC102" s="451"/>
      <c r="AD102" s="451"/>
      <c r="AE102" s="452"/>
      <c r="AF102" s="459"/>
      <c r="AG102" s="459"/>
      <c r="AH102" s="485"/>
      <c r="AI102" s="451"/>
      <c r="AJ102" s="451"/>
      <c r="AK102" s="451"/>
      <c r="AL102" s="451"/>
      <c r="AM102" s="451"/>
      <c r="AN102" s="451"/>
      <c r="AO102" s="451"/>
      <c r="AP102" s="451"/>
      <c r="AQ102" s="451"/>
      <c r="AR102" s="451"/>
      <c r="AS102" s="451"/>
      <c r="AT102" s="451"/>
      <c r="AU102" s="451"/>
      <c r="AV102" s="451"/>
      <c r="AW102" s="451"/>
      <c r="AX102" s="451"/>
      <c r="AY102" s="451"/>
      <c r="AZ102" s="451"/>
    </row>
    <row r="103">
      <c r="A103" s="391" t="s">
        <v>195</v>
      </c>
      <c r="B103" s="396" t="s">
        <v>193</v>
      </c>
      <c r="C103" s="501" t="s">
        <v>204</v>
      </c>
      <c r="D103" s="395">
        <v>2</v>
      </c>
      <c r="E103" s="396"/>
      <c r="F103" s="396">
        <v>60</v>
      </c>
      <c r="G103" s="396">
        <f t="shared" si="10"/>
        <v>47.78</v>
      </c>
      <c r="H103" s="396"/>
      <c r="I103" s="396">
        <f t="shared" si="11"/>
        <v>0</v>
      </c>
      <c r="J103" s="396">
        <v>25.18</v>
      </c>
      <c r="K103" s="396">
        <f t="shared" si="7"/>
        <v>44.01</v>
      </c>
      <c r="L103" s="396"/>
      <c r="M103" s="396">
        <f t="shared" si="8"/>
        <v>0</v>
      </c>
      <c r="N103" s="396"/>
      <c r="O103" s="396">
        <f t="shared" si="9"/>
        <v>0</v>
      </c>
      <c r="P103" s="382"/>
      <c r="Q103" s="382"/>
      <c r="R103" s="382"/>
      <c r="S103" s="382"/>
      <c r="T103" s="382"/>
      <c r="U103" s="382"/>
      <c r="V103" s="382"/>
      <c r="W103" s="513"/>
      <c r="X103" s="514"/>
      <c r="Y103" s="513"/>
      <c r="Z103" s="513"/>
      <c r="AA103" s="466"/>
      <c r="AB103" s="466"/>
      <c r="AC103" s="451"/>
      <c r="AD103" s="451"/>
      <c r="AE103" s="452"/>
      <c r="AF103" s="459"/>
      <c r="AG103" s="459"/>
      <c r="AH103" s="485"/>
      <c r="AI103" s="451"/>
      <c r="AJ103" s="451"/>
      <c r="AK103" s="451"/>
      <c r="AL103" s="451"/>
      <c r="AM103" s="451"/>
      <c r="AN103" s="451"/>
      <c r="AO103" s="451"/>
      <c r="AP103" s="451"/>
      <c r="AQ103" s="451"/>
      <c r="AR103" s="451"/>
      <c r="AS103" s="451"/>
      <c r="AT103" s="451"/>
      <c r="AU103" s="451"/>
      <c r="AV103" s="451"/>
      <c r="AW103" s="451"/>
      <c r="AX103" s="451"/>
      <c r="AY103" s="451"/>
      <c r="AZ103" s="451"/>
    </row>
    <row r="104">
      <c r="A104" s="391" t="s">
        <v>195</v>
      </c>
      <c r="B104" s="396" t="s">
        <v>193</v>
      </c>
      <c r="C104" s="501" t="s">
        <v>204</v>
      </c>
      <c r="D104" s="395">
        <v>3</v>
      </c>
      <c r="E104" s="396"/>
      <c r="F104" s="396">
        <v>60</v>
      </c>
      <c r="G104" s="396">
        <f t="shared" si="10"/>
        <v>47.78</v>
      </c>
      <c r="H104" s="396"/>
      <c r="I104" s="396">
        <f t="shared" si="11"/>
        <v>0</v>
      </c>
      <c r="J104" s="396">
        <v>25.18</v>
      </c>
      <c r="K104" s="396">
        <f t="shared" si="7"/>
        <v>44.01</v>
      </c>
      <c r="L104" s="396"/>
      <c r="M104" s="396">
        <f t="shared" si="8"/>
        <v>0</v>
      </c>
      <c r="N104" s="396"/>
      <c r="O104" s="396">
        <f t="shared" si="9"/>
        <v>0</v>
      </c>
      <c r="P104" s="382"/>
      <c r="Q104" s="382"/>
      <c r="R104" s="382"/>
      <c r="S104" s="382"/>
      <c r="T104" s="382"/>
      <c r="U104" s="382"/>
      <c r="V104" s="382"/>
      <c r="W104" s="513"/>
      <c r="X104" s="514"/>
      <c r="Y104" s="513"/>
      <c r="Z104" s="513"/>
      <c r="AA104" s="466"/>
      <c r="AB104" s="466"/>
      <c r="AC104" s="451"/>
      <c r="AD104" s="451"/>
      <c r="AE104" s="452"/>
      <c r="AF104" s="459"/>
      <c r="AG104" s="459"/>
      <c r="AH104" s="485"/>
      <c r="AI104" s="451"/>
      <c r="AJ104" s="451"/>
      <c r="AK104" s="451"/>
      <c r="AL104" s="451"/>
      <c r="AM104" s="451"/>
      <c r="AN104" s="451"/>
      <c r="AO104" s="451"/>
      <c r="AP104" s="451"/>
      <c r="AQ104" s="451"/>
      <c r="AR104" s="451"/>
      <c r="AS104" s="451"/>
      <c r="AT104" s="451"/>
      <c r="AU104" s="451"/>
      <c r="AV104" s="451"/>
      <c r="AW104" s="451"/>
      <c r="AX104" s="451"/>
      <c r="AY104" s="451"/>
      <c r="AZ104" s="451"/>
    </row>
    <row r="105">
      <c r="A105" s="391" t="s">
        <v>195</v>
      </c>
      <c r="B105" s="396" t="s">
        <v>193</v>
      </c>
      <c r="C105" s="501" t="s">
        <v>204</v>
      </c>
      <c r="D105" s="395">
        <v>4</v>
      </c>
      <c r="E105" s="396"/>
      <c r="F105" s="396">
        <v>60</v>
      </c>
      <c r="G105" s="396">
        <f t="shared" si="10"/>
        <v>47.78</v>
      </c>
      <c r="H105" s="396"/>
      <c r="I105" s="396">
        <f t="shared" si="11"/>
        <v>0</v>
      </c>
      <c r="J105" s="396">
        <v>11.25</v>
      </c>
      <c r="K105" s="396">
        <f t="shared" si="7"/>
        <v>40.51</v>
      </c>
      <c r="L105" s="396"/>
      <c r="M105" s="396">
        <f t="shared" si="8"/>
        <v>0</v>
      </c>
      <c r="N105" s="396"/>
      <c r="O105" s="396">
        <f t="shared" si="9"/>
        <v>0</v>
      </c>
      <c r="P105" s="382"/>
      <c r="Q105" s="382"/>
      <c r="R105" s="382"/>
      <c r="S105" s="382"/>
      <c r="T105" s="382"/>
      <c r="U105" s="382"/>
      <c r="V105" s="382"/>
      <c r="W105" s="513"/>
      <c r="X105" s="514"/>
      <c r="Y105" s="513"/>
      <c r="Z105" s="513"/>
      <c r="AA105" s="466"/>
      <c r="AB105" s="466"/>
      <c r="AC105" s="446"/>
      <c r="AD105" s="492"/>
      <c r="AE105" s="397"/>
      <c r="AF105" s="493"/>
      <c r="AG105" s="493"/>
      <c r="AH105" s="516"/>
      <c r="AI105" s="493"/>
      <c r="AJ105" s="493"/>
      <c r="AK105" s="449"/>
      <c r="AL105" s="398"/>
      <c r="AM105" s="455"/>
      <c r="AN105" s="455"/>
      <c r="AO105" s="455"/>
      <c r="AP105" s="478"/>
      <c r="AQ105" s="455"/>
      <c r="AR105" s="452"/>
      <c r="AS105" s="428"/>
      <c r="AT105" s="451"/>
      <c r="AU105" s="451"/>
      <c r="AV105" s="451"/>
      <c r="AW105" s="451"/>
      <c r="AX105" s="428"/>
      <c r="AY105" s="428"/>
      <c r="AZ105" s="452"/>
    </row>
    <row r="106">
      <c r="A106" s="391" t="s">
        <v>299</v>
      </c>
      <c r="B106" s="396" t="s">
        <v>193</v>
      </c>
      <c r="C106" s="501" t="s">
        <v>204</v>
      </c>
      <c r="D106" s="395">
        <v>2</v>
      </c>
      <c r="E106" s="396"/>
      <c r="F106" s="396">
        <v>60</v>
      </c>
      <c r="G106" s="396">
        <f t="shared" si="10"/>
        <v>47.78</v>
      </c>
      <c r="H106" s="425">
        <v>60</v>
      </c>
      <c r="I106" s="396">
        <f t="shared" si="11"/>
        <v>47.78</v>
      </c>
      <c r="J106" s="396"/>
      <c r="K106" s="396">
        <f t="shared" si="7"/>
        <v>0</v>
      </c>
      <c r="L106" s="396"/>
      <c r="M106" s="396">
        <f t="shared" si="8"/>
        <v>0</v>
      </c>
      <c r="N106" s="396"/>
      <c r="O106" s="396">
        <f t="shared" si="9"/>
        <v>0</v>
      </c>
      <c r="P106" s="382"/>
      <c r="Q106" s="382"/>
      <c r="R106" s="382"/>
      <c r="S106" s="382"/>
      <c r="T106" s="382"/>
      <c r="U106" s="382"/>
      <c r="V106" s="382"/>
      <c r="W106" s="513"/>
      <c r="X106" s="514"/>
      <c r="Y106" s="513"/>
      <c r="Z106" s="513"/>
      <c r="AA106" s="466"/>
      <c r="AB106" s="466"/>
      <c r="AC106" s="467"/>
      <c r="AD106" s="499"/>
      <c r="AE106" s="392"/>
      <c r="AF106" s="491"/>
      <c r="AG106" s="491"/>
      <c r="AH106" s="498"/>
      <c r="AI106" s="491"/>
      <c r="AJ106" s="491"/>
      <c r="AK106" s="490"/>
      <c r="AL106" s="381"/>
      <c r="AM106" s="382"/>
      <c r="AN106" s="382"/>
      <c r="AO106" s="382"/>
      <c r="AP106" s="478"/>
      <c r="AQ106" s="455"/>
      <c r="AR106" s="452"/>
      <c r="AS106" s="428"/>
      <c r="AT106" s="451"/>
      <c r="AU106" s="451"/>
      <c r="AV106" s="451"/>
      <c r="AW106" s="451"/>
      <c r="AX106" s="428"/>
      <c r="AY106" s="428"/>
      <c r="AZ106" s="452"/>
    </row>
    <row r="107">
      <c r="A107" s="391" t="s">
        <v>299</v>
      </c>
      <c r="B107" s="396" t="s">
        <v>193</v>
      </c>
      <c r="C107" s="501" t="s">
        <v>204</v>
      </c>
      <c r="D107" s="395">
        <v>4</v>
      </c>
      <c r="E107" s="396"/>
      <c r="F107" s="396">
        <v>60</v>
      </c>
      <c r="G107" s="396">
        <f t="shared" si="10"/>
        <v>47.78</v>
      </c>
      <c r="H107" s="425">
        <v>60</v>
      </c>
      <c r="I107" s="396">
        <f t="shared" si="11"/>
        <v>47.78</v>
      </c>
      <c r="J107" s="396"/>
      <c r="K107" s="396">
        <f t="shared" si="7"/>
        <v>0</v>
      </c>
      <c r="L107" s="396"/>
      <c r="M107" s="396">
        <f t="shared" si="8"/>
        <v>0</v>
      </c>
      <c r="N107" s="396"/>
      <c r="O107" s="396">
        <f t="shared" si="9"/>
        <v>0</v>
      </c>
      <c r="P107" s="382"/>
      <c r="Q107" s="382"/>
      <c r="R107" s="382"/>
      <c r="S107" s="382"/>
      <c r="T107" s="382"/>
      <c r="U107" s="382"/>
      <c r="V107" s="382"/>
      <c r="W107" s="513"/>
      <c r="X107" s="514"/>
      <c r="Y107" s="513"/>
      <c r="Z107" s="513"/>
      <c r="AA107" s="466"/>
      <c r="AB107" s="466"/>
      <c r="AC107" s="467"/>
      <c r="AD107" s="499"/>
      <c r="AE107" s="392"/>
      <c r="AF107" s="491"/>
      <c r="AG107" s="491"/>
      <c r="AH107" s="498"/>
      <c r="AI107" s="491"/>
      <c r="AJ107" s="491"/>
      <c r="AK107" s="490"/>
      <c r="AL107" s="381"/>
      <c r="AM107" s="382"/>
      <c r="AN107" s="382"/>
      <c r="AO107" s="382"/>
      <c r="AP107" s="478"/>
      <c r="AQ107" s="455"/>
      <c r="AR107" s="452"/>
      <c r="AS107" s="428"/>
      <c r="AT107" s="451"/>
      <c r="AU107" s="451"/>
      <c r="AV107" s="451"/>
      <c r="AW107" s="451"/>
      <c r="AX107" s="428"/>
      <c r="AY107" s="428"/>
      <c r="AZ107" s="452"/>
    </row>
    <row r="108" s="405" customFormat="1">
      <c r="A108" s="391" t="s">
        <v>303</v>
      </c>
      <c r="B108" s="396" t="s">
        <v>193</v>
      </c>
      <c r="C108" s="501" t="s">
        <v>204</v>
      </c>
      <c r="D108" s="395">
        <v>1</v>
      </c>
      <c r="E108" s="396"/>
      <c r="F108" s="396"/>
      <c r="G108" s="396">
        <f t="shared" si="10"/>
        <v>0</v>
      </c>
      <c r="H108" s="396"/>
      <c r="I108" s="396">
        <f t="shared" si="11"/>
        <v>0</v>
      </c>
      <c r="J108" s="396"/>
      <c r="K108" s="396">
        <f t="shared" si="7"/>
        <v>0</v>
      </c>
      <c r="L108" s="396"/>
      <c r="M108" s="396">
        <f t="shared" si="8"/>
        <v>0</v>
      </c>
      <c r="N108" s="396"/>
      <c r="O108" s="396">
        <f t="shared" si="9"/>
        <v>0</v>
      </c>
      <c r="P108" s="382"/>
      <c r="Q108" s="382"/>
      <c r="R108" s="382"/>
      <c r="S108" s="382"/>
      <c r="T108" s="382"/>
      <c r="U108" s="382"/>
      <c r="V108" s="382"/>
      <c r="W108" s="513"/>
      <c r="X108" s="514"/>
      <c r="Y108" s="513"/>
      <c r="Z108" s="513"/>
      <c r="AA108" s="466"/>
      <c r="AB108" s="466"/>
      <c r="AC108" s="517"/>
      <c r="AD108" s="448"/>
      <c r="AE108" s="513"/>
      <c r="AF108" s="382"/>
      <c r="AG108" s="382"/>
      <c r="AH108" s="384"/>
      <c r="AI108" s="382"/>
      <c r="AJ108" s="382"/>
      <c r="AK108" s="479"/>
      <c r="AL108" s="481"/>
      <c r="AM108" s="382"/>
      <c r="AN108" s="382"/>
      <c r="AO108" s="382"/>
      <c r="AP108" s="478"/>
      <c r="AQ108" s="455"/>
      <c r="AR108" s="452"/>
      <c r="AS108" s="428"/>
      <c r="AT108" s="466"/>
      <c r="AU108" s="466"/>
      <c r="AV108" s="466"/>
      <c r="AW108" s="466"/>
      <c r="AX108" s="428"/>
      <c r="AY108" s="428"/>
      <c r="AZ108" s="452"/>
      <c r="BA108" s="406"/>
      <c r="BC108" s="476"/>
      <c r="BD108" s="477"/>
    </row>
    <row r="109" s="405" customFormat="1">
      <c r="A109" s="391" t="s">
        <v>303</v>
      </c>
      <c r="B109" s="396" t="s">
        <v>193</v>
      </c>
      <c r="C109" s="501" t="s">
        <v>204</v>
      </c>
      <c r="D109" s="395">
        <v>2</v>
      </c>
      <c r="E109" s="396"/>
      <c r="F109" s="396"/>
      <c r="G109" s="396">
        <f t="shared" si="10"/>
        <v>0</v>
      </c>
      <c r="H109" s="396"/>
      <c r="I109" s="396">
        <f t="shared" si="11"/>
        <v>0</v>
      </c>
      <c r="J109" s="396"/>
      <c r="K109" s="396">
        <f t="shared" si="7"/>
        <v>0</v>
      </c>
      <c r="L109" s="396"/>
      <c r="M109" s="396">
        <f t="shared" si="8"/>
        <v>0</v>
      </c>
      <c r="N109" s="396"/>
      <c r="O109" s="396">
        <f t="shared" si="9"/>
        <v>0</v>
      </c>
      <c r="P109" s="382"/>
      <c r="Q109" s="382"/>
      <c r="R109" s="382"/>
      <c r="S109" s="382"/>
      <c r="T109" s="382"/>
      <c r="U109" s="382"/>
      <c r="V109" s="382"/>
      <c r="W109" s="513"/>
      <c r="X109" s="514"/>
      <c r="Y109" s="513"/>
      <c r="Z109" s="513"/>
      <c r="AA109" s="466"/>
      <c r="AB109" s="466"/>
      <c r="AC109" s="517"/>
      <c r="AD109" s="448"/>
      <c r="AE109" s="513"/>
      <c r="AF109" s="382"/>
      <c r="AG109" s="382"/>
      <c r="AH109" s="384"/>
      <c r="AI109" s="382"/>
      <c r="AJ109" s="382"/>
      <c r="AK109" s="479"/>
      <c r="AL109" s="481"/>
      <c r="AM109" s="382"/>
      <c r="AN109" s="382"/>
      <c r="AO109" s="382"/>
      <c r="AP109" s="478"/>
      <c r="AQ109" s="455"/>
      <c r="AR109" s="452"/>
      <c r="AS109" s="428"/>
      <c r="AT109" s="466"/>
      <c r="AU109" s="466"/>
      <c r="AV109" s="466"/>
      <c r="AW109" s="466"/>
      <c r="AX109" s="428"/>
      <c r="AY109" s="428"/>
      <c r="AZ109" s="452"/>
      <c r="BA109" s="406"/>
      <c r="BC109" s="476"/>
      <c r="BD109" s="477"/>
    </row>
    <row r="110" s="405" customFormat="1">
      <c r="A110" s="391" t="s">
        <v>303</v>
      </c>
      <c r="B110" s="396" t="s">
        <v>193</v>
      </c>
      <c r="C110" s="501" t="s">
        <v>204</v>
      </c>
      <c r="D110" s="395">
        <v>3</v>
      </c>
      <c r="E110" s="396"/>
      <c r="F110" s="396"/>
      <c r="G110" s="396">
        <f t="shared" si="10"/>
        <v>0</v>
      </c>
      <c r="H110" s="396"/>
      <c r="I110" s="396">
        <f t="shared" si="11"/>
        <v>0</v>
      </c>
      <c r="J110" s="396"/>
      <c r="K110" s="396">
        <f t="shared" si="7"/>
        <v>0</v>
      </c>
      <c r="L110" s="396"/>
      <c r="M110" s="396">
        <f t="shared" si="8"/>
        <v>0</v>
      </c>
      <c r="N110" s="396"/>
      <c r="O110" s="396">
        <f t="shared" si="9"/>
        <v>0</v>
      </c>
      <c r="P110" s="382"/>
      <c r="Q110" s="382"/>
      <c r="R110" s="382"/>
      <c r="S110" s="382"/>
      <c r="T110" s="382"/>
      <c r="U110" s="382"/>
      <c r="V110" s="382"/>
      <c r="W110" s="513"/>
      <c r="X110" s="514"/>
      <c r="Y110" s="513"/>
      <c r="Z110" s="513"/>
      <c r="AA110" s="466"/>
      <c r="AB110" s="466"/>
      <c r="AC110" s="517"/>
      <c r="AD110" s="448"/>
      <c r="AE110" s="513"/>
      <c r="AF110" s="382"/>
      <c r="AG110" s="382"/>
      <c r="AH110" s="384"/>
      <c r="AI110" s="382"/>
      <c r="AJ110" s="382"/>
      <c r="AK110" s="479"/>
      <c r="AL110" s="481"/>
      <c r="AM110" s="382"/>
      <c r="AN110" s="382"/>
      <c r="AO110" s="382"/>
      <c r="AP110" s="478"/>
      <c r="AQ110" s="455"/>
      <c r="AR110" s="452"/>
      <c r="AS110" s="428"/>
      <c r="AT110" s="466"/>
      <c r="AU110" s="466"/>
      <c r="AV110" s="466"/>
      <c r="AW110" s="466"/>
      <c r="AX110" s="428"/>
      <c r="AY110" s="428"/>
      <c r="AZ110" s="452"/>
      <c r="BA110" s="406"/>
      <c r="BC110" s="476"/>
      <c r="BD110" s="477"/>
    </row>
    <row r="111" s="405" customFormat="1">
      <c r="A111" s="391" t="s">
        <v>303</v>
      </c>
      <c r="B111" s="396" t="s">
        <v>193</v>
      </c>
      <c r="C111" s="501" t="s">
        <v>204</v>
      </c>
      <c r="D111" s="395">
        <v>4</v>
      </c>
      <c r="E111" s="396"/>
      <c r="F111" s="396"/>
      <c r="G111" s="396">
        <f t="shared" si="10"/>
        <v>0</v>
      </c>
      <c r="H111" s="396"/>
      <c r="I111" s="396">
        <f t="shared" si="11"/>
        <v>0</v>
      </c>
      <c r="J111" s="396"/>
      <c r="K111" s="396">
        <f t="shared" si="7"/>
        <v>0</v>
      </c>
      <c r="L111" s="396"/>
      <c r="M111" s="396">
        <f t="shared" si="8"/>
        <v>0</v>
      </c>
      <c r="N111" s="396"/>
      <c r="O111" s="396">
        <f t="shared" si="9"/>
        <v>0</v>
      </c>
      <c r="P111" s="382"/>
      <c r="Q111" s="382"/>
      <c r="R111" s="382"/>
      <c r="S111" s="382"/>
      <c r="T111" s="382"/>
      <c r="U111" s="382"/>
      <c r="V111" s="382"/>
      <c r="W111" s="513"/>
      <c r="X111" s="514"/>
      <c r="Y111" s="513"/>
      <c r="Z111" s="513"/>
      <c r="AA111" s="466"/>
      <c r="AB111" s="466"/>
      <c r="AC111" s="517"/>
      <c r="AD111" s="448"/>
      <c r="AE111" s="513"/>
      <c r="AF111" s="382"/>
      <c r="AG111" s="382"/>
      <c r="AH111" s="384"/>
      <c r="AI111" s="382"/>
      <c r="AJ111" s="382"/>
      <c r="AK111" s="479"/>
      <c r="AL111" s="481"/>
      <c r="AM111" s="382"/>
      <c r="AN111" s="382"/>
      <c r="AO111" s="382"/>
      <c r="AP111" s="478"/>
      <c r="AQ111" s="455"/>
      <c r="AR111" s="452"/>
      <c r="AS111" s="428"/>
      <c r="AT111" s="451"/>
      <c r="AU111" s="450"/>
      <c r="AV111" s="450"/>
      <c r="AW111" s="466"/>
      <c r="AX111" s="428"/>
      <c r="AY111" s="428"/>
      <c r="AZ111" s="452"/>
      <c r="BA111" s="406"/>
      <c r="BC111" s="476"/>
      <c r="BD111" s="477"/>
    </row>
    <row r="112" s="405" customFormat="1">
      <c r="A112" s="391" t="s">
        <v>308</v>
      </c>
      <c r="B112" s="396" t="s">
        <v>193</v>
      </c>
      <c r="C112" s="501" t="s">
        <v>204</v>
      </c>
      <c r="D112" s="502">
        <v>1</v>
      </c>
      <c r="E112" s="518"/>
      <c r="F112" s="515"/>
      <c r="G112" s="396">
        <f t="shared" si="10"/>
        <v>0</v>
      </c>
      <c r="H112" s="503"/>
      <c r="I112" s="396">
        <f t="shared" si="11"/>
        <v>0</v>
      </c>
      <c r="J112" s="503"/>
      <c r="K112" s="396">
        <f t="shared" si="7"/>
        <v>0</v>
      </c>
      <c r="L112" s="396"/>
      <c r="M112" s="396">
        <f t="shared" si="8"/>
        <v>0</v>
      </c>
      <c r="N112" s="396">
        <v>60</v>
      </c>
      <c r="O112" s="396">
        <f t="shared" si="9"/>
        <v>47.78</v>
      </c>
      <c r="P112" s="382"/>
      <c r="Q112" s="382"/>
      <c r="R112" s="382"/>
      <c r="S112" s="382"/>
      <c r="T112" s="382"/>
      <c r="U112" s="382"/>
      <c r="V112" s="382"/>
      <c r="W112" s="482"/>
      <c r="X112" s="445"/>
      <c r="Y112" s="482"/>
      <c r="Z112" s="482"/>
      <c r="AA112" s="466"/>
      <c r="AB112" s="466"/>
      <c r="AC112" s="517"/>
      <c r="AD112" s="448"/>
      <c r="AE112" s="513"/>
      <c r="AF112" s="382"/>
      <c r="AG112" s="382"/>
      <c r="AH112" s="384"/>
      <c r="AI112" s="382"/>
      <c r="AJ112" s="382"/>
      <c r="AK112" s="479"/>
      <c r="AL112" s="481"/>
      <c r="AM112" s="382"/>
      <c r="AN112" s="382"/>
      <c r="AO112" s="382"/>
      <c r="AP112" s="478"/>
      <c r="AQ112" s="455"/>
      <c r="AR112" s="452"/>
      <c r="AS112" s="428"/>
      <c r="AT112" s="451"/>
      <c r="AU112" s="450"/>
      <c r="AV112" s="450"/>
      <c r="AW112" s="466"/>
      <c r="AX112" s="428"/>
      <c r="AY112" s="428"/>
      <c r="AZ112" s="452"/>
      <c r="BA112" s="406"/>
      <c r="BC112" s="476"/>
      <c r="BD112" s="477"/>
    </row>
    <row r="113" s="405" customFormat="1">
      <c r="A113" s="391" t="s">
        <v>308</v>
      </c>
      <c r="B113" s="396" t="s">
        <v>193</v>
      </c>
      <c r="C113" s="501" t="s">
        <v>204</v>
      </c>
      <c r="D113" s="502">
        <v>2</v>
      </c>
      <c r="E113" s="396"/>
      <c r="F113" s="503">
        <v>60</v>
      </c>
      <c r="G113" s="396">
        <f t="shared" si="10"/>
        <v>47.78</v>
      </c>
      <c r="H113" s="483">
        <v>63</v>
      </c>
      <c r="I113" s="396">
        <f t="shared" si="11"/>
        <v>47.99</v>
      </c>
      <c r="J113" s="503">
        <v>80</v>
      </c>
      <c r="K113" s="396">
        <f t="shared" si="7"/>
        <v>49.03</v>
      </c>
      <c r="L113" s="396"/>
      <c r="M113" s="396">
        <f t="shared" si="8"/>
        <v>0</v>
      </c>
      <c r="N113" s="396">
        <v>40</v>
      </c>
      <c r="O113" s="396">
        <f t="shared" si="9"/>
        <v>46.02</v>
      </c>
      <c r="P113" s="382"/>
      <c r="Q113" s="382"/>
      <c r="R113" s="382"/>
      <c r="S113" s="382"/>
      <c r="T113" s="382"/>
      <c r="U113" s="382"/>
      <c r="V113" s="382"/>
      <c r="W113" s="482"/>
      <c r="X113" s="445"/>
      <c r="Y113" s="482"/>
      <c r="Z113" s="482"/>
      <c r="AA113" s="466"/>
      <c r="AB113" s="466"/>
      <c r="AC113" s="517"/>
      <c r="AD113" s="448"/>
      <c r="AE113" s="513"/>
      <c r="AF113" s="382"/>
      <c r="AG113" s="382"/>
      <c r="AH113" s="384"/>
      <c r="AI113" s="382"/>
      <c r="AJ113" s="382"/>
      <c r="AK113" s="479"/>
      <c r="AL113" s="481"/>
      <c r="AM113" s="382"/>
      <c r="AN113" s="382"/>
      <c r="AO113" s="382"/>
      <c r="AP113" s="478"/>
      <c r="AQ113" s="455"/>
      <c r="AR113" s="452"/>
      <c r="AS113" s="428"/>
      <c r="AT113" s="451"/>
      <c r="AU113" s="450"/>
      <c r="AV113" s="450"/>
      <c r="AW113" s="466"/>
      <c r="AX113" s="428"/>
      <c r="AY113" s="428"/>
      <c r="AZ113" s="452"/>
      <c r="BA113" s="406"/>
      <c r="BC113" s="476"/>
      <c r="BD113" s="477"/>
    </row>
    <row r="114" s="405" customFormat="1">
      <c r="A114" s="391" t="s">
        <v>308</v>
      </c>
      <c r="B114" s="396" t="s">
        <v>193</v>
      </c>
      <c r="C114" s="501" t="s">
        <v>204</v>
      </c>
      <c r="D114" s="502">
        <v>4</v>
      </c>
      <c r="E114" s="396"/>
      <c r="F114" s="503">
        <v>60</v>
      </c>
      <c r="G114" s="396">
        <f t="shared" si="10"/>
        <v>47.78</v>
      </c>
      <c r="H114" s="483">
        <v>63</v>
      </c>
      <c r="I114" s="396">
        <f t="shared" si="11"/>
        <v>47.99</v>
      </c>
      <c r="J114" s="503">
        <v>36</v>
      </c>
      <c r="K114" s="396">
        <f t="shared" si="7"/>
        <v>45.56</v>
      </c>
      <c r="L114" s="396"/>
      <c r="M114" s="396">
        <f t="shared" si="8"/>
        <v>0</v>
      </c>
      <c r="N114" s="396">
        <v>20</v>
      </c>
      <c r="O114" s="396">
        <f t="shared" si="9"/>
        <v>43.01</v>
      </c>
      <c r="P114" s="382"/>
      <c r="Q114" s="382"/>
      <c r="R114" s="382"/>
      <c r="S114" s="382"/>
      <c r="T114" s="382"/>
      <c r="U114" s="382"/>
      <c r="V114" s="382"/>
      <c r="W114" s="482"/>
      <c r="X114" s="445"/>
      <c r="Y114" s="482"/>
      <c r="Z114" s="482"/>
      <c r="AA114" s="466"/>
      <c r="AB114" s="466"/>
      <c r="AC114" s="517"/>
      <c r="AD114" s="448"/>
      <c r="AE114" s="513"/>
      <c r="AF114" s="382"/>
      <c r="AG114" s="382"/>
      <c r="AH114" s="384"/>
      <c r="AI114" s="382"/>
      <c r="AJ114" s="382"/>
      <c r="AK114" s="479"/>
      <c r="AL114" s="481"/>
      <c r="AM114" s="382"/>
      <c r="AN114" s="382"/>
      <c r="AO114" s="382"/>
      <c r="AP114" s="478"/>
      <c r="AQ114" s="455"/>
      <c r="AR114" s="452"/>
      <c r="AS114" s="428"/>
      <c r="AT114" s="451"/>
      <c r="AU114" s="450"/>
      <c r="AV114" s="450"/>
      <c r="AW114" s="466"/>
      <c r="AX114" s="428"/>
      <c r="AY114" s="428"/>
      <c r="AZ114" s="452"/>
      <c r="BA114" s="406"/>
      <c r="BC114" s="476"/>
      <c r="BD114" s="477"/>
    </row>
    <row r="115" s="405" customFormat="1">
      <c r="A115" s="391" t="s">
        <v>312</v>
      </c>
      <c r="B115" s="396" t="s">
        <v>193</v>
      </c>
      <c r="C115" s="501" t="s">
        <v>204</v>
      </c>
      <c r="D115" s="502">
        <v>1</v>
      </c>
      <c r="E115" s="518"/>
      <c r="F115" s="515"/>
      <c r="G115" s="396">
        <f t="shared" si="10"/>
        <v>0</v>
      </c>
      <c r="H115" s="503"/>
      <c r="I115" s="396">
        <f t="shared" si="11"/>
        <v>0</v>
      </c>
      <c r="J115" s="503"/>
      <c r="K115" s="396">
        <f t="shared" si="7"/>
        <v>0</v>
      </c>
      <c r="L115" s="396"/>
      <c r="M115" s="396">
        <f t="shared" si="8"/>
        <v>0</v>
      </c>
      <c r="N115" s="396">
        <v>60</v>
      </c>
      <c r="O115" s="396">
        <f t="shared" si="9"/>
        <v>47.78</v>
      </c>
      <c r="P115" s="382"/>
      <c r="Q115" s="382"/>
      <c r="R115" s="382"/>
      <c r="S115" s="382"/>
      <c r="T115" s="382"/>
      <c r="U115" s="382"/>
      <c r="V115" s="382"/>
      <c r="W115" s="482"/>
      <c r="X115" s="445"/>
      <c r="Y115" s="482"/>
      <c r="Z115" s="482"/>
      <c r="AA115" s="466"/>
      <c r="AB115" s="466"/>
      <c r="AC115" s="517"/>
      <c r="AD115" s="448"/>
      <c r="AE115" s="513"/>
      <c r="AF115" s="382"/>
      <c r="AG115" s="382"/>
      <c r="AH115" s="384"/>
      <c r="AI115" s="382"/>
      <c r="AJ115" s="382"/>
      <c r="AK115" s="479"/>
      <c r="AL115" s="481"/>
      <c r="AM115" s="382"/>
      <c r="AN115" s="382"/>
      <c r="AO115" s="382"/>
      <c r="AP115" s="478"/>
      <c r="AQ115" s="455"/>
      <c r="AR115" s="452"/>
      <c r="AS115" s="428"/>
      <c r="AT115" s="451"/>
      <c r="AU115" s="450"/>
      <c r="AV115" s="450"/>
      <c r="AW115" s="466"/>
      <c r="AX115" s="428"/>
      <c r="AY115" s="428"/>
      <c r="AZ115" s="452"/>
      <c r="BA115" s="406"/>
      <c r="BC115" s="476"/>
      <c r="BD115" s="477"/>
    </row>
    <row r="116" s="405" customFormat="1">
      <c r="A116" s="391" t="s">
        <v>312</v>
      </c>
      <c r="B116" s="396" t="s">
        <v>193</v>
      </c>
      <c r="C116" s="501" t="s">
        <v>204</v>
      </c>
      <c r="D116" s="502">
        <v>2</v>
      </c>
      <c r="E116" s="396"/>
      <c r="F116" s="503">
        <v>60</v>
      </c>
      <c r="G116" s="396">
        <f t="shared" si="10"/>
        <v>47.78</v>
      </c>
      <c r="H116" s="503"/>
      <c r="I116" s="396">
        <f t="shared" si="11"/>
        <v>0</v>
      </c>
      <c r="J116" s="503"/>
      <c r="K116" s="396">
        <f t="shared" si="7"/>
        <v>0</v>
      </c>
      <c r="L116" s="396"/>
      <c r="M116" s="396">
        <f t="shared" si="8"/>
        <v>0</v>
      </c>
      <c r="N116" s="396">
        <v>40</v>
      </c>
      <c r="O116" s="396">
        <f t="shared" si="9"/>
        <v>46.02</v>
      </c>
      <c r="P116" s="382"/>
      <c r="Q116" s="382"/>
      <c r="R116" s="382"/>
      <c r="S116" s="382"/>
      <c r="T116" s="382"/>
      <c r="U116" s="382"/>
      <c r="V116" s="382"/>
      <c r="W116" s="482"/>
      <c r="X116" s="445"/>
      <c r="Y116" s="482"/>
      <c r="Z116" s="482"/>
      <c r="AA116" s="466"/>
      <c r="AB116" s="466"/>
      <c r="AC116" s="517"/>
      <c r="AD116" s="448"/>
      <c r="AE116" s="513"/>
      <c r="AF116" s="382"/>
      <c r="AG116" s="382"/>
      <c r="AH116" s="384"/>
      <c r="AI116" s="382"/>
      <c r="AJ116" s="382"/>
      <c r="AK116" s="479"/>
      <c r="AL116" s="481"/>
      <c r="AM116" s="382"/>
      <c r="AN116" s="382"/>
      <c r="AO116" s="382"/>
      <c r="AP116" s="478"/>
      <c r="AQ116" s="455"/>
      <c r="AR116" s="452"/>
      <c r="AS116" s="428"/>
      <c r="AT116" s="451"/>
      <c r="AU116" s="450"/>
      <c r="AV116" s="450"/>
      <c r="AW116" s="466"/>
      <c r="AX116" s="428"/>
      <c r="AY116" s="428"/>
      <c r="AZ116" s="452"/>
      <c r="BA116" s="406"/>
      <c r="BC116" s="476"/>
      <c r="BD116" s="477"/>
    </row>
    <row r="117" s="405" customFormat="1">
      <c r="A117" s="391" t="s">
        <v>312</v>
      </c>
      <c r="B117" s="396" t="s">
        <v>193</v>
      </c>
      <c r="C117" s="501" t="s">
        <v>204</v>
      </c>
      <c r="D117" s="502">
        <v>4</v>
      </c>
      <c r="E117" s="396"/>
      <c r="F117" s="503">
        <v>60</v>
      </c>
      <c r="G117" s="396">
        <f t="shared" si="10"/>
        <v>47.78</v>
      </c>
      <c r="H117" s="503"/>
      <c r="I117" s="396">
        <f t="shared" si="11"/>
        <v>0</v>
      </c>
      <c r="J117" s="503"/>
      <c r="K117" s="396">
        <f t="shared" si="7"/>
        <v>0</v>
      </c>
      <c r="L117" s="396"/>
      <c r="M117" s="396">
        <f t="shared" si="8"/>
        <v>0</v>
      </c>
      <c r="N117" s="396">
        <v>20</v>
      </c>
      <c r="O117" s="396">
        <f t="shared" si="9"/>
        <v>43.01</v>
      </c>
      <c r="P117" s="382"/>
      <c r="Q117" s="382"/>
      <c r="R117" s="382"/>
      <c r="S117" s="382"/>
      <c r="T117" s="382"/>
      <c r="U117" s="382"/>
      <c r="V117" s="382"/>
      <c r="W117" s="482"/>
      <c r="X117" s="445"/>
      <c r="Y117" s="482"/>
      <c r="Z117" s="482"/>
      <c r="AA117" s="466"/>
      <c r="AB117" s="466"/>
      <c r="AC117" s="517"/>
      <c r="AD117" s="448"/>
      <c r="AE117" s="513"/>
      <c r="AF117" s="382"/>
      <c r="AG117" s="382"/>
      <c r="AH117" s="384"/>
      <c r="AI117" s="382"/>
      <c r="AJ117" s="382"/>
      <c r="AK117" s="479"/>
      <c r="AL117" s="481"/>
      <c r="AM117" s="382"/>
      <c r="AN117" s="382"/>
      <c r="AO117" s="382"/>
      <c r="AP117" s="478"/>
      <c r="AQ117" s="455"/>
      <c r="AR117" s="452"/>
      <c r="AS117" s="428"/>
      <c r="AT117" s="451"/>
      <c r="AU117" s="450"/>
      <c r="AV117" s="450"/>
      <c r="AW117" s="466"/>
      <c r="AX117" s="428"/>
      <c r="AY117" s="428"/>
      <c r="AZ117" s="452"/>
      <c r="BA117" s="406"/>
      <c r="BC117" s="476"/>
      <c r="BD117" s="477"/>
    </row>
    <row r="118" s="405" customFormat="1">
      <c r="A118" s="519" t="s">
        <v>316</v>
      </c>
      <c r="B118" s="396" t="s">
        <v>193</v>
      </c>
      <c r="C118" s="501" t="s">
        <v>204</v>
      </c>
      <c r="D118" s="502">
        <v>1</v>
      </c>
      <c r="E118" s="396"/>
      <c r="F118" s="503"/>
      <c r="G118" s="396">
        <f t="shared" si="10"/>
        <v>0</v>
      </c>
      <c r="H118" s="503"/>
      <c r="I118" s="396">
        <f t="shared" si="11"/>
        <v>0</v>
      </c>
      <c r="J118" s="503"/>
      <c r="K118" s="396">
        <f t="shared" si="7"/>
        <v>0</v>
      </c>
      <c r="L118" s="396"/>
      <c r="M118" s="396">
        <f t="shared" si="8"/>
        <v>0</v>
      </c>
      <c r="N118" s="396">
        <v>60</v>
      </c>
      <c r="O118" s="396">
        <f t="shared" si="9"/>
        <v>47.78</v>
      </c>
      <c r="P118" s="382"/>
      <c r="Q118" s="382"/>
      <c r="R118" s="382"/>
      <c r="S118" s="382"/>
      <c r="T118" s="382"/>
      <c r="U118" s="382"/>
      <c r="V118" s="382"/>
      <c r="W118" s="482"/>
      <c r="X118" s="445"/>
      <c r="Y118" s="482"/>
      <c r="Z118" s="482"/>
      <c r="AA118" s="466"/>
      <c r="AB118" s="466"/>
      <c r="AC118" s="517"/>
      <c r="AD118" s="448"/>
      <c r="AE118" s="513"/>
      <c r="AF118" s="382"/>
      <c r="AG118" s="382"/>
      <c r="AH118" s="384"/>
      <c r="AI118" s="382"/>
      <c r="AJ118" s="382"/>
      <c r="AK118" s="479"/>
      <c r="AL118" s="481"/>
      <c r="AM118" s="382"/>
      <c r="AN118" s="382"/>
      <c r="AO118" s="382"/>
      <c r="AP118" s="478"/>
      <c r="AQ118" s="455"/>
      <c r="AR118" s="452"/>
      <c r="AS118" s="428"/>
      <c r="AT118" s="451"/>
      <c r="AU118" s="450"/>
      <c r="AV118" s="450"/>
      <c r="AW118" s="466"/>
      <c r="AX118" s="428"/>
      <c r="AY118" s="428"/>
      <c r="AZ118" s="452"/>
      <c r="BA118" s="406"/>
      <c r="BC118" s="476"/>
      <c r="BD118" s="477"/>
    </row>
    <row r="119" s="405" customFormat="1">
      <c r="A119" s="519" t="s">
        <v>316</v>
      </c>
      <c r="B119" s="396" t="s">
        <v>193</v>
      </c>
      <c r="C119" s="501" t="s">
        <v>204</v>
      </c>
      <c r="D119" s="502">
        <v>2</v>
      </c>
      <c r="E119" s="396"/>
      <c r="F119" s="503"/>
      <c r="G119" s="396">
        <f t="shared" si="10"/>
        <v>0</v>
      </c>
      <c r="H119" s="483">
        <v>20</v>
      </c>
      <c r="I119" s="396">
        <f t="shared" si="11"/>
        <v>43.01</v>
      </c>
      <c r="J119" s="503">
        <v>40</v>
      </c>
      <c r="K119" s="396">
        <f t="shared" si="7"/>
        <v>46.02</v>
      </c>
      <c r="L119" s="396"/>
      <c r="M119" s="396">
        <f t="shared" si="8"/>
        <v>0</v>
      </c>
      <c r="N119" s="396">
        <v>40</v>
      </c>
      <c r="O119" s="396">
        <f t="shared" si="9"/>
        <v>46.02</v>
      </c>
      <c r="P119" s="382"/>
      <c r="Q119" s="382"/>
      <c r="R119" s="382"/>
      <c r="S119" s="382"/>
      <c r="T119" s="382"/>
      <c r="U119" s="382"/>
      <c r="V119" s="382"/>
      <c r="W119" s="482"/>
      <c r="X119" s="445"/>
      <c r="Y119" s="482"/>
      <c r="Z119" s="482"/>
      <c r="AA119" s="466"/>
      <c r="AB119" s="466"/>
      <c r="AC119" s="517"/>
      <c r="AD119" s="448"/>
      <c r="AE119" s="513"/>
      <c r="AF119" s="382"/>
      <c r="AG119" s="382"/>
      <c r="AH119" s="384"/>
      <c r="AI119" s="382"/>
      <c r="AJ119" s="382"/>
      <c r="AK119" s="479"/>
      <c r="AL119" s="481"/>
      <c r="AM119" s="382"/>
      <c r="AN119" s="382"/>
      <c r="AO119" s="382"/>
      <c r="AP119" s="478"/>
      <c r="AQ119" s="455"/>
      <c r="AR119" s="452"/>
      <c r="AS119" s="428"/>
      <c r="AT119" s="451"/>
      <c r="AU119" s="450"/>
      <c r="AV119" s="450"/>
      <c r="AW119" s="466"/>
      <c r="AX119" s="428"/>
      <c r="AY119" s="428"/>
      <c r="AZ119" s="452"/>
      <c r="BA119" s="406"/>
      <c r="BC119" s="476"/>
      <c r="BD119" s="477"/>
    </row>
    <row r="120" s="405" customFormat="1">
      <c r="A120" s="519" t="s">
        <v>316</v>
      </c>
      <c r="B120" s="396" t="s">
        <v>193</v>
      </c>
      <c r="C120" s="501" t="s">
        <v>204</v>
      </c>
      <c r="D120" s="502">
        <v>4</v>
      </c>
      <c r="E120" s="396"/>
      <c r="F120" s="503">
        <v>60</v>
      </c>
      <c r="G120" s="396">
        <f t="shared" si="10"/>
        <v>47.78</v>
      </c>
      <c r="H120" s="483">
        <v>15</v>
      </c>
      <c r="I120" s="396">
        <f t="shared" si="11"/>
        <v>41.76</v>
      </c>
      <c r="J120" s="503">
        <v>20</v>
      </c>
      <c r="K120" s="396">
        <f t="shared" si="7"/>
        <v>43.01</v>
      </c>
      <c r="L120" s="396"/>
      <c r="M120" s="396">
        <f t="shared" si="8"/>
        <v>0</v>
      </c>
      <c r="N120" s="396">
        <v>20</v>
      </c>
      <c r="O120" s="396">
        <f t="shared" si="9"/>
        <v>43.01</v>
      </c>
      <c r="P120" s="382"/>
      <c r="Q120" s="382"/>
      <c r="R120" s="382"/>
      <c r="S120" s="382"/>
      <c r="T120" s="382"/>
      <c r="U120" s="382"/>
      <c r="V120" s="382"/>
      <c r="W120" s="482"/>
      <c r="X120" s="445"/>
      <c r="Y120" s="482"/>
      <c r="Z120" s="482"/>
      <c r="AA120" s="466"/>
      <c r="AB120" s="466"/>
      <c r="AC120" s="517"/>
      <c r="AD120" s="448"/>
      <c r="AE120" s="513"/>
      <c r="AF120" s="382"/>
      <c r="AG120" s="382"/>
      <c r="AH120" s="384"/>
      <c r="AI120" s="382"/>
      <c r="AJ120" s="382"/>
      <c r="AK120" s="479"/>
      <c r="AL120" s="481"/>
      <c r="AM120" s="382"/>
      <c r="AN120" s="382"/>
      <c r="AO120" s="382"/>
      <c r="AP120" s="478"/>
      <c r="AQ120" s="455"/>
      <c r="AR120" s="452"/>
      <c r="AS120" s="428"/>
      <c r="AT120" s="451"/>
      <c r="AU120" s="450"/>
      <c r="AV120" s="450"/>
      <c r="AW120" s="466"/>
      <c r="AX120" s="428"/>
      <c r="AY120" s="428"/>
      <c r="AZ120" s="452"/>
      <c r="BA120" s="406"/>
      <c r="BC120" s="476"/>
      <c r="BD120" s="477"/>
    </row>
    <row r="121" s="405" customFormat="1">
      <c r="A121" s="391" t="s">
        <v>102</v>
      </c>
      <c r="B121" s="396" t="s">
        <v>193</v>
      </c>
      <c r="C121" s="501" t="s">
        <v>204</v>
      </c>
      <c r="D121" s="502">
        <v>2</v>
      </c>
      <c r="E121" s="396"/>
      <c r="F121" s="503"/>
      <c r="G121" s="396">
        <f t="shared" si="10"/>
        <v>0</v>
      </c>
      <c r="H121" s="483">
        <v>16</v>
      </c>
      <c r="I121" s="396">
        <f t="shared" si="11"/>
        <v>42.04</v>
      </c>
      <c r="J121" s="503"/>
      <c r="K121" s="396">
        <f t="shared" si="7"/>
        <v>0</v>
      </c>
      <c r="L121" s="396"/>
      <c r="M121" s="396">
        <f t="shared" si="8"/>
        <v>0</v>
      </c>
      <c r="N121" s="396"/>
      <c r="O121" s="396">
        <f t="shared" si="9"/>
        <v>0</v>
      </c>
      <c r="P121" s="382"/>
      <c r="Q121" s="382"/>
      <c r="R121" s="382"/>
      <c r="S121" s="382"/>
      <c r="T121" s="382"/>
      <c r="U121" s="382"/>
      <c r="V121" s="382"/>
      <c r="W121" s="482"/>
      <c r="X121" s="445"/>
      <c r="Y121" s="482"/>
      <c r="Z121" s="482"/>
      <c r="AA121" s="466"/>
      <c r="AB121" s="466"/>
      <c r="AC121" s="517"/>
      <c r="AD121" s="448"/>
      <c r="AE121" s="513"/>
      <c r="AF121" s="382"/>
      <c r="AG121" s="382"/>
      <c r="AH121" s="384"/>
      <c r="AI121" s="382"/>
      <c r="AJ121" s="382"/>
      <c r="AK121" s="479"/>
      <c r="AL121" s="481"/>
      <c r="AM121" s="382"/>
      <c r="AN121" s="382"/>
      <c r="AO121" s="382"/>
      <c r="AP121" s="478"/>
      <c r="AQ121" s="455"/>
      <c r="AR121" s="452"/>
      <c r="AS121" s="428"/>
      <c r="AT121" s="451"/>
      <c r="AU121" s="450"/>
      <c r="AV121" s="450"/>
      <c r="AW121" s="466"/>
      <c r="AX121" s="428"/>
      <c r="AY121" s="428"/>
      <c r="AZ121" s="452"/>
      <c r="BA121" s="406"/>
      <c r="BC121" s="476"/>
      <c r="BD121" s="477"/>
    </row>
    <row r="122" s="405" customFormat="1">
      <c r="A122" s="391" t="s">
        <v>102</v>
      </c>
      <c r="B122" s="396" t="s">
        <v>193</v>
      </c>
      <c r="C122" s="501" t="s">
        <v>204</v>
      </c>
      <c r="D122" s="502">
        <v>3</v>
      </c>
      <c r="E122" s="396"/>
      <c r="F122" s="503"/>
      <c r="G122" s="396">
        <f t="shared" si="10"/>
        <v>0</v>
      </c>
      <c r="H122" s="483">
        <v>16</v>
      </c>
      <c r="I122" s="396">
        <f t="shared" si="11"/>
        <v>42.04</v>
      </c>
      <c r="J122" s="503"/>
      <c r="K122" s="396">
        <f t="shared" si="7"/>
        <v>0</v>
      </c>
      <c r="L122" s="396"/>
      <c r="M122" s="396">
        <f t="shared" si="8"/>
        <v>0</v>
      </c>
      <c r="N122" s="396"/>
      <c r="O122" s="396">
        <f t="shared" si="9"/>
        <v>0</v>
      </c>
      <c r="P122" s="382"/>
      <c r="Q122" s="382"/>
      <c r="R122" s="382"/>
      <c r="S122" s="382"/>
      <c r="T122" s="382"/>
      <c r="U122" s="382"/>
      <c r="V122" s="382"/>
      <c r="W122" s="482"/>
      <c r="X122" s="445"/>
      <c r="Y122" s="482"/>
      <c r="Z122" s="482"/>
      <c r="AA122" s="466"/>
      <c r="AB122" s="466"/>
      <c r="AC122" s="517"/>
      <c r="AD122" s="448"/>
      <c r="AE122" s="513"/>
      <c r="AF122" s="382"/>
      <c r="AG122" s="382"/>
      <c r="AH122" s="384"/>
      <c r="AI122" s="382"/>
      <c r="AJ122" s="382"/>
      <c r="AK122" s="479"/>
      <c r="AL122" s="481"/>
      <c r="AM122" s="382"/>
      <c r="AN122" s="382"/>
      <c r="AO122" s="382"/>
      <c r="AP122" s="478"/>
      <c r="AQ122" s="455"/>
      <c r="AR122" s="452"/>
      <c r="AS122" s="428"/>
      <c r="AT122" s="451"/>
      <c r="AU122" s="450"/>
      <c r="AV122" s="450"/>
      <c r="AW122" s="466"/>
      <c r="AX122" s="428"/>
      <c r="AY122" s="428"/>
      <c r="AZ122" s="452"/>
      <c r="BA122" s="406"/>
      <c r="BC122" s="476"/>
      <c r="BD122" s="477"/>
    </row>
    <row r="123" s="405" customFormat="1">
      <c r="A123" s="391" t="s">
        <v>102</v>
      </c>
      <c r="B123" s="396" t="s">
        <v>193</v>
      </c>
      <c r="C123" s="501" t="s">
        <v>204</v>
      </c>
      <c r="D123" s="502">
        <v>4</v>
      </c>
      <c r="E123" s="396"/>
      <c r="F123" s="503"/>
      <c r="G123" s="396">
        <f t="shared" si="10"/>
        <v>0</v>
      </c>
      <c r="H123" s="483">
        <v>16</v>
      </c>
      <c r="I123" s="396">
        <f t="shared" si="11"/>
        <v>42.04</v>
      </c>
      <c r="J123" s="503"/>
      <c r="K123" s="396">
        <f t="shared" si="7"/>
        <v>0</v>
      </c>
      <c r="L123" s="396"/>
      <c r="M123" s="396">
        <f t="shared" si="8"/>
        <v>0</v>
      </c>
      <c r="N123" s="396"/>
      <c r="O123" s="396">
        <f t="shared" si="9"/>
        <v>0</v>
      </c>
      <c r="P123" s="382"/>
      <c r="Q123" s="382"/>
      <c r="R123" s="382"/>
      <c r="S123" s="382"/>
      <c r="T123" s="382"/>
      <c r="U123" s="382"/>
      <c r="V123" s="382"/>
      <c r="W123" s="482"/>
      <c r="X123" s="445"/>
      <c r="Y123" s="482"/>
      <c r="Z123" s="482"/>
      <c r="AA123" s="466"/>
      <c r="AB123" s="466"/>
      <c r="AC123" s="517"/>
      <c r="AD123" s="448"/>
      <c r="AE123" s="513"/>
      <c r="AF123" s="382"/>
      <c r="AG123" s="382"/>
      <c r="AH123" s="384"/>
      <c r="AI123" s="382"/>
      <c r="AJ123" s="382"/>
      <c r="AK123" s="479"/>
      <c r="AL123" s="481"/>
      <c r="AM123" s="382"/>
      <c r="AN123" s="382"/>
      <c r="AO123" s="382"/>
      <c r="AP123" s="478"/>
      <c r="AQ123" s="455"/>
      <c r="AR123" s="452"/>
      <c r="AS123" s="428"/>
      <c r="AT123" s="451"/>
      <c r="AU123" s="450"/>
      <c r="AV123" s="450"/>
      <c r="AW123" s="466"/>
      <c r="AX123" s="428"/>
      <c r="AY123" s="428"/>
      <c r="AZ123" s="452"/>
      <c r="BA123" s="406"/>
      <c r="BC123" s="476"/>
      <c r="BD123" s="477"/>
    </row>
    <row r="124" s="405" customFormat="1">
      <c r="A124" s="391" t="s">
        <v>335</v>
      </c>
      <c r="B124" s="396" t="s">
        <v>193</v>
      </c>
      <c r="C124" s="501" t="s">
        <v>204</v>
      </c>
      <c r="D124" s="502">
        <v>1</v>
      </c>
      <c r="E124" s="396"/>
      <c r="F124" s="503"/>
      <c r="G124" s="396">
        <f t="shared" si="10"/>
        <v>0</v>
      </c>
      <c r="H124" s="483">
        <v>50</v>
      </c>
      <c r="I124" s="396">
        <f t="shared" si="11"/>
        <v>46.99</v>
      </c>
      <c r="J124" s="503"/>
      <c r="K124" s="396">
        <f t="shared" si="7"/>
        <v>0</v>
      </c>
      <c r="L124" s="396"/>
      <c r="M124" s="396">
        <f t="shared" si="8"/>
        <v>0</v>
      </c>
      <c r="N124" s="396"/>
      <c r="O124" s="396">
        <f t="shared" si="9"/>
        <v>0</v>
      </c>
      <c r="P124" s="382"/>
      <c r="Q124" s="382"/>
      <c r="R124" s="382"/>
      <c r="S124" s="382"/>
      <c r="T124" s="382"/>
      <c r="U124" s="382"/>
      <c r="V124" s="382"/>
      <c r="W124" s="482"/>
      <c r="X124" s="445"/>
      <c r="Y124" s="482"/>
      <c r="Z124" s="482"/>
      <c r="AA124" s="466"/>
      <c r="AB124" s="466"/>
      <c r="AC124" s="517"/>
      <c r="AD124" s="448"/>
      <c r="AE124" s="513"/>
      <c r="AF124" s="382"/>
      <c r="AG124" s="382"/>
      <c r="AH124" s="384"/>
      <c r="AI124" s="382"/>
      <c r="AJ124" s="382"/>
      <c r="AK124" s="479"/>
      <c r="AL124" s="481"/>
      <c r="AM124" s="382"/>
      <c r="AN124" s="382"/>
      <c r="AO124" s="382"/>
      <c r="AP124" s="478"/>
      <c r="AQ124" s="455"/>
      <c r="AR124" s="452"/>
      <c r="AS124" s="428"/>
      <c r="AT124" s="451"/>
      <c r="AU124" s="450"/>
      <c r="AV124" s="450"/>
      <c r="AW124" s="466"/>
      <c r="AX124" s="428"/>
      <c r="AY124" s="428"/>
      <c r="AZ124" s="452"/>
      <c r="BA124" s="406"/>
      <c r="BC124" s="476"/>
      <c r="BD124" s="477"/>
    </row>
    <row r="125" s="405" customFormat="1">
      <c r="A125" s="519" t="s">
        <v>335</v>
      </c>
      <c r="B125" s="396" t="s">
        <v>193</v>
      </c>
      <c r="C125" s="501" t="s">
        <v>204</v>
      </c>
      <c r="D125" s="502">
        <v>2</v>
      </c>
      <c r="E125" s="396"/>
      <c r="F125" s="503"/>
      <c r="G125" s="396">
        <f t="shared" si="10"/>
        <v>0</v>
      </c>
      <c r="H125" s="483">
        <v>50</v>
      </c>
      <c r="I125" s="396">
        <f t="shared" si="11"/>
        <v>46.99</v>
      </c>
      <c r="J125" s="503"/>
      <c r="K125" s="396">
        <f t="shared" si="7"/>
        <v>0</v>
      </c>
      <c r="L125" s="396"/>
      <c r="M125" s="396">
        <f t="shared" si="8"/>
        <v>0</v>
      </c>
      <c r="N125" s="396"/>
      <c r="O125" s="396">
        <f t="shared" si="9"/>
        <v>0</v>
      </c>
      <c r="P125" s="382"/>
      <c r="Q125" s="382"/>
      <c r="R125" s="382"/>
      <c r="S125" s="382"/>
      <c r="T125" s="382"/>
      <c r="U125" s="382"/>
      <c r="V125" s="382"/>
      <c r="W125" s="482"/>
      <c r="X125" s="445"/>
      <c r="Y125" s="482"/>
      <c r="Z125" s="482"/>
      <c r="AA125" s="466"/>
      <c r="AB125" s="466"/>
      <c r="AC125" s="517"/>
      <c r="AD125" s="448"/>
      <c r="AE125" s="513"/>
      <c r="AF125" s="382"/>
      <c r="AG125" s="382"/>
      <c r="AH125" s="384"/>
      <c r="AI125" s="382"/>
      <c r="AJ125" s="382"/>
      <c r="AK125" s="479"/>
      <c r="AL125" s="481"/>
      <c r="AM125" s="382"/>
      <c r="AN125" s="382"/>
      <c r="AO125" s="382"/>
      <c r="AP125" s="478"/>
      <c r="AQ125" s="455"/>
      <c r="AR125" s="452"/>
      <c r="AS125" s="428"/>
      <c r="AT125" s="451"/>
      <c r="AU125" s="450"/>
      <c r="AV125" s="450"/>
      <c r="AW125" s="466"/>
      <c r="AX125" s="428"/>
      <c r="AY125" s="428"/>
      <c r="AZ125" s="452"/>
      <c r="BA125" s="406"/>
      <c r="BC125" s="476"/>
      <c r="BD125" s="477"/>
    </row>
    <row r="126" s="405" customFormat="1">
      <c r="A126" s="519" t="s">
        <v>335</v>
      </c>
      <c r="B126" s="396" t="s">
        <v>193</v>
      </c>
      <c r="C126" s="501" t="s">
        <v>204</v>
      </c>
      <c r="D126" s="502">
        <v>3</v>
      </c>
      <c r="E126" s="396"/>
      <c r="F126" s="503"/>
      <c r="G126" s="396">
        <f t="shared" si="10"/>
        <v>0</v>
      </c>
      <c r="H126" s="503"/>
      <c r="I126" s="396">
        <f t="shared" si="11"/>
        <v>0</v>
      </c>
      <c r="J126" s="503"/>
      <c r="K126" s="396">
        <f t="shared" si="7"/>
        <v>0</v>
      </c>
      <c r="L126" s="396"/>
      <c r="M126" s="396">
        <f t="shared" si="8"/>
        <v>0</v>
      </c>
      <c r="N126" s="396"/>
      <c r="O126" s="396">
        <f t="shared" si="9"/>
        <v>0</v>
      </c>
      <c r="P126" s="520"/>
      <c r="Q126" s="382"/>
      <c r="R126" s="382"/>
      <c r="S126" s="382"/>
      <c r="T126" s="382"/>
      <c r="U126" s="382"/>
      <c r="V126" s="382"/>
      <c r="W126" s="482"/>
      <c r="X126" s="445"/>
      <c r="Y126" s="482"/>
      <c r="Z126" s="482"/>
      <c r="AA126" s="466"/>
      <c r="AB126" s="466"/>
      <c r="AC126" s="517"/>
      <c r="AD126" s="448"/>
      <c r="AE126" s="513"/>
      <c r="AF126" s="382"/>
      <c r="AG126" s="382"/>
      <c r="AH126" s="384"/>
      <c r="AI126" s="382"/>
      <c r="AJ126" s="382"/>
      <c r="AK126" s="479"/>
      <c r="AL126" s="481"/>
      <c r="AM126" s="382"/>
      <c r="AN126" s="382"/>
      <c r="AO126" s="382"/>
      <c r="AP126" s="478"/>
      <c r="AQ126" s="455"/>
      <c r="AR126" s="452"/>
      <c r="AS126" s="428"/>
      <c r="AT126" s="451"/>
      <c r="AU126" s="450"/>
      <c r="AV126" s="450"/>
      <c r="AW126" s="466"/>
      <c r="AX126" s="428"/>
      <c r="AY126" s="428"/>
      <c r="AZ126" s="452"/>
      <c r="BA126" s="406"/>
      <c r="BC126" s="476"/>
      <c r="BD126" s="477"/>
    </row>
    <row r="127">
      <c r="A127" s="519" t="s">
        <v>335</v>
      </c>
      <c r="B127" s="396" t="s">
        <v>193</v>
      </c>
      <c r="C127" s="501" t="s">
        <v>204</v>
      </c>
      <c r="D127" s="502">
        <v>4</v>
      </c>
      <c r="E127" s="396"/>
      <c r="F127" s="503"/>
      <c r="G127" s="396">
        <f t="shared" si="10"/>
        <v>0</v>
      </c>
      <c r="H127" s="503"/>
      <c r="I127" s="396">
        <f t="shared" si="11"/>
        <v>0</v>
      </c>
      <c r="J127" s="503"/>
      <c r="K127" s="396">
        <f t="shared" si="7"/>
        <v>0</v>
      </c>
      <c r="L127" s="396"/>
      <c r="M127" s="396">
        <f t="shared" si="8"/>
        <v>0</v>
      </c>
      <c r="N127" s="396"/>
      <c r="O127" s="396">
        <f t="shared" si="9"/>
        <v>0</v>
      </c>
    </row>
    <row r="128">
      <c r="A128" s="519" t="s">
        <v>321</v>
      </c>
      <c r="B128" s="396" t="s">
        <v>193</v>
      </c>
      <c r="C128" s="501" t="s">
        <v>204</v>
      </c>
      <c r="D128" s="502">
        <v>2</v>
      </c>
      <c r="E128" s="396"/>
      <c r="F128" s="503">
        <v>40</v>
      </c>
      <c r="G128" s="396">
        <f t="shared" si="10"/>
        <v>46.02</v>
      </c>
      <c r="H128" s="503"/>
      <c r="I128" s="396">
        <f t="shared" si="11"/>
        <v>0</v>
      </c>
      <c r="J128" s="503"/>
      <c r="K128" s="396">
        <f t="shared" si="7"/>
        <v>0</v>
      </c>
      <c r="L128" s="396"/>
      <c r="M128" s="396">
        <f t="shared" si="8"/>
        <v>0</v>
      </c>
      <c r="N128" s="396"/>
      <c r="O128" s="396">
        <f t="shared" si="9"/>
        <v>0</v>
      </c>
    </row>
    <row r="129">
      <c r="A129" s="519" t="s">
        <v>321</v>
      </c>
      <c r="B129" s="396" t="s">
        <v>193</v>
      </c>
      <c r="C129" s="501" t="s">
        <v>204</v>
      </c>
      <c r="D129" s="502">
        <v>4</v>
      </c>
      <c r="E129" s="396"/>
      <c r="F129" s="503">
        <v>40</v>
      </c>
      <c r="G129" s="396">
        <f t="shared" si="10"/>
        <v>46.02</v>
      </c>
      <c r="H129" s="503"/>
      <c r="I129" s="396">
        <f t="shared" si="11"/>
        <v>0</v>
      </c>
      <c r="J129" s="503"/>
      <c r="K129" s="396">
        <f t="shared" si="7"/>
        <v>0</v>
      </c>
      <c r="L129" s="396"/>
      <c r="M129" s="396">
        <f t="shared" si="8"/>
        <v>0</v>
      </c>
      <c r="N129" s="396"/>
      <c r="O129" s="396">
        <f t="shared" si="9"/>
        <v>0</v>
      </c>
    </row>
    <row r="130">
      <c r="A130" s="519" t="s">
        <v>325</v>
      </c>
      <c r="B130" s="396" t="s">
        <v>193</v>
      </c>
      <c r="C130" s="501" t="s">
        <v>204</v>
      </c>
      <c r="D130" s="502">
        <v>2</v>
      </c>
      <c r="E130" s="396"/>
      <c r="F130" s="503">
        <v>40</v>
      </c>
      <c r="G130" s="396">
        <f t="shared" si="10"/>
        <v>46.02</v>
      </c>
      <c r="H130" s="503"/>
      <c r="I130" s="396">
        <f t="shared" si="11"/>
        <v>0</v>
      </c>
      <c r="J130" s="503"/>
      <c r="K130" s="396">
        <f t="shared" si="7"/>
        <v>0</v>
      </c>
      <c r="L130" s="396"/>
      <c r="M130" s="396">
        <f t="shared" si="8"/>
        <v>0</v>
      </c>
      <c r="N130" s="396"/>
      <c r="O130" s="396">
        <f t="shared" si="9"/>
        <v>0</v>
      </c>
    </row>
    <row r="131">
      <c r="A131" s="519" t="s">
        <v>325</v>
      </c>
      <c r="B131" s="396" t="s">
        <v>193</v>
      </c>
      <c r="C131" s="501" t="s">
        <v>204</v>
      </c>
      <c r="D131" s="502">
        <v>4</v>
      </c>
      <c r="E131" s="396"/>
      <c r="F131" s="503">
        <v>40</v>
      </c>
      <c r="G131" s="396">
        <f t="shared" si="10"/>
        <v>46.02</v>
      </c>
      <c r="H131" s="503"/>
      <c r="I131" s="396">
        <f t="shared" si="11"/>
        <v>0</v>
      </c>
      <c r="J131" s="503"/>
      <c r="K131" s="396">
        <f t="shared" si="7"/>
        <v>0</v>
      </c>
      <c r="L131" s="396"/>
      <c r="M131" s="396">
        <f t="shared" si="8"/>
        <v>0</v>
      </c>
      <c r="N131" s="396"/>
      <c r="O131" s="396">
        <f t="shared" si="9"/>
        <v>0</v>
      </c>
    </row>
    <row r="132">
      <c r="A132" s="519" t="s">
        <v>330</v>
      </c>
      <c r="B132" s="396" t="s">
        <v>193</v>
      </c>
      <c r="C132" s="501" t="s">
        <v>204</v>
      </c>
      <c r="D132" s="502">
        <v>2</v>
      </c>
      <c r="E132" s="396"/>
      <c r="F132" s="503">
        <v>40</v>
      </c>
      <c r="G132" s="396">
        <f t="shared" si="10"/>
        <v>46.02</v>
      </c>
      <c r="H132" s="503"/>
      <c r="I132" s="396">
        <f t="shared" si="11"/>
        <v>0</v>
      </c>
      <c r="J132" s="503"/>
      <c r="K132" s="396">
        <f ref="K132:K195" t="shared" si="12">IF(J132&gt;0,ROUND(10*LOG10(J132)+30,2),0)</f>
        <v>0</v>
      </c>
      <c r="L132" s="396"/>
      <c r="M132" s="396">
        <f ref="M132:M195" t="shared" si="13">IF(L132&gt;0,ROUND(10*LOG10(L132)+30,2),0)</f>
        <v>0</v>
      </c>
      <c r="N132" s="396"/>
      <c r="O132" s="396">
        <f ref="O132:O195" t="shared" si="14">IF(N132&gt;0,ROUND(10*LOG10(N132)+30,2),0)</f>
        <v>0</v>
      </c>
    </row>
    <row r="133">
      <c r="A133" s="519" t="s">
        <v>330</v>
      </c>
      <c r="B133" s="396" t="s">
        <v>193</v>
      </c>
      <c r="C133" s="501" t="s">
        <v>204</v>
      </c>
      <c r="D133" s="502">
        <v>4</v>
      </c>
      <c r="E133" s="396"/>
      <c r="F133" s="503">
        <v>40</v>
      </c>
      <c r="G133" s="396">
        <f ref="G133:G196" t="shared" si="15">IF(F133&gt;0,ROUND(10*LOG10(F133)+30,2),0)</f>
        <v>46.02</v>
      </c>
      <c r="H133" s="503"/>
      <c r="I133" s="396">
        <f ref="I133:I196" t="shared" si="16">IF(H133&gt;0,ROUND(10*LOG10(H133)+30,2),0)</f>
        <v>0</v>
      </c>
      <c r="J133" s="503"/>
      <c r="K133" s="396">
        <f t="shared" si="12"/>
        <v>0</v>
      </c>
      <c r="L133" s="396"/>
      <c r="M133" s="396">
        <f t="shared" si="13"/>
        <v>0</v>
      </c>
      <c r="N133" s="396"/>
      <c r="O133" s="396">
        <f t="shared" si="14"/>
        <v>0</v>
      </c>
    </row>
    <row r="134">
      <c r="A134" s="519" t="s">
        <v>340</v>
      </c>
      <c r="B134" s="396" t="s">
        <v>193</v>
      </c>
      <c r="C134" s="501" t="s">
        <v>204</v>
      </c>
      <c r="D134" s="502">
        <v>2</v>
      </c>
      <c r="E134" s="396"/>
      <c r="F134" s="503"/>
      <c r="G134" s="396">
        <f t="shared" si="15"/>
        <v>0</v>
      </c>
      <c r="H134" s="503"/>
      <c r="I134" s="396">
        <f t="shared" si="16"/>
        <v>0</v>
      </c>
      <c r="J134" s="503">
        <v>41.7</v>
      </c>
      <c r="K134" s="396">
        <f t="shared" si="12"/>
        <v>46.2</v>
      </c>
      <c r="L134" s="396"/>
      <c r="M134" s="396">
        <f t="shared" si="13"/>
        <v>0</v>
      </c>
      <c r="N134" s="396"/>
      <c r="O134" s="396">
        <f t="shared" si="14"/>
        <v>0</v>
      </c>
    </row>
    <row r="135">
      <c r="A135" s="519" t="s">
        <v>340</v>
      </c>
      <c r="B135" s="396" t="s">
        <v>193</v>
      </c>
      <c r="C135" s="501" t="s">
        <v>204</v>
      </c>
      <c r="D135" s="502">
        <v>3</v>
      </c>
      <c r="E135" s="396"/>
      <c r="F135" s="503"/>
      <c r="G135" s="396">
        <f t="shared" si="15"/>
        <v>0</v>
      </c>
      <c r="H135" s="503"/>
      <c r="I135" s="396">
        <f t="shared" si="16"/>
        <v>0</v>
      </c>
      <c r="J135" s="503"/>
      <c r="K135" s="396">
        <f t="shared" si="12"/>
        <v>0</v>
      </c>
      <c r="L135" s="396"/>
      <c r="M135" s="396">
        <f t="shared" si="13"/>
        <v>0</v>
      </c>
      <c r="N135" s="396"/>
      <c r="O135" s="396">
        <f t="shared" si="14"/>
        <v>0</v>
      </c>
    </row>
    <row r="136">
      <c r="A136" s="519" t="s">
        <v>340</v>
      </c>
      <c r="B136" s="396" t="s">
        <v>193</v>
      </c>
      <c r="C136" s="501" t="s">
        <v>204</v>
      </c>
      <c r="D136" s="502">
        <v>4</v>
      </c>
      <c r="E136" s="396"/>
      <c r="F136" s="503"/>
      <c r="G136" s="396">
        <f t="shared" si="15"/>
        <v>0</v>
      </c>
      <c r="H136" s="503"/>
      <c r="I136" s="396">
        <f t="shared" si="16"/>
        <v>0</v>
      </c>
      <c r="J136" s="503">
        <v>37.24</v>
      </c>
      <c r="K136" s="396">
        <f t="shared" si="12"/>
        <v>45.71</v>
      </c>
      <c r="L136" s="396"/>
      <c r="M136" s="396">
        <f t="shared" si="13"/>
        <v>0</v>
      </c>
      <c r="N136" s="396"/>
      <c r="O136" s="396">
        <f t="shared" si="14"/>
        <v>0</v>
      </c>
    </row>
    <row r="137">
      <c r="A137" s="519" t="s">
        <v>346</v>
      </c>
      <c r="B137" s="396" t="s">
        <v>193</v>
      </c>
      <c r="C137" s="501" t="s">
        <v>204</v>
      </c>
      <c r="D137" s="502">
        <v>2</v>
      </c>
      <c r="E137" s="396"/>
      <c r="F137" s="503">
        <v>60</v>
      </c>
      <c r="G137" s="396">
        <f t="shared" si="15"/>
        <v>47.78</v>
      </c>
      <c r="H137" s="503"/>
      <c r="I137" s="396">
        <f t="shared" si="16"/>
        <v>0</v>
      </c>
      <c r="J137" s="503"/>
      <c r="K137" s="396">
        <f t="shared" si="12"/>
        <v>0</v>
      </c>
      <c r="L137" s="396"/>
      <c r="M137" s="396">
        <f t="shared" si="13"/>
        <v>0</v>
      </c>
      <c r="N137" s="396"/>
      <c r="O137" s="396">
        <f t="shared" si="14"/>
        <v>0</v>
      </c>
    </row>
    <row r="138">
      <c r="A138" s="519" t="s">
        <v>346</v>
      </c>
      <c r="B138" s="396" t="s">
        <v>193</v>
      </c>
      <c r="C138" s="501" t="s">
        <v>204</v>
      </c>
      <c r="D138" s="502">
        <v>4</v>
      </c>
      <c r="E138" s="396"/>
      <c r="F138" s="503">
        <v>60</v>
      </c>
      <c r="G138" s="396">
        <f t="shared" si="15"/>
        <v>47.78</v>
      </c>
      <c r="H138" s="503"/>
      <c r="I138" s="396">
        <f t="shared" si="16"/>
        <v>0</v>
      </c>
      <c r="J138" s="503"/>
      <c r="K138" s="396">
        <f t="shared" si="12"/>
        <v>0</v>
      </c>
      <c r="L138" s="396"/>
      <c r="M138" s="396">
        <f t="shared" si="13"/>
        <v>0</v>
      </c>
      <c r="N138" s="396"/>
      <c r="O138" s="396">
        <f t="shared" si="14"/>
        <v>0</v>
      </c>
    </row>
    <row r="139">
      <c r="A139" s="519" t="s">
        <v>346</v>
      </c>
      <c r="B139" s="396" t="s">
        <v>193</v>
      </c>
      <c r="C139" s="501" t="s">
        <v>204</v>
      </c>
      <c r="D139" s="502">
        <v>6</v>
      </c>
      <c r="E139" s="396"/>
      <c r="F139" s="503">
        <v>60</v>
      </c>
      <c r="G139" s="396">
        <f t="shared" si="15"/>
        <v>47.78</v>
      </c>
      <c r="H139" s="503"/>
      <c r="I139" s="396">
        <f t="shared" si="16"/>
        <v>0</v>
      </c>
      <c r="J139" s="503"/>
      <c r="K139" s="396">
        <f t="shared" si="12"/>
        <v>0</v>
      </c>
      <c r="L139" s="396"/>
      <c r="M139" s="396">
        <f t="shared" si="13"/>
        <v>0</v>
      </c>
      <c r="N139" s="396"/>
      <c r="O139" s="396">
        <f t="shared" si="14"/>
        <v>0</v>
      </c>
    </row>
    <row r="140">
      <c r="A140" s="519" t="s">
        <v>346</v>
      </c>
      <c r="B140" s="396" t="s">
        <v>193</v>
      </c>
      <c r="C140" s="501" t="s">
        <v>204</v>
      </c>
      <c r="D140" s="502">
        <v>8</v>
      </c>
      <c r="E140" s="396"/>
      <c r="F140" s="503"/>
      <c r="G140" s="396">
        <f t="shared" si="15"/>
        <v>0</v>
      </c>
      <c r="H140" s="503"/>
      <c r="I140" s="396">
        <f t="shared" si="16"/>
        <v>0</v>
      </c>
      <c r="J140" s="503"/>
      <c r="K140" s="396">
        <f t="shared" si="12"/>
        <v>0</v>
      </c>
      <c r="L140" s="396"/>
      <c r="M140" s="396">
        <f t="shared" si="13"/>
        <v>0</v>
      </c>
      <c r="N140" s="396"/>
      <c r="O140" s="396">
        <f t="shared" si="14"/>
        <v>0</v>
      </c>
    </row>
    <row r="141">
      <c r="A141" s="525" t="s">
        <v>382</v>
      </c>
      <c r="B141" s="396" t="s">
        <v>193</v>
      </c>
      <c r="C141" s="501" t="s">
        <v>204</v>
      </c>
      <c r="D141" s="526" t="s">
        <v>383</v>
      </c>
      <c r="E141" s="396"/>
      <c r="F141" s="503"/>
      <c r="G141" s="396">
        <f t="shared" si="15"/>
        <v>0</v>
      </c>
      <c r="H141" s="503"/>
      <c r="I141" s="396">
        <f t="shared" si="16"/>
        <v>0</v>
      </c>
      <c r="J141" s="503"/>
      <c r="K141" s="396">
        <f t="shared" si="12"/>
        <v>0</v>
      </c>
      <c r="L141" s="396"/>
      <c r="M141" s="396">
        <f t="shared" si="13"/>
        <v>0</v>
      </c>
      <c r="N141" s="396"/>
      <c r="O141" s="396">
        <f t="shared" si="14"/>
        <v>0</v>
      </c>
    </row>
    <row r="142">
      <c r="A142" s="525" t="s">
        <v>382</v>
      </c>
      <c r="B142" s="396" t="s">
        <v>193</v>
      </c>
      <c r="C142" s="501" t="s">
        <v>204</v>
      </c>
      <c r="D142" s="527">
        <v>4</v>
      </c>
      <c r="E142" s="396"/>
      <c r="F142" s="528"/>
      <c r="G142" s="396">
        <f t="shared" si="15"/>
        <v>0</v>
      </c>
      <c r="H142" s="528"/>
      <c r="I142" s="396">
        <f t="shared" si="16"/>
        <v>0</v>
      </c>
      <c r="J142" s="528"/>
      <c r="K142" s="396">
        <f t="shared" si="12"/>
        <v>0</v>
      </c>
      <c r="L142" s="396"/>
      <c r="M142" s="396">
        <f t="shared" si="13"/>
        <v>0</v>
      </c>
      <c r="N142" s="396"/>
      <c r="O142" s="396">
        <f t="shared" si="14"/>
        <v>0</v>
      </c>
    </row>
    <row r="143">
      <c r="A143" s="529" t="s">
        <v>276</v>
      </c>
      <c r="B143" s="396" t="s">
        <v>193</v>
      </c>
      <c r="C143" s="501" t="s">
        <v>204</v>
      </c>
      <c r="D143" s="515">
        <v>2</v>
      </c>
      <c r="E143" s="515"/>
      <c r="F143" s="515"/>
      <c r="G143" s="396">
        <f t="shared" si="15"/>
        <v>0</v>
      </c>
      <c r="H143" s="530"/>
      <c r="I143" s="396">
        <f t="shared" si="16"/>
        <v>0</v>
      </c>
      <c r="J143" s="472">
        <v>40</v>
      </c>
      <c r="K143" s="396">
        <f t="shared" si="12"/>
        <v>46.02</v>
      </c>
      <c r="L143" s="515"/>
      <c r="M143" s="396">
        <f t="shared" si="13"/>
        <v>0</v>
      </c>
      <c r="N143" s="515"/>
      <c r="O143" s="396">
        <f t="shared" si="14"/>
        <v>0</v>
      </c>
    </row>
    <row r="144">
      <c r="A144" s="529" t="s">
        <v>276</v>
      </c>
      <c r="B144" s="396" t="s">
        <v>193</v>
      </c>
      <c r="C144" s="501" t="s">
        <v>204</v>
      </c>
      <c r="D144" s="515">
        <v>4</v>
      </c>
      <c r="E144" s="515"/>
      <c r="F144" s="515"/>
      <c r="G144" s="396">
        <f t="shared" si="15"/>
        <v>0</v>
      </c>
      <c r="H144" s="530"/>
      <c r="I144" s="396">
        <f t="shared" si="16"/>
        <v>0</v>
      </c>
      <c r="J144" s="472">
        <v>80</v>
      </c>
      <c r="K144" s="396">
        <f t="shared" si="12"/>
        <v>49.03</v>
      </c>
      <c r="L144" s="515"/>
      <c r="M144" s="396">
        <f t="shared" si="13"/>
        <v>0</v>
      </c>
      <c r="N144" s="515"/>
      <c r="O144" s="396">
        <f t="shared" si="14"/>
        <v>0</v>
      </c>
    </row>
    <row r="145">
      <c r="A145" s="529"/>
      <c r="B145" s="531" t="s">
        <v>378</v>
      </c>
      <c r="C145" s="515"/>
      <c r="D145" s="515"/>
      <c r="E145" s="515"/>
      <c r="F145" s="515"/>
      <c r="G145" s="396">
        <f t="shared" si="15"/>
        <v>0</v>
      </c>
      <c r="H145" s="530"/>
      <c r="I145" s="396">
        <f t="shared" si="16"/>
        <v>0</v>
      </c>
      <c r="J145" s="530"/>
      <c r="K145" s="396">
        <f t="shared" si="12"/>
        <v>0</v>
      </c>
      <c r="L145" s="515"/>
      <c r="M145" s="396">
        <f t="shared" si="13"/>
        <v>0</v>
      </c>
      <c r="N145" s="515"/>
      <c r="O145" s="396">
        <f t="shared" si="14"/>
        <v>0</v>
      </c>
    </row>
    <row r="146">
      <c r="A146" s="529"/>
      <c r="B146" s="531" t="s">
        <v>378</v>
      </c>
      <c r="C146" s="515"/>
      <c r="D146" s="515"/>
      <c r="E146" s="515"/>
      <c r="F146" s="515"/>
      <c r="G146" s="396">
        <f t="shared" si="15"/>
        <v>0</v>
      </c>
      <c r="H146" s="530"/>
      <c r="I146" s="396">
        <f t="shared" si="16"/>
        <v>0</v>
      </c>
      <c r="J146" s="530"/>
      <c r="K146" s="396">
        <f t="shared" si="12"/>
        <v>0</v>
      </c>
      <c r="L146" s="515"/>
      <c r="M146" s="396">
        <f t="shared" si="13"/>
        <v>0</v>
      </c>
      <c r="N146" s="515"/>
      <c r="O146" s="396">
        <f t="shared" si="14"/>
        <v>0</v>
      </c>
    </row>
    <row r="147">
      <c r="A147" s="529"/>
      <c r="B147" s="531" t="s">
        <v>378</v>
      </c>
      <c r="C147" s="515"/>
      <c r="D147" s="515"/>
      <c r="E147" s="515"/>
      <c r="F147" s="515"/>
      <c r="G147" s="396">
        <f t="shared" si="15"/>
        <v>0</v>
      </c>
      <c r="H147" s="530"/>
      <c r="I147" s="396">
        <f t="shared" si="16"/>
        <v>0</v>
      </c>
      <c r="J147" s="530"/>
      <c r="K147" s="396">
        <f t="shared" si="12"/>
        <v>0</v>
      </c>
      <c r="L147" s="515"/>
      <c r="M147" s="396">
        <f t="shared" si="13"/>
        <v>0</v>
      </c>
      <c r="N147" s="515"/>
      <c r="O147" s="396">
        <f t="shared" si="14"/>
        <v>0</v>
      </c>
    </row>
    <row r="148">
      <c r="A148" s="529"/>
      <c r="B148" s="531" t="s">
        <v>378</v>
      </c>
      <c r="C148" s="515"/>
      <c r="D148" s="515"/>
      <c r="E148" s="515"/>
      <c r="F148" s="515"/>
      <c r="G148" s="396">
        <f t="shared" si="15"/>
        <v>0</v>
      </c>
      <c r="H148" s="530"/>
      <c r="I148" s="396">
        <f t="shared" si="16"/>
        <v>0</v>
      </c>
      <c r="J148" s="530"/>
      <c r="K148" s="396">
        <f t="shared" si="12"/>
        <v>0</v>
      </c>
      <c r="L148" s="515"/>
      <c r="M148" s="396">
        <f t="shared" si="13"/>
        <v>0</v>
      </c>
      <c r="N148" s="515"/>
      <c r="O148" s="396">
        <f t="shared" si="14"/>
        <v>0</v>
      </c>
    </row>
    <row r="149">
      <c r="A149" s="529"/>
      <c r="B149" s="531" t="s">
        <v>378</v>
      </c>
      <c r="C149" s="515"/>
      <c r="D149" s="515"/>
      <c r="E149" s="515"/>
      <c r="F149" s="515"/>
      <c r="G149" s="396">
        <f t="shared" si="15"/>
        <v>0</v>
      </c>
      <c r="H149" s="530"/>
      <c r="I149" s="396">
        <f t="shared" si="16"/>
        <v>0</v>
      </c>
      <c r="J149" s="530"/>
      <c r="K149" s="396">
        <f t="shared" si="12"/>
        <v>0</v>
      </c>
      <c r="L149" s="515"/>
      <c r="M149" s="396">
        <f t="shared" si="13"/>
        <v>0</v>
      </c>
      <c r="N149" s="515"/>
      <c r="O149" s="396">
        <f t="shared" si="14"/>
        <v>0</v>
      </c>
    </row>
    <row r="150">
      <c r="A150" s="529"/>
      <c r="B150" s="531" t="s">
        <v>378</v>
      </c>
      <c r="C150" s="515"/>
      <c r="D150" s="515"/>
      <c r="E150" s="515"/>
      <c r="F150" s="515"/>
      <c r="G150" s="396">
        <f t="shared" si="15"/>
        <v>0</v>
      </c>
      <c r="H150" s="530"/>
      <c r="I150" s="396">
        <f t="shared" si="16"/>
        <v>0</v>
      </c>
      <c r="J150" s="530"/>
      <c r="K150" s="396">
        <f t="shared" si="12"/>
        <v>0</v>
      </c>
      <c r="L150" s="515"/>
      <c r="M150" s="396">
        <f t="shared" si="13"/>
        <v>0</v>
      </c>
      <c r="N150" s="515"/>
      <c r="O150" s="396">
        <f t="shared" si="14"/>
        <v>0</v>
      </c>
    </row>
    <row r="151">
      <c r="A151" s="529"/>
      <c r="B151" s="531" t="s">
        <v>378</v>
      </c>
      <c r="C151" s="515"/>
      <c r="D151" s="515"/>
      <c r="E151" s="515"/>
      <c r="F151" s="515"/>
      <c r="G151" s="396">
        <f t="shared" si="15"/>
        <v>0</v>
      </c>
      <c r="H151" s="530"/>
      <c r="I151" s="396">
        <f t="shared" si="16"/>
        <v>0</v>
      </c>
      <c r="J151" s="530"/>
      <c r="K151" s="396">
        <f t="shared" si="12"/>
        <v>0</v>
      </c>
      <c r="L151" s="515"/>
      <c r="M151" s="396">
        <f t="shared" si="13"/>
        <v>0</v>
      </c>
      <c r="N151" s="515"/>
      <c r="O151" s="396">
        <f t="shared" si="14"/>
        <v>0</v>
      </c>
    </row>
    <row r="152">
      <c r="A152" s="529"/>
      <c r="B152" s="531" t="s">
        <v>378</v>
      </c>
      <c r="C152" s="515"/>
      <c r="D152" s="515"/>
      <c r="E152" s="515"/>
      <c r="F152" s="515"/>
      <c r="G152" s="396">
        <f t="shared" si="15"/>
        <v>0</v>
      </c>
      <c r="H152" s="530"/>
      <c r="I152" s="396">
        <f t="shared" si="16"/>
        <v>0</v>
      </c>
      <c r="J152" s="530"/>
      <c r="K152" s="396">
        <f t="shared" si="12"/>
        <v>0</v>
      </c>
      <c r="L152" s="515"/>
      <c r="M152" s="396">
        <f t="shared" si="13"/>
        <v>0</v>
      </c>
      <c r="N152" s="515"/>
      <c r="O152" s="396">
        <f t="shared" si="14"/>
        <v>0</v>
      </c>
    </row>
    <row r="153">
      <c r="A153" s="529"/>
      <c r="B153" s="531" t="s">
        <v>378</v>
      </c>
      <c r="C153" s="515"/>
      <c r="D153" s="515"/>
      <c r="E153" s="515"/>
      <c r="F153" s="515"/>
      <c r="G153" s="396">
        <f t="shared" si="15"/>
        <v>0</v>
      </c>
      <c r="H153" s="530"/>
      <c r="I153" s="396">
        <f t="shared" si="16"/>
        <v>0</v>
      </c>
      <c r="J153" s="530"/>
      <c r="K153" s="396">
        <f t="shared" si="12"/>
        <v>0</v>
      </c>
      <c r="L153" s="515"/>
      <c r="M153" s="396">
        <f t="shared" si="13"/>
        <v>0</v>
      </c>
      <c r="N153" s="515"/>
      <c r="O153" s="396">
        <f t="shared" si="14"/>
        <v>0</v>
      </c>
    </row>
    <row r="154">
      <c r="A154" s="529"/>
      <c r="B154" s="531" t="s">
        <v>378</v>
      </c>
      <c r="C154" s="515"/>
      <c r="D154" s="515"/>
      <c r="E154" s="515"/>
      <c r="F154" s="515"/>
      <c r="G154" s="396">
        <f t="shared" si="15"/>
        <v>0</v>
      </c>
      <c r="H154" s="530"/>
      <c r="I154" s="396">
        <f t="shared" si="16"/>
        <v>0</v>
      </c>
      <c r="J154" s="530"/>
      <c r="K154" s="396">
        <f t="shared" si="12"/>
        <v>0</v>
      </c>
      <c r="L154" s="515"/>
      <c r="M154" s="396">
        <f t="shared" si="13"/>
        <v>0</v>
      </c>
      <c r="N154" s="515"/>
      <c r="O154" s="396">
        <f t="shared" si="14"/>
        <v>0</v>
      </c>
    </row>
    <row r="155">
      <c r="A155" s="529"/>
      <c r="B155" s="531" t="s">
        <v>378</v>
      </c>
      <c r="C155" s="515"/>
      <c r="D155" s="515"/>
      <c r="E155" s="515"/>
      <c r="F155" s="515"/>
      <c r="G155" s="396">
        <f t="shared" si="15"/>
        <v>0</v>
      </c>
      <c r="H155" s="530"/>
      <c r="I155" s="396">
        <f t="shared" si="16"/>
        <v>0</v>
      </c>
      <c r="J155" s="530"/>
      <c r="K155" s="396">
        <f t="shared" si="12"/>
        <v>0</v>
      </c>
      <c r="L155" s="515"/>
      <c r="M155" s="396">
        <f t="shared" si="13"/>
        <v>0</v>
      </c>
      <c r="N155" s="515"/>
      <c r="O155" s="396">
        <f t="shared" si="14"/>
        <v>0</v>
      </c>
    </row>
    <row r="156">
      <c r="A156" s="529"/>
      <c r="B156" s="531" t="s">
        <v>378</v>
      </c>
      <c r="C156" s="515"/>
      <c r="D156" s="515"/>
      <c r="E156" s="515"/>
      <c r="F156" s="515"/>
      <c r="G156" s="396">
        <f t="shared" si="15"/>
        <v>0</v>
      </c>
      <c r="H156" s="530"/>
      <c r="I156" s="396">
        <f t="shared" si="16"/>
        <v>0</v>
      </c>
      <c r="J156" s="530"/>
      <c r="K156" s="396">
        <f t="shared" si="12"/>
        <v>0</v>
      </c>
      <c r="L156" s="515"/>
      <c r="M156" s="396">
        <f t="shared" si="13"/>
        <v>0</v>
      </c>
      <c r="N156" s="515"/>
      <c r="O156" s="396">
        <f t="shared" si="14"/>
        <v>0</v>
      </c>
    </row>
    <row r="157">
      <c r="A157" s="529"/>
      <c r="B157" s="531" t="s">
        <v>378</v>
      </c>
      <c r="C157" s="515"/>
      <c r="D157" s="515"/>
      <c r="E157" s="515"/>
      <c r="F157" s="515"/>
      <c r="G157" s="396">
        <f t="shared" si="15"/>
        <v>0</v>
      </c>
      <c r="H157" s="530"/>
      <c r="I157" s="396">
        <f t="shared" si="16"/>
        <v>0</v>
      </c>
      <c r="J157" s="530"/>
      <c r="K157" s="396">
        <f t="shared" si="12"/>
        <v>0</v>
      </c>
      <c r="L157" s="515"/>
      <c r="M157" s="396">
        <f t="shared" si="13"/>
        <v>0</v>
      </c>
      <c r="N157" s="515"/>
      <c r="O157" s="396">
        <f t="shared" si="14"/>
        <v>0</v>
      </c>
    </row>
    <row r="158">
      <c r="A158" s="529"/>
      <c r="B158" s="531" t="s">
        <v>378</v>
      </c>
      <c r="C158" s="515"/>
      <c r="D158" s="515"/>
      <c r="E158" s="515"/>
      <c r="F158" s="515"/>
      <c r="G158" s="396">
        <f t="shared" si="15"/>
        <v>0</v>
      </c>
      <c r="H158" s="530"/>
      <c r="I158" s="396">
        <f t="shared" si="16"/>
        <v>0</v>
      </c>
      <c r="J158" s="530"/>
      <c r="K158" s="396">
        <f t="shared" si="12"/>
        <v>0</v>
      </c>
      <c r="L158" s="515"/>
      <c r="M158" s="396">
        <f t="shared" si="13"/>
        <v>0</v>
      </c>
      <c r="N158" s="515"/>
      <c r="O158" s="396">
        <f t="shared" si="14"/>
        <v>0</v>
      </c>
    </row>
    <row r="159">
      <c r="A159" s="529"/>
      <c r="B159" s="531" t="s">
        <v>378</v>
      </c>
      <c r="C159" s="515"/>
      <c r="D159" s="515"/>
      <c r="E159" s="515"/>
      <c r="F159" s="515"/>
      <c r="G159" s="396">
        <f t="shared" si="15"/>
        <v>0</v>
      </c>
      <c r="H159" s="530"/>
      <c r="I159" s="396">
        <f t="shared" si="16"/>
        <v>0</v>
      </c>
      <c r="J159" s="530"/>
      <c r="K159" s="396">
        <f t="shared" si="12"/>
        <v>0</v>
      </c>
      <c r="L159" s="515"/>
      <c r="M159" s="396">
        <f t="shared" si="13"/>
        <v>0</v>
      </c>
      <c r="N159" s="515"/>
      <c r="O159" s="396">
        <f t="shared" si="14"/>
        <v>0</v>
      </c>
    </row>
    <row r="160">
      <c r="A160" s="529"/>
      <c r="B160" s="531" t="s">
        <v>378</v>
      </c>
      <c r="C160" s="515"/>
      <c r="D160" s="515"/>
      <c r="E160" s="515"/>
      <c r="F160" s="515"/>
      <c r="G160" s="396">
        <f t="shared" si="15"/>
        <v>0</v>
      </c>
      <c r="H160" s="530"/>
      <c r="I160" s="396">
        <f t="shared" si="16"/>
        <v>0</v>
      </c>
      <c r="J160" s="530"/>
      <c r="K160" s="396">
        <f t="shared" si="12"/>
        <v>0</v>
      </c>
      <c r="L160" s="515"/>
      <c r="M160" s="396">
        <f t="shared" si="13"/>
        <v>0</v>
      </c>
      <c r="N160" s="515"/>
      <c r="O160" s="396">
        <f t="shared" si="14"/>
        <v>0</v>
      </c>
    </row>
    <row r="161">
      <c r="A161" s="529"/>
      <c r="B161" s="531" t="s">
        <v>378</v>
      </c>
      <c r="C161" s="515"/>
      <c r="D161" s="515"/>
      <c r="E161" s="515"/>
      <c r="F161" s="515"/>
      <c r="G161" s="396">
        <f t="shared" si="15"/>
        <v>0</v>
      </c>
      <c r="H161" s="530"/>
      <c r="I161" s="396">
        <f t="shared" si="16"/>
        <v>0</v>
      </c>
      <c r="J161" s="530"/>
      <c r="K161" s="396">
        <f t="shared" si="12"/>
        <v>0</v>
      </c>
      <c r="L161" s="515"/>
      <c r="M161" s="396">
        <f t="shared" si="13"/>
        <v>0</v>
      </c>
      <c r="N161" s="515"/>
      <c r="O161" s="396">
        <f t="shared" si="14"/>
        <v>0</v>
      </c>
    </row>
    <row r="162">
      <c r="A162" s="529"/>
      <c r="B162" s="531" t="s">
        <v>378</v>
      </c>
      <c r="C162" s="515"/>
      <c r="D162" s="515"/>
      <c r="E162" s="515"/>
      <c r="F162" s="515"/>
      <c r="G162" s="396">
        <f t="shared" si="15"/>
        <v>0</v>
      </c>
      <c r="H162" s="530"/>
      <c r="I162" s="396">
        <f t="shared" si="16"/>
        <v>0</v>
      </c>
      <c r="J162" s="530"/>
      <c r="K162" s="396">
        <f t="shared" si="12"/>
        <v>0</v>
      </c>
      <c r="L162" s="515"/>
      <c r="M162" s="396">
        <f t="shared" si="13"/>
        <v>0</v>
      </c>
      <c r="N162" s="515"/>
      <c r="O162" s="396">
        <f t="shared" si="14"/>
        <v>0</v>
      </c>
    </row>
    <row r="163">
      <c r="A163" s="529"/>
      <c r="B163" s="531" t="s">
        <v>378</v>
      </c>
      <c r="C163" s="515"/>
      <c r="D163" s="515"/>
      <c r="E163" s="515"/>
      <c r="F163" s="515"/>
      <c r="G163" s="396">
        <f t="shared" si="15"/>
        <v>0</v>
      </c>
      <c r="H163" s="530"/>
      <c r="I163" s="396">
        <f t="shared" si="16"/>
        <v>0</v>
      </c>
      <c r="J163" s="530"/>
      <c r="K163" s="396">
        <f t="shared" si="12"/>
        <v>0</v>
      </c>
      <c r="L163" s="515"/>
      <c r="M163" s="396">
        <f t="shared" si="13"/>
        <v>0</v>
      </c>
      <c r="N163" s="515"/>
      <c r="O163" s="396">
        <f t="shared" si="14"/>
        <v>0</v>
      </c>
    </row>
    <row r="164">
      <c r="A164" s="529"/>
      <c r="B164" s="531" t="s">
        <v>378</v>
      </c>
      <c r="C164" s="515"/>
      <c r="D164" s="515"/>
      <c r="E164" s="515"/>
      <c r="F164" s="515"/>
      <c r="G164" s="396">
        <f t="shared" si="15"/>
        <v>0</v>
      </c>
      <c r="H164" s="530"/>
      <c r="I164" s="396">
        <f t="shared" si="16"/>
        <v>0</v>
      </c>
      <c r="J164" s="530"/>
      <c r="K164" s="396">
        <f t="shared" si="12"/>
        <v>0</v>
      </c>
      <c r="L164" s="515"/>
      <c r="M164" s="396">
        <f t="shared" si="13"/>
        <v>0</v>
      </c>
      <c r="N164" s="515"/>
      <c r="O164" s="396">
        <f t="shared" si="14"/>
        <v>0</v>
      </c>
    </row>
    <row r="165">
      <c r="A165" s="529"/>
      <c r="B165" s="531" t="s">
        <v>378</v>
      </c>
      <c r="C165" s="515"/>
      <c r="D165" s="515"/>
      <c r="E165" s="515"/>
      <c r="F165" s="515"/>
      <c r="G165" s="396">
        <f t="shared" si="15"/>
        <v>0</v>
      </c>
      <c r="H165" s="530"/>
      <c r="I165" s="396">
        <f t="shared" si="16"/>
        <v>0</v>
      </c>
      <c r="J165" s="530"/>
      <c r="K165" s="396">
        <f t="shared" si="12"/>
        <v>0</v>
      </c>
      <c r="L165" s="515"/>
      <c r="M165" s="396">
        <f t="shared" si="13"/>
        <v>0</v>
      </c>
      <c r="N165" s="515"/>
      <c r="O165" s="396">
        <f t="shared" si="14"/>
        <v>0</v>
      </c>
    </row>
    <row r="166">
      <c r="A166" s="529"/>
      <c r="B166" s="531" t="s">
        <v>378</v>
      </c>
      <c r="C166" s="515"/>
      <c r="D166" s="515"/>
      <c r="E166" s="515"/>
      <c r="F166" s="515"/>
      <c r="G166" s="396">
        <f t="shared" si="15"/>
        <v>0</v>
      </c>
      <c r="H166" s="530"/>
      <c r="I166" s="396">
        <f t="shared" si="16"/>
        <v>0</v>
      </c>
      <c r="J166" s="530"/>
      <c r="K166" s="396">
        <f t="shared" si="12"/>
        <v>0</v>
      </c>
      <c r="L166" s="515"/>
      <c r="M166" s="396">
        <f t="shared" si="13"/>
        <v>0</v>
      </c>
      <c r="N166" s="515"/>
      <c r="O166" s="396">
        <f t="shared" si="14"/>
        <v>0</v>
      </c>
    </row>
    <row r="167">
      <c r="A167" s="529"/>
      <c r="B167" s="531" t="s">
        <v>378</v>
      </c>
      <c r="C167" s="515"/>
      <c r="D167" s="515"/>
      <c r="E167" s="515"/>
      <c r="F167" s="515"/>
      <c r="G167" s="396">
        <f t="shared" si="15"/>
        <v>0</v>
      </c>
      <c r="H167" s="530"/>
      <c r="I167" s="396">
        <f t="shared" si="16"/>
        <v>0</v>
      </c>
      <c r="J167" s="530"/>
      <c r="K167" s="396">
        <f t="shared" si="12"/>
        <v>0</v>
      </c>
      <c r="L167" s="515"/>
      <c r="M167" s="396">
        <f t="shared" si="13"/>
        <v>0</v>
      </c>
      <c r="N167" s="515"/>
      <c r="O167" s="396">
        <f t="shared" si="14"/>
        <v>0</v>
      </c>
    </row>
    <row r="168">
      <c r="A168" s="529"/>
      <c r="B168" s="531" t="s">
        <v>378</v>
      </c>
      <c r="C168" s="515"/>
      <c r="D168" s="515"/>
      <c r="E168" s="515"/>
      <c r="F168" s="515"/>
      <c r="G168" s="396">
        <f t="shared" si="15"/>
        <v>0</v>
      </c>
      <c r="H168" s="530"/>
      <c r="I168" s="396">
        <f t="shared" si="16"/>
        <v>0</v>
      </c>
      <c r="J168" s="530"/>
      <c r="K168" s="396">
        <f t="shared" si="12"/>
        <v>0</v>
      </c>
      <c r="L168" s="515"/>
      <c r="M168" s="396">
        <f t="shared" si="13"/>
        <v>0</v>
      </c>
      <c r="N168" s="515"/>
      <c r="O168" s="396">
        <f t="shared" si="14"/>
        <v>0</v>
      </c>
    </row>
    <row r="169">
      <c r="A169" s="529"/>
      <c r="B169" s="531" t="s">
        <v>378</v>
      </c>
      <c r="C169" s="515"/>
      <c r="D169" s="515"/>
      <c r="E169" s="515"/>
      <c r="F169" s="515"/>
      <c r="G169" s="396">
        <f t="shared" si="15"/>
        <v>0</v>
      </c>
      <c r="H169" s="530"/>
      <c r="I169" s="396">
        <f t="shared" si="16"/>
        <v>0</v>
      </c>
      <c r="J169" s="530"/>
      <c r="K169" s="396">
        <f t="shared" si="12"/>
        <v>0</v>
      </c>
      <c r="L169" s="515"/>
      <c r="M169" s="396">
        <f t="shared" si="13"/>
        <v>0</v>
      </c>
      <c r="N169" s="515"/>
      <c r="O169" s="396">
        <f t="shared" si="14"/>
        <v>0</v>
      </c>
    </row>
    <row r="170">
      <c r="A170" s="532" t="s">
        <v>384</v>
      </c>
      <c r="B170" s="533" t="s">
        <v>193</v>
      </c>
      <c r="C170" s="534" t="s">
        <v>205</v>
      </c>
      <c r="D170" s="535" t="s">
        <v>385</v>
      </c>
      <c r="E170" s="533"/>
      <c r="F170" s="536"/>
      <c r="G170" s="533">
        <f t="shared" si="15"/>
        <v>0</v>
      </c>
      <c r="H170" s="536"/>
      <c r="I170" s="533">
        <f t="shared" si="16"/>
        <v>0</v>
      </c>
      <c r="J170" s="536"/>
      <c r="K170" s="533">
        <f t="shared" si="12"/>
        <v>0</v>
      </c>
      <c r="L170" s="533"/>
      <c r="M170" s="533">
        <f t="shared" si="13"/>
        <v>0</v>
      </c>
      <c r="N170" s="533"/>
      <c r="O170" s="533">
        <f t="shared" si="14"/>
        <v>0</v>
      </c>
    </row>
    <row r="171">
      <c r="A171" s="532" t="s">
        <v>384</v>
      </c>
      <c r="B171" s="533" t="s">
        <v>193</v>
      </c>
      <c r="C171" s="534" t="s">
        <v>205</v>
      </c>
      <c r="D171" s="537">
        <v>1</v>
      </c>
      <c r="E171" s="533"/>
      <c r="F171" s="536"/>
      <c r="G171" s="533">
        <f t="shared" si="15"/>
        <v>0</v>
      </c>
      <c r="H171" s="536"/>
      <c r="I171" s="533">
        <f t="shared" si="16"/>
        <v>0</v>
      </c>
      <c r="J171" s="536"/>
      <c r="K171" s="533">
        <f t="shared" si="12"/>
        <v>0</v>
      </c>
      <c r="L171" s="533"/>
      <c r="M171" s="533">
        <f t="shared" si="13"/>
        <v>0</v>
      </c>
      <c r="N171" s="533"/>
      <c r="O171" s="533">
        <f t="shared" si="14"/>
        <v>0</v>
      </c>
    </row>
    <row r="172">
      <c r="A172" s="538" t="s">
        <v>257</v>
      </c>
      <c r="B172" s="533" t="s">
        <v>193</v>
      </c>
      <c r="C172" s="534" t="s">
        <v>205</v>
      </c>
      <c r="D172" s="539">
        <v>1</v>
      </c>
      <c r="E172" s="533"/>
      <c r="F172" s="540">
        <v>20</v>
      </c>
      <c r="G172" s="533">
        <f t="shared" si="15"/>
        <v>43.01</v>
      </c>
      <c r="H172" s="483"/>
      <c r="I172" s="533">
        <f t="shared" si="16"/>
        <v>0</v>
      </c>
      <c r="J172" s="540"/>
      <c r="K172" s="533">
        <f t="shared" si="12"/>
        <v>0</v>
      </c>
      <c r="L172" s="533"/>
      <c r="M172" s="533">
        <f t="shared" si="13"/>
        <v>0</v>
      </c>
      <c r="N172" s="533"/>
      <c r="O172" s="533">
        <f t="shared" si="14"/>
        <v>0</v>
      </c>
    </row>
    <row r="173">
      <c r="A173" s="541" t="s">
        <v>257</v>
      </c>
      <c r="B173" s="533" t="s">
        <v>193</v>
      </c>
      <c r="C173" s="534" t="s">
        <v>205</v>
      </c>
      <c r="D173" s="537">
        <v>2</v>
      </c>
      <c r="E173" s="533"/>
      <c r="F173" s="536">
        <v>40</v>
      </c>
      <c r="G173" s="533">
        <f t="shared" si="15"/>
        <v>46.02</v>
      </c>
      <c r="H173" s="542">
        <v>40</v>
      </c>
      <c r="I173" s="533">
        <f t="shared" si="16"/>
        <v>46.02</v>
      </c>
      <c r="J173" s="536"/>
      <c r="K173" s="533">
        <f t="shared" si="12"/>
        <v>0</v>
      </c>
      <c r="L173" s="533"/>
      <c r="M173" s="533">
        <f t="shared" si="13"/>
        <v>0</v>
      </c>
      <c r="N173" s="533"/>
      <c r="O173" s="533">
        <f t="shared" si="14"/>
        <v>0</v>
      </c>
    </row>
    <row r="174">
      <c r="A174" s="541" t="s">
        <v>257</v>
      </c>
      <c r="B174" s="533" t="s">
        <v>193</v>
      </c>
      <c r="C174" s="534" t="s">
        <v>205</v>
      </c>
      <c r="D174" s="537">
        <v>3</v>
      </c>
      <c r="E174" s="533"/>
      <c r="F174" s="536">
        <v>60</v>
      </c>
      <c r="G174" s="533">
        <f t="shared" si="15"/>
        <v>47.78</v>
      </c>
      <c r="H174" s="542"/>
      <c r="I174" s="533">
        <f t="shared" si="16"/>
        <v>0</v>
      </c>
      <c r="J174" s="536"/>
      <c r="K174" s="533">
        <f t="shared" si="12"/>
        <v>0</v>
      </c>
      <c r="L174" s="533"/>
      <c r="M174" s="533">
        <f t="shared" si="13"/>
        <v>0</v>
      </c>
      <c r="N174" s="533"/>
      <c r="O174" s="533">
        <f t="shared" si="14"/>
        <v>0</v>
      </c>
    </row>
    <row r="175">
      <c r="A175" s="541" t="s">
        <v>262</v>
      </c>
      <c r="B175" s="533" t="s">
        <v>193</v>
      </c>
      <c r="C175" s="534" t="s">
        <v>205</v>
      </c>
      <c r="D175" s="537">
        <v>1</v>
      </c>
      <c r="E175" s="533"/>
      <c r="F175" s="536">
        <v>20</v>
      </c>
      <c r="G175" s="533">
        <f t="shared" si="15"/>
        <v>43.01</v>
      </c>
      <c r="H175" s="542"/>
      <c r="I175" s="533">
        <f t="shared" si="16"/>
        <v>0</v>
      </c>
      <c r="J175" s="536"/>
      <c r="K175" s="533">
        <f t="shared" si="12"/>
        <v>0</v>
      </c>
      <c r="L175" s="533"/>
      <c r="M175" s="533">
        <f t="shared" si="13"/>
        <v>0</v>
      </c>
      <c r="N175" s="533"/>
      <c r="O175" s="533">
        <f t="shared" si="14"/>
        <v>0</v>
      </c>
    </row>
    <row r="176">
      <c r="A176" s="541" t="s">
        <v>262</v>
      </c>
      <c r="B176" s="533" t="s">
        <v>193</v>
      </c>
      <c r="C176" s="534" t="s">
        <v>205</v>
      </c>
      <c r="D176" s="537">
        <v>2</v>
      </c>
      <c r="E176" s="533"/>
      <c r="F176" s="536">
        <v>40</v>
      </c>
      <c r="G176" s="533">
        <f t="shared" si="15"/>
        <v>46.02</v>
      </c>
      <c r="H176" s="542">
        <v>40</v>
      </c>
      <c r="I176" s="533">
        <f t="shared" si="16"/>
        <v>46.02</v>
      </c>
      <c r="J176" s="536"/>
      <c r="K176" s="533">
        <f t="shared" si="12"/>
        <v>0</v>
      </c>
      <c r="L176" s="533"/>
      <c r="M176" s="533">
        <f t="shared" si="13"/>
        <v>0</v>
      </c>
      <c r="N176" s="533"/>
      <c r="O176" s="533">
        <f t="shared" si="14"/>
        <v>0</v>
      </c>
    </row>
    <row r="177">
      <c r="A177" s="541" t="s">
        <v>321</v>
      </c>
      <c r="B177" s="533" t="s">
        <v>193</v>
      </c>
      <c r="C177" s="534" t="s">
        <v>205</v>
      </c>
      <c r="D177" s="537">
        <v>1</v>
      </c>
      <c r="E177" s="533"/>
      <c r="F177" s="536">
        <v>20</v>
      </c>
      <c r="G177" s="533">
        <f t="shared" si="15"/>
        <v>43.01</v>
      </c>
      <c r="H177" s="536"/>
      <c r="I177" s="533">
        <f t="shared" si="16"/>
        <v>0</v>
      </c>
      <c r="J177" s="536"/>
      <c r="K177" s="533">
        <f t="shared" si="12"/>
        <v>0</v>
      </c>
      <c r="L177" s="425">
        <v>40</v>
      </c>
      <c r="M177" s="533">
        <f t="shared" si="13"/>
        <v>46.02</v>
      </c>
      <c r="N177" s="533"/>
      <c r="O177" s="533">
        <f t="shared" si="14"/>
        <v>0</v>
      </c>
    </row>
    <row r="178">
      <c r="A178" s="541" t="s">
        <v>321</v>
      </c>
      <c r="B178" s="533" t="s">
        <v>193</v>
      </c>
      <c r="C178" s="534" t="s">
        <v>205</v>
      </c>
      <c r="D178" s="537">
        <v>2</v>
      </c>
      <c r="E178" s="533"/>
      <c r="F178" s="536">
        <v>40</v>
      </c>
      <c r="G178" s="533">
        <f t="shared" si="15"/>
        <v>46.02</v>
      </c>
      <c r="H178" s="536"/>
      <c r="I178" s="533">
        <f t="shared" si="16"/>
        <v>0</v>
      </c>
      <c r="J178" s="536"/>
      <c r="K178" s="533">
        <f t="shared" si="12"/>
        <v>0</v>
      </c>
      <c r="L178" s="425">
        <v>80</v>
      </c>
      <c r="M178" s="533">
        <f t="shared" si="13"/>
        <v>49.03</v>
      </c>
      <c r="N178" s="533"/>
      <c r="O178" s="533">
        <f t="shared" si="14"/>
        <v>0</v>
      </c>
    </row>
    <row r="179">
      <c r="A179" s="541" t="s">
        <v>386</v>
      </c>
      <c r="B179" s="533" t="s">
        <v>193</v>
      </c>
      <c r="C179" s="534" t="s">
        <v>205</v>
      </c>
      <c r="D179" s="537">
        <v>3</v>
      </c>
      <c r="E179" s="533"/>
      <c r="F179" s="536">
        <v>60</v>
      </c>
      <c r="G179" s="533">
        <f t="shared" si="15"/>
        <v>47.78</v>
      </c>
      <c r="H179" s="536"/>
      <c r="I179" s="533">
        <f t="shared" si="16"/>
        <v>0</v>
      </c>
      <c r="J179" s="536"/>
      <c r="K179" s="533">
        <f t="shared" si="12"/>
        <v>0</v>
      </c>
      <c r="L179" s="533"/>
      <c r="M179" s="533">
        <f t="shared" si="13"/>
        <v>0</v>
      </c>
      <c r="N179" s="533"/>
      <c r="O179" s="533">
        <f t="shared" si="14"/>
        <v>0</v>
      </c>
    </row>
    <row r="180">
      <c r="A180" s="541" t="s">
        <v>271</v>
      </c>
      <c r="B180" s="533" t="s">
        <v>193</v>
      </c>
      <c r="C180" s="534" t="s">
        <v>205</v>
      </c>
      <c r="D180" s="537">
        <v>1</v>
      </c>
      <c r="E180" s="533"/>
      <c r="F180" s="536">
        <v>20</v>
      </c>
      <c r="G180" s="533">
        <f t="shared" si="15"/>
        <v>43.01</v>
      </c>
      <c r="H180" s="542">
        <v>30</v>
      </c>
      <c r="I180" s="533">
        <f t="shared" si="16"/>
        <v>44.77</v>
      </c>
      <c r="J180" s="536"/>
      <c r="K180" s="533">
        <f t="shared" si="12"/>
        <v>0</v>
      </c>
      <c r="L180" s="533"/>
      <c r="M180" s="533">
        <f t="shared" si="13"/>
        <v>0</v>
      </c>
      <c r="N180" s="533"/>
      <c r="O180" s="533">
        <f t="shared" si="14"/>
        <v>0</v>
      </c>
    </row>
    <row r="181">
      <c r="A181" s="538" t="s">
        <v>271</v>
      </c>
      <c r="B181" s="533" t="s">
        <v>193</v>
      </c>
      <c r="C181" s="534" t="s">
        <v>205</v>
      </c>
      <c r="D181" s="537">
        <v>2</v>
      </c>
      <c r="E181" s="533"/>
      <c r="F181" s="536">
        <v>40</v>
      </c>
      <c r="G181" s="533">
        <f t="shared" si="15"/>
        <v>46.02</v>
      </c>
      <c r="H181" s="542">
        <v>60</v>
      </c>
      <c r="I181" s="533">
        <f t="shared" si="16"/>
        <v>47.78</v>
      </c>
      <c r="J181" s="536"/>
      <c r="K181" s="533">
        <f t="shared" si="12"/>
        <v>0</v>
      </c>
      <c r="L181" s="533"/>
      <c r="M181" s="533">
        <f t="shared" si="13"/>
        <v>0</v>
      </c>
      <c r="N181" s="533"/>
      <c r="O181" s="533">
        <f t="shared" si="14"/>
        <v>0</v>
      </c>
    </row>
    <row r="182">
      <c r="A182" s="538" t="s">
        <v>271</v>
      </c>
      <c r="B182" s="533" t="s">
        <v>193</v>
      </c>
      <c r="C182" s="534" t="s">
        <v>205</v>
      </c>
      <c r="D182" s="537">
        <v>3</v>
      </c>
      <c r="E182" s="533"/>
      <c r="F182" s="536">
        <v>60</v>
      </c>
      <c r="G182" s="533">
        <f t="shared" si="15"/>
        <v>47.78</v>
      </c>
      <c r="H182" s="543"/>
      <c r="I182" s="533">
        <f t="shared" si="16"/>
        <v>0</v>
      </c>
      <c r="J182" s="544"/>
      <c r="K182" s="533">
        <f t="shared" si="12"/>
        <v>0</v>
      </c>
      <c r="L182" s="541"/>
      <c r="M182" s="533">
        <f t="shared" si="13"/>
        <v>0</v>
      </c>
      <c r="N182" s="541"/>
      <c r="O182" s="533">
        <f t="shared" si="14"/>
        <v>0</v>
      </c>
    </row>
    <row r="183">
      <c r="A183" s="545" t="s">
        <v>276</v>
      </c>
      <c r="B183" s="533" t="s">
        <v>193</v>
      </c>
      <c r="C183" s="534" t="s">
        <v>205</v>
      </c>
      <c r="D183" s="537">
        <v>1</v>
      </c>
      <c r="E183" s="533"/>
      <c r="F183" s="543">
        <v>20</v>
      </c>
      <c r="G183" s="533">
        <f t="shared" si="15"/>
        <v>43.01</v>
      </c>
      <c r="H183" s="472">
        <v>30</v>
      </c>
      <c r="I183" s="533">
        <f t="shared" si="16"/>
        <v>44.77</v>
      </c>
      <c r="J183" s="544"/>
      <c r="K183" s="533">
        <f t="shared" si="12"/>
        <v>0</v>
      </c>
      <c r="L183" s="541"/>
      <c r="M183" s="533">
        <f t="shared" si="13"/>
        <v>0</v>
      </c>
      <c r="N183" s="541"/>
      <c r="O183" s="533">
        <f t="shared" si="14"/>
        <v>0</v>
      </c>
    </row>
    <row r="184">
      <c r="A184" s="545" t="s">
        <v>276</v>
      </c>
      <c r="B184" s="533" t="s">
        <v>193</v>
      </c>
      <c r="C184" s="534" t="s">
        <v>205</v>
      </c>
      <c r="D184" s="537">
        <v>2</v>
      </c>
      <c r="E184" s="533"/>
      <c r="F184" s="543">
        <v>40</v>
      </c>
      <c r="G184" s="533">
        <f t="shared" si="15"/>
        <v>46.02</v>
      </c>
      <c r="H184" s="472">
        <v>60</v>
      </c>
      <c r="I184" s="533">
        <f t="shared" si="16"/>
        <v>47.78</v>
      </c>
      <c r="J184" s="544"/>
      <c r="K184" s="533">
        <f t="shared" si="12"/>
        <v>0</v>
      </c>
      <c r="L184" s="541"/>
      <c r="M184" s="533">
        <f t="shared" si="13"/>
        <v>0</v>
      </c>
      <c r="N184" s="541"/>
      <c r="O184" s="533">
        <f t="shared" si="14"/>
        <v>0</v>
      </c>
    </row>
    <row r="185">
      <c r="A185" s="545" t="s">
        <v>276</v>
      </c>
      <c r="B185" s="533" t="s">
        <v>193</v>
      </c>
      <c r="C185" s="534" t="s">
        <v>205</v>
      </c>
      <c r="D185" s="539">
        <v>3</v>
      </c>
      <c r="E185" s="533"/>
      <c r="F185" s="536">
        <v>60</v>
      </c>
      <c r="G185" s="533">
        <f t="shared" si="15"/>
        <v>47.78</v>
      </c>
      <c r="H185" s="542">
        <v>80</v>
      </c>
      <c r="I185" s="533">
        <f t="shared" si="16"/>
        <v>49.03</v>
      </c>
      <c r="J185" s="536">
        <v>20</v>
      </c>
      <c r="K185" s="533">
        <f t="shared" si="12"/>
        <v>43.01</v>
      </c>
      <c r="L185" s="533"/>
      <c r="M185" s="533">
        <f t="shared" si="13"/>
        <v>0</v>
      </c>
      <c r="N185" s="533"/>
      <c r="O185" s="533">
        <f t="shared" si="14"/>
        <v>0</v>
      </c>
    </row>
    <row r="186">
      <c r="A186" s="545" t="s">
        <v>270</v>
      </c>
      <c r="B186" s="533" t="s">
        <v>193</v>
      </c>
      <c r="C186" s="534" t="s">
        <v>205</v>
      </c>
      <c r="D186" s="539">
        <v>1</v>
      </c>
      <c r="E186" s="533"/>
      <c r="F186" s="536">
        <v>20</v>
      </c>
      <c r="G186" s="533">
        <f t="shared" si="15"/>
        <v>43.01</v>
      </c>
      <c r="H186" s="542">
        <v>30</v>
      </c>
      <c r="I186" s="533">
        <f t="shared" si="16"/>
        <v>44.77</v>
      </c>
      <c r="J186" s="536">
        <v>20</v>
      </c>
      <c r="K186" s="533">
        <f t="shared" si="12"/>
        <v>43.01</v>
      </c>
      <c r="L186" s="533"/>
      <c r="M186" s="533">
        <f t="shared" si="13"/>
        <v>0</v>
      </c>
      <c r="N186" s="533"/>
      <c r="O186" s="533">
        <f t="shared" si="14"/>
        <v>0</v>
      </c>
    </row>
    <row r="187">
      <c r="A187" s="545" t="s">
        <v>270</v>
      </c>
      <c r="B187" s="533" t="s">
        <v>193</v>
      </c>
      <c r="C187" s="534" t="s">
        <v>205</v>
      </c>
      <c r="D187" s="537">
        <v>2</v>
      </c>
      <c r="E187" s="533"/>
      <c r="F187" s="536">
        <v>40</v>
      </c>
      <c r="G187" s="533">
        <f t="shared" si="15"/>
        <v>46.02</v>
      </c>
      <c r="H187" s="542">
        <v>60</v>
      </c>
      <c r="I187" s="533">
        <f t="shared" si="16"/>
        <v>47.78</v>
      </c>
      <c r="J187" s="536">
        <v>40</v>
      </c>
      <c r="K187" s="533">
        <f t="shared" si="12"/>
        <v>46.02</v>
      </c>
      <c r="L187" s="533"/>
      <c r="M187" s="533">
        <f t="shared" si="13"/>
        <v>0</v>
      </c>
      <c r="N187" s="533"/>
      <c r="O187" s="533">
        <f t="shared" si="14"/>
        <v>0</v>
      </c>
    </row>
    <row r="188">
      <c r="A188" s="545" t="s">
        <v>270</v>
      </c>
      <c r="B188" s="533" t="s">
        <v>193</v>
      </c>
      <c r="C188" s="534" t="s">
        <v>205</v>
      </c>
      <c r="D188" s="539">
        <v>3</v>
      </c>
      <c r="E188" s="533"/>
      <c r="F188" s="536"/>
      <c r="G188" s="533">
        <f t="shared" si="15"/>
        <v>0</v>
      </c>
      <c r="H188" s="542">
        <v>80</v>
      </c>
      <c r="I188" s="533">
        <f t="shared" si="16"/>
        <v>49.03</v>
      </c>
      <c r="J188" s="536">
        <v>20</v>
      </c>
      <c r="K188" s="533">
        <f t="shared" si="12"/>
        <v>43.01</v>
      </c>
      <c r="L188" s="533"/>
      <c r="M188" s="533">
        <f t="shared" si="13"/>
        <v>0</v>
      </c>
      <c r="N188" s="533"/>
      <c r="O188" s="533">
        <f t="shared" si="14"/>
        <v>0</v>
      </c>
    </row>
    <row r="189">
      <c r="A189" s="538" t="s">
        <v>308</v>
      </c>
      <c r="B189" s="533" t="s">
        <v>193</v>
      </c>
      <c r="C189" s="534" t="s">
        <v>205</v>
      </c>
      <c r="D189" s="539">
        <v>1</v>
      </c>
      <c r="E189" s="533"/>
      <c r="F189" s="536">
        <v>20</v>
      </c>
      <c r="G189" s="533">
        <f t="shared" si="15"/>
        <v>43.01</v>
      </c>
      <c r="H189" s="536"/>
      <c r="I189" s="533">
        <f t="shared" si="16"/>
        <v>0</v>
      </c>
      <c r="J189" s="536">
        <v>20</v>
      </c>
      <c r="K189" s="533">
        <f t="shared" si="12"/>
        <v>43.01</v>
      </c>
      <c r="L189" s="533"/>
      <c r="M189" s="533">
        <f t="shared" si="13"/>
        <v>0</v>
      </c>
      <c r="N189" s="533"/>
      <c r="O189" s="533">
        <f t="shared" si="14"/>
        <v>0</v>
      </c>
    </row>
    <row r="190">
      <c r="A190" s="538" t="s">
        <v>308</v>
      </c>
      <c r="B190" s="533" t="s">
        <v>193</v>
      </c>
      <c r="C190" s="534" t="s">
        <v>205</v>
      </c>
      <c r="D190" s="537">
        <v>2</v>
      </c>
      <c r="E190" s="533"/>
      <c r="F190" s="536">
        <v>40</v>
      </c>
      <c r="G190" s="533">
        <f t="shared" si="15"/>
        <v>46.02</v>
      </c>
      <c r="H190" s="536"/>
      <c r="I190" s="533">
        <f t="shared" si="16"/>
        <v>0</v>
      </c>
      <c r="J190" s="536">
        <v>40</v>
      </c>
      <c r="K190" s="533">
        <f t="shared" si="12"/>
        <v>46.02</v>
      </c>
      <c r="L190" s="533"/>
      <c r="M190" s="533">
        <f t="shared" si="13"/>
        <v>0</v>
      </c>
      <c r="N190" s="533"/>
      <c r="O190" s="533">
        <f t="shared" si="14"/>
        <v>0</v>
      </c>
    </row>
    <row r="191">
      <c r="A191" s="538" t="s">
        <v>316</v>
      </c>
      <c r="B191" s="533" t="s">
        <v>193</v>
      </c>
      <c r="C191" s="534" t="s">
        <v>205</v>
      </c>
      <c r="D191" s="537">
        <v>1</v>
      </c>
      <c r="E191" s="533"/>
      <c r="F191" s="536">
        <v>20</v>
      </c>
      <c r="G191" s="533">
        <f t="shared" si="15"/>
        <v>43.01</v>
      </c>
      <c r="H191" s="536"/>
      <c r="I191" s="533">
        <f t="shared" si="16"/>
        <v>0</v>
      </c>
      <c r="J191" s="536">
        <v>20</v>
      </c>
      <c r="K191" s="533">
        <f t="shared" si="12"/>
        <v>43.01</v>
      </c>
      <c r="L191" s="533">
        <v>30</v>
      </c>
      <c r="M191" s="533">
        <f t="shared" si="13"/>
        <v>44.77</v>
      </c>
      <c r="N191" s="533"/>
      <c r="O191" s="533">
        <f t="shared" si="14"/>
        <v>0</v>
      </c>
    </row>
    <row r="192">
      <c r="A192" s="538" t="s">
        <v>316</v>
      </c>
      <c r="B192" s="533" t="s">
        <v>193</v>
      </c>
      <c r="C192" s="534" t="s">
        <v>205</v>
      </c>
      <c r="D192" s="537">
        <v>2</v>
      </c>
      <c r="E192" s="533"/>
      <c r="F192" s="536">
        <v>40</v>
      </c>
      <c r="G192" s="533">
        <f t="shared" si="15"/>
        <v>46.02</v>
      </c>
      <c r="H192" s="536"/>
      <c r="I192" s="533">
        <f t="shared" si="16"/>
        <v>0</v>
      </c>
      <c r="J192" s="536">
        <v>40</v>
      </c>
      <c r="K192" s="533">
        <f t="shared" si="12"/>
        <v>46.02</v>
      </c>
      <c r="L192" s="533">
        <v>60</v>
      </c>
      <c r="M192" s="533">
        <f t="shared" si="13"/>
        <v>47.78</v>
      </c>
      <c r="N192" s="533"/>
      <c r="O192" s="533">
        <f t="shared" si="14"/>
        <v>0</v>
      </c>
    </row>
    <row r="193">
      <c r="A193" s="546" t="s">
        <v>344</v>
      </c>
      <c r="B193" s="533" t="s">
        <v>193</v>
      </c>
      <c r="C193" s="534" t="s">
        <v>205</v>
      </c>
      <c r="D193" s="537">
        <v>1</v>
      </c>
      <c r="E193" s="533"/>
      <c r="F193" s="536">
        <v>20</v>
      </c>
      <c r="G193" s="533">
        <f t="shared" si="15"/>
        <v>43.01</v>
      </c>
      <c r="H193" s="536"/>
      <c r="I193" s="533">
        <f t="shared" si="16"/>
        <v>0</v>
      </c>
      <c r="J193" s="536">
        <v>20</v>
      </c>
      <c r="K193" s="533">
        <f t="shared" si="12"/>
        <v>43.01</v>
      </c>
      <c r="L193" s="533"/>
      <c r="M193" s="533">
        <f t="shared" si="13"/>
        <v>0</v>
      </c>
      <c r="N193" s="533"/>
      <c r="O193" s="533">
        <f t="shared" si="14"/>
        <v>0</v>
      </c>
    </row>
    <row r="194">
      <c r="A194" s="546" t="s">
        <v>344</v>
      </c>
      <c r="B194" s="533" t="s">
        <v>193</v>
      </c>
      <c r="C194" s="534" t="s">
        <v>205</v>
      </c>
      <c r="D194" s="537">
        <v>2</v>
      </c>
      <c r="E194" s="533"/>
      <c r="F194" s="536">
        <v>40</v>
      </c>
      <c r="G194" s="533">
        <f t="shared" si="15"/>
        <v>46.02</v>
      </c>
      <c r="H194" s="536"/>
      <c r="I194" s="533">
        <f t="shared" si="16"/>
        <v>0</v>
      </c>
      <c r="J194" s="536">
        <v>40</v>
      </c>
      <c r="K194" s="533">
        <f t="shared" si="12"/>
        <v>46.02</v>
      </c>
      <c r="L194" s="533"/>
      <c r="M194" s="533">
        <f t="shared" si="13"/>
        <v>0</v>
      </c>
      <c r="N194" s="533"/>
      <c r="O194" s="533">
        <f t="shared" si="14"/>
        <v>0</v>
      </c>
    </row>
    <row r="195">
      <c r="A195" s="546" t="s">
        <v>349</v>
      </c>
      <c r="B195" s="533" t="s">
        <v>193</v>
      </c>
      <c r="C195" s="534" t="s">
        <v>205</v>
      </c>
      <c r="D195" s="537">
        <v>1</v>
      </c>
      <c r="E195" s="533"/>
      <c r="F195" s="536">
        <v>20</v>
      </c>
      <c r="G195" s="533">
        <f t="shared" si="15"/>
        <v>43.01</v>
      </c>
      <c r="H195" s="536"/>
      <c r="I195" s="533">
        <f t="shared" si="16"/>
        <v>0</v>
      </c>
      <c r="J195" s="536"/>
      <c r="K195" s="533">
        <f t="shared" si="12"/>
        <v>0</v>
      </c>
      <c r="L195" s="533"/>
      <c r="M195" s="533">
        <f t="shared" si="13"/>
        <v>0</v>
      </c>
      <c r="N195" s="533"/>
      <c r="O195" s="533">
        <f t="shared" si="14"/>
        <v>0</v>
      </c>
    </row>
    <row r="196">
      <c r="A196" s="546" t="s">
        <v>349</v>
      </c>
      <c r="B196" s="533" t="s">
        <v>193</v>
      </c>
      <c r="C196" s="534" t="s">
        <v>205</v>
      </c>
      <c r="D196" s="547">
        <v>2</v>
      </c>
      <c r="E196" s="547"/>
      <c r="F196" s="536">
        <v>40</v>
      </c>
      <c r="G196" s="533">
        <f t="shared" si="15"/>
        <v>46.02</v>
      </c>
      <c r="H196" s="536"/>
      <c r="I196" s="533">
        <f t="shared" si="16"/>
        <v>0</v>
      </c>
      <c r="J196" s="536"/>
      <c r="K196" s="533">
        <f ref="K196:K259" t="shared" si="17">IF(J196&gt;0,ROUND(10*LOG10(J196)+30,2),0)</f>
        <v>0</v>
      </c>
      <c r="L196" s="533"/>
      <c r="M196" s="533">
        <f ref="M196:M259" t="shared" si="18">IF(L196&gt;0,ROUND(10*LOG10(L196)+30,2),0)</f>
        <v>0</v>
      </c>
      <c r="N196" s="533"/>
      <c r="O196" s="533">
        <f ref="O196:O259" t="shared" si="19">IF(N196&gt;0,ROUND(10*LOG10(N196)+30,2),0)</f>
        <v>0</v>
      </c>
    </row>
    <row r="197">
      <c r="A197" s="546" t="s">
        <v>349</v>
      </c>
      <c r="B197" s="533" t="s">
        <v>193</v>
      </c>
      <c r="C197" s="534" t="s">
        <v>205</v>
      </c>
      <c r="D197" s="547">
        <v>2</v>
      </c>
      <c r="E197" s="547"/>
      <c r="F197" s="536">
        <v>60</v>
      </c>
      <c r="G197" s="533">
        <f ref="G197:G260" t="shared" si="20">IF(F197&gt;0,ROUND(10*LOG10(F197)+30,2),0)</f>
        <v>47.78</v>
      </c>
      <c r="H197" s="543"/>
      <c r="I197" s="533">
        <f ref="I197:I260" t="shared" si="21">IF(H197&gt;0,ROUND(10*LOG10(H197)+30,2),0)</f>
        <v>0</v>
      </c>
      <c r="J197" s="543"/>
      <c r="K197" s="533">
        <f t="shared" si="17"/>
        <v>0</v>
      </c>
      <c r="L197" s="547"/>
      <c r="M197" s="533">
        <f t="shared" si="18"/>
        <v>0</v>
      </c>
      <c r="N197" s="547"/>
      <c r="O197" s="533">
        <f t="shared" si="19"/>
        <v>0</v>
      </c>
    </row>
    <row r="198">
      <c r="A198" s="495" t="s">
        <v>355</v>
      </c>
      <c r="B198" s="425" t="s">
        <v>193</v>
      </c>
      <c r="C198" s="383" t="s">
        <v>205</v>
      </c>
      <c r="D198" s="548">
        <v>1</v>
      </c>
      <c r="E198" s="424"/>
      <c r="F198" s="424"/>
      <c r="G198" s="425">
        <f t="shared" si="20"/>
        <v>0</v>
      </c>
      <c r="H198" s="472">
        <v>120</v>
      </c>
      <c r="I198" s="533">
        <f t="shared" si="21"/>
        <v>50.79</v>
      </c>
      <c r="J198" s="543"/>
      <c r="K198" s="533">
        <f t="shared" si="17"/>
        <v>0</v>
      </c>
      <c r="L198" s="547"/>
      <c r="M198" s="533">
        <f t="shared" si="18"/>
        <v>0</v>
      </c>
      <c r="N198" s="547"/>
      <c r="O198" s="533">
        <f t="shared" si="19"/>
        <v>0</v>
      </c>
    </row>
    <row r="199">
      <c r="A199" s="495" t="s">
        <v>355</v>
      </c>
      <c r="B199" s="425" t="s">
        <v>193</v>
      </c>
      <c r="C199" s="383" t="s">
        <v>205</v>
      </c>
      <c r="D199" s="424">
        <v>2</v>
      </c>
      <c r="E199" s="424"/>
      <c r="F199" s="424"/>
      <c r="G199" s="425">
        <f t="shared" si="20"/>
        <v>0</v>
      </c>
      <c r="H199" s="472">
        <v>120</v>
      </c>
      <c r="I199" s="533">
        <f t="shared" si="21"/>
        <v>50.79</v>
      </c>
      <c r="J199" s="543"/>
      <c r="K199" s="533">
        <f t="shared" si="17"/>
        <v>0</v>
      </c>
      <c r="L199" s="547"/>
      <c r="M199" s="533">
        <f t="shared" si="18"/>
        <v>0</v>
      </c>
      <c r="N199" s="547"/>
      <c r="O199" s="533">
        <f t="shared" si="19"/>
        <v>0</v>
      </c>
    </row>
    <row r="200">
      <c r="A200" s="495" t="s">
        <v>355</v>
      </c>
      <c r="B200" s="425" t="s">
        <v>193</v>
      </c>
      <c r="C200" s="383" t="s">
        <v>205</v>
      </c>
      <c r="D200" s="424">
        <v>3</v>
      </c>
      <c r="E200" s="424"/>
      <c r="F200" s="424"/>
      <c r="G200" s="425">
        <f t="shared" si="20"/>
        <v>0</v>
      </c>
      <c r="H200" s="472">
        <v>120</v>
      </c>
      <c r="I200" s="533">
        <f t="shared" si="21"/>
        <v>50.79</v>
      </c>
      <c r="J200" s="543"/>
      <c r="K200" s="533">
        <f t="shared" si="17"/>
        <v>0</v>
      </c>
      <c r="L200" s="547"/>
      <c r="M200" s="533">
        <f t="shared" si="18"/>
        <v>0</v>
      </c>
      <c r="N200" s="547"/>
      <c r="O200" s="533">
        <f t="shared" si="19"/>
        <v>0</v>
      </c>
    </row>
    <row r="201">
      <c r="A201" s="495" t="s">
        <v>355</v>
      </c>
      <c r="B201" s="425" t="s">
        <v>193</v>
      </c>
      <c r="C201" s="383" t="s">
        <v>211</v>
      </c>
      <c r="D201" s="548">
        <v>1</v>
      </c>
      <c r="E201" s="424"/>
      <c r="F201" s="424"/>
      <c r="G201" s="425">
        <f t="shared" si="20"/>
        <v>0</v>
      </c>
      <c r="H201" s="472">
        <v>60</v>
      </c>
      <c r="I201" s="533">
        <f t="shared" si="21"/>
        <v>47.78</v>
      </c>
      <c r="J201" s="543"/>
      <c r="K201" s="533">
        <f t="shared" si="17"/>
        <v>0</v>
      </c>
      <c r="L201" s="547"/>
      <c r="M201" s="533">
        <f t="shared" si="18"/>
        <v>0</v>
      </c>
      <c r="N201" s="547"/>
      <c r="O201" s="533">
        <f t="shared" si="19"/>
        <v>0</v>
      </c>
    </row>
    <row r="202">
      <c r="A202" s="495" t="s">
        <v>355</v>
      </c>
      <c r="B202" s="425" t="s">
        <v>193</v>
      </c>
      <c r="C202" s="383" t="s">
        <v>211</v>
      </c>
      <c r="D202" s="424">
        <v>2</v>
      </c>
      <c r="E202" s="424"/>
      <c r="F202" s="424"/>
      <c r="G202" s="425">
        <f t="shared" si="20"/>
        <v>0</v>
      </c>
      <c r="H202" s="472">
        <v>60</v>
      </c>
      <c r="I202" s="533">
        <f t="shared" si="21"/>
        <v>47.78</v>
      </c>
      <c r="J202" s="543"/>
      <c r="K202" s="533">
        <f t="shared" si="17"/>
        <v>0</v>
      </c>
      <c r="L202" s="547"/>
      <c r="M202" s="533">
        <f t="shared" si="18"/>
        <v>0</v>
      </c>
      <c r="N202" s="547"/>
      <c r="O202" s="533">
        <f t="shared" si="19"/>
        <v>0</v>
      </c>
    </row>
    <row r="203">
      <c r="A203" s="495" t="s">
        <v>387</v>
      </c>
      <c r="B203" s="425" t="s">
        <v>193</v>
      </c>
      <c r="C203" s="383" t="s">
        <v>205</v>
      </c>
      <c r="D203" s="424">
        <v>2</v>
      </c>
      <c r="E203" s="424"/>
      <c r="F203" s="424"/>
      <c r="G203" s="425">
        <f t="shared" si="20"/>
        <v>0</v>
      </c>
      <c r="H203" s="472">
        <v>80</v>
      </c>
      <c r="I203" s="533">
        <f t="shared" si="21"/>
        <v>49.03</v>
      </c>
      <c r="J203" s="543"/>
      <c r="K203" s="533">
        <f t="shared" si="17"/>
        <v>0</v>
      </c>
      <c r="L203" s="547"/>
      <c r="M203" s="533">
        <f t="shared" si="18"/>
        <v>0</v>
      </c>
      <c r="N203" s="547"/>
      <c r="O203" s="533">
        <f t="shared" si="19"/>
        <v>0</v>
      </c>
    </row>
    <row r="204">
      <c r="A204" s="385" t="s">
        <v>276</v>
      </c>
      <c r="B204" s="425" t="s">
        <v>193</v>
      </c>
      <c r="C204" s="383" t="s">
        <v>211</v>
      </c>
      <c r="D204" s="548">
        <v>1</v>
      </c>
      <c r="E204" s="424"/>
      <c r="F204" s="424"/>
      <c r="G204" s="425">
        <f t="shared" si="20"/>
        <v>0</v>
      </c>
      <c r="H204" s="472">
        <v>80</v>
      </c>
      <c r="I204" s="533">
        <f t="shared" si="21"/>
        <v>49.03</v>
      </c>
      <c r="J204" s="543"/>
      <c r="K204" s="533">
        <f t="shared" si="17"/>
        <v>0</v>
      </c>
      <c r="L204" s="547"/>
      <c r="M204" s="533">
        <f t="shared" si="18"/>
        <v>0</v>
      </c>
      <c r="N204" s="547"/>
      <c r="O204" s="533">
        <f t="shared" si="19"/>
        <v>0</v>
      </c>
    </row>
    <row r="205">
      <c r="A205" s="545"/>
      <c r="B205" s="533" t="s">
        <v>378</v>
      </c>
      <c r="C205" s="534"/>
      <c r="D205" s="537"/>
      <c r="E205" s="547"/>
      <c r="F205" s="547"/>
      <c r="G205" s="533">
        <f t="shared" si="20"/>
        <v>0</v>
      </c>
      <c r="H205" s="543"/>
      <c r="I205" s="533">
        <f t="shared" si="21"/>
        <v>0</v>
      </c>
      <c r="J205" s="543"/>
      <c r="K205" s="533">
        <f t="shared" si="17"/>
        <v>0</v>
      </c>
      <c r="L205" s="547"/>
      <c r="M205" s="533">
        <f t="shared" si="18"/>
        <v>0</v>
      </c>
      <c r="N205" s="547"/>
      <c r="O205" s="533">
        <f t="shared" si="19"/>
        <v>0</v>
      </c>
    </row>
    <row r="206">
      <c r="A206" s="549"/>
      <c r="B206" s="533" t="s">
        <v>378</v>
      </c>
      <c r="C206" s="547"/>
      <c r="D206" s="547"/>
      <c r="E206" s="547"/>
      <c r="F206" s="547"/>
      <c r="G206" s="533">
        <f t="shared" si="20"/>
        <v>0</v>
      </c>
      <c r="H206" s="543"/>
      <c r="I206" s="533">
        <f t="shared" si="21"/>
        <v>0</v>
      </c>
      <c r="J206" s="543"/>
      <c r="K206" s="533">
        <f t="shared" si="17"/>
        <v>0</v>
      </c>
      <c r="L206" s="547"/>
      <c r="M206" s="533">
        <f t="shared" si="18"/>
        <v>0</v>
      </c>
      <c r="N206" s="547"/>
      <c r="O206" s="533">
        <f t="shared" si="19"/>
        <v>0</v>
      </c>
    </row>
    <row r="207">
      <c r="A207" s="549"/>
      <c r="B207" s="533" t="s">
        <v>378</v>
      </c>
      <c r="C207" s="547"/>
      <c r="D207" s="547"/>
      <c r="E207" s="547"/>
      <c r="F207" s="547"/>
      <c r="G207" s="533">
        <f t="shared" si="20"/>
        <v>0</v>
      </c>
      <c r="H207" s="543"/>
      <c r="I207" s="533">
        <f t="shared" si="21"/>
        <v>0</v>
      </c>
      <c r="J207" s="543"/>
      <c r="K207" s="533">
        <f t="shared" si="17"/>
        <v>0</v>
      </c>
      <c r="L207" s="547"/>
      <c r="M207" s="533">
        <f t="shared" si="18"/>
        <v>0</v>
      </c>
      <c r="N207" s="547"/>
      <c r="O207" s="533">
        <f t="shared" si="19"/>
        <v>0</v>
      </c>
    </row>
    <row r="208">
      <c r="A208" s="549"/>
      <c r="B208" s="533" t="s">
        <v>378</v>
      </c>
      <c r="C208" s="547"/>
      <c r="D208" s="547"/>
      <c r="E208" s="547"/>
      <c r="F208" s="547"/>
      <c r="G208" s="533">
        <f t="shared" si="20"/>
        <v>0</v>
      </c>
      <c r="H208" s="543"/>
      <c r="I208" s="533">
        <f t="shared" si="21"/>
        <v>0</v>
      </c>
      <c r="J208" s="543"/>
      <c r="K208" s="533">
        <f t="shared" si="17"/>
        <v>0</v>
      </c>
      <c r="L208" s="547"/>
      <c r="M208" s="533">
        <f t="shared" si="18"/>
        <v>0</v>
      </c>
      <c r="N208" s="547"/>
      <c r="O208" s="533">
        <f t="shared" si="19"/>
        <v>0</v>
      </c>
    </row>
    <row r="209">
      <c r="A209" s="549"/>
      <c r="B209" s="533" t="s">
        <v>378</v>
      </c>
      <c r="C209" s="547"/>
      <c r="D209" s="547"/>
      <c r="E209" s="547"/>
      <c r="F209" s="547"/>
      <c r="G209" s="533">
        <f t="shared" si="20"/>
        <v>0</v>
      </c>
      <c r="H209" s="543"/>
      <c r="I209" s="533">
        <f t="shared" si="21"/>
        <v>0</v>
      </c>
      <c r="J209" s="543"/>
      <c r="K209" s="533">
        <f t="shared" si="17"/>
        <v>0</v>
      </c>
      <c r="L209" s="547"/>
      <c r="M209" s="533">
        <f t="shared" si="18"/>
        <v>0</v>
      </c>
      <c r="N209" s="547"/>
      <c r="O209" s="533">
        <f t="shared" si="19"/>
        <v>0</v>
      </c>
    </row>
    <row r="210">
      <c r="A210" s="549"/>
      <c r="B210" s="533" t="s">
        <v>378</v>
      </c>
      <c r="C210" s="547"/>
      <c r="D210" s="547"/>
      <c r="E210" s="547"/>
      <c r="F210" s="547"/>
      <c r="G210" s="533">
        <f t="shared" si="20"/>
        <v>0</v>
      </c>
      <c r="H210" s="543"/>
      <c r="I210" s="533">
        <f t="shared" si="21"/>
        <v>0</v>
      </c>
      <c r="J210" s="543"/>
      <c r="K210" s="533">
        <f t="shared" si="17"/>
        <v>0</v>
      </c>
      <c r="L210" s="547"/>
      <c r="M210" s="533">
        <f t="shared" si="18"/>
        <v>0</v>
      </c>
      <c r="N210" s="547"/>
      <c r="O210" s="533">
        <f t="shared" si="19"/>
        <v>0</v>
      </c>
    </row>
    <row r="211">
      <c r="A211" s="549"/>
      <c r="B211" s="533" t="s">
        <v>378</v>
      </c>
      <c r="C211" s="547"/>
      <c r="D211" s="547"/>
      <c r="E211" s="547"/>
      <c r="F211" s="547"/>
      <c r="G211" s="533">
        <f t="shared" si="20"/>
        <v>0</v>
      </c>
      <c r="H211" s="543"/>
      <c r="I211" s="533">
        <f t="shared" si="21"/>
        <v>0</v>
      </c>
      <c r="J211" s="543"/>
      <c r="K211" s="533">
        <f t="shared" si="17"/>
        <v>0</v>
      </c>
      <c r="L211" s="547"/>
      <c r="M211" s="533">
        <f t="shared" si="18"/>
        <v>0</v>
      </c>
      <c r="N211" s="547"/>
      <c r="O211" s="533">
        <f t="shared" si="19"/>
        <v>0</v>
      </c>
    </row>
    <row r="212">
      <c r="A212" s="549"/>
      <c r="B212" s="533" t="s">
        <v>378</v>
      </c>
      <c r="C212" s="547"/>
      <c r="D212" s="547"/>
      <c r="E212" s="547"/>
      <c r="F212" s="547"/>
      <c r="G212" s="533">
        <f t="shared" si="20"/>
        <v>0</v>
      </c>
      <c r="H212" s="543"/>
      <c r="I212" s="533">
        <f t="shared" si="21"/>
        <v>0</v>
      </c>
      <c r="J212" s="543"/>
      <c r="K212" s="533">
        <f t="shared" si="17"/>
        <v>0</v>
      </c>
      <c r="L212" s="547"/>
      <c r="M212" s="533">
        <f t="shared" si="18"/>
        <v>0</v>
      </c>
      <c r="N212" s="547"/>
      <c r="O212" s="533">
        <f t="shared" si="19"/>
        <v>0</v>
      </c>
    </row>
    <row r="213">
      <c r="A213" s="549"/>
      <c r="B213" s="533" t="s">
        <v>378</v>
      </c>
      <c r="C213" s="547"/>
      <c r="D213" s="547"/>
      <c r="E213" s="547"/>
      <c r="F213" s="547"/>
      <c r="G213" s="533">
        <f t="shared" si="20"/>
        <v>0</v>
      </c>
      <c r="H213" s="543"/>
      <c r="I213" s="533">
        <f t="shared" si="21"/>
        <v>0</v>
      </c>
      <c r="J213" s="543"/>
      <c r="K213" s="533">
        <f t="shared" si="17"/>
        <v>0</v>
      </c>
      <c r="L213" s="547"/>
      <c r="M213" s="533">
        <f t="shared" si="18"/>
        <v>0</v>
      </c>
      <c r="N213" s="547"/>
      <c r="O213" s="533">
        <f t="shared" si="19"/>
        <v>0</v>
      </c>
    </row>
    <row r="214">
      <c r="A214" s="549"/>
      <c r="B214" s="533" t="s">
        <v>378</v>
      </c>
      <c r="C214" s="547"/>
      <c r="D214" s="547"/>
      <c r="E214" s="547"/>
      <c r="F214" s="547"/>
      <c r="G214" s="533">
        <f t="shared" si="20"/>
        <v>0</v>
      </c>
      <c r="H214" s="543"/>
      <c r="I214" s="533">
        <f t="shared" si="21"/>
        <v>0</v>
      </c>
      <c r="J214" s="543"/>
      <c r="K214" s="533">
        <f t="shared" si="17"/>
        <v>0</v>
      </c>
      <c r="L214" s="547"/>
      <c r="M214" s="533">
        <f t="shared" si="18"/>
        <v>0</v>
      </c>
      <c r="N214" s="547"/>
      <c r="O214" s="533">
        <f t="shared" si="19"/>
        <v>0</v>
      </c>
    </row>
    <row r="215">
      <c r="A215" s="549"/>
      <c r="B215" s="533" t="s">
        <v>378</v>
      </c>
      <c r="C215" s="547"/>
      <c r="D215" s="547"/>
      <c r="E215" s="547"/>
      <c r="F215" s="547"/>
      <c r="G215" s="533">
        <f t="shared" si="20"/>
        <v>0</v>
      </c>
      <c r="H215" s="543"/>
      <c r="I215" s="533">
        <f t="shared" si="21"/>
        <v>0</v>
      </c>
      <c r="J215" s="543"/>
      <c r="K215" s="533">
        <f t="shared" si="17"/>
        <v>0</v>
      </c>
      <c r="L215" s="547"/>
      <c r="M215" s="533">
        <f t="shared" si="18"/>
        <v>0</v>
      </c>
      <c r="N215" s="547"/>
      <c r="O215" s="533">
        <f t="shared" si="19"/>
        <v>0</v>
      </c>
    </row>
    <row r="216">
      <c r="A216" s="549"/>
      <c r="B216" s="533" t="s">
        <v>378</v>
      </c>
      <c r="C216" s="547"/>
      <c r="D216" s="547"/>
      <c r="E216" s="547"/>
      <c r="F216" s="547"/>
      <c r="G216" s="533">
        <f t="shared" si="20"/>
        <v>0</v>
      </c>
      <c r="H216" s="543"/>
      <c r="I216" s="533">
        <f t="shared" si="21"/>
        <v>0</v>
      </c>
      <c r="J216" s="543"/>
      <c r="K216" s="533">
        <f t="shared" si="17"/>
        <v>0</v>
      </c>
      <c r="L216" s="547"/>
      <c r="M216" s="533">
        <f t="shared" si="18"/>
        <v>0</v>
      </c>
      <c r="N216" s="547"/>
      <c r="O216" s="533">
        <f t="shared" si="19"/>
        <v>0</v>
      </c>
    </row>
    <row r="217">
      <c r="A217" s="549"/>
      <c r="B217" s="533" t="s">
        <v>378</v>
      </c>
      <c r="C217" s="547"/>
      <c r="D217" s="547"/>
      <c r="E217" s="547"/>
      <c r="F217" s="547"/>
      <c r="G217" s="533">
        <f t="shared" si="20"/>
        <v>0</v>
      </c>
      <c r="H217" s="543"/>
      <c r="I217" s="533">
        <f t="shared" si="21"/>
        <v>0</v>
      </c>
      <c r="J217" s="543"/>
      <c r="K217" s="533">
        <f t="shared" si="17"/>
        <v>0</v>
      </c>
      <c r="L217" s="547"/>
      <c r="M217" s="533">
        <f t="shared" si="18"/>
        <v>0</v>
      </c>
      <c r="N217" s="547"/>
      <c r="O217" s="533">
        <f t="shared" si="19"/>
        <v>0</v>
      </c>
    </row>
    <row r="218">
      <c r="A218" s="549"/>
      <c r="B218" s="533" t="s">
        <v>378</v>
      </c>
      <c r="C218" s="547"/>
      <c r="D218" s="547"/>
      <c r="E218" s="547"/>
      <c r="F218" s="547"/>
      <c r="G218" s="533">
        <f t="shared" si="20"/>
        <v>0</v>
      </c>
      <c r="H218" s="543"/>
      <c r="I218" s="533">
        <f t="shared" si="21"/>
        <v>0</v>
      </c>
      <c r="J218" s="543"/>
      <c r="K218" s="533">
        <f t="shared" si="17"/>
        <v>0</v>
      </c>
      <c r="L218" s="547"/>
      <c r="M218" s="533">
        <f t="shared" si="18"/>
        <v>0</v>
      </c>
      <c r="N218" s="547"/>
      <c r="O218" s="533">
        <f t="shared" si="19"/>
        <v>0</v>
      </c>
    </row>
    <row r="219">
      <c r="A219" s="549"/>
      <c r="B219" s="533" t="s">
        <v>378</v>
      </c>
      <c r="C219" s="547"/>
      <c r="D219" s="547"/>
      <c r="E219" s="547"/>
      <c r="F219" s="547"/>
      <c r="G219" s="533">
        <f t="shared" si="20"/>
        <v>0</v>
      </c>
      <c r="H219" s="543"/>
      <c r="I219" s="533">
        <f t="shared" si="21"/>
        <v>0</v>
      </c>
      <c r="J219" s="543"/>
      <c r="K219" s="533">
        <f t="shared" si="17"/>
        <v>0</v>
      </c>
      <c r="L219" s="547"/>
      <c r="M219" s="533">
        <f t="shared" si="18"/>
        <v>0</v>
      </c>
      <c r="N219" s="547"/>
      <c r="O219" s="533">
        <f t="shared" si="19"/>
        <v>0</v>
      </c>
    </row>
    <row r="220">
      <c r="A220" s="550" t="s">
        <v>232</v>
      </c>
      <c r="B220" s="551" t="s">
        <v>193</v>
      </c>
      <c r="C220" s="552" t="s">
        <v>217</v>
      </c>
      <c r="D220" s="553">
        <v>4</v>
      </c>
      <c r="E220" s="551"/>
      <c r="F220" s="554">
        <v>60</v>
      </c>
      <c r="G220" s="551">
        <f t="shared" si="20"/>
        <v>47.78</v>
      </c>
      <c r="H220" s="555"/>
      <c r="I220" s="551">
        <f t="shared" si="21"/>
        <v>0</v>
      </c>
      <c r="J220" s="555"/>
      <c r="K220" s="551">
        <f t="shared" si="17"/>
        <v>0</v>
      </c>
      <c r="L220" s="551"/>
      <c r="M220" s="551">
        <f t="shared" si="18"/>
        <v>0</v>
      </c>
      <c r="N220" s="551"/>
      <c r="O220" s="551">
        <f t="shared" si="19"/>
        <v>0</v>
      </c>
    </row>
    <row r="221">
      <c r="A221" s="556" t="s">
        <v>232</v>
      </c>
      <c r="B221" s="551" t="s">
        <v>193</v>
      </c>
      <c r="C221" s="552" t="s">
        <v>217</v>
      </c>
      <c r="D221" s="557" t="s">
        <v>269</v>
      </c>
      <c r="E221" s="556"/>
      <c r="F221" s="554">
        <v>60</v>
      </c>
      <c r="G221" s="551">
        <f t="shared" si="20"/>
        <v>47.78</v>
      </c>
      <c r="H221" s="558"/>
      <c r="I221" s="551">
        <f t="shared" si="21"/>
        <v>0</v>
      </c>
      <c r="J221" s="558"/>
      <c r="K221" s="551">
        <f t="shared" si="17"/>
        <v>0</v>
      </c>
      <c r="L221" s="556"/>
      <c r="M221" s="551">
        <f t="shared" si="18"/>
        <v>0</v>
      </c>
      <c r="N221" s="556"/>
      <c r="O221" s="551">
        <f t="shared" si="19"/>
        <v>0</v>
      </c>
    </row>
    <row r="222">
      <c r="A222" s="559" t="s">
        <v>232</v>
      </c>
      <c r="B222" s="551" t="s">
        <v>193</v>
      </c>
      <c r="C222" s="552" t="s">
        <v>217</v>
      </c>
      <c r="D222" s="557" t="s">
        <v>275</v>
      </c>
      <c r="E222" s="557"/>
      <c r="F222" s="554">
        <v>60</v>
      </c>
      <c r="G222" s="551">
        <f t="shared" si="20"/>
        <v>47.78</v>
      </c>
      <c r="H222" s="560"/>
      <c r="I222" s="551">
        <f t="shared" si="21"/>
        <v>0</v>
      </c>
      <c r="J222" s="560"/>
      <c r="K222" s="551">
        <f t="shared" si="17"/>
        <v>0</v>
      </c>
      <c r="L222" s="557"/>
      <c r="M222" s="551">
        <f t="shared" si="18"/>
        <v>0</v>
      </c>
      <c r="N222" s="557"/>
      <c r="O222" s="551">
        <f t="shared" si="19"/>
        <v>0</v>
      </c>
    </row>
    <row r="223">
      <c r="A223" s="559" t="s">
        <v>232</v>
      </c>
      <c r="B223" s="551" t="s">
        <v>193</v>
      </c>
      <c r="C223" s="552" t="s">
        <v>217</v>
      </c>
      <c r="D223" s="557">
        <v>8</v>
      </c>
      <c r="E223" s="557"/>
      <c r="F223" s="554">
        <v>60</v>
      </c>
      <c r="G223" s="551">
        <f t="shared" si="20"/>
        <v>47.78</v>
      </c>
      <c r="H223" s="560"/>
      <c r="I223" s="551">
        <f t="shared" si="21"/>
        <v>0</v>
      </c>
      <c r="J223" s="560"/>
      <c r="K223" s="551">
        <f t="shared" si="17"/>
        <v>0</v>
      </c>
      <c r="L223" s="557"/>
      <c r="M223" s="551">
        <f t="shared" si="18"/>
        <v>0</v>
      </c>
      <c r="N223" s="557"/>
      <c r="O223" s="551">
        <f t="shared" si="19"/>
        <v>0</v>
      </c>
    </row>
    <row r="224">
      <c r="A224" s="559" t="s">
        <v>239</v>
      </c>
      <c r="B224" s="551" t="s">
        <v>193</v>
      </c>
      <c r="C224" s="552" t="s">
        <v>217</v>
      </c>
      <c r="D224" s="557">
        <v>4</v>
      </c>
      <c r="E224" s="557"/>
      <c r="F224" s="554">
        <v>60</v>
      </c>
      <c r="G224" s="551">
        <f t="shared" si="20"/>
        <v>47.78</v>
      </c>
      <c r="H224" s="560"/>
      <c r="I224" s="551">
        <f t="shared" si="21"/>
        <v>0</v>
      </c>
      <c r="J224" s="560"/>
      <c r="K224" s="551">
        <f t="shared" si="17"/>
        <v>0</v>
      </c>
      <c r="L224" s="557"/>
      <c r="M224" s="551">
        <f t="shared" si="18"/>
        <v>0</v>
      </c>
      <c r="N224" s="557"/>
      <c r="O224" s="551">
        <f t="shared" si="19"/>
        <v>0</v>
      </c>
    </row>
    <row r="225">
      <c r="A225" s="559" t="s">
        <v>239</v>
      </c>
      <c r="B225" s="551" t="s">
        <v>193</v>
      </c>
      <c r="C225" s="552" t="s">
        <v>217</v>
      </c>
      <c r="D225" s="557" t="s">
        <v>269</v>
      </c>
      <c r="E225" s="557"/>
      <c r="F225" s="554">
        <v>60</v>
      </c>
      <c r="G225" s="551">
        <f t="shared" si="20"/>
        <v>47.78</v>
      </c>
      <c r="H225" s="560"/>
      <c r="I225" s="551">
        <f t="shared" si="21"/>
        <v>0</v>
      </c>
      <c r="J225" s="560"/>
      <c r="K225" s="551">
        <f t="shared" si="17"/>
        <v>0</v>
      </c>
      <c r="L225" s="557"/>
      <c r="M225" s="551">
        <f t="shared" si="18"/>
        <v>0</v>
      </c>
      <c r="N225" s="557"/>
      <c r="O225" s="551">
        <f t="shared" si="19"/>
        <v>0</v>
      </c>
    </row>
    <row r="226">
      <c r="A226" s="559" t="s">
        <v>239</v>
      </c>
      <c r="B226" s="551" t="s">
        <v>193</v>
      </c>
      <c r="C226" s="552" t="s">
        <v>217</v>
      </c>
      <c r="D226" s="557" t="s">
        <v>275</v>
      </c>
      <c r="E226" s="557"/>
      <c r="F226" s="554">
        <v>60</v>
      </c>
      <c r="G226" s="551">
        <f t="shared" si="20"/>
        <v>47.78</v>
      </c>
      <c r="H226" s="560"/>
      <c r="I226" s="551">
        <f t="shared" si="21"/>
        <v>0</v>
      </c>
      <c r="J226" s="560"/>
      <c r="K226" s="551">
        <f t="shared" si="17"/>
        <v>0</v>
      </c>
      <c r="L226" s="557"/>
      <c r="M226" s="551">
        <f t="shared" si="18"/>
        <v>0</v>
      </c>
      <c r="N226" s="557"/>
      <c r="O226" s="551">
        <f t="shared" si="19"/>
        <v>0</v>
      </c>
    </row>
    <row r="227">
      <c r="A227" s="559" t="s">
        <v>239</v>
      </c>
      <c r="B227" s="551" t="s">
        <v>193</v>
      </c>
      <c r="C227" s="552" t="s">
        <v>217</v>
      </c>
      <c r="D227" s="557">
        <v>8</v>
      </c>
      <c r="E227" s="557"/>
      <c r="F227" s="554">
        <v>60</v>
      </c>
      <c r="G227" s="551">
        <f t="shared" si="20"/>
        <v>47.78</v>
      </c>
      <c r="H227" s="560"/>
      <c r="I227" s="551">
        <f t="shared" si="21"/>
        <v>0</v>
      </c>
      <c r="J227" s="560"/>
      <c r="K227" s="551">
        <f t="shared" si="17"/>
        <v>0</v>
      </c>
      <c r="L227" s="557"/>
      <c r="M227" s="551">
        <f t="shared" si="18"/>
        <v>0</v>
      </c>
      <c r="N227" s="557"/>
      <c r="O227" s="551">
        <f t="shared" si="19"/>
        <v>0</v>
      </c>
    </row>
    <row r="228">
      <c r="A228" s="559" t="s">
        <v>246</v>
      </c>
      <c r="B228" s="551" t="s">
        <v>193</v>
      </c>
      <c r="C228" s="552" t="s">
        <v>217</v>
      </c>
      <c r="D228" s="557">
        <v>4</v>
      </c>
      <c r="E228" s="557"/>
      <c r="F228" s="554">
        <v>60</v>
      </c>
      <c r="G228" s="551">
        <f t="shared" si="20"/>
        <v>47.78</v>
      </c>
      <c r="H228" s="560"/>
      <c r="I228" s="551">
        <f t="shared" si="21"/>
        <v>0</v>
      </c>
      <c r="J228" s="560"/>
      <c r="K228" s="551">
        <f t="shared" si="17"/>
        <v>0</v>
      </c>
      <c r="L228" s="557"/>
      <c r="M228" s="551">
        <f t="shared" si="18"/>
        <v>0</v>
      </c>
      <c r="N228" s="557"/>
      <c r="O228" s="551">
        <f t="shared" si="19"/>
        <v>0</v>
      </c>
    </row>
    <row r="229">
      <c r="A229" s="559" t="s">
        <v>246</v>
      </c>
      <c r="B229" s="551" t="s">
        <v>193</v>
      </c>
      <c r="C229" s="552" t="s">
        <v>217</v>
      </c>
      <c r="D229" s="557" t="s">
        <v>269</v>
      </c>
      <c r="E229" s="557"/>
      <c r="F229" s="554">
        <v>60</v>
      </c>
      <c r="G229" s="551">
        <f t="shared" si="20"/>
        <v>47.78</v>
      </c>
      <c r="H229" s="560"/>
      <c r="I229" s="551">
        <f t="shared" si="21"/>
        <v>0</v>
      </c>
      <c r="J229" s="560"/>
      <c r="K229" s="551">
        <f t="shared" si="17"/>
        <v>0</v>
      </c>
      <c r="L229" s="557"/>
      <c r="M229" s="551">
        <f t="shared" si="18"/>
        <v>0</v>
      </c>
      <c r="N229" s="557"/>
      <c r="O229" s="551">
        <f t="shared" si="19"/>
        <v>0</v>
      </c>
    </row>
    <row r="230">
      <c r="A230" s="559" t="s">
        <v>246</v>
      </c>
      <c r="B230" s="551" t="s">
        <v>193</v>
      </c>
      <c r="C230" s="552" t="s">
        <v>217</v>
      </c>
      <c r="D230" s="557" t="s">
        <v>275</v>
      </c>
      <c r="E230" s="557"/>
      <c r="F230" s="554">
        <v>60</v>
      </c>
      <c r="G230" s="551">
        <f t="shared" si="20"/>
        <v>47.78</v>
      </c>
      <c r="H230" s="560"/>
      <c r="I230" s="551">
        <f t="shared" si="21"/>
        <v>0</v>
      </c>
      <c r="J230" s="560"/>
      <c r="K230" s="551">
        <f t="shared" si="17"/>
        <v>0</v>
      </c>
      <c r="L230" s="557"/>
      <c r="M230" s="551">
        <f t="shared" si="18"/>
        <v>0</v>
      </c>
      <c r="N230" s="557"/>
      <c r="O230" s="551">
        <f t="shared" si="19"/>
        <v>0</v>
      </c>
    </row>
    <row r="231">
      <c r="A231" s="559" t="s">
        <v>246</v>
      </c>
      <c r="B231" s="551" t="s">
        <v>193</v>
      </c>
      <c r="C231" s="552" t="s">
        <v>217</v>
      </c>
      <c r="D231" s="557">
        <v>8</v>
      </c>
      <c r="E231" s="557"/>
      <c r="F231" s="554">
        <v>60</v>
      </c>
      <c r="G231" s="551">
        <f t="shared" si="20"/>
        <v>47.78</v>
      </c>
      <c r="H231" s="560"/>
      <c r="I231" s="551">
        <f t="shared" si="21"/>
        <v>0</v>
      </c>
      <c r="J231" s="560"/>
      <c r="K231" s="551">
        <f t="shared" si="17"/>
        <v>0</v>
      </c>
      <c r="L231" s="557"/>
      <c r="M231" s="551">
        <f t="shared" si="18"/>
        <v>0</v>
      </c>
      <c r="N231" s="557"/>
      <c r="O231" s="551">
        <f t="shared" si="19"/>
        <v>0</v>
      </c>
    </row>
    <row r="232">
      <c r="A232" s="559" t="s">
        <v>252</v>
      </c>
      <c r="B232" s="551" t="s">
        <v>193</v>
      </c>
      <c r="C232" s="552" t="s">
        <v>217</v>
      </c>
      <c r="D232" s="557">
        <v>4</v>
      </c>
      <c r="E232" s="557"/>
      <c r="F232" s="554">
        <v>60</v>
      </c>
      <c r="G232" s="551">
        <f t="shared" si="20"/>
        <v>47.78</v>
      </c>
      <c r="H232" s="560"/>
      <c r="I232" s="551">
        <f t="shared" si="21"/>
        <v>0</v>
      </c>
      <c r="J232" s="560"/>
      <c r="K232" s="551">
        <f t="shared" si="17"/>
        <v>0</v>
      </c>
      <c r="L232" s="557"/>
      <c r="M232" s="551">
        <f t="shared" si="18"/>
        <v>0</v>
      </c>
      <c r="N232" s="557"/>
      <c r="O232" s="551">
        <f t="shared" si="19"/>
        <v>0</v>
      </c>
    </row>
    <row r="233">
      <c r="A233" s="559" t="s">
        <v>252</v>
      </c>
      <c r="B233" s="551" t="s">
        <v>193</v>
      </c>
      <c r="C233" s="552" t="s">
        <v>217</v>
      </c>
      <c r="D233" s="557" t="s">
        <v>269</v>
      </c>
      <c r="E233" s="557"/>
      <c r="F233" s="554">
        <v>60</v>
      </c>
      <c r="G233" s="551">
        <f t="shared" si="20"/>
        <v>47.78</v>
      </c>
      <c r="H233" s="560"/>
      <c r="I233" s="551">
        <f t="shared" si="21"/>
        <v>0</v>
      </c>
      <c r="J233" s="560"/>
      <c r="K233" s="551">
        <f t="shared" si="17"/>
        <v>0</v>
      </c>
      <c r="L233" s="557"/>
      <c r="M233" s="551">
        <f t="shared" si="18"/>
        <v>0</v>
      </c>
      <c r="N233" s="557"/>
      <c r="O233" s="551">
        <f t="shared" si="19"/>
        <v>0</v>
      </c>
    </row>
    <row r="234">
      <c r="A234" s="559" t="s">
        <v>252</v>
      </c>
      <c r="B234" s="551" t="s">
        <v>193</v>
      </c>
      <c r="C234" s="552" t="s">
        <v>217</v>
      </c>
      <c r="D234" s="557" t="s">
        <v>275</v>
      </c>
      <c r="E234" s="557"/>
      <c r="F234" s="554">
        <v>60</v>
      </c>
      <c r="G234" s="551">
        <f t="shared" si="20"/>
        <v>47.78</v>
      </c>
      <c r="H234" s="560"/>
      <c r="I234" s="551">
        <f t="shared" si="21"/>
        <v>0</v>
      </c>
      <c r="J234" s="560"/>
      <c r="K234" s="551">
        <f t="shared" si="17"/>
        <v>0</v>
      </c>
      <c r="L234" s="557"/>
      <c r="M234" s="551">
        <f t="shared" si="18"/>
        <v>0</v>
      </c>
      <c r="N234" s="557"/>
      <c r="O234" s="551">
        <f t="shared" si="19"/>
        <v>0</v>
      </c>
    </row>
    <row r="235">
      <c r="A235" s="559" t="s">
        <v>252</v>
      </c>
      <c r="B235" s="551" t="s">
        <v>193</v>
      </c>
      <c r="C235" s="552" t="s">
        <v>217</v>
      </c>
      <c r="D235" s="557">
        <v>8</v>
      </c>
      <c r="E235" s="557"/>
      <c r="F235" s="554">
        <v>60</v>
      </c>
      <c r="G235" s="551">
        <f t="shared" si="20"/>
        <v>47.78</v>
      </c>
      <c r="H235" s="560"/>
      <c r="I235" s="551">
        <f t="shared" si="21"/>
        <v>0</v>
      </c>
      <c r="J235" s="560"/>
      <c r="K235" s="551">
        <f t="shared" si="17"/>
        <v>0</v>
      </c>
      <c r="L235" s="557"/>
      <c r="M235" s="551">
        <f t="shared" si="18"/>
        <v>0</v>
      </c>
      <c r="N235" s="557"/>
      <c r="O235" s="551">
        <f t="shared" si="19"/>
        <v>0</v>
      </c>
    </row>
    <row r="236">
      <c r="A236" s="559" t="s">
        <v>216</v>
      </c>
      <c r="B236" s="551" t="s">
        <v>193</v>
      </c>
      <c r="C236" s="552" t="s">
        <v>217</v>
      </c>
      <c r="D236" s="557">
        <v>4</v>
      </c>
      <c r="E236" s="557"/>
      <c r="F236" s="554">
        <v>60</v>
      </c>
      <c r="G236" s="551">
        <f t="shared" si="20"/>
        <v>47.78</v>
      </c>
      <c r="H236" s="560"/>
      <c r="I236" s="551">
        <f t="shared" si="21"/>
        <v>0</v>
      </c>
      <c r="J236" s="560"/>
      <c r="K236" s="551">
        <f t="shared" si="17"/>
        <v>0</v>
      </c>
      <c r="L236" s="557"/>
      <c r="M236" s="551">
        <f t="shared" si="18"/>
        <v>0</v>
      </c>
      <c r="N236" s="557"/>
      <c r="O236" s="551">
        <f t="shared" si="19"/>
        <v>0</v>
      </c>
    </row>
    <row r="237">
      <c r="A237" s="559" t="s">
        <v>216</v>
      </c>
      <c r="B237" s="551" t="s">
        <v>193</v>
      </c>
      <c r="C237" s="552" t="s">
        <v>217</v>
      </c>
      <c r="D237" s="557" t="s">
        <v>269</v>
      </c>
      <c r="E237" s="557"/>
      <c r="F237" s="554">
        <v>60</v>
      </c>
      <c r="G237" s="551">
        <f t="shared" si="20"/>
        <v>47.78</v>
      </c>
      <c r="H237" s="560"/>
      <c r="I237" s="551">
        <f t="shared" si="21"/>
        <v>0</v>
      </c>
      <c r="J237" s="560"/>
      <c r="K237" s="551">
        <f t="shared" si="17"/>
        <v>0</v>
      </c>
      <c r="L237" s="557"/>
      <c r="M237" s="551">
        <f t="shared" si="18"/>
        <v>0</v>
      </c>
      <c r="N237" s="557"/>
      <c r="O237" s="551">
        <f t="shared" si="19"/>
        <v>0</v>
      </c>
    </row>
    <row r="238">
      <c r="A238" s="559" t="s">
        <v>216</v>
      </c>
      <c r="B238" s="551" t="s">
        <v>193</v>
      </c>
      <c r="C238" s="552" t="s">
        <v>217</v>
      </c>
      <c r="D238" s="557" t="s">
        <v>275</v>
      </c>
      <c r="E238" s="557"/>
      <c r="F238" s="554">
        <v>60</v>
      </c>
      <c r="G238" s="551">
        <f t="shared" si="20"/>
        <v>47.78</v>
      </c>
      <c r="H238" s="560"/>
      <c r="I238" s="551">
        <f t="shared" si="21"/>
        <v>0</v>
      </c>
      <c r="J238" s="560"/>
      <c r="K238" s="551">
        <f t="shared" si="17"/>
        <v>0</v>
      </c>
      <c r="L238" s="557"/>
      <c r="M238" s="551">
        <f t="shared" si="18"/>
        <v>0</v>
      </c>
      <c r="N238" s="557"/>
      <c r="O238" s="551">
        <f t="shared" si="19"/>
        <v>0</v>
      </c>
    </row>
    <row r="239">
      <c r="A239" s="559" t="s">
        <v>216</v>
      </c>
      <c r="B239" s="551" t="s">
        <v>193</v>
      </c>
      <c r="C239" s="552" t="s">
        <v>217</v>
      </c>
      <c r="D239" s="557">
        <v>8</v>
      </c>
      <c r="E239" s="557"/>
      <c r="F239" s="554">
        <v>60</v>
      </c>
      <c r="G239" s="551">
        <f t="shared" si="20"/>
        <v>47.78</v>
      </c>
      <c r="H239" s="560"/>
      <c r="I239" s="551">
        <f t="shared" si="21"/>
        <v>0</v>
      </c>
      <c r="J239" s="560"/>
      <c r="K239" s="551">
        <f t="shared" si="17"/>
        <v>0</v>
      </c>
      <c r="L239" s="557"/>
      <c r="M239" s="551">
        <f t="shared" si="18"/>
        <v>0</v>
      </c>
      <c r="N239" s="557"/>
      <c r="O239" s="551">
        <f t="shared" si="19"/>
        <v>0</v>
      </c>
    </row>
    <row r="240">
      <c r="A240" s="559" t="s">
        <v>222</v>
      </c>
      <c r="B240" s="551" t="s">
        <v>193</v>
      </c>
      <c r="C240" s="552" t="s">
        <v>217</v>
      </c>
      <c r="D240" s="557">
        <v>4</v>
      </c>
      <c r="E240" s="557"/>
      <c r="F240" s="554">
        <v>60</v>
      </c>
      <c r="G240" s="551">
        <f t="shared" si="20"/>
        <v>47.78</v>
      </c>
      <c r="H240" s="560"/>
      <c r="I240" s="551">
        <f t="shared" si="21"/>
        <v>0</v>
      </c>
      <c r="J240" s="560"/>
      <c r="K240" s="551">
        <f t="shared" si="17"/>
        <v>0</v>
      </c>
      <c r="L240" s="557"/>
      <c r="M240" s="551">
        <f t="shared" si="18"/>
        <v>0</v>
      </c>
      <c r="N240" s="557"/>
      <c r="O240" s="551">
        <f t="shared" si="19"/>
        <v>0</v>
      </c>
    </row>
    <row r="241">
      <c r="A241" s="559" t="s">
        <v>222</v>
      </c>
      <c r="B241" s="551" t="s">
        <v>193</v>
      </c>
      <c r="C241" s="552" t="s">
        <v>217</v>
      </c>
      <c r="D241" s="557" t="s">
        <v>269</v>
      </c>
      <c r="E241" s="557"/>
      <c r="F241" s="554">
        <v>60</v>
      </c>
      <c r="G241" s="551">
        <f t="shared" si="20"/>
        <v>47.78</v>
      </c>
      <c r="H241" s="560"/>
      <c r="I241" s="551">
        <f t="shared" si="21"/>
        <v>0</v>
      </c>
      <c r="J241" s="560"/>
      <c r="K241" s="551">
        <f t="shared" si="17"/>
        <v>0</v>
      </c>
      <c r="L241" s="557"/>
      <c r="M241" s="551">
        <f t="shared" si="18"/>
        <v>0</v>
      </c>
      <c r="N241" s="557"/>
      <c r="O241" s="551">
        <f t="shared" si="19"/>
        <v>0</v>
      </c>
    </row>
    <row r="242">
      <c r="A242" s="559" t="s">
        <v>222</v>
      </c>
      <c r="B242" s="551" t="s">
        <v>193</v>
      </c>
      <c r="C242" s="552" t="s">
        <v>217</v>
      </c>
      <c r="D242" s="557" t="s">
        <v>275</v>
      </c>
      <c r="E242" s="557"/>
      <c r="F242" s="554">
        <v>60</v>
      </c>
      <c r="G242" s="551">
        <f t="shared" si="20"/>
        <v>47.78</v>
      </c>
      <c r="H242" s="560"/>
      <c r="I242" s="551">
        <f t="shared" si="21"/>
        <v>0</v>
      </c>
      <c r="J242" s="560"/>
      <c r="K242" s="551">
        <f t="shared" si="17"/>
        <v>0</v>
      </c>
      <c r="L242" s="557"/>
      <c r="M242" s="551">
        <f t="shared" si="18"/>
        <v>0</v>
      </c>
      <c r="N242" s="557"/>
      <c r="O242" s="551">
        <f t="shared" si="19"/>
        <v>0</v>
      </c>
    </row>
    <row r="243">
      <c r="A243" s="559" t="s">
        <v>222</v>
      </c>
      <c r="B243" s="551" t="s">
        <v>193</v>
      </c>
      <c r="C243" s="552" t="s">
        <v>217</v>
      </c>
      <c r="D243" s="557">
        <v>8</v>
      </c>
      <c r="E243" s="557"/>
      <c r="F243" s="554">
        <v>60</v>
      </c>
      <c r="G243" s="551">
        <f t="shared" si="20"/>
        <v>47.78</v>
      </c>
      <c r="H243" s="560"/>
      <c r="I243" s="551">
        <f t="shared" si="21"/>
        <v>0</v>
      </c>
      <c r="J243" s="560"/>
      <c r="K243" s="551">
        <f t="shared" si="17"/>
        <v>0</v>
      </c>
      <c r="L243" s="557"/>
      <c r="M243" s="551">
        <f t="shared" si="18"/>
        <v>0</v>
      </c>
      <c r="N243" s="557"/>
      <c r="O243" s="551">
        <f t="shared" si="19"/>
        <v>0</v>
      </c>
    </row>
    <row r="244">
      <c r="A244" s="559" t="s">
        <v>226</v>
      </c>
      <c r="B244" s="551" t="s">
        <v>193</v>
      </c>
      <c r="C244" s="552" t="s">
        <v>217</v>
      </c>
      <c r="D244" s="557">
        <v>4</v>
      </c>
      <c r="E244" s="557"/>
      <c r="F244" s="554">
        <v>60</v>
      </c>
      <c r="G244" s="551">
        <f t="shared" si="20"/>
        <v>47.78</v>
      </c>
      <c r="H244" s="560"/>
      <c r="I244" s="551">
        <f t="shared" si="21"/>
        <v>0</v>
      </c>
      <c r="J244" s="560"/>
      <c r="K244" s="551">
        <f t="shared" si="17"/>
        <v>0</v>
      </c>
      <c r="L244" s="557"/>
      <c r="M244" s="551">
        <f t="shared" si="18"/>
        <v>0</v>
      </c>
      <c r="N244" s="557"/>
      <c r="O244" s="551">
        <f t="shared" si="19"/>
        <v>0</v>
      </c>
    </row>
    <row r="245">
      <c r="A245" s="559" t="s">
        <v>226</v>
      </c>
      <c r="B245" s="551" t="s">
        <v>193</v>
      </c>
      <c r="C245" s="552" t="s">
        <v>217</v>
      </c>
      <c r="D245" s="557" t="s">
        <v>269</v>
      </c>
      <c r="E245" s="557"/>
      <c r="F245" s="554">
        <v>60</v>
      </c>
      <c r="G245" s="551">
        <f t="shared" si="20"/>
        <v>47.78</v>
      </c>
      <c r="H245" s="560"/>
      <c r="I245" s="551">
        <f t="shared" si="21"/>
        <v>0</v>
      </c>
      <c r="J245" s="560"/>
      <c r="K245" s="551">
        <f t="shared" si="17"/>
        <v>0</v>
      </c>
      <c r="L245" s="557"/>
      <c r="M245" s="551">
        <f t="shared" si="18"/>
        <v>0</v>
      </c>
      <c r="N245" s="557"/>
      <c r="O245" s="551">
        <f t="shared" si="19"/>
        <v>0</v>
      </c>
    </row>
    <row r="246">
      <c r="A246" s="559" t="s">
        <v>226</v>
      </c>
      <c r="B246" s="551" t="s">
        <v>193</v>
      </c>
      <c r="C246" s="552" t="s">
        <v>217</v>
      </c>
      <c r="D246" s="557" t="s">
        <v>275</v>
      </c>
      <c r="E246" s="557"/>
      <c r="F246" s="554">
        <v>60</v>
      </c>
      <c r="G246" s="551">
        <f t="shared" si="20"/>
        <v>47.78</v>
      </c>
      <c r="H246" s="560"/>
      <c r="I246" s="551">
        <f t="shared" si="21"/>
        <v>0</v>
      </c>
      <c r="J246" s="560"/>
      <c r="K246" s="551">
        <f t="shared" si="17"/>
        <v>0</v>
      </c>
      <c r="L246" s="557"/>
      <c r="M246" s="551">
        <f t="shared" si="18"/>
        <v>0</v>
      </c>
      <c r="N246" s="557"/>
      <c r="O246" s="551">
        <f t="shared" si="19"/>
        <v>0</v>
      </c>
    </row>
    <row r="247">
      <c r="A247" s="559" t="s">
        <v>226</v>
      </c>
      <c r="B247" s="551" t="s">
        <v>193</v>
      </c>
      <c r="C247" s="552" t="s">
        <v>217</v>
      </c>
      <c r="D247" s="557">
        <v>8</v>
      </c>
      <c r="E247" s="557"/>
      <c r="F247" s="554">
        <v>60</v>
      </c>
      <c r="G247" s="551">
        <f t="shared" si="20"/>
        <v>47.78</v>
      </c>
      <c r="H247" s="560"/>
      <c r="I247" s="551">
        <f t="shared" si="21"/>
        <v>0</v>
      </c>
      <c r="J247" s="560"/>
      <c r="K247" s="551">
        <f t="shared" si="17"/>
        <v>0</v>
      </c>
      <c r="L247" s="557"/>
      <c r="M247" s="551">
        <f t="shared" si="18"/>
        <v>0</v>
      </c>
      <c r="N247" s="557"/>
      <c r="O247" s="551">
        <f t="shared" si="19"/>
        <v>0</v>
      </c>
    </row>
    <row r="248">
      <c r="A248" s="559" t="s">
        <v>270</v>
      </c>
      <c r="B248" s="551" t="s">
        <v>193</v>
      </c>
      <c r="C248" s="552" t="s">
        <v>217</v>
      </c>
      <c r="D248" s="557">
        <v>4</v>
      </c>
      <c r="E248" s="557"/>
      <c r="F248" s="554">
        <v>60</v>
      </c>
      <c r="G248" s="551">
        <f t="shared" si="20"/>
        <v>47.78</v>
      </c>
      <c r="H248" s="472">
        <v>40</v>
      </c>
      <c r="I248" s="551">
        <f t="shared" si="21"/>
        <v>46.02</v>
      </c>
      <c r="J248" s="560"/>
      <c r="K248" s="551">
        <f t="shared" si="17"/>
        <v>0</v>
      </c>
      <c r="L248" s="557"/>
      <c r="M248" s="551">
        <f t="shared" si="18"/>
        <v>0</v>
      </c>
      <c r="N248" s="557"/>
      <c r="O248" s="551">
        <f t="shared" si="19"/>
        <v>0</v>
      </c>
    </row>
    <row r="249">
      <c r="A249" s="559" t="s">
        <v>270</v>
      </c>
      <c r="B249" s="551" t="s">
        <v>193</v>
      </c>
      <c r="C249" s="552" t="s">
        <v>217</v>
      </c>
      <c r="D249" s="557" t="s">
        <v>269</v>
      </c>
      <c r="E249" s="557"/>
      <c r="F249" s="554">
        <v>60</v>
      </c>
      <c r="G249" s="551">
        <f t="shared" si="20"/>
        <v>47.78</v>
      </c>
      <c r="H249" s="472">
        <v>60</v>
      </c>
      <c r="I249" s="551">
        <f t="shared" si="21"/>
        <v>47.78</v>
      </c>
      <c r="J249" s="560"/>
      <c r="K249" s="551">
        <f t="shared" si="17"/>
        <v>0</v>
      </c>
      <c r="L249" s="557"/>
      <c r="M249" s="551">
        <f t="shared" si="18"/>
        <v>0</v>
      </c>
      <c r="N249" s="557"/>
      <c r="O249" s="551">
        <f t="shared" si="19"/>
        <v>0</v>
      </c>
    </row>
    <row r="250">
      <c r="A250" s="559" t="s">
        <v>270</v>
      </c>
      <c r="B250" s="551" t="s">
        <v>193</v>
      </c>
      <c r="C250" s="552" t="s">
        <v>217</v>
      </c>
      <c r="D250" s="557" t="s">
        <v>275</v>
      </c>
      <c r="E250" s="557"/>
      <c r="F250" s="554">
        <v>60</v>
      </c>
      <c r="G250" s="551">
        <f t="shared" si="20"/>
        <v>47.78</v>
      </c>
      <c r="H250" s="472">
        <v>60</v>
      </c>
      <c r="I250" s="551">
        <f t="shared" si="21"/>
        <v>47.78</v>
      </c>
      <c r="J250" s="560"/>
      <c r="K250" s="551">
        <f t="shared" si="17"/>
        <v>0</v>
      </c>
      <c r="L250" s="557"/>
      <c r="M250" s="551">
        <f t="shared" si="18"/>
        <v>0</v>
      </c>
      <c r="N250" s="557"/>
      <c r="O250" s="551">
        <f t="shared" si="19"/>
        <v>0</v>
      </c>
    </row>
    <row r="251">
      <c r="A251" s="559" t="s">
        <v>270</v>
      </c>
      <c r="B251" s="551" t="s">
        <v>193</v>
      </c>
      <c r="C251" s="552" t="s">
        <v>217</v>
      </c>
      <c r="D251" s="557">
        <v>8</v>
      </c>
      <c r="E251" s="557"/>
      <c r="F251" s="554">
        <v>60</v>
      </c>
      <c r="G251" s="551">
        <f t="shared" si="20"/>
        <v>47.78</v>
      </c>
      <c r="H251" s="472">
        <v>80</v>
      </c>
      <c r="I251" s="551">
        <f t="shared" si="21"/>
        <v>49.03</v>
      </c>
      <c r="J251" s="560"/>
      <c r="K251" s="551">
        <f t="shared" si="17"/>
        <v>0</v>
      </c>
      <c r="L251" s="557"/>
      <c r="M251" s="551">
        <f t="shared" si="18"/>
        <v>0</v>
      </c>
      <c r="N251" s="557"/>
      <c r="O251" s="551">
        <f t="shared" si="19"/>
        <v>0</v>
      </c>
    </row>
    <row r="252">
      <c r="A252" s="559" t="s">
        <v>321</v>
      </c>
      <c r="B252" s="551" t="s">
        <v>193</v>
      </c>
      <c r="C252" s="552" t="s">
        <v>217</v>
      </c>
      <c r="D252" s="557">
        <v>4</v>
      </c>
      <c r="E252" s="557"/>
      <c r="F252" s="560"/>
      <c r="G252" s="551">
        <f t="shared" si="20"/>
        <v>0</v>
      </c>
      <c r="H252" s="560"/>
      <c r="I252" s="551">
        <f t="shared" si="21"/>
        <v>0</v>
      </c>
      <c r="J252" s="560"/>
      <c r="K252" s="551">
        <f t="shared" si="17"/>
        <v>0</v>
      </c>
      <c r="L252" s="557"/>
      <c r="M252" s="551">
        <f t="shared" si="18"/>
        <v>0</v>
      </c>
      <c r="N252" s="557"/>
      <c r="O252" s="551">
        <f t="shared" si="19"/>
        <v>0</v>
      </c>
    </row>
    <row r="253">
      <c r="A253" s="559" t="s">
        <v>321</v>
      </c>
      <c r="B253" s="551" t="s">
        <v>193</v>
      </c>
      <c r="C253" s="552" t="s">
        <v>217</v>
      </c>
      <c r="D253" s="557" t="s">
        <v>269</v>
      </c>
      <c r="E253" s="557"/>
      <c r="F253" s="560"/>
      <c r="G253" s="551">
        <f t="shared" si="20"/>
        <v>0</v>
      </c>
      <c r="H253" s="560"/>
      <c r="I253" s="551">
        <f t="shared" si="21"/>
        <v>0</v>
      </c>
      <c r="J253" s="560"/>
      <c r="K253" s="551">
        <f t="shared" si="17"/>
        <v>0</v>
      </c>
      <c r="L253" s="557"/>
      <c r="M253" s="551">
        <f t="shared" si="18"/>
        <v>0</v>
      </c>
      <c r="N253" s="557"/>
      <c r="O253" s="551">
        <f t="shared" si="19"/>
        <v>0</v>
      </c>
    </row>
    <row r="254">
      <c r="A254" s="559" t="s">
        <v>321</v>
      </c>
      <c r="B254" s="551" t="s">
        <v>193</v>
      </c>
      <c r="C254" s="552" t="s">
        <v>217</v>
      </c>
      <c r="D254" s="557" t="s">
        <v>275</v>
      </c>
      <c r="E254" s="557"/>
      <c r="F254" s="560"/>
      <c r="G254" s="551">
        <f t="shared" si="20"/>
        <v>0</v>
      </c>
      <c r="H254" s="560"/>
      <c r="I254" s="551">
        <f t="shared" si="21"/>
        <v>0</v>
      </c>
      <c r="J254" s="560"/>
      <c r="K254" s="551">
        <f t="shared" si="17"/>
        <v>0</v>
      </c>
      <c r="L254" s="557"/>
      <c r="M254" s="551">
        <f t="shared" si="18"/>
        <v>0</v>
      </c>
      <c r="N254" s="557"/>
      <c r="O254" s="551">
        <f t="shared" si="19"/>
        <v>0</v>
      </c>
    </row>
    <row r="255">
      <c r="A255" s="559" t="s">
        <v>321</v>
      </c>
      <c r="B255" s="551" t="s">
        <v>193</v>
      </c>
      <c r="C255" s="552" t="s">
        <v>217</v>
      </c>
      <c r="D255" s="557">
        <v>8</v>
      </c>
      <c r="E255" s="557"/>
      <c r="F255" s="560"/>
      <c r="G255" s="551">
        <f t="shared" si="20"/>
        <v>0</v>
      </c>
      <c r="H255" s="560"/>
      <c r="I255" s="551">
        <f t="shared" si="21"/>
        <v>0</v>
      </c>
      <c r="J255" s="560"/>
      <c r="K255" s="551">
        <f t="shared" si="17"/>
        <v>0</v>
      </c>
      <c r="L255" s="557"/>
      <c r="M255" s="551">
        <f t="shared" si="18"/>
        <v>0</v>
      </c>
      <c r="N255" s="557"/>
      <c r="O255" s="551">
        <f t="shared" si="19"/>
        <v>0</v>
      </c>
    </row>
    <row r="256">
      <c r="A256" s="559" t="s">
        <v>325</v>
      </c>
      <c r="B256" s="551" t="s">
        <v>193</v>
      </c>
      <c r="C256" s="552" t="s">
        <v>217</v>
      </c>
      <c r="D256" s="557">
        <v>4</v>
      </c>
      <c r="E256" s="557"/>
      <c r="F256" s="560"/>
      <c r="G256" s="551">
        <f t="shared" si="20"/>
        <v>0</v>
      </c>
      <c r="H256" s="560"/>
      <c r="I256" s="551">
        <f t="shared" si="21"/>
        <v>0</v>
      </c>
      <c r="J256" s="560"/>
      <c r="K256" s="551">
        <f t="shared" si="17"/>
        <v>0</v>
      </c>
      <c r="L256" s="557"/>
      <c r="M256" s="551">
        <f t="shared" si="18"/>
        <v>0</v>
      </c>
      <c r="N256" s="557"/>
      <c r="O256" s="551">
        <f t="shared" si="19"/>
        <v>0</v>
      </c>
    </row>
    <row r="257">
      <c r="A257" s="559" t="s">
        <v>325</v>
      </c>
      <c r="B257" s="551" t="s">
        <v>193</v>
      </c>
      <c r="C257" s="552" t="s">
        <v>217</v>
      </c>
      <c r="D257" s="557" t="s">
        <v>269</v>
      </c>
      <c r="E257" s="557"/>
      <c r="F257" s="560"/>
      <c r="G257" s="551">
        <f t="shared" si="20"/>
        <v>0</v>
      </c>
      <c r="H257" s="560"/>
      <c r="I257" s="551">
        <f t="shared" si="21"/>
        <v>0</v>
      </c>
      <c r="J257" s="560"/>
      <c r="K257" s="551">
        <f t="shared" si="17"/>
        <v>0</v>
      </c>
      <c r="L257" s="557"/>
      <c r="M257" s="551">
        <f t="shared" si="18"/>
        <v>0</v>
      </c>
      <c r="N257" s="557"/>
      <c r="O257" s="551">
        <f t="shared" si="19"/>
        <v>0</v>
      </c>
    </row>
    <row r="258">
      <c r="A258" s="559" t="s">
        <v>325</v>
      </c>
      <c r="B258" s="551" t="s">
        <v>193</v>
      </c>
      <c r="C258" s="552" t="s">
        <v>217</v>
      </c>
      <c r="D258" s="557" t="s">
        <v>275</v>
      </c>
      <c r="E258" s="557"/>
      <c r="F258" s="560"/>
      <c r="G258" s="551">
        <f t="shared" si="20"/>
        <v>0</v>
      </c>
      <c r="H258" s="560"/>
      <c r="I258" s="551">
        <f t="shared" si="21"/>
        <v>0</v>
      </c>
      <c r="J258" s="560"/>
      <c r="K258" s="551">
        <f t="shared" si="17"/>
        <v>0</v>
      </c>
      <c r="L258" s="557"/>
      <c r="M258" s="551">
        <f t="shared" si="18"/>
        <v>0</v>
      </c>
      <c r="N258" s="557"/>
      <c r="O258" s="551">
        <f t="shared" si="19"/>
        <v>0</v>
      </c>
    </row>
    <row r="259">
      <c r="A259" s="559" t="s">
        <v>325</v>
      </c>
      <c r="B259" s="551" t="s">
        <v>193</v>
      </c>
      <c r="C259" s="552" t="s">
        <v>217</v>
      </c>
      <c r="D259" s="557">
        <v>8</v>
      </c>
      <c r="E259" s="557"/>
      <c r="F259" s="560"/>
      <c r="G259" s="551">
        <f t="shared" si="20"/>
        <v>0</v>
      </c>
      <c r="H259" s="560"/>
      <c r="I259" s="551">
        <f t="shared" si="21"/>
        <v>0</v>
      </c>
      <c r="J259" s="560"/>
      <c r="K259" s="551">
        <f t="shared" si="17"/>
        <v>0</v>
      </c>
      <c r="L259" s="557"/>
      <c r="M259" s="551">
        <f t="shared" si="18"/>
        <v>0</v>
      </c>
      <c r="N259" s="557"/>
      <c r="O259" s="551">
        <f t="shared" si="19"/>
        <v>0</v>
      </c>
    </row>
    <row r="260">
      <c r="A260" s="559" t="s">
        <v>330</v>
      </c>
      <c r="B260" s="551" t="s">
        <v>193</v>
      </c>
      <c r="C260" s="552" t="s">
        <v>217</v>
      </c>
      <c r="D260" s="557">
        <v>4</v>
      </c>
      <c r="E260" s="557"/>
      <c r="F260" s="560"/>
      <c r="G260" s="551">
        <f t="shared" si="20"/>
        <v>0</v>
      </c>
      <c r="H260" s="560"/>
      <c r="I260" s="551">
        <f t="shared" si="21"/>
        <v>0</v>
      </c>
      <c r="J260" s="560"/>
      <c r="K260" s="551">
        <f ref="K260:K323" t="shared" si="22">IF(J260&gt;0,ROUND(10*LOG10(J260)+30,2),0)</f>
        <v>0</v>
      </c>
      <c r="L260" s="557"/>
      <c r="M260" s="551">
        <f ref="M260:M323" t="shared" si="23">IF(L260&gt;0,ROUND(10*LOG10(L260)+30,2),0)</f>
        <v>0</v>
      </c>
      <c r="N260" s="557"/>
      <c r="O260" s="551">
        <f ref="O260:O323" t="shared" si="24">IF(N260&gt;0,ROUND(10*LOG10(N260)+30,2),0)</f>
        <v>0</v>
      </c>
    </row>
    <row r="261">
      <c r="A261" s="559" t="s">
        <v>330</v>
      </c>
      <c r="B261" s="551" t="s">
        <v>193</v>
      </c>
      <c r="C261" s="552" t="s">
        <v>217</v>
      </c>
      <c r="D261" s="557" t="s">
        <v>269</v>
      </c>
      <c r="E261" s="557"/>
      <c r="F261" s="560"/>
      <c r="G261" s="551">
        <f ref="G261:G324" t="shared" si="25">IF(F261&gt;0,ROUND(10*LOG10(F261)+30,2),0)</f>
        <v>0</v>
      </c>
      <c r="H261" s="560"/>
      <c r="I261" s="551">
        <f ref="I261:I324" t="shared" si="26">IF(H261&gt;0,ROUND(10*LOG10(H261)+30,2),0)</f>
        <v>0</v>
      </c>
      <c r="J261" s="560"/>
      <c r="K261" s="551">
        <f t="shared" si="22"/>
        <v>0</v>
      </c>
      <c r="L261" s="557"/>
      <c r="M261" s="551">
        <f t="shared" si="23"/>
        <v>0</v>
      </c>
      <c r="N261" s="557"/>
      <c r="O261" s="551">
        <f t="shared" si="24"/>
        <v>0</v>
      </c>
    </row>
    <row r="262">
      <c r="A262" s="559" t="s">
        <v>330</v>
      </c>
      <c r="B262" s="551" t="s">
        <v>193</v>
      </c>
      <c r="C262" s="552" t="s">
        <v>217</v>
      </c>
      <c r="D262" s="557" t="s">
        <v>275</v>
      </c>
      <c r="E262" s="557"/>
      <c r="F262" s="560"/>
      <c r="G262" s="551">
        <f t="shared" si="25"/>
        <v>0</v>
      </c>
      <c r="H262" s="560"/>
      <c r="I262" s="551">
        <f t="shared" si="26"/>
        <v>0</v>
      </c>
      <c r="J262" s="560"/>
      <c r="K262" s="551">
        <f t="shared" si="22"/>
        <v>0</v>
      </c>
      <c r="L262" s="557"/>
      <c r="M262" s="551">
        <f t="shared" si="23"/>
        <v>0</v>
      </c>
      <c r="N262" s="557"/>
      <c r="O262" s="551">
        <f t="shared" si="24"/>
        <v>0</v>
      </c>
    </row>
    <row r="263">
      <c r="A263" s="559" t="s">
        <v>330</v>
      </c>
      <c r="B263" s="551" t="s">
        <v>193</v>
      </c>
      <c r="C263" s="552" t="s">
        <v>217</v>
      </c>
      <c r="D263" s="557">
        <v>8</v>
      </c>
      <c r="E263" s="557"/>
      <c r="F263" s="560"/>
      <c r="G263" s="551">
        <f t="shared" si="25"/>
        <v>0</v>
      </c>
      <c r="H263" s="560"/>
      <c r="I263" s="551">
        <f t="shared" si="26"/>
        <v>0</v>
      </c>
      <c r="J263" s="560"/>
      <c r="K263" s="551">
        <f t="shared" si="22"/>
        <v>0</v>
      </c>
      <c r="L263" s="557"/>
      <c r="M263" s="551">
        <f t="shared" si="23"/>
        <v>0</v>
      </c>
      <c r="N263" s="557"/>
      <c r="O263" s="551">
        <f t="shared" si="24"/>
        <v>0</v>
      </c>
    </row>
    <row r="264">
      <c r="A264" s="559" t="s">
        <v>195</v>
      </c>
      <c r="B264" s="551" t="s">
        <v>193</v>
      </c>
      <c r="C264" s="552" t="s">
        <v>217</v>
      </c>
      <c r="D264" s="557">
        <v>4</v>
      </c>
      <c r="E264" s="557"/>
      <c r="F264" s="560">
        <v>60</v>
      </c>
      <c r="G264" s="551">
        <f t="shared" si="25"/>
        <v>47.78</v>
      </c>
      <c r="H264" s="560"/>
      <c r="I264" s="551">
        <f t="shared" si="26"/>
        <v>0</v>
      </c>
      <c r="J264" s="560"/>
      <c r="K264" s="551">
        <f t="shared" si="22"/>
        <v>0</v>
      </c>
      <c r="L264" s="557"/>
      <c r="M264" s="551">
        <f t="shared" si="23"/>
        <v>0</v>
      </c>
      <c r="N264" s="557"/>
      <c r="O264" s="551">
        <f t="shared" si="24"/>
        <v>0</v>
      </c>
    </row>
    <row r="265">
      <c r="A265" s="559" t="s">
        <v>195</v>
      </c>
      <c r="B265" s="551" t="s">
        <v>193</v>
      </c>
      <c r="C265" s="552" t="s">
        <v>217</v>
      </c>
      <c r="D265" s="557" t="s">
        <v>265</v>
      </c>
      <c r="E265" s="557"/>
      <c r="F265" s="560">
        <v>60</v>
      </c>
      <c r="G265" s="551">
        <f t="shared" si="25"/>
        <v>47.78</v>
      </c>
      <c r="H265" s="560"/>
      <c r="I265" s="551">
        <f t="shared" si="26"/>
        <v>0</v>
      </c>
      <c r="J265" s="560"/>
      <c r="K265" s="551">
        <f t="shared" si="22"/>
        <v>0</v>
      </c>
      <c r="L265" s="557"/>
      <c r="M265" s="551">
        <f t="shared" si="23"/>
        <v>0</v>
      </c>
      <c r="N265" s="557"/>
      <c r="O265" s="551">
        <f t="shared" si="24"/>
        <v>0</v>
      </c>
    </row>
    <row r="266">
      <c r="A266" s="559" t="s">
        <v>195</v>
      </c>
      <c r="B266" s="551" t="s">
        <v>193</v>
      </c>
      <c r="C266" s="552" t="s">
        <v>217</v>
      </c>
      <c r="D266" s="557" t="s">
        <v>261</v>
      </c>
      <c r="E266" s="557"/>
      <c r="F266" s="560">
        <v>60</v>
      </c>
      <c r="G266" s="551">
        <f t="shared" si="25"/>
        <v>47.78</v>
      </c>
      <c r="H266" s="560"/>
      <c r="I266" s="551">
        <f t="shared" si="26"/>
        <v>0</v>
      </c>
      <c r="J266" s="560"/>
      <c r="K266" s="551">
        <f t="shared" si="22"/>
        <v>0</v>
      </c>
      <c r="L266" s="557"/>
      <c r="M266" s="551">
        <f t="shared" si="23"/>
        <v>0</v>
      </c>
      <c r="N266" s="557"/>
      <c r="O266" s="551">
        <f t="shared" si="24"/>
        <v>0</v>
      </c>
    </row>
    <row r="267">
      <c r="A267" s="559" t="s">
        <v>195</v>
      </c>
      <c r="B267" s="551" t="s">
        <v>193</v>
      </c>
      <c r="C267" s="552" t="s">
        <v>217</v>
      </c>
      <c r="D267" s="557" t="s">
        <v>275</v>
      </c>
      <c r="E267" s="557"/>
      <c r="F267" s="560">
        <v>60</v>
      </c>
      <c r="G267" s="551">
        <f t="shared" si="25"/>
        <v>47.78</v>
      </c>
      <c r="H267" s="560"/>
      <c r="I267" s="551">
        <f t="shared" si="26"/>
        <v>0</v>
      </c>
      <c r="J267" s="560"/>
      <c r="K267" s="551">
        <f t="shared" si="22"/>
        <v>0</v>
      </c>
      <c r="L267" s="557"/>
      <c r="M267" s="551">
        <f t="shared" si="23"/>
        <v>0</v>
      </c>
      <c r="N267" s="557"/>
      <c r="O267" s="551">
        <f t="shared" si="24"/>
        <v>0</v>
      </c>
    </row>
    <row r="268">
      <c r="A268" s="559" t="s">
        <v>195</v>
      </c>
      <c r="B268" s="551" t="s">
        <v>193</v>
      </c>
      <c r="C268" s="552" t="s">
        <v>217</v>
      </c>
      <c r="D268" s="557" t="s">
        <v>269</v>
      </c>
      <c r="E268" s="557"/>
      <c r="F268" s="560">
        <v>60</v>
      </c>
      <c r="G268" s="551">
        <f t="shared" si="25"/>
        <v>47.78</v>
      </c>
      <c r="H268" s="560"/>
      <c r="I268" s="551">
        <f t="shared" si="26"/>
        <v>0</v>
      </c>
      <c r="J268" s="560"/>
      <c r="K268" s="551">
        <f t="shared" si="22"/>
        <v>0</v>
      </c>
      <c r="L268" s="557"/>
      <c r="M268" s="551">
        <f t="shared" si="23"/>
        <v>0</v>
      </c>
      <c r="N268" s="557"/>
      <c r="O268" s="551">
        <f t="shared" si="24"/>
        <v>0</v>
      </c>
    </row>
    <row r="269">
      <c r="A269" s="559" t="s">
        <v>195</v>
      </c>
      <c r="B269" s="551" t="s">
        <v>193</v>
      </c>
      <c r="C269" s="552" t="s">
        <v>217</v>
      </c>
      <c r="D269" s="557" t="s">
        <v>284</v>
      </c>
      <c r="E269" s="557"/>
      <c r="F269" s="560">
        <v>60</v>
      </c>
      <c r="G269" s="551">
        <f t="shared" si="25"/>
        <v>47.78</v>
      </c>
      <c r="H269" s="560"/>
      <c r="I269" s="551">
        <f t="shared" si="26"/>
        <v>0</v>
      </c>
      <c r="J269" s="560"/>
      <c r="K269" s="551">
        <f t="shared" si="22"/>
        <v>0</v>
      </c>
      <c r="L269" s="557"/>
      <c r="M269" s="551">
        <f t="shared" si="23"/>
        <v>0</v>
      </c>
      <c r="N269" s="557"/>
      <c r="O269" s="551">
        <f t="shared" si="24"/>
        <v>0</v>
      </c>
    </row>
    <row r="270">
      <c r="A270" s="559" t="s">
        <v>195</v>
      </c>
      <c r="B270" s="551" t="s">
        <v>193</v>
      </c>
      <c r="C270" s="552" t="s">
        <v>217</v>
      </c>
      <c r="D270" s="557" t="s">
        <v>388</v>
      </c>
      <c r="E270" s="557"/>
      <c r="F270" s="560">
        <v>60</v>
      </c>
      <c r="G270" s="551">
        <f t="shared" si="25"/>
        <v>47.78</v>
      </c>
      <c r="H270" s="560"/>
      <c r="I270" s="551">
        <f t="shared" si="26"/>
        <v>0</v>
      </c>
      <c r="J270" s="560"/>
      <c r="K270" s="551">
        <f t="shared" si="22"/>
        <v>0</v>
      </c>
      <c r="L270" s="557"/>
      <c r="M270" s="551">
        <f t="shared" si="23"/>
        <v>0</v>
      </c>
      <c r="N270" s="557"/>
      <c r="O270" s="551">
        <f t="shared" si="24"/>
        <v>0</v>
      </c>
    </row>
    <row r="271">
      <c r="A271" s="559" t="s">
        <v>195</v>
      </c>
      <c r="B271" s="551" t="s">
        <v>193</v>
      </c>
      <c r="C271" s="552" t="s">
        <v>217</v>
      </c>
      <c r="D271" s="557">
        <v>8</v>
      </c>
      <c r="E271" s="557"/>
      <c r="F271" s="560">
        <v>60</v>
      </c>
      <c r="G271" s="551">
        <f t="shared" si="25"/>
        <v>47.78</v>
      </c>
      <c r="H271" s="560"/>
      <c r="I271" s="551">
        <f t="shared" si="26"/>
        <v>0</v>
      </c>
      <c r="J271" s="560"/>
      <c r="K271" s="551">
        <f t="shared" si="22"/>
        <v>0</v>
      </c>
      <c r="L271" s="557"/>
      <c r="M271" s="551">
        <f t="shared" si="23"/>
        <v>0</v>
      </c>
      <c r="N271" s="557"/>
      <c r="O271" s="551">
        <f t="shared" si="24"/>
        <v>0</v>
      </c>
    </row>
    <row r="272">
      <c r="A272" s="559" t="s">
        <v>346</v>
      </c>
      <c r="B272" s="551" t="s">
        <v>193</v>
      </c>
      <c r="C272" s="552" t="s">
        <v>217</v>
      </c>
      <c r="D272" s="557">
        <v>6</v>
      </c>
      <c r="E272" s="557"/>
      <c r="F272" s="560">
        <v>60</v>
      </c>
      <c r="G272" s="551">
        <f t="shared" si="25"/>
        <v>47.78</v>
      </c>
      <c r="H272" s="560"/>
      <c r="I272" s="551">
        <f t="shared" si="26"/>
        <v>0</v>
      </c>
      <c r="J272" s="560"/>
      <c r="K272" s="551">
        <f t="shared" si="22"/>
        <v>0</v>
      </c>
      <c r="L272" s="557"/>
      <c r="M272" s="551">
        <f t="shared" si="23"/>
        <v>0</v>
      </c>
      <c r="N272" s="557"/>
      <c r="O272" s="551">
        <f t="shared" si="24"/>
        <v>0</v>
      </c>
    </row>
    <row r="273">
      <c r="A273" s="559" t="s">
        <v>346</v>
      </c>
      <c r="B273" s="551" t="s">
        <v>193</v>
      </c>
      <c r="C273" s="552" t="s">
        <v>217</v>
      </c>
      <c r="D273" s="557">
        <v>8</v>
      </c>
      <c r="E273" s="557"/>
      <c r="F273" s="560">
        <v>60</v>
      </c>
      <c r="G273" s="551">
        <f t="shared" si="25"/>
        <v>47.78</v>
      </c>
      <c r="H273" s="560"/>
      <c r="I273" s="551">
        <f t="shared" si="26"/>
        <v>0</v>
      </c>
      <c r="J273" s="560"/>
      <c r="K273" s="551">
        <f t="shared" si="22"/>
        <v>0</v>
      </c>
      <c r="L273" s="557"/>
      <c r="M273" s="551">
        <f t="shared" si="23"/>
        <v>0</v>
      </c>
      <c r="N273" s="557"/>
      <c r="O273" s="551">
        <f t="shared" si="24"/>
        <v>0</v>
      </c>
    </row>
    <row r="274">
      <c r="A274" s="559" t="s">
        <v>346</v>
      </c>
      <c r="B274" s="551" t="s">
        <v>193</v>
      </c>
      <c r="C274" s="552" t="s">
        <v>217</v>
      </c>
      <c r="D274" s="557">
        <v>10</v>
      </c>
      <c r="E274" s="557"/>
      <c r="F274" s="560">
        <v>60</v>
      </c>
      <c r="G274" s="551">
        <f t="shared" si="25"/>
        <v>47.78</v>
      </c>
      <c r="H274" s="560"/>
      <c r="I274" s="551">
        <f t="shared" si="26"/>
        <v>0</v>
      </c>
      <c r="J274" s="560"/>
      <c r="K274" s="551">
        <f t="shared" si="22"/>
        <v>0</v>
      </c>
      <c r="L274" s="557"/>
      <c r="M274" s="551">
        <f t="shared" si="23"/>
        <v>0</v>
      </c>
      <c r="N274" s="557"/>
      <c r="O274" s="551">
        <f t="shared" si="24"/>
        <v>0</v>
      </c>
    </row>
    <row r="275">
      <c r="A275" s="559" t="s">
        <v>346</v>
      </c>
      <c r="B275" s="551" t="s">
        <v>193</v>
      </c>
      <c r="C275" s="552" t="s">
        <v>217</v>
      </c>
      <c r="D275" s="557">
        <v>12</v>
      </c>
      <c r="E275" s="557"/>
      <c r="F275" s="560">
        <v>60</v>
      </c>
      <c r="G275" s="551">
        <f t="shared" si="25"/>
        <v>47.78</v>
      </c>
      <c r="H275" s="560"/>
      <c r="I275" s="551">
        <f t="shared" si="26"/>
        <v>0</v>
      </c>
      <c r="J275" s="560"/>
      <c r="K275" s="551">
        <f t="shared" si="22"/>
        <v>0</v>
      </c>
      <c r="L275" s="557"/>
      <c r="M275" s="551">
        <f t="shared" si="23"/>
        <v>0</v>
      </c>
      <c r="N275" s="557"/>
      <c r="O275" s="551">
        <f t="shared" si="24"/>
        <v>0</v>
      </c>
    </row>
    <row r="276">
      <c r="A276" s="559" t="s">
        <v>299</v>
      </c>
      <c r="B276" s="551" t="s">
        <v>193</v>
      </c>
      <c r="C276" s="552" t="s">
        <v>217</v>
      </c>
      <c r="D276" s="557">
        <v>4</v>
      </c>
      <c r="E276" s="557"/>
      <c r="F276" s="560">
        <v>60</v>
      </c>
      <c r="G276" s="551">
        <f t="shared" si="25"/>
        <v>47.78</v>
      </c>
      <c r="H276" s="472">
        <v>60</v>
      </c>
      <c r="I276" s="551">
        <f t="shared" si="26"/>
        <v>47.78</v>
      </c>
      <c r="J276" s="560"/>
      <c r="K276" s="551">
        <f t="shared" si="22"/>
        <v>0</v>
      </c>
      <c r="L276" s="557"/>
      <c r="M276" s="551">
        <f t="shared" si="23"/>
        <v>0</v>
      </c>
      <c r="N276" s="557"/>
      <c r="O276" s="551">
        <f t="shared" si="24"/>
        <v>0</v>
      </c>
    </row>
    <row r="277">
      <c r="A277" s="559" t="s">
        <v>299</v>
      </c>
      <c r="B277" s="551" t="s">
        <v>193</v>
      </c>
      <c r="C277" s="552" t="s">
        <v>217</v>
      </c>
      <c r="D277" s="557" t="s">
        <v>389</v>
      </c>
      <c r="E277" s="557"/>
      <c r="F277" s="560">
        <v>60</v>
      </c>
      <c r="G277" s="551">
        <f t="shared" si="25"/>
        <v>47.78</v>
      </c>
      <c r="H277" s="472">
        <v>60</v>
      </c>
      <c r="I277" s="551">
        <f t="shared" si="26"/>
        <v>47.78</v>
      </c>
      <c r="J277" s="560"/>
      <c r="K277" s="551">
        <f t="shared" si="22"/>
        <v>0</v>
      </c>
      <c r="L277" s="557"/>
      <c r="M277" s="551">
        <f t="shared" si="23"/>
        <v>0</v>
      </c>
      <c r="N277" s="557"/>
      <c r="O277" s="551">
        <f t="shared" si="24"/>
        <v>0</v>
      </c>
    </row>
    <row r="278">
      <c r="A278" s="559" t="s">
        <v>299</v>
      </c>
      <c r="B278" s="551" t="s">
        <v>193</v>
      </c>
      <c r="C278" s="552" t="s">
        <v>217</v>
      </c>
      <c r="D278" s="557">
        <v>8</v>
      </c>
      <c r="E278" s="557"/>
      <c r="F278" s="560">
        <v>60</v>
      </c>
      <c r="G278" s="551">
        <f t="shared" si="25"/>
        <v>47.78</v>
      </c>
      <c r="H278" s="472">
        <v>60</v>
      </c>
      <c r="I278" s="551">
        <f t="shared" si="26"/>
        <v>47.78</v>
      </c>
      <c r="J278" s="560"/>
      <c r="K278" s="551">
        <f t="shared" si="22"/>
        <v>0</v>
      </c>
      <c r="L278" s="557"/>
      <c r="M278" s="551">
        <f t="shared" si="23"/>
        <v>0</v>
      </c>
      <c r="N278" s="557"/>
      <c r="O278" s="551">
        <f t="shared" si="24"/>
        <v>0</v>
      </c>
    </row>
    <row r="279">
      <c r="A279" s="559" t="s">
        <v>303</v>
      </c>
      <c r="B279" s="551" t="s">
        <v>193</v>
      </c>
      <c r="C279" s="552" t="s">
        <v>217</v>
      </c>
      <c r="D279" s="557">
        <v>4</v>
      </c>
      <c r="E279" s="557"/>
      <c r="F279" s="560"/>
      <c r="G279" s="551">
        <f t="shared" si="25"/>
        <v>0</v>
      </c>
      <c r="H279" s="560"/>
      <c r="I279" s="551">
        <f t="shared" si="26"/>
        <v>0</v>
      </c>
      <c r="J279" s="560"/>
      <c r="K279" s="551">
        <f t="shared" si="22"/>
        <v>0</v>
      </c>
      <c r="L279" s="557"/>
      <c r="M279" s="551">
        <f t="shared" si="23"/>
        <v>0</v>
      </c>
      <c r="N279" s="557"/>
      <c r="O279" s="551">
        <f t="shared" si="24"/>
        <v>0</v>
      </c>
    </row>
    <row r="280">
      <c r="A280" s="559" t="s">
        <v>303</v>
      </c>
      <c r="B280" s="551" t="s">
        <v>193</v>
      </c>
      <c r="C280" s="552" t="s">
        <v>217</v>
      </c>
      <c r="D280" s="557" t="s">
        <v>269</v>
      </c>
      <c r="E280" s="557"/>
      <c r="F280" s="560"/>
      <c r="G280" s="551">
        <f t="shared" si="25"/>
        <v>0</v>
      </c>
      <c r="H280" s="560"/>
      <c r="I280" s="551">
        <f t="shared" si="26"/>
        <v>0</v>
      </c>
      <c r="J280" s="560"/>
      <c r="K280" s="551">
        <f t="shared" si="22"/>
        <v>0</v>
      </c>
      <c r="L280" s="557"/>
      <c r="M280" s="551">
        <f t="shared" si="23"/>
        <v>0</v>
      </c>
      <c r="N280" s="557"/>
      <c r="O280" s="551">
        <f t="shared" si="24"/>
        <v>0</v>
      </c>
    </row>
    <row r="281">
      <c r="A281" s="559" t="s">
        <v>303</v>
      </c>
      <c r="B281" s="551" t="s">
        <v>193</v>
      </c>
      <c r="C281" s="552" t="s">
        <v>217</v>
      </c>
      <c r="D281" s="557" t="s">
        <v>275</v>
      </c>
      <c r="E281" s="557"/>
      <c r="F281" s="560"/>
      <c r="G281" s="551">
        <f t="shared" si="25"/>
        <v>0</v>
      </c>
      <c r="H281" s="560"/>
      <c r="I281" s="551">
        <f t="shared" si="26"/>
        <v>0</v>
      </c>
      <c r="J281" s="560"/>
      <c r="K281" s="551">
        <f t="shared" si="22"/>
        <v>0</v>
      </c>
      <c r="L281" s="557"/>
      <c r="M281" s="551">
        <f t="shared" si="23"/>
        <v>0</v>
      </c>
      <c r="N281" s="557"/>
      <c r="O281" s="551">
        <f t="shared" si="24"/>
        <v>0</v>
      </c>
    </row>
    <row r="282">
      <c r="A282" s="559" t="s">
        <v>303</v>
      </c>
      <c r="B282" s="551" t="s">
        <v>193</v>
      </c>
      <c r="C282" s="552" t="s">
        <v>217</v>
      </c>
      <c r="D282" s="557" t="s">
        <v>389</v>
      </c>
      <c r="E282" s="557"/>
      <c r="F282" s="560"/>
      <c r="G282" s="551">
        <f t="shared" si="25"/>
        <v>0</v>
      </c>
      <c r="H282" s="560"/>
      <c r="I282" s="551">
        <f t="shared" si="26"/>
        <v>0</v>
      </c>
      <c r="J282" s="560"/>
      <c r="K282" s="551">
        <f t="shared" si="22"/>
        <v>0</v>
      </c>
      <c r="L282" s="557"/>
      <c r="M282" s="551">
        <f t="shared" si="23"/>
        <v>0</v>
      </c>
      <c r="N282" s="557"/>
      <c r="O282" s="551">
        <f t="shared" si="24"/>
        <v>0</v>
      </c>
    </row>
    <row r="283">
      <c r="A283" s="559" t="s">
        <v>303</v>
      </c>
      <c r="B283" s="551" t="s">
        <v>193</v>
      </c>
      <c r="C283" s="552" t="s">
        <v>217</v>
      </c>
      <c r="D283" s="557">
        <v>8</v>
      </c>
      <c r="E283" s="557"/>
      <c r="F283" s="560"/>
      <c r="G283" s="551">
        <f t="shared" si="25"/>
        <v>0</v>
      </c>
      <c r="H283" s="560"/>
      <c r="I283" s="551">
        <f t="shared" si="26"/>
        <v>0</v>
      </c>
      <c r="J283" s="560"/>
      <c r="K283" s="551">
        <f t="shared" si="22"/>
        <v>0</v>
      </c>
      <c r="L283" s="557"/>
      <c r="M283" s="551">
        <f t="shared" si="23"/>
        <v>0</v>
      </c>
      <c r="N283" s="557"/>
      <c r="O283" s="551">
        <f t="shared" si="24"/>
        <v>0</v>
      </c>
    </row>
    <row r="284">
      <c r="A284" s="559" t="s">
        <v>308</v>
      </c>
      <c r="B284" s="551" t="s">
        <v>193</v>
      </c>
      <c r="C284" s="552" t="s">
        <v>217</v>
      </c>
      <c r="D284" s="557">
        <v>4</v>
      </c>
      <c r="E284" s="557"/>
      <c r="F284" s="560">
        <v>60</v>
      </c>
      <c r="G284" s="551">
        <f t="shared" si="25"/>
        <v>47.78</v>
      </c>
      <c r="H284" s="472">
        <v>71</v>
      </c>
      <c r="I284" s="551">
        <f t="shared" si="26"/>
        <v>48.51</v>
      </c>
      <c r="J284" s="560"/>
      <c r="K284" s="551">
        <f t="shared" si="22"/>
        <v>0</v>
      </c>
      <c r="L284" s="557"/>
      <c r="M284" s="551">
        <f t="shared" si="23"/>
        <v>0</v>
      </c>
      <c r="N284" s="557"/>
      <c r="O284" s="551">
        <f t="shared" si="24"/>
        <v>0</v>
      </c>
    </row>
    <row r="285">
      <c r="A285" s="559" t="s">
        <v>308</v>
      </c>
      <c r="B285" s="551" t="s">
        <v>193</v>
      </c>
      <c r="C285" s="552" t="s">
        <v>217</v>
      </c>
      <c r="D285" s="557" t="s">
        <v>269</v>
      </c>
      <c r="E285" s="557"/>
      <c r="F285" s="560">
        <v>60</v>
      </c>
      <c r="G285" s="551">
        <f t="shared" si="25"/>
        <v>47.78</v>
      </c>
      <c r="H285" s="472">
        <v>71</v>
      </c>
      <c r="I285" s="551">
        <f t="shared" si="26"/>
        <v>48.51</v>
      </c>
      <c r="J285" s="560"/>
      <c r="K285" s="551">
        <f t="shared" si="22"/>
        <v>0</v>
      </c>
      <c r="L285" s="557"/>
      <c r="M285" s="551">
        <f t="shared" si="23"/>
        <v>0</v>
      </c>
      <c r="N285" s="557"/>
      <c r="O285" s="551">
        <f t="shared" si="24"/>
        <v>0</v>
      </c>
    </row>
    <row r="286">
      <c r="A286" s="559" t="s">
        <v>308</v>
      </c>
      <c r="B286" s="551" t="s">
        <v>193</v>
      </c>
      <c r="C286" s="552" t="s">
        <v>217</v>
      </c>
      <c r="D286" s="557" t="s">
        <v>275</v>
      </c>
      <c r="E286" s="557"/>
      <c r="F286" s="560">
        <v>60</v>
      </c>
      <c r="G286" s="551">
        <f t="shared" si="25"/>
        <v>47.78</v>
      </c>
      <c r="H286" s="472">
        <v>71</v>
      </c>
      <c r="I286" s="551">
        <f t="shared" si="26"/>
        <v>48.51</v>
      </c>
      <c r="J286" s="560"/>
      <c r="K286" s="551">
        <f t="shared" si="22"/>
        <v>0</v>
      </c>
      <c r="L286" s="557"/>
      <c r="M286" s="551">
        <f t="shared" si="23"/>
        <v>0</v>
      </c>
      <c r="N286" s="557"/>
      <c r="O286" s="551">
        <f t="shared" si="24"/>
        <v>0</v>
      </c>
    </row>
    <row r="287">
      <c r="A287" s="559" t="s">
        <v>308</v>
      </c>
      <c r="B287" s="551" t="s">
        <v>193</v>
      </c>
      <c r="C287" s="552" t="s">
        <v>217</v>
      </c>
      <c r="D287" s="557">
        <v>8</v>
      </c>
      <c r="E287" s="557"/>
      <c r="F287" s="560">
        <v>60</v>
      </c>
      <c r="G287" s="551">
        <f t="shared" si="25"/>
        <v>47.78</v>
      </c>
      <c r="H287" s="472">
        <v>71</v>
      </c>
      <c r="I287" s="551">
        <f t="shared" si="26"/>
        <v>48.51</v>
      </c>
      <c r="J287" s="560"/>
      <c r="K287" s="551">
        <f t="shared" si="22"/>
        <v>0</v>
      </c>
      <c r="L287" s="557"/>
      <c r="M287" s="551">
        <f t="shared" si="23"/>
        <v>0</v>
      </c>
      <c r="N287" s="557"/>
      <c r="O287" s="551">
        <f t="shared" si="24"/>
        <v>0</v>
      </c>
    </row>
    <row r="288">
      <c r="A288" s="559" t="s">
        <v>102</v>
      </c>
      <c r="B288" s="551" t="s">
        <v>193</v>
      </c>
      <c r="C288" s="552" t="s">
        <v>217</v>
      </c>
      <c r="D288" s="557">
        <v>4</v>
      </c>
      <c r="E288" s="557"/>
      <c r="F288" s="560"/>
      <c r="G288" s="551">
        <f t="shared" si="25"/>
        <v>0</v>
      </c>
      <c r="H288" s="560">
        <v>20</v>
      </c>
      <c r="I288" s="551">
        <f t="shared" si="26"/>
        <v>43.01</v>
      </c>
      <c r="J288" s="560"/>
      <c r="K288" s="551">
        <f t="shared" si="22"/>
        <v>0</v>
      </c>
      <c r="L288" s="557"/>
      <c r="M288" s="551">
        <f t="shared" si="23"/>
        <v>0</v>
      </c>
      <c r="N288" s="557"/>
      <c r="O288" s="551">
        <f t="shared" si="24"/>
        <v>0</v>
      </c>
    </row>
    <row r="289">
      <c r="A289" s="559" t="s">
        <v>102</v>
      </c>
      <c r="B289" s="551" t="s">
        <v>193</v>
      </c>
      <c r="C289" s="552" t="s">
        <v>217</v>
      </c>
      <c r="D289" s="557" t="s">
        <v>275</v>
      </c>
      <c r="E289" s="557"/>
      <c r="F289" s="560"/>
      <c r="G289" s="551">
        <f t="shared" si="25"/>
        <v>0</v>
      </c>
      <c r="H289" s="560">
        <v>20</v>
      </c>
      <c r="I289" s="551">
        <f t="shared" si="26"/>
        <v>43.01</v>
      </c>
      <c r="J289" s="560"/>
      <c r="K289" s="551">
        <f t="shared" si="22"/>
        <v>0</v>
      </c>
      <c r="L289" s="557"/>
      <c r="M289" s="551">
        <f t="shared" si="23"/>
        <v>0</v>
      </c>
      <c r="N289" s="557"/>
      <c r="O289" s="551">
        <f t="shared" si="24"/>
        <v>0</v>
      </c>
    </row>
    <row r="290">
      <c r="A290" s="559" t="s">
        <v>102</v>
      </c>
      <c r="B290" s="551" t="s">
        <v>193</v>
      </c>
      <c r="C290" s="552" t="s">
        <v>217</v>
      </c>
      <c r="D290" s="557">
        <v>8</v>
      </c>
      <c r="E290" s="557"/>
      <c r="F290" s="560"/>
      <c r="G290" s="551">
        <f t="shared" si="25"/>
        <v>0</v>
      </c>
      <c r="H290" s="560">
        <v>20</v>
      </c>
      <c r="I290" s="551">
        <f t="shared" si="26"/>
        <v>43.01</v>
      </c>
      <c r="J290" s="560"/>
      <c r="K290" s="551">
        <f t="shared" si="22"/>
        <v>0</v>
      </c>
      <c r="L290" s="557"/>
      <c r="M290" s="551">
        <f t="shared" si="23"/>
        <v>0</v>
      </c>
      <c r="N290" s="557"/>
      <c r="O290" s="551">
        <f t="shared" si="24"/>
        <v>0</v>
      </c>
    </row>
    <row r="291">
      <c r="A291" s="559" t="s">
        <v>351</v>
      </c>
      <c r="B291" s="551" t="s">
        <v>193</v>
      </c>
      <c r="C291" s="552" t="s">
        <v>235</v>
      </c>
      <c r="D291" s="557" t="s">
        <v>275</v>
      </c>
      <c r="E291" s="557"/>
      <c r="F291" s="560">
        <v>60</v>
      </c>
      <c r="G291" s="551">
        <f t="shared" si="25"/>
        <v>47.78</v>
      </c>
      <c r="H291" s="560"/>
      <c r="I291" s="551">
        <f t="shared" si="26"/>
        <v>0</v>
      </c>
      <c r="J291" s="560"/>
      <c r="K291" s="551">
        <f t="shared" si="22"/>
        <v>0</v>
      </c>
      <c r="L291" s="557"/>
      <c r="M291" s="551">
        <f t="shared" si="23"/>
        <v>0</v>
      </c>
      <c r="N291" s="557"/>
      <c r="O291" s="551">
        <f t="shared" si="24"/>
        <v>0</v>
      </c>
    </row>
    <row r="292">
      <c r="A292" s="559" t="s">
        <v>351</v>
      </c>
      <c r="B292" s="551" t="s">
        <v>193</v>
      </c>
      <c r="C292" s="552" t="s">
        <v>235</v>
      </c>
      <c r="D292" s="557" t="s">
        <v>284</v>
      </c>
      <c r="E292" s="557"/>
      <c r="F292" s="560">
        <v>60</v>
      </c>
      <c r="G292" s="551">
        <f t="shared" si="25"/>
        <v>47.78</v>
      </c>
      <c r="H292" s="560"/>
      <c r="I292" s="551">
        <f t="shared" si="26"/>
        <v>0</v>
      </c>
      <c r="J292" s="560"/>
      <c r="K292" s="551">
        <f t="shared" si="22"/>
        <v>0</v>
      </c>
      <c r="L292" s="557"/>
      <c r="M292" s="551">
        <f t="shared" si="23"/>
        <v>0</v>
      </c>
      <c r="N292" s="557"/>
      <c r="O292" s="551">
        <f t="shared" si="24"/>
        <v>0</v>
      </c>
    </row>
    <row r="293">
      <c r="A293" s="559" t="s">
        <v>285</v>
      </c>
      <c r="B293" s="551" t="s">
        <v>193</v>
      </c>
      <c r="C293" s="552" t="s">
        <v>242</v>
      </c>
      <c r="D293" s="557" t="s">
        <v>275</v>
      </c>
      <c r="E293" s="557"/>
      <c r="F293" s="560">
        <v>60</v>
      </c>
      <c r="G293" s="551">
        <f t="shared" si="25"/>
        <v>47.78</v>
      </c>
      <c r="H293" s="560"/>
      <c r="I293" s="551">
        <f t="shared" si="26"/>
        <v>0</v>
      </c>
      <c r="J293" s="560"/>
      <c r="K293" s="551">
        <f t="shared" si="22"/>
        <v>0</v>
      </c>
      <c r="L293" s="557"/>
      <c r="M293" s="551">
        <f t="shared" si="23"/>
        <v>0</v>
      </c>
      <c r="N293" s="557"/>
      <c r="O293" s="551">
        <f t="shared" si="24"/>
        <v>0</v>
      </c>
    </row>
    <row r="294">
      <c r="A294" s="559" t="s">
        <v>285</v>
      </c>
      <c r="B294" s="551" t="s">
        <v>193</v>
      </c>
      <c r="C294" s="552" t="s">
        <v>242</v>
      </c>
      <c r="D294" s="557" t="s">
        <v>284</v>
      </c>
      <c r="E294" s="557"/>
      <c r="F294" s="560">
        <v>60</v>
      </c>
      <c r="G294" s="551">
        <f t="shared" si="25"/>
        <v>47.78</v>
      </c>
      <c r="H294" s="560"/>
      <c r="I294" s="551">
        <f t="shared" si="26"/>
        <v>0</v>
      </c>
      <c r="J294" s="560"/>
      <c r="K294" s="551">
        <f t="shared" si="22"/>
        <v>0</v>
      </c>
      <c r="L294" s="557"/>
      <c r="M294" s="551">
        <f t="shared" si="23"/>
        <v>0</v>
      </c>
      <c r="N294" s="557"/>
      <c r="O294" s="551">
        <f t="shared" si="24"/>
        <v>0</v>
      </c>
    </row>
    <row r="295">
      <c r="A295" s="559" t="s">
        <v>290</v>
      </c>
      <c r="B295" s="551" t="s">
        <v>193</v>
      </c>
      <c r="C295" s="552" t="s">
        <v>242</v>
      </c>
      <c r="D295" s="557" t="s">
        <v>275</v>
      </c>
      <c r="E295" s="557"/>
      <c r="F295" s="560">
        <v>60</v>
      </c>
      <c r="G295" s="551">
        <f t="shared" si="25"/>
        <v>47.78</v>
      </c>
      <c r="H295" s="560"/>
      <c r="I295" s="551">
        <f t="shared" si="26"/>
        <v>0</v>
      </c>
      <c r="J295" s="560"/>
      <c r="K295" s="551">
        <f t="shared" si="22"/>
        <v>0</v>
      </c>
      <c r="L295" s="557"/>
      <c r="M295" s="551">
        <f t="shared" si="23"/>
        <v>0</v>
      </c>
      <c r="N295" s="557"/>
      <c r="O295" s="551">
        <f t="shared" si="24"/>
        <v>0</v>
      </c>
    </row>
    <row r="296">
      <c r="A296" s="559" t="s">
        <v>290</v>
      </c>
      <c r="B296" s="551" t="s">
        <v>193</v>
      </c>
      <c r="C296" s="552" t="s">
        <v>242</v>
      </c>
      <c r="D296" s="557" t="s">
        <v>284</v>
      </c>
      <c r="E296" s="557"/>
      <c r="F296" s="560">
        <v>60</v>
      </c>
      <c r="G296" s="551">
        <f t="shared" si="25"/>
        <v>47.78</v>
      </c>
      <c r="H296" s="560"/>
      <c r="I296" s="551">
        <f t="shared" si="26"/>
        <v>0</v>
      </c>
      <c r="J296" s="560"/>
      <c r="K296" s="551">
        <f t="shared" si="22"/>
        <v>0</v>
      </c>
      <c r="L296" s="557"/>
      <c r="M296" s="551">
        <f t="shared" si="23"/>
        <v>0</v>
      </c>
      <c r="N296" s="557"/>
      <c r="O296" s="551">
        <f t="shared" si="24"/>
        <v>0</v>
      </c>
    </row>
    <row r="297">
      <c r="A297" s="559" t="s">
        <v>293</v>
      </c>
      <c r="B297" s="551" t="s">
        <v>193</v>
      </c>
      <c r="C297" s="552" t="s">
        <v>242</v>
      </c>
      <c r="D297" s="557" t="s">
        <v>275</v>
      </c>
      <c r="E297" s="557"/>
      <c r="F297" s="560">
        <v>60</v>
      </c>
      <c r="G297" s="551">
        <f t="shared" si="25"/>
        <v>47.78</v>
      </c>
      <c r="H297" s="560"/>
      <c r="I297" s="551">
        <f t="shared" si="26"/>
        <v>0</v>
      </c>
      <c r="J297" s="560"/>
      <c r="K297" s="551">
        <f t="shared" si="22"/>
        <v>0</v>
      </c>
      <c r="L297" s="557"/>
      <c r="M297" s="551">
        <f t="shared" si="23"/>
        <v>0</v>
      </c>
      <c r="N297" s="557"/>
      <c r="O297" s="551">
        <f t="shared" si="24"/>
        <v>0</v>
      </c>
    </row>
    <row r="298">
      <c r="A298" s="559" t="s">
        <v>293</v>
      </c>
      <c r="B298" s="551" t="s">
        <v>193</v>
      </c>
      <c r="C298" s="552" t="s">
        <v>242</v>
      </c>
      <c r="D298" s="557" t="s">
        <v>284</v>
      </c>
      <c r="E298" s="557"/>
      <c r="F298" s="560">
        <v>60</v>
      </c>
      <c r="G298" s="551">
        <f t="shared" si="25"/>
        <v>47.78</v>
      </c>
      <c r="H298" s="560"/>
      <c r="I298" s="551">
        <f t="shared" si="26"/>
        <v>0</v>
      </c>
      <c r="J298" s="560"/>
      <c r="K298" s="551">
        <f t="shared" si="22"/>
        <v>0</v>
      </c>
      <c r="L298" s="557"/>
      <c r="M298" s="551">
        <f t="shared" si="23"/>
        <v>0</v>
      </c>
      <c r="N298" s="557"/>
      <c r="O298" s="551">
        <f t="shared" si="24"/>
        <v>0</v>
      </c>
    </row>
    <row r="299">
      <c r="A299" s="559" t="s">
        <v>296</v>
      </c>
      <c r="B299" s="551" t="s">
        <v>193</v>
      </c>
      <c r="C299" s="552" t="s">
        <v>242</v>
      </c>
      <c r="D299" s="557" t="s">
        <v>275</v>
      </c>
      <c r="E299" s="557"/>
      <c r="F299" s="560">
        <v>60</v>
      </c>
      <c r="G299" s="551">
        <f t="shared" si="25"/>
        <v>47.78</v>
      </c>
      <c r="H299" s="560"/>
      <c r="I299" s="551">
        <f t="shared" si="26"/>
        <v>0</v>
      </c>
      <c r="J299" s="560"/>
      <c r="K299" s="551">
        <f t="shared" si="22"/>
        <v>0</v>
      </c>
      <c r="L299" s="557"/>
      <c r="M299" s="551">
        <f t="shared" si="23"/>
        <v>0</v>
      </c>
      <c r="N299" s="557"/>
      <c r="O299" s="551">
        <f t="shared" si="24"/>
        <v>0</v>
      </c>
    </row>
    <row r="300">
      <c r="A300" s="559" t="s">
        <v>296</v>
      </c>
      <c r="B300" s="551" t="s">
        <v>193</v>
      </c>
      <c r="C300" s="552" t="s">
        <v>242</v>
      </c>
      <c r="D300" s="557" t="s">
        <v>284</v>
      </c>
      <c r="E300" s="557"/>
      <c r="F300" s="560">
        <v>60</v>
      </c>
      <c r="G300" s="551">
        <f t="shared" si="25"/>
        <v>47.78</v>
      </c>
      <c r="H300" s="560"/>
      <c r="I300" s="551">
        <f t="shared" si="26"/>
        <v>0</v>
      </c>
      <c r="J300" s="560"/>
      <c r="K300" s="551">
        <f t="shared" si="22"/>
        <v>0</v>
      </c>
      <c r="L300" s="557"/>
      <c r="M300" s="551">
        <f t="shared" si="23"/>
        <v>0</v>
      </c>
      <c r="N300" s="557"/>
      <c r="O300" s="551">
        <f t="shared" si="24"/>
        <v>0</v>
      </c>
    </row>
    <row r="301">
      <c r="A301" s="559"/>
      <c r="B301" s="556" t="s">
        <v>378</v>
      </c>
      <c r="C301" s="557"/>
      <c r="D301" s="557"/>
      <c r="E301" s="557"/>
      <c r="F301" s="557"/>
      <c r="G301" s="551">
        <f t="shared" si="25"/>
        <v>0</v>
      </c>
      <c r="H301" s="560"/>
      <c r="I301" s="551">
        <f t="shared" si="26"/>
        <v>0</v>
      </c>
      <c r="J301" s="560"/>
      <c r="K301" s="551">
        <f t="shared" si="22"/>
        <v>0</v>
      </c>
      <c r="L301" s="557"/>
      <c r="M301" s="551">
        <f t="shared" si="23"/>
        <v>0</v>
      </c>
      <c r="N301" s="557"/>
      <c r="O301" s="551">
        <f t="shared" si="24"/>
        <v>0</v>
      </c>
    </row>
    <row r="302">
      <c r="A302" s="559"/>
      <c r="B302" s="556" t="s">
        <v>378</v>
      </c>
      <c r="C302" s="557"/>
      <c r="D302" s="557"/>
      <c r="E302" s="557"/>
      <c r="F302" s="557"/>
      <c r="G302" s="551">
        <f t="shared" si="25"/>
        <v>0</v>
      </c>
      <c r="H302" s="560"/>
      <c r="I302" s="551">
        <f t="shared" si="26"/>
        <v>0</v>
      </c>
      <c r="J302" s="560"/>
      <c r="K302" s="551">
        <f t="shared" si="22"/>
        <v>0</v>
      </c>
      <c r="L302" s="557"/>
      <c r="M302" s="551">
        <f t="shared" si="23"/>
        <v>0</v>
      </c>
      <c r="N302" s="557"/>
      <c r="O302" s="551">
        <f t="shared" si="24"/>
        <v>0</v>
      </c>
    </row>
    <row r="303">
      <c r="A303" s="559"/>
      <c r="B303" s="556" t="s">
        <v>378</v>
      </c>
      <c r="C303" s="557"/>
      <c r="D303" s="557"/>
      <c r="E303" s="557"/>
      <c r="F303" s="557"/>
      <c r="G303" s="551">
        <f t="shared" si="25"/>
        <v>0</v>
      </c>
      <c r="H303" s="560"/>
      <c r="I303" s="551">
        <f t="shared" si="26"/>
        <v>0</v>
      </c>
      <c r="J303" s="560"/>
      <c r="K303" s="551">
        <f t="shared" si="22"/>
        <v>0</v>
      </c>
      <c r="L303" s="557"/>
      <c r="M303" s="551">
        <f t="shared" si="23"/>
        <v>0</v>
      </c>
      <c r="N303" s="557"/>
      <c r="O303" s="551">
        <f t="shared" si="24"/>
        <v>0</v>
      </c>
    </row>
    <row r="304">
      <c r="A304" s="559"/>
      <c r="B304" s="556" t="s">
        <v>378</v>
      </c>
      <c r="C304" s="557"/>
      <c r="D304" s="557"/>
      <c r="E304" s="557"/>
      <c r="F304" s="557"/>
      <c r="G304" s="551">
        <f t="shared" si="25"/>
        <v>0</v>
      </c>
      <c r="H304" s="560"/>
      <c r="I304" s="551">
        <f t="shared" si="26"/>
        <v>0</v>
      </c>
      <c r="J304" s="560"/>
      <c r="K304" s="551">
        <f t="shared" si="22"/>
        <v>0</v>
      </c>
      <c r="L304" s="557"/>
      <c r="M304" s="551">
        <f t="shared" si="23"/>
        <v>0</v>
      </c>
      <c r="N304" s="557"/>
      <c r="O304" s="551">
        <f t="shared" si="24"/>
        <v>0</v>
      </c>
    </row>
    <row r="305">
      <c r="A305" s="559"/>
      <c r="B305" s="556" t="s">
        <v>378</v>
      </c>
      <c r="C305" s="557"/>
      <c r="D305" s="557"/>
      <c r="E305" s="557"/>
      <c r="F305" s="557"/>
      <c r="G305" s="551">
        <f t="shared" si="25"/>
        <v>0</v>
      </c>
      <c r="H305" s="560"/>
      <c r="I305" s="551">
        <f t="shared" si="26"/>
        <v>0</v>
      </c>
      <c r="J305" s="560"/>
      <c r="K305" s="551">
        <f t="shared" si="22"/>
        <v>0</v>
      </c>
      <c r="L305" s="557"/>
      <c r="M305" s="551">
        <f t="shared" si="23"/>
        <v>0</v>
      </c>
      <c r="N305" s="557"/>
      <c r="O305" s="551">
        <f t="shared" si="24"/>
        <v>0</v>
      </c>
    </row>
    <row r="306">
      <c r="A306" s="559"/>
      <c r="B306" s="556" t="s">
        <v>378</v>
      </c>
      <c r="C306" s="557"/>
      <c r="D306" s="557"/>
      <c r="E306" s="557"/>
      <c r="F306" s="557"/>
      <c r="G306" s="551">
        <f t="shared" si="25"/>
        <v>0</v>
      </c>
      <c r="H306" s="560"/>
      <c r="I306" s="551">
        <f t="shared" si="26"/>
        <v>0</v>
      </c>
      <c r="J306" s="560"/>
      <c r="K306" s="551">
        <f t="shared" si="22"/>
        <v>0</v>
      </c>
      <c r="L306" s="557"/>
      <c r="M306" s="551">
        <f t="shared" si="23"/>
        <v>0</v>
      </c>
      <c r="N306" s="557"/>
      <c r="O306" s="551">
        <f t="shared" si="24"/>
        <v>0</v>
      </c>
    </row>
    <row r="307">
      <c r="A307" s="559"/>
      <c r="B307" s="556" t="s">
        <v>378</v>
      </c>
      <c r="C307" s="557"/>
      <c r="D307" s="557"/>
      <c r="E307" s="557"/>
      <c r="F307" s="557"/>
      <c r="G307" s="551">
        <f t="shared" si="25"/>
        <v>0</v>
      </c>
      <c r="H307" s="560"/>
      <c r="I307" s="551">
        <f t="shared" si="26"/>
        <v>0</v>
      </c>
      <c r="J307" s="560"/>
      <c r="K307" s="551">
        <f t="shared" si="22"/>
        <v>0</v>
      </c>
      <c r="L307" s="557"/>
      <c r="M307" s="551">
        <f t="shared" si="23"/>
        <v>0</v>
      </c>
      <c r="N307" s="557"/>
      <c r="O307" s="551">
        <f t="shared" si="24"/>
        <v>0</v>
      </c>
    </row>
    <row r="308">
      <c r="A308" s="559"/>
      <c r="B308" s="556" t="s">
        <v>378</v>
      </c>
      <c r="C308" s="557"/>
      <c r="D308" s="557"/>
      <c r="E308" s="557"/>
      <c r="F308" s="557"/>
      <c r="G308" s="551">
        <f t="shared" si="25"/>
        <v>0</v>
      </c>
      <c r="H308" s="560"/>
      <c r="I308" s="551">
        <f t="shared" si="26"/>
        <v>0</v>
      </c>
      <c r="J308" s="560"/>
      <c r="K308" s="551">
        <f t="shared" si="22"/>
        <v>0</v>
      </c>
      <c r="L308" s="557"/>
      <c r="M308" s="551">
        <f t="shared" si="23"/>
        <v>0</v>
      </c>
      <c r="N308" s="557"/>
      <c r="O308" s="551">
        <f t="shared" si="24"/>
        <v>0</v>
      </c>
    </row>
    <row r="309">
      <c r="A309" s="559"/>
      <c r="B309" s="556" t="s">
        <v>378</v>
      </c>
      <c r="C309" s="557"/>
      <c r="D309" s="557"/>
      <c r="E309" s="557"/>
      <c r="F309" s="557"/>
      <c r="G309" s="551">
        <f t="shared" si="25"/>
        <v>0</v>
      </c>
      <c r="H309" s="560"/>
      <c r="I309" s="551">
        <f t="shared" si="26"/>
        <v>0</v>
      </c>
      <c r="J309" s="560"/>
      <c r="K309" s="551">
        <f t="shared" si="22"/>
        <v>0</v>
      </c>
      <c r="L309" s="557"/>
      <c r="M309" s="551">
        <f t="shared" si="23"/>
        <v>0</v>
      </c>
      <c r="N309" s="557"/>
      <c r="O309" s="551">
        <f t="shared" si="24"/>
        <v>0</v>
      </c>
    </row>
    <row r="310">
      <c r="A310" s="559"/>
      <c r="B310" s="556" t="s">
        <v>378</v>
      </c>
      <c r="C310" s="557"/>
      <c r="D310" s="557"/>
      <c r="E310" s="557"/>
      <c r="F310" s="557"/>
      <c r="G310" s="551">
        <f t="shared" si="25"/>
        <v>0</v>
      </c>
      <c r="H310" s="560"/>
      <c r="I310" s="551">
        <f t="shared" si="26"/>
        <v>0</v>
      </c>
      <c r="J310" s="560"/>
      <c r="K310" s="551">
        <f t="shared" si="22"/>
        <v>0</v>
      </c>
      <c r="L310" s="557"/>
      <c r="M310" s="551">
        <f t="shared" si="23"/>
        <v>0</v>
      </c>
      <c r="N310" s="557"/>
      <c r="O310" s="551">
        <f t="shared" si="24"/>
        <v>0</v>
      </c>
    </row>
    <row r="311">
      <c r="A311" s="559"/>
      <c r="B311" s="556" t="s">
        <v>378</v>
      </c>
      <c r="C311" s="557"/>
      <c r="D311" s="557"/>
      <c r="E311" s="557"/>
      <c r="F311" s="557"/>
      <c r="G311" s="551">
        <f t="shared" si="25"/>
        <v>0</v>
      </c>
      <c r="H311" s="560"/>
      <c r="I311" s="551">
        <f t="shared" si="26"/>
        <v>0</v>
      </c>
      <c r="J311" s="560"/>
      <c r="K311" s="551">
        <f t="shared" si="22"/>
        <v>0</v>
      </c>
      <c r="L311" s="557"/>
      <c r="M311" s="551">
        <f t="shared" si="23"/>
        <v>0</v>
      </c>
      <c r="N311" s="557"/>
      <c r="O311" s="551">
        <f t="shared" si="24"/>
        <v>0</v>
      </c>
    </row>
    <row r="312">
      <c r="A312" s="559"/>
      <c r="B312" s="556" t="s">
        <v>378</v>
      </c>
      <c r="C312" s="557"/>
      <c r="D312" s="557"/>
      <c r="E312" s="557"/>
      <c r="F312" s="557"/>
      <c r="G312" s="551">
        <f t="shared" si="25"/>
        <v>0</v>
      </c>
      <c r="H312" s="560"/>
      <c r="I312" s="551">
        <f t="shared" si="26"/>
        <v>0</v>
      </c>
      <c r="J312" s="560"/>
      <c r="K312" s="551">
        <f t="shared" si="22"/>
        <v>0</v>
      </c>
      <c r="L312" s="557"/>
      <c r="M312" s="551">
        <f t="shared" si="23"/>
        <v>0</v>
      </c>
      <c r="N312" s="557"/>
      <c r="O312" s="551">
        <f t="shared" si="24"/>
        <v>0</v>
      </c>
    </row>
    <row r="313">
      <c r="A313" s="559"/>
      <c r="B313" s="556" t="s">
        <v>378</v>
      </c>
      <c r="C313" s="557"/>
      <c r="D313" s="557"/>
      <c r="E313" s="557"/>
      <c r="F313" s="557"/>
      <c r="G313" s="551">
        <f t="shared" si="25"/>
        <v>0</v>
      </c>
      <c r="H313" s="560"/>
      <c r="I313" s="551">
        <f t="shared" si="26"/>
        <v>0</v>
      </c>
      <c r="J313" s="560"/>
      <c r="K313" s="551">
        <f t="shared" si="22"/>
        <v>0</v>
      </c>
      <c r="L313" s="557"/>
      <c r="M313" s="551">
        <f t="shared" si="23"/>
        <v>0</v>
      </c>
      <c r="N313" s="557"/>
      <c r="O313" s="551">
        <f t="shared" si="24"/>
        <v>0</v>
      </c>
    </row>
    <row r="314">
      <c r="A314" s="559"/>
      <c r="B314" s="556" t="s">
        <v>378</v>
      </c>
      <c r="C314" s="557"/>
      <c r="D314" s="557"/>
      <c r="E314" s="557"/>
      <c r="F314" s="557"/>
      <c r="G314" s="551">
        <f t="shared" si="25"/>
        <v>0</v>
      </c>
      <c r="H314" s="560"/>
      <c r="I314" s="551">
        <f t="shared" si="26"/>
        <v>0</v>
      </c>
      <c r="J314" s="560"/>
      <c r="K314" s="551">
        <f t="shared" si="22"/>
        <v>0</v>
      </c>
      <c r="L314" s="557"/>
      <c r="M314" s="551">
        <f t="shared" si="23"/>
        <v>0</v>
      </c>
      <c r="N314" s="557"/>
      <c r="O314" s="551">
        <f t="shared" si="24"/>
        <v>0</v>
      </c>
    </row>
    <row r="315">
      <c r="A315" s="559"/>
      <c r="B315" s="556" t="s">
        <v>378</v>
      </c>
      <c r="C315" s="557"/>
      <c r="D315" s="557"/>
      <c r="E315" s="557"/>
      <c r="F315" s="557"/>
      <c r="G315" s="551">
        <f t="shared" si="25"/>
        <v>0</v>
      </c>
      <c r="H315" s="560"/>
      <c r="I315" s="551">
        <f t="shared" si="26"/>
        <v>0</v>
      </c>
      <c r="J315" s="560"/>
      <c r="K315" s="551">
        <f t="shared" si="22"/>
        <v>0</v>
      </c>
      <c r="L315" s="557"/>
      <c r="M315" s="551">
        <f t="shared" si="23"/>
        <v>0</v>
      </c>
      <c r="N315" s="557"/>
      <c r="O315" s="551">
        <f t="shared" si="24"/>
        <v>0</v>
      </c>
    </row>
    <row r="316">
      <c r="A316" s="559"/>
      <c r="B316" s="556" t="s">
        <v>378</v>
      </c>
      <c r="C316" s="557"/>
      <c r="D316" s="557"/>
      <c r="E316" s="557"/>
      <c r="F316" s="557"/>
      <c r="G316" s="551">
        <f t="shared" si="25"/>
        <v>0</v>
      </c>
      <c r="H316" s="560"/>
      <c r="I316" s="551">
        <f t="shared" si="26"/>
        <v>0</v>
      </c>
      <c r="J316" s="560"/>
      <c r="K316" s="551">
        <f t="shared" si="22"/>
        <v>0</v>
      </c>
      <c r="L316" s="557"/>
      <c r="M316" s="551">
        <f t="shared" si="23"/>
        <v>0</v>
      </c>
      <c r="N316" s="557"/>
      <c r="O316" s="551">
        <f t="shared" si="24"/>
        <v>0</v>
      </c>
    </row>
    <row r="317">
      <c r="A317" s="559"/>
      <c r="B317" s="556" t="s">
        <v>378</v>
      </c>
      <c r="C317" s="557"/>
      <c r="D317" s="557"/>
      <c r="E317" s="557"/>
      <c r="F317" s="557"/>
      <c r="G317" s="551">
        <f t="shared" si="25"/>
        <v>0</v>
      </c>
      <c r="H317" s="560"/>
      <c r="I317" s="551">
        <f t="shared" si="26"/>
        <v>0</v>
      </c>
      <c r="J317" s="560"/>
      <c r="K317" s="551">
        <f t="shared" si="22"/>
        <v>0</v>
      </c>
      <c r="L317" s="557"/>
      <c r="M317" s="551">
        <f t="shared" si="23"/>
        <v>0</v>
      </c>
      <c r="N317" s="557"/>
      <c r="O317" s="551">
        <f t="shared" si="24"/>
        <v>0</v>
      </c>
    </row>
    <row r="318">
      <c r="A318" s="559"/>
      <c r="B318" s="556" t="s">
        <v>378</v>
      </c>
      <c r="C318" s="557"/>
      <c r="D318" s="557"/>
      <c r="E318" s="557"/>
      <c r="F318" s="557"/>
      <c r="G318" s="551">
        <f t="shared" si="25"/>
        <v>0</v>
      </c>
      <c r="H318" s="560"/>
      <c r="I318" s="551">
        <f t="shared" si="26"/>
        <v>0</v>
      </c>
      <c r="J318" s="560"/>
      <c r="K318" s="551">
        <f t="shared" si="22"/>
        <v>0</v>
      </c>
      <c r="L318" s="557"/>
      <c r="M318" s="551">
        <f t="shared" si="23"/>
        <v>0</v>
      </c>
      <c r="N318" s="557"/>
      <c r="O318" s="551">
        <f t="shared" si="24"/>
        <v>0</v>
      </c>
    </row>
    <row r="319">
      <c r="A319" s="559"/>
      <c r="B319" s="556" t="s">
        <v>378</v>
      </c>
      <c r="C319" s="557"/>
      <c r="D319" s="557"/>
      <c r="E319" s="557"/>
      <c r="F319" s="557"/>
      <c r="G319" s="551">
        <f t="shared" si="25"/>
        <v>0</v>
      </c>
      <c r="H319" s="560"/>
      <c r="I319" s="551">
        <f t="shared" si="26"/>
        <v>0</v>
      </c>
      <c r="J319" s="560"/>
      <c r="K319" s="551">
        <f t="shared" si="22"/>
        <v>0</v>
      </c>
      <c r="L319" s="557"/>
      <c r="M319" s="551">
        <f t="shared" si="23"/>
        <v>0</v>
      </c>
      <c r="N319" s="557"/>
      <c r="O319" s="551">
        <f t="shared" si="24"/>
        <v>0</v>
      </c>
    </row>
    <row r="320">
      <c r="A320" s="559"/>
      <c r="B320" s="556" t="s">
        <v>378</v>
      </c>
      <c r="C320" s="557"/>
      <c r="D320" s="557"/>
      <c r="E320" s="557"/>
      <c r="F320" s="557"/>
      <c r="G320" s="551">
        <f t="shared" si="25"/>
        <v>0</v>
      </c>
      <c r="H320" s="560"/>
      <c r="I320" s="551">
        <f t="shared" si="26"/>
        <v>0</v>
      </c>
      <c r="J320" s="560"/>
      <c r="K320" s="551">
        <f t="shared" si="22"/>
        <v>0</v>
      </c>
      <c r="L320" s="557"/>
      <c r="M320" s="551">
        <f t="shared" si="23"/>
        <v>0</v>
      </c>
      <c r="N320" s="557"/>
      <c r="O320" s="551">
        <f t="shared" si="24"/>
        <v>0</v>
      </c>
    </row>
    <row r="321">
      <c r="A321" s="559"/>
      <c r="B321" s="556" t="s">
        <v>378</v>
      </c>
      <c r="C321" s="557"/>
      <c r="D321" s="557"/>
      <c r="E321" s="557"/>
      <c r="F321" s="557"/>
      <c r="G321" s="551">
        <f t="shared" si="25"/>
        <v>0</v>
      </c>
      <c r="H321" s="560"/>
      <c r="I321" s="551">
        <f t="shared" si="26"/>
        <v>0</v>
      </c>
      <c r="J321" s="560"/>
      <c r="K321" s="551">
        <f t="shared" si="22"/>
        <v>0</v>
      </c>
      <c r="L321" s="557"/>
      <c r="M321" s="551">
        <f t="shared" si="23"/>
        <v>0</v>
      </c>
      <c r="N321" s="557"/>
      <c r="O321" s="551">
        <f t="shared" si="24"/>
        <v>0</v>
      </c>
    </row>
    <row r="322">
      <c r="A322" s="559"/>
      <c r="B322" s="556" t="s">
        <v>378</v>
      </c>
      <c r="C322" s="557"/>
      <c r="D322" s="557"/>
      <c r="E322" s="557"/>
      <c r="F322" s="557"/>
      <c r="G322" s="551">
        <f t="shared" si="25"/>
        <v>0</v>
      </c>
      <c r="H322" s="560"/>
      <c r="I322" s="551">
        <f t="shared" si="26"/>
        <v>0</v>
      </c>
      <c r="J322" s="560"/>
      <c r="K322" s="551">
        <f t="shared" si="22"/>
        <v>0</v>
      </c>
      <c r="L322" s="557"/>
      <c r="M322" s="551">
        <f t="shared" si="23"/>
        <v>0</v>
      </c>
      <c r="N322" s="557"/>
      <c r="O322" s="551">
        <f t="shared" si="24"/>
        <v>0</v>
      </c>
    </row>
    <row r="323">
      <c r="A323" s="559"/>
      <c r="B323" s="556" t="s">
        <v>378</v>
      </c>
      <c r="C323" s="557"/>
      <c r="D323" s="557"/>
      <c r="E323" s="557"/>
      <c r="F323" s="557"/>
      <c r="G323" s="551">
        <f t="shared" si="25"/>
        <v>0</v>
      </c>
      <c r="H323" s="560"/>
      <c r="I323" s="551">
        <f t="shared" si="26"/>
        <v>0</v>
      </c>
      <c r="J323" s="560"/>
      <c r="K323" s="551">
        <f t="shared" si="22"/>
        <v>0</v>
      </c>
      <c r="L323" s="557"/>
      <c r="M323" s="551">
        <f t="shared" si="23"/>
        <v>0</v>
      </c>
      <c r="N323" s="557"/>
      <c r="O323" s="551">
        <f t="shared" si="24"/>
        <v>0</v>
      </c>
    </row>
    <row r="324">
      <c r="A324" s="559"/>
      <c r="B324" s="556" t="s">
        <v>378</v>
      </c>
      <c r="C324" s="557"/>
      <c r="D324" s="557"/>
      <c r="E324" s="557"/>
      <c r="F324" s="557"/>
      <c r="G324" s="551">
        <f t="shared" si="25"/>
        <v>0</v>
      </c>
      <c r="H324" s="560"/>
      <c r="I324" s="551">
        <f t="shared" si="26"/>
        <v>0</v>
      </c>
      <c r="J324" s="560"/>
      <c r="K324" s="551">
        <f ref="K324:K387" t="shared" si="27">IF(J324&gt;0,ROUND(10*LOG10(J324)+30,2),0)</f>
        <v>0</v>
      </c>
      <c r="L324" s="557"/>
      <c r="M324" s="551">
        <f ref="M324:M387" t="shared" si="28">IF(L324&gt;0,ROUND(10*LOG10(L324)+30,2),0)</f>
        <v>0</v>
      </c>
      <c r="N324" s="557"/>
      <c r="O324" s="551">
        <f ref="O324:O387" t="shared" si="29">IF(N324&gt;0,ROUND(10*LOG10(N324)+30,2),0)</f>
        <v>0</v>
      </c>
    </row>
    <row r="325">
      <c r="A325" s="559"/>
      <c r="B325" s="556" t="s">
        <v>378</v>
      </c>
      <c r="C325" s="557"/>
      <c r="D325" s="557"/>
      <c r="E325" s="557"/>
      <c r="F325" s="557"/>
      <c r="G325" s="551">
        <f ref="G325:G388" t="shared" si="30">IF(F325&gt;0,ROUND(10*LOG10(F325)+30,2),0)</f>
        <v>0</v>
      </c>
      <c r="H325" s="560"/>
      <c r="I325" s="551">
        <f ref="I325:I388" t="shared" si="31">IF(H325&gt;0,ROUND(10*LOG10(H325)+30,2),0)</f>
        <v>0</v>
      </c>
      <c r="J325" s="560"/>
      <c r="K325" s="551">
        <f t="shared" si="27"/>
        <v>0</v>
      </c>
      <c r="L325" s="557"/>
      <c r="M325" s="551">
        <f t="shared" si="28"/>
        <v>0</v>
      </c>
      <c r="N325" s="557"/>
      <c r="O325" s="551">
        <f t="shared" si="29"/>
        <v>0</v>
      </c>
    </row>
    <row r="326">
      <c r="A326" s="559"/>
      <c r="B326" s="556" t="s">
        <v>378</v>
      </c>
      <c r="C326" s="557"/>
      <c r="D326" s="557"/>
      <c r="E326" s="557"/>
      <c r="F326" s="557"/>
      <c r="G326" s="551">
        <f t="shared" si="30"/>
        <v>0</v>
      </c>
      <c r="H326" s="560"/>
      <c r="I326" s="551">
        <f t="shared" si="31"/>
        <v>0</v>
      </c>
      <c r="J326" s="560"/>
      <c r="K326" s="551">
        <f t="shared" si="27"/>
        <v>0</v>
      </c>
      <c r="L326" s="557"/>
      <c r="M326" s="551">
        <f t="shared" si="28"/>
        <v>0</v>
      </c>
      <c r="N326" s="557"/>
      <c r="O326" s="551">
        <f t="shared" si="29"/>
        <v>0</v>
      </c>
    </row>
    <row r="327">
      <c r="A327" s="559"/>
      <c r="B327" s="556" t="s">
        <v>378</v>
      </c>
      <c r="C327" s="557"/>
      <c r="D327" s="557"/>
      <c r="E327" s="557"/>
      <c r="F327" s="557"/>
      <c r="G327" s="551">
        <f t="shared" si="30"/>
        <v>0</v>
      </c>
      <c r="H327" s="560"/>
      <c r="I327" s="551">
        <f t="shared" si="31"/>
        <v>0</v>
      </c>
      <c r="J327" s="560"/>
      <c r="K327" s="551">
        <f t="shared" si="27"/>
        <v>0</v>
      </c>
      <c r="L327" s="557"/>
      <c r="M327" s="551">
        <f t="shared" si="28"/>
        <v>0</v>
      </c>
      <c r="N327" s="557"/>
      <c r="O327" s="551">
        <f t="shared" si="29"/>
        <v>0</v>
      </c>
    </row>
    <row r="328">
      <c r="A328" s="559"/>
      <c r="B328" s="556" t="s">
        <v>378</v>
      </c>
      <c r="C328" s="557"/>
      <c r="D328" s="557"/>
      <c r="E328" s="557"/>
      <c r="F328" s="557"/>
      <c r="G328" s="551">
        <f t="shared" si="30"/>
        <v>0</v>
      </c>
      <c r="H328" s="560"/>
      <c r="I328" s="551">
        <f t="shared" si="31"/>
        <v>0</v>
      </c>
      <c r="J328" s="560"/>
      <c r="K328" s="551">
        <f t="shared" si="27"/>
        <v>0</v>
      </c>
      <c r="L328" s="557"/>
      <c r="M328" s="551">
        <f t="shared" si="28"/>
        <v>0</v>
      </c>
      <c r="N328" s="557"/>
      <c r="O328" s="551">
        <f t="shared" si="29"/>
        <v>0</v>
      </c>
    </row>
    <row r="329">
      <c r="A329" s="559"/>
      <c r="B329" s="556" t="s">
        <v>378</v>
      </c>
      <c r="C329" s="557"/>
      <c r="D329" s="557"/>
      <c r="E329" s="557"/>
      <c r="F329" s="557"/>
      <c r="G329" s="551">
        <f t="shared" si="30"/>
        <v>0</v>
      </c>
      <c r="H329" s="560"/>
      <c r="I329" s="551">
        <f t="shared" si="31"/>
        <v>0</v>
      </c>
      <c r="J329" s="560"/>
      <c r="K329" s="551">
        <f t="shared" si="27"/>
        <v>0</v>
      </c>
      <c r="L329" s="557"/>
      <c r="M329" s="551">
        <f t="shared" si="28"/>
        <v>0</v>
      </c>
      <c r="N329" s="557"/>
      <c r="O329" s="551">
        <f t="shared" si="29"/>
        <v>0</v>
      </c>
    </row>
    <row r="330">
      <c r="A330" s="561" t="s">
        <v>353</v>
      </c>
      <c r="B330" s="562" t="s">
        <v>193</v>
      </c>
      <c r="C330" s="563" t="s">
        <v>200</v>
      </c>
      <c r="D330" s="563">
        <v>1</v>
      </c>
      <c r="E330" s="563"/>
      <c r="F330" s="563">
        <v>40</v>
      </c>
      <c r="G330" s="564">
        <f t="shared" si="30"/>
        <v>46.02</v>
      </c>
      <c r="H330" s="565"/>
      <c r="I330" s="564">
        <f t="shared" si="31"/>
        <v>0</v>
      </c>
      <c r="J330" s="565"/>
      <c r="K330" s="564">
        <f t="shared" si="27"/>
        <v>0</v>
      </c>
      <c r="L330" s="563"/>
      <c r="M330" s="564">
        <f t="shared" si="28"/>
        <v>0</v>
      </c>
      <c r="N330" s="563"/>
      <c r="O330" s="564">
        <f t="shared" si="29"/>
        <v>0</v>
      </c>
    </row>
    <row r="331">
      <c r="A331" s="561" t="s">
        <v>355</v>
      </c>
      <c r="B331" s="562" t="s">
        <v>193</v>
      </c>
      <c r="C331" s="563" t="s">
        <v>200</v>
      </c>
      <c r="D331" s="563">
        <v>1</v>
      </c>
      <c r="E331" s="563"/>
      <c r="F331" s="563"/>
      <c r="G331" s="564">
        <f t="shared" si="30"/>
        <v>0</v>
      </c>
      <c r="H331" s="565">
        <v>120</v>
      </c>
      <c r="I331" s="564">
        <f t="shared" si="31"/>
        <v>50.79</v>
      </c>
      <c r="J331" s="565"/>
      <c r="K331" s="564">
        <f t="shared" si="27"/>
        <v>0</v>
      </c>
      <c r="L331" s="563"/>
      <c r="M331" s="564">
        <f t="shared" si="28"/>
        <v>0</v>
      </c>
      <c r="N331" s="563"/>
      <c r="O331" s="564">
        <f t="shared" si="29"/>
        <v>0</v>
      </c>
    </row>
    <row r="332">
      <c r="A332" s="561" t="s">
        <v>276</v>
      </c>
      <c r="B332" s="562" t="s">
        <v>193</v>
      </c>
      <c r="C332" s="563" t="s">
        <v>200</v>
      </c>
      <c r="D332" s="563">
        <v>1</v>
      </c>
      <c r="E332" s="563"/>
      <c r="F332" s="563"/>
      <c r="G332" s="564">
        <f t="shared" si="30"/>
        <v>0</v>
      </c>
      <c r="H332" s="565">
        <v>60</v>
      </c>
      <c r="I332" s="564">
        <f t="shared" si="31"/>
        <v>47.78</v>
      </c>
      <c r="J332" s="565"/>
      <c r="K332" s="564">
        <f t="shared" si="27"/>
        <v>0</v>
      </c>
      <c r="L332" s="563"/>
      <c r="M332" s="564">
        <f t="shared" si="28"/>
        <v>0</v>
      </c>
      <c r="N332" s="563"/>
      <c r="O332" s="564">
        <f t="shared" si="29"/>
        <v>0</v>
      </c>
    </row>
    <row r="333">
      <c r="A333" s="561" t="s">
        <v>390</v>
      </c>
      <c r="B333" s="562" t="s">
        <v>193</v>
      </c>
      <c r="C333" s="563" t="s">
        <v>200</v>
      </c>
      <c r="D333" s="563">
        <v>1</v>
      </c>
      <c r="E333" s="563"/>
      <c r="F333" s="563"/>
      <c r="G333" s="564">
        <f t="shared" si="30"/>
        <v>0</v>
      </c>
      <c r="H333" s="565"/>
      <c r="I333" s="564">
        <f t="shared" si="31"/>
        <v>0</v>
      </c>
      <c r="J333" s="565">
        <v>40</v>
      </c>
      <c r="K333" s="564">
        <f t="shared" si="27"/>
        <v>46.02</v>
      </c>
      <c r="L333" s="563"/>
      <c r="M333" s="564">
        <f t="shared" si="28"/>
        <v>0</v>
      </c>
      <c r="N333" s="563"/>
      <c r="O333" s="564">
        <f t="shared" si="29"/>
        <v>0</v>
      </c>
    </row>
    <row r="334">
      <c r="A334" s="561"/>
      <c r="B334" s="562"/>
      <c r="C334" s="563"/>
      <c r="D334" s="563"/>
      <c r="E334" s="563"/>
      <c r="F334" s="563"/>
      <c r="G334" s="564">
        <f t="shared" si="30"/>
        <v>0</v>
      </c>
      <c r="H334" s="565"/>
      <c r="I334" s="564">
        <f t="shared" si="31"/>
        <v>0</v>
      </c>
      <c r="J334" s="565"/>
      <c r="K334" s="564">
        <f t="shared" si="27"/>
        <v>0</v>
      </c>
      <c r="L334" s="563"/>
      <c r="M334" s="564">
        <f t="shared" si="28"/>
        <v>0</v>
      </c>
      <c r="N334" s="563"/>
      <c r="O334" s="564">
        <f t="shared" si="29"/>
        <v>0</v>
      </c>
    </row>
    <row r="335">
      <c r="A335" s="561"/>
      <c r="B335" s="562"/>
      <c r="C335" s="563"/>
      <c r="D335" s="563"/>
      <c r="E335" s="563"/>
      <c r="F335" s="563"/>
      <c r="G335" s="564">
        <f t="shared" si="30"/>
        <v>0</v>
      </c>
      <c r="H335" s="565"/>
      <c r="I335" s="564">
        <f t="shared" si="31"/>
        <v>0</v>
      </c>
      <c r="J335" s="565"/>
      <c r="K335" s="564">
        <f t="shared" si="27"/>
        <v>0</v>
      </c>
      <c r="L335" s="563"/>
      <c r="M335" s="564">
        <f t="shared" si="28"/>
        <v>0</v>
      </c>
      <c r="N335" s="563"/>
      <c r="O335" s="564">
        <f t="shared" si="29"/>
        <v>0</v>
      </c>
    </row>
    <row r="336">
      <c r="A336" s="561"/>
      <c r="B336" s="562"/>
      <c r="C336" s="563"/>
      <c r="D336" s="563"/>
      <c r="E336" s="563"/>
      <c r="F336" s="563"/>
      <c r="G336" s="564">
        <f t="shared" si="30"/>
        <v>0</v>
      </c>
      <c r="H336" s="565"/>
      <c r="I336" s="564">
        <f t="shared" si="31"/>
        <v>0</v>
      </c>
      <c r="J336" s="565"/>
      <c r="K336" s="564">
        <f t="shared" si="27"/>
        <v>0</v>
      </c>
      <c r="L336" s="563"/>
      <c r="M336" s="564">
        <f t="shared" si="28"/>
        <v>0</v>
      </c>
      <c r="N336" s="563"/>
      <c r="O336" s="564">
        <f t="shared" si="29"/>
        <v>0</v>
      </c>
    </row>
    <row r="337">
      <c r="A337" s="561"/>
      <c r="B337" s="562"/>
      <c r="C337" s="563"/>
      <c r="D337" s="563"/>
      <c r="E337" s="563"/>
      <c r="F337" s="563"/>
      <c r="G337" s="564">
        <f t="shared" si="30"/>
        <v>0</v>
      </c>
      <c r="H337" s="565"/>
      <c r="I337" s="564">
        <f t="shared" si="31"/>
        <v>0</v>
      </c>
      <c r="J337" s="565"/>
      <c r="K337" s="564">
        <f t="shared" si="27"/>
        <v>0</v>
      </c>
      <c r="L337" s="563"/>
      <c r="M337" s="564">
        <f t="shared" si="28"/>
        <v>0</v>
      </c>
      <c r="N337" s="563"/>
      <c r="O337" s="564">
        <f t="shared" si="29"/>
        <v>0</v>
      </c>
    </row>
    <row r="338">
      <c r="A338" s="561"/>
      <c r="B338" s="562"/>
      <c r="C338" s="563"/>
      <c r="D338" s="563"/>
      <c r="E338" s="563"/>
      <c r="F338" s="563"/>
      <c r="G338" s="564">
        <f t="shared" si="30"/>
        <v>0</v>
      </c>
      <c r="H338" s="565"/>
      <c r="I338" s="564">
        <f t="shared" si="31"/>
        <v>0</v>
      </c>
      <c r="J338" s="565"/>
      <c r="K338" s="564">
        <f t="shared" si="27"/>
        <v>0</v>
      </c>
      <c r="L338" s="563"/>
      <c r="M338" s="564">
        <f t="shared" si="28"/>
        <v>0</v>
      </c>
      <c r="N338" s="563"/>
      <c r="O338" s="564">
        <f t="shared" si="29"/>
        <v>0</v>
      </c>
    </row>
    <row r="339">
      <c r="A339" s="561"/>
      <c r="B339" s="562"/>
      <c r="C339" s="563"/>
      <c r="D339" s="563"/>
      <c r="E339" s="563"/>
      <c r="F339" s="563"/>
      <c r="G339" s="564">
        <f t="shared" si="30"/>
        <v>0</v>
      </c>
      <c r="H339" s="565"/>
      <c r="I339" s="564">
        <f t="shared" si="31"/>
        <v>0</v>
      </c>
      <c r="J339" s="565"/>
      <c r="K339" s="564">
        <f t="shared" si="27"/>
        <v>0</v>
      </c>
      <c r="L339" s="563"/>
      <c r="M339" s="564">
        <f t="shared" si="28"/>
        <v>0</v>
      </c>
      <c r="N339" s="563"/>
      <c r="O339" s="564">
        <f t="shared" si="29"/>
        <v>0</v>
      </c>
    </row>
    <row r="340">
      <c r="A340" s="561"/>
      <c r="B340" s="562"/>
      <c r="C340" s="563"/>
      <c r="D340" s="563"/>
      <c r="E340" s="563"/>
      <c r="F340" s="563"/>
      <c r="G340" s="564">
        <f t="shared" si="30"/>
        <v>0</v>
      </c>
      <c r="H340" s="565"/>
      <c r="I340" s="564">
        <f t="shared" si="31"/>
        <v>0</v>
      </c>
      <c r="J340" s="565"/>
      <c r="K340" s="564">
        <f t="shared" si="27"/>
        <v>0</v>
      </c>
      <c r="L340" s="563"/>
      <c r="M340" s="564">
        <f t="shared" si="28"/>
        <v>0</v>
      </c>
      <c r="N340" s="563"/>
      <c r="O340" s="564">
        <f t="shared" si="29"/>
        <v>0</v>
      </c>
    </row>
    <row r="341">
      <c r="A341" s="561"/>
      <c r="B341" s="562"/>
      <c r="C341" s="563"/>
      <c r="D341" s="563"/>
      <c r="E341" s="563"/>
      <c r="F341" s="563"/>
      <c r="G341" s="564">
        <f t="shared" si="30"/>
        <v>0</v>
      </c>
      <c r="H341" s="565"/>
      <c r="I341" s="564">
        <f t="shared" si="31"/>
        <v>0</v>
      </c>
      <c r="J341" s="565"/>
      <c r="K341" s="564">
        <f t="shared" si="27"/>
        <v>0</v>
      </c>
      <c r="L341" s="563"/>
      <c r="M341" s="564">
        <f t="shared" si="28"/>
        <v>0</v>
      </c>
      <c r="N341" s="563"/>
      <c r="O341" s="564">
        <f t="shared" si="29"/>
        <v>0</v>
      </c>
    </row>
    <row r="342">
      <c r="A342" s="561"/>
      <c r="B342" s="562"/>
      <c r="C342" s="563"/>
      <c r="D342" s="563"/>
      <c r="E342" s="563"/>
      <c r="F342" s="563"/>
      <c r="G342" s="564">
        <f t="shared" si="30"/>
        <v>0</v>
      </c>
      <c r="H342" s="565"/>
      <c r="I342" s="564">
        <f t="shared" si="31"/>
        <v>0</v>
      </c>
      <c r="J342" s="565"/>
      <c r="K342" s="564">
        <f t="shared" si="27"/>
        <v>0</v>
      </c>
      <c r="L342" s="563"/>
      <c r="M342" s="564">
        <f t="shared" si="28"/>
        <v>0</v>
      </c>
      <c r="N342" s="563"/>
      <c r="O342" s="564">
        <f t="shared" si="29"/>
        <v>0</v>
      </c>
    </row>
    <row r="343">
      <c r="A343" s="561"/>
      <c r="B343" s="562"/>
      <c r="C343" s="563"/>
      <c r="D343" s="563"/>
      <c r="E343" s="563"/>
      <c r="F343" s="563"/>
      <c r="G343" s="564">
        <f t="shared" si="30"/>
        <v>0</v>
      </c>
      <c r="H343" s="565"/>
      <c r="I343" s="564">
        <f t="shared" si="31"/>
        <v>0</v>
      </c>
      <c r="J343" s="565"/>
      <c r="K343" s="564">
        <f t="shared" si="27"/>
        <v>0</v>
      </c>
      <c r="L343" s="563"/>
      <c r="M343" s="564">
        <f t="shared" si="28"/>
        <v>0</v>
      </c>
      <c r="N343" s="563"/>
      <c r="O343" s="564">
        <f t="shared" si="29"/>
        <v>0</v>
      </c>
    </row>
    <row r="344">
      <c r="A344" s="561"/>
      <c r="B344" s="562"/>
      <c r="C344" s="563"/>
      <c r="D344" s="563"/>
      <c r="E344" s="563"/>
      <c r="F344" s="563"/>
      <c r="G344" s="564">
        <f t="shared" si="30"/>
        <v>0</v>
      </c>
      <c r="H344" s="565"/>
      <c r="I344" s="564">
        <f t="shared" si="31"/>
        <v>0</v>
      </c>
      <c r="J344" s="565"/>
      <c r="K344" s="564">
        <f t="shared" si="27"/>
        <v>0</v>
      </c>
      <c r="L344" s="563"/>
      <c r="M344" s="564">
        <f t="shared" si="28"/>
        <v>0</v>
      </c>
      <c r="N344" s="563"/>
      <c r="O344" s="564">
        <f t="shared" si="29"/>
        <v>0</v>
      </c>
    </row>
    <row r="345">
      <c r="A345" s="561"/>
      <c r="B345" s="562"/>
      <c r="C345" s="563"/>
      <c r="D345" s="563"/>
      <c r="E345" s="563"/>
      <c r="F345" s="563"/>
      <c r="G345" s="564">
        <f t="shared" si="30"/>
        <v>0</v>
      </c>
      <c r="H345" s="565"/>
      <c r="I345" s="564">
        <f t="shared" si="31"/>
        <v>0</v>
      </c>
      <c r="J345" s="565"/>
      <c r="K345" s="564">
        <f t="shared" si="27"/>
        <v>0</v>
      </c>
      <c r="L345" s="563"/>
      <c r="M345" s="564">
        <f t="shared" si="28"/>
        <v>0</v>
      </c>
      <c r="N345" s="563"/>
      <c r="O345" s="564">
        <f t="shared" si="29"/>
        <v>0</v>
      </c>
    </row>
    <row r="346">
      <c r="A346" s="561"/>
      <c r="B346" s="562"/>
      <c r="C346" s="563"/>
      <c r="D346" s="563"/>
      <c r="E346" s="563"/>
      <c r="F346" s="563"/>
      <c r="G346" s="564">
        <f t="shared" si="30"/>
        <v>0</v>
      </c>
      <c r="H346" s="565"/>
      <c r="I346" s="564">
        <f t="shared" si="31"/>
        <v>0</v>
      </c>
      <c r="J346" s="565"/>
      <c r="K346" s="564">
        <f t="shared" si="27"/>
        <v>0</v>
      </c>
      <c r="L346" s="563"/>
      <c r="M346" s="564">
        <f t="shared" si="28"/>
        <v>0</v>
      </c>
      <c r="N346" s="563"/>
      <c r="O346" s="564">
        <f t="shared" si="29"/>
        <v>0</v>
      </c>
    </row>
    <row r="347">
      <c r="A347" s="561"/>
      <c r="B347" s="562"/>
      <c r="C347" s="563"/>
      <c r="D347" s="563"/>
      <c r="E347" s="563"/>
      <c r="F347" s="563"/>
      <c r="G347" s="564">
        <f t="shared" si="30"/>
        <v>0</v>
      </c>
      <c r="H347" s="565"/>
      <c r="I347" s="564">
        <f t="shared" si="31"/>
        <v>0</v>
      </c>
      <c r="J347" s="565"/>
      <c r="K347" s="564">
        <f t="shared" si="27"/>
        <v>0</v>
      </c>
      <c r="L347" s="563"/>
      <c r="M347" s="564">
        <f t="shared" si="28"/>
        <v>0</v>
      </c>
      <c r="N347" s="563"/>
      <c r="O347" s="564">
        <f t="shared" si="29"/>
        <v>0</v>
      </c>
    </row>
    <row r="348">
      <c r="A348" s="561"/>
      <c r="B348" s="562"/>
      <c r="C348" s="563"/>
      <c r="D348" s="563"/>
      <c r="E348" s="563"/>
      <c r="F348" s="563"/>
      <c r="G348" s="564">
        <f t="shared" si="30"/>
        <v>0</v>
      </c>
      <c r="H348" s="565"/>
      <c r="I348" s="564">
        <f t="shared" si="31"/>
        <v>0</v>
      </c>
      <c r="J348" s="565"/>
      <c r="K348" s="564">
        <f t="shared" si="27"/>
        <v>0</v>
      </c>
      <c r="L348" s="563"/>
      <c r="M348" s="564">
        <f t="shared" si="28"/>
        <v>0</v>
      </c>
      <c r="N348" s="563"/>
      <c r="O348" s="564">
        <f t="shared" si="29"/>
        <v>0</v>
      </c>
    </row>
    <row r="349">
      <c r="A349" s="561"/>
      <c r="B349" s="562"/>
      <c r="C349" s="563"/>
      <c r="D349" s="563"/>
      <c r="E349" s="563"/>
      <c r="F349" s="563"/>
      <c r="G349" s="564">
        <f t="shared" si="30"/>
        <v>0</v>
      </c>
      <c r="H349" s="565"/>
      <c r="I349" s="564">
        <f t="shared" si="31"/>
        <v>0</v>
      </c>
      <c r="J349" s="565"/>
      <c r="K349" s="564">
        <f t="shared" si="27"/>
        <v>0</v>
      </c>
      <c r="L349" s="563"/>
      <c r="M349" s="564">
        <f t="shared" si="28"/>
        <v>0</v>
      </c>
      <c r="N349" s="563"/>
      <c r="O349" s="564">
        <f t="shared" si="29"/>
        <v>0</v>
      </c>
    </row>
    <row r="350">
      <c r="A350" s="561"/>
      <c r="B350" s="562"/>
      <c r="C350" s="563"/>
      <c r="D350" s="563"/>
      <c r="E350" s="563"/>
      <c r="F350" s="563"/>
      <c r="G350" s="564">
        <f t="shared" si="30"/>
        <v>0</v>
      </c>
      <c r="H350" s="565"/>
      <c r="I350" s="564">
        <f t="shared" si="31"/>
        <v>0</v>
      </c>
      <c r="J350" s="565"/>
      <c r="K350" s="564">
        <f t="shared" si="27"/>
        <v>0</v>
      </c>
      <c r="L350" s="563"/>
      <c r="M350" s="564">
        <f t="shared" si="28"/>
        <v>0</v>
      </c>
      <c r="N350" s="563"/>
      <c r="O350" s="564">
        <f t="shared" si="29"/>
        <v>0</v>
      </c>
    </row>
    <row r="351">
      <c r="A351" s="561"/>
      <c r="B351" s="562"/>
      <c r="C351" s="563"/>
      <c r="D351" s="563"/>
      <c r="E351" s="563"/>
      <c r="F351" s="563"/>
      <c r="G351" s="564">
        <f t="shared" si="30"/>
        <v>0</v>
      </c>
      <c r="H351" s="565"/>
      <c r="I351" s="564">
        <f t="shared" si="31"/>
        <v>0</v>
      </c>
      <c r="J351" s="565"/>
      <c r="K351" s="564">
        <f t="shared" si="27"/>
        <v>0</v>
      </c>
      <c r="L351" s="563"/>
      <c r="M351" s="564">
        <f t="shared" si="28"/>
        <v>0</v>
      </c>
      <c r="N351" s="563"/>
      <c r="O351" s="564">
        <f t="shared" si="29"/>
        <v>0</v>
      </c>
    </row>
    <row r="352">
      <c r="A352" s="561"/>
      <c r="B352" s="562"/>
      <c r="C352" s="563"/>
      <c r="D352" s="563"/>
      <c r="E352" s="563"/>
      <c r="F352" s="563"/>
      <c r="G352" s="564">
        <f t="shared" si="30"/>
        <v>0</v>
      </c>
      <c r="H352" s="565"/>
      <c r="I352" s="564">
        <f t="shared" si="31"/>
        <v>0</v>
      </c>
      <c r="J352" s="565"/>
      <c r="K352" s="564">
        <f t="shared" si="27"/>
        <v>0</v>
      </c>
      <c r="L352" s="563"/>
      <c r="M352" s="564">
        <f t="shared" si="28"/>
        <v>0</v>
      </c>
      <c r="N352" s="563"/>
      <c r="O352" s="564">
        <f t="shared" si="29"/>
        <v>0</v>
      </c>
    </row>
    <row r="353">
      <c r="A353" s="561"/>
      <c r="B353" s="562"/>
      <c r="C353" s="563"/>
      <c r="D353" s="563"/>
      <c r="E353" s="563"/>
      <c r="F353" s="563"/>
      <c r="G353" s="564">
        <f t="shared" si="30"/>
        <v>0</v>
      </c>
      <c r="H353" s="565"/>
      <c r="I353" s="564">
        <f t="shared" si="31"/>
        <v>0</v>
      </c>
      <c r="J353" s="565"/>
      <c r="K353" s="564">
        <f t="shared" si="27"/>
        <v>0</v>
      </c>
      <c r="L353" s="563"/>
      <c r="M353" s="564">
        <f t="shared" si="28"/>
        <v>0</v>
      </c>
      <c r="N353" s="563"/>
      <c r="O353" s="564">
        <f t="shared" si="29"/>
        <v>0</v>
      </c>
    </row>
    <row r="354">
      <c r="A354" s="561"/>
      <c r="B354" s="562"/>
      <c r="C354" s="563"/>
      <c r="D354" s="563"/>
      <c r="E354" s="563"/>
      <c r="F354" s="563"/>
      <c r="G354" s="564">
        <f t="shared" si="30"/>
        <v>0</v>
      </c>
      <c r="H354" s="565"/>
      <c r="I354" s="564">
        <f t="shared" si="31"/>
        <v>0</v>
      </c>
      <c r="J354" s="565"/>
      <c r="K354" s="564">
        <f t="shared" si="27"/>
        <v>0</v>
      </c>
      <c r="L354" s="563"/>
      <c r="M354" s="564">
        <f t="shared" si="28"/>
        <v>0</v>
      </c>
      <c r="N354" s="563"/>
      <c r="O354" s="564">
        <f t="shared" si="29"/>
        <v>0</v>
      </c>
    </row>
    <row r="355">
      <c r="A355" s="561"/>
      <c r="B355" s="562"/>
      <c r="C355" s="563"/>
      <c r="D355" s="563"/>
      <c r="E355" s="563"/>
      <c r="F355" s="563"/>
      <c r="G355" s="564">
        <f t="shared" si="30"/>
        <v>0</v>
      </c>
      <c r="H355" s="565"/>
      <c r="I355" s="564">
        <f t="shared" si="31"/>
        <v>0</v>
      </c>
      <c r="J355" s="565"/>
      <c r="K355" s="564">
        <f t="shared" si="27"/>
        <v>0</v>
      </c>
      <c r="L355" s="563"/>
      <c r="M355" s="564">
        <f t="shared" si="28"/>
        <v>0</v>
      </c>
      <c r="N355" s="563"/>
      <c r="O355" s="564">
        <f t="shared" si="29"/>
        <v>0</v>
      </c>
    </row>
    <row r="356">
      <c r="A356" s="561"/>
      <c r="B356" s="562"/>
      <c r="C356" s="563"/>
      <c r="D356" s="563"/>
      <c r="E356" s="563"/>
      <c r="F356" s="563"/>
      <c r="G356" s="564">
        <f t="shared" si="30"/>
        <v>0</v>
      </c>
      <c r="H356" s="565"/>
      <c r="I356" s="564">
        <f t="shared" si="31"/>
        <v>0</v>
      </c>
      <c r="J356" s="565"/>
      <c r="K356" s="564">
        <f t="shared" si="27"/>
        <v>0</v>
      </c>
      <c r="L356" s="563"/>
      <c r="M356" s="564">
        <f t="shared" si="28"/>
        <v>0</v>
      </c>
      <c r="N356" s="563"/>
      <c r="O356" s="564">
        <f t="shared" si="29"/>
        <v>0</v>
      </c>
    </row>
    <row r="357">
      <c r="A357" s="561"/>
      <c r="B357" s="562"/>
      <c r="C357" s="563"/>
      <c r="D357" s="563"/>
      <c r="E357" s="563"/>
      <c r="F357" s="563"/>
      <c r="G357" s="564">
        <f t="shared" si="30"/>
        <v>0</v>
      </c>
      <c r="H357" s="565"/>
      <c r="I357" s="564">
        <f t="shared" si="31"/>
        <v>0</v>
      </c>
      <c r="J357" s="565"/>
      <c r="K357" s="564">
        <f t="shared" si="27"/>
        <v>0</v>
      </c>
      <c r="L357" s="563"/>
      <c r="M357" s="564">
        <f t="shared" si="28"/>
        <v>0</v>
      </c>
      <c r="N357" s="563"/>
      <c r="O357" s="564">
        <f t="shared" si="29"/>
        <v>0</v>
      </c>
    </row>
    <row r="358">
      <c r="A358" s="561"/>
      <c r="B358" s="562"/>
      <c r="C358" s="563"/>
      <c r="D358" s="563"/>
      <c r="E358" s="563"/>
      <c r="F358" s="563"/>
      <c r="G358" s="564">
        <f t="shared" si="30"/>
        <v>0</v>
      </c>
      <c r="H358" s="565"/>
      <c r="I358" s="564">
        <f t="shared" si="31"/>
        <v>0</v>
      </c>
      <c r="J358" s="565"/>
      <c r="K358" s="564">
        <f t="shared" si="27"/>
        <v>0</v>
      </c>
      <c r="L358" s="563"/>
      <c r="M358" s="564">
        <f t="shared" si="28"/>
        <v>0</v>
      </c>
      <c r="N358" s="563"/>
      <c r="O358" s="564">
        <f t="shared" si="29"/>
        <v>0</v>
      </c>
    </row>
    <row r="359">
      <c r="A359" s="561"/>
      <c r="B359" s="562"/>
      <c r="C359" s="563"/>
      <c r="D359" s="563"/>
      <c r="E359" s="563"/>
      <c r="F359" s="563"/>
      <c r="G359" s="564">
        <f t="shared" si="30"/>
        <v>0</v>
      </c>
      <c r="H359" s="565"/>
      <c r="I359" s="564">
        <f t="shared" si="31"/>
        <v>0</v>
      </c>
      <c r="J359" s="565"/>
      <c r="K359" s="564">
        <f t="shared" si="27"/>
        <v>0</v>
      </c>
      <c r="L359" s="563"/>
      <c r="M359" s="564">
        <f t="shared" si="28"/>
        <v>0</v>
      </c>
      <c r="N359" s="563"/>
      <c r="O359" s="564">
        <f t="shared" si="29"/>
        <v>0</v>
      </c>
    </row>
    <row r="360">
      <c r="A360" s="561"/>
      <c r="B360" s="562"/>
      <c r="C360" s="563"/>
      <c r="D360" s="563"/>
      <c r="E360" s="563"/>
      <c r="F360" s="563"/>
      <c r="G360" s="564">
        <f t="shared" si="30"/>
        <v>0</v>
      </c>
      <c r="H360" s="565"/>
      <c r="I360" s="564">
        <f t="shared" si="31"/>
        <v>0</v>
      </c>
      <c r="J360" s="565"/>
      <c r="K360" s="564">
        <f t="shared" si="27"/>
        <v>0</v>
      </c>
      <c r="L360" s="563"/>
      <c r="M360" s="564">
        <f t="shared" si="28"/>
        <v>0</v>
      </c>
      <c r="N360" s="563"/>
      <c r="O360" s="564">
        <f t="shared" si="29"/>
        <v>0</v>
      </c>
    </row>
    <row r="361">
      <c r="A361" s="561"/>
      <c r="B361" s="562"/>
      <c r="C361" s="563"/>
      <c r="D361" s="563"/>
      <c r="E361" s="563"/>
      <c r="F361" s="563"/>
      <c r="G361" s="564">
        <f t="shared" si="30"/>
        <v>0</v>
      </c>
      <c r="H361" s="565"/>
      <c r="I361" s="564">
        <f t="shared" si="31"/>
        <v>0</v>
      </c>
      <c r="J361" s="565"/>
      <c r="K361" s="564">
        <f t="shared" si="27"/>
        <v>0</v>
      </c>
      <c r="L361" s="563"/>
      <c r="M361" s="564">
        <f t="shared" si="28"/>
        <v>0</v>
      </c>
      <c r="N361" s="563"/>
      <c r="O361" s="564">
        <f t="shared" si="29"/>
        <v>0</v>
      </c>
    </row>
    <row r="362">
      <c r="A362" s="561"/>
      <c r="B362" s="562"/>
      <c r="C362" s="563"/>
      <c r="D362" s="563"/>
      <c r="E362" s="563"/>
      <c r="F362" s="563"/>
      <c r="G362" s="564">
        <f t="shared" si="30"/>
        <v>0</v>
      </c>
      <c r="H362" s="565"/>
      <c r="I362" s="564">
        <f t="shared" si="31"/>
        <v>0</v>
      </c>
      <c r="J362" s="565"/>
      <c r="K362" s="564">
        <f t="shared" si="27"/>
        <v>0</v>
      </c>
      <c r="L362" s="563"/>
      <c r="M362" s="564">
        <f t="shared" si="28"/>
        <v>0</v>
      </c>
      <c r="N362" s="563"/>
      <c r="O362" s="564">
        <f t="shared" si="29"/>
        <v>0</v>
      </c>
    </row>
    <row r="363">
      <c r="A363" s="561"/>
      <c r="B363" s="562"/>
      <c r="C363" s="563"/>
      <c r="D363" s="563"/>
      <c r="E363" s="563"/>
      <c r="F363" s="563"/>
      <c r="G363" s="564">
        <f t="shared" si="30"/>
        <v>0</v>
      </c>
      <c r="H363" s="565"/>
      <c r="I363" s="564">
        <f t="shared" si="31"/>
        <v>0</v>
      </c>
      <c r="J363" s="565"/>
      <c r="K363" s="564">
        <f t="shared" si="27"/>
        <v>0</v>
      </c>
      <c r="L363" s="563"/>
      <c r="M363" s="564">
        <f t="shared" si="28"/>
        <v>0</v>
      </c>
      <c r="N363" s="563"/>
      <c r="O363" s="564">
        <f t="shared" si="29"/>
        <v>0</v>
      </c>
    </row>
    <row r="364">
      <c r="A364" s="561"/>
      <c r="B364" s="562"/>
      <c r="C364" s="563"/>
      <c r="D364" s="563"/>
      <c r="E364" s="563"/>
      <c r="F364" s="563"/>
      <c r="G364" s="564">
        <f t="shared" si="30"/>
        <v>0</v>
      </c>
      <c r="H364" s="565"/>
      <c r="I364" s="564">
        <f t="shared" si="31"/>
        <v>0</v>
      </c>
      <c r="J364" s="565"/>
      <c r="K364" s="564">
        <f t="shared" si="27"/>
        <v>0</v>
      </c>
      <c r="L364" s="563"/>
      <c r="M364" s="564">
        <f t="shared" si="28"/>
        <v>0</v>
      </c>
      <c r="N364" s="563"/>
      <c r="O364" s="564">
        <f t="shared" si="29"/>
        <v>0</v>
      </c>
    </row>
    <row r="365">
      <c r="A365" s="561"/>
      <c r="B365" s="562"/>
      <c r="C365" s="563"/>
      <c r="D365" s="563"/>
      <c r="E365" s="563"/>
      <c r="F365" s="563"/>
      <c r="G365" s="564">
        <f t="shared" si="30"/>
        <v>0</v>
      </c>
      <c r="H365" s="565"/>
      <c r="I365" s="564">
        <f t="shared" si="31"/>
        <v>0</v>
      </c>
      <c r="J365" s="565"/>
      <c r="K365" s="564">
        <f t="shared" si="27"/>
        <v>0</v>
      </c>
      <c r="L365" s="563"/>
      <c r="M365" s="564">
        <f t="shared" si="28"/>
        <v>0</v>
      </c>
      <c r="N365" s="563"/>
      <c r="O365" s="564">
        <f t="shared" si="29"/>
        <v>0</v>
      </c>
    </row>
    <row r="366">
      <c r="A366" s="561"/>
      <c r="B366" s="562"/>
      <c r="C366" s="563"/>
      <c r="D366" s="563"/>
      <c r="E366" s="563"/>
      <c r="F366" s="563"/>
      <c r="G366" s="564">
        <f t="shared" si="30"/>
        <v>0</v>
      </c>
      <c r="H366" s="565"/>
      <c r="I366" s="564">
        <f t="shared" si="31"/>
        <v>0</v>
      </c>
      <c r="J366" s="565"/>
      <c r="K366" s="564">
        <f t="shared" si="27"/>
        <v>0</v>
      </c>
      <c r="L366" s="563"/>
      <c r="M366" s="564">
        <f t="shared" si="28"/>
        <v>0</v>
      </c>
      <c r="N366" s="563"/>
      <c r="O366" s="564">
        <f t="shared" si="29"/>
        <v>0</v>
      </c>
    </row>
    <row r="367">
      <c r="A367" s="561"/>
      <c r="B367" s="562"/>
      <c r="C367" s="563"/>
      <c r="D367" s="563"/>
      <c r="E367" s="563"/>
      <c r="F367" s="563"/>
      <c r="G367" s="564">
        <f t="shared" si="30"/>
        <v>0</v>
      </c>
      <c r="H367" s="565"/>
      <c r="I367" s="564">
        <f t="shared" si="31"/>
        <v>0</v>
      </c>
      <c r="J367" s="565"/>
      <c r="K367" s="564">
        <f t="shared" si="27"/>
        <v>0</v>
      </c>
      <c r="L367" s="563"/>
      <c r="M367" s="564">
        <f t="shared" si="28"/>
        <v>0</v>
      </c>
      <c r="N367" s="563"/>
      <c r="O367" s="564">
        <f t="shared" si="29"/>
        <v>0</v>
      </c>
    </row>
    <row r="368">
      <c r="A368" s="561"/>
      <c r="B368" s="562"/>
      <c r="C368" s="563"/>
      <c r="D368" s="563"/>
      <c r="E368" s="563"/>
      <c r="F368" s="563"/>
      <c r="G368" s="564">
        <f t="shared" si="30"/>
        <v>0</v>
      </c>
      <c r="H368" s="565"/>
      <c r="I368" s="564">
        <f t="shared" si="31"/>
        <v>0</v>
      </c>
      <c r="J368" s="565"/>
      <c r="K368" s="564">
        <f t="shared" si="27"/>
        <v>0</v>
      </c>
      <c r="L368" s="563"/>
      <c r="M368" s="564">
        <f t="shared" si="28"/>
        <v>0</v>
      </c>
      <c r="N368" s="563"/>
      <c r="O368" s="564">
        <f t="shared" si="29"/>
        <v>0</v>
      </c>
    </row>
    <row r="369">
      <c r="A369" s="561"/>
      <c r="B369" s="562"/>
      <c r="C369" s="563"/>
      <c r="D369" s="563"/>
      <c r="E369" s="563"/>
      <c r="F369" s="563"/>
      <c r="G369" s="564">
        <f t="shared" si="30"/>
        <v>0</v>
      </c>
      <c r="H369" s="565"/>
      <c r="I369" s="564">
        <f t="shared" si="31"/>
        <v>0</v>
      </c>
      <c r="J369" s="565"/>
      <c r="K369" s="564">
        <f t="shared" si="27"/>
        <v>0</v>
      </c>
      <c r="L369" s="563"/>
      <c r="M369" s="564">
        <f t="shared" si="28"/>
        <v>0</v>
      </c>
      <c r="N369" s="563"/>
      <c r="O369" s="564">
        <f t="shared" si="29"/>
        <v>0</v>
      </c>
    </row>
    <row r="370">
      <c r="A370" s="561"/>
      <c r="B370" s="562"/>
      <c r="C370" s="563"/>
      <c r="D370" s="563"/>
      <c r="E370" s="563"/>
      <c r="F370" s="563"/>
      <c r="G370" s="564">
        <f t="shared" si="30"/>
        <v>0</v>
      </c>
      <c r="H370" s="565"/>
      <c r="I370" s="564">
        <f t="shared" si="31"/>
        <v>0</v>
      </c>
      <c r="J370" s="565"/>
      <c r="K370" s="564">
        <f t="shared" si="27"/>
        <v>0</v>
      </c>
      <c r="L370" s="563"/>
      <c r="M370" s="564">
        <f t="shared" si="28"/>
        <v>0</v>
      </c>
      <c r="N370" s="563"/>
      <c r="O370" s="564">
        <f t="shared" si="29"/>
        <v>0</v>
      </c>
    </row>
    <row r="371">
      <c r="A371" s="561"/>
      <c r="B371" s="562"/>
      <c r="C371" s="563"/>
      <c r="D371" s="563"/>
      <c r="E371" s="563"/>
      <c r="F371" s="563"/>
      <c r="G371" s="564">
        <f t="shared" si="30"/>
        <v>0</v>
      </c>
      <c r="H371" s="565"/>
      <c r="I371" s="564">
        <f t="shared" si="31"/>
        <v>0</v>
      </c>
      <c r="J371" s="565"/>
      <c r="K371" s="564">
        <f t="shared" si="27"/>
        <v>0</v>
      </c>
      <c r="L371" s="563"/>
      <c r="M371" s="564">
        <f t="shared" si="28"/>
        <v>0</v>
      </c>
      <c r="N371" s="563"/>
      <c r="O371" s="564">
        <f t="shared" si="29"/>
        <v>0</v>
      </c>
    </row>
    <row r="372">
      <c r="A372" s="561"/>
      <c r="B372" s="562"/>
      <c r="C372" s="563"/>
      <c r="D372" s="563"/>
      <c r="E372" s="563"/>
      <c r="F372" s="563"/>
      <c r="G372" s="564">
        <f t="shared" si="30"/>
        <v>0</v>
      </c>
      <c r="H372" s="565"/>
      <c r="I372" s="564">
        <f t="shared" si="31"/>
        <v>0</v>
      </c>
      <c r="J372" s="565"/>
      <c r="K372" s="564">
        <f t="shared" si="27"/>
        <v>0</v>
      </c>
      <c r="L372" s="563"/>
      <c r="M372" s="564">
        <f t="shared" si="28"/>
        <v>0</v>
      </c>
      <c r="N372" s="563"/>
      <c r="O372" s="564">
        <f t="shared" si="29"/>
        <v>0</v>
      </c>
    </row>
    <row r="373">
      <c r="A373" s="561"/>
      <c r="B373" s="562"/>
      <c r="C373" s="563"/>
      <c r="D373" s="563"/>
      <c r="E373" s="563"/>
      <c r="F373" s="563"/>
      <c r="G373" s="564">
        <f t="shared" si="30"/>
        <v>0</v>
      </c>
      <c r="H373" s="565"/>
      <c r="I373" s="564">
        <f t="shared" si="31"/>
        <v>0</v>
      </c>
      <c r="J373" s="565"/>
      <c r="K373" s="564">
        <f t="shared" si="27"/>
        <v>0</v>
      </c>
      <c r="L373" s="563"/>
      <c r="M373" s="564">
        <f t="shared" si="28"/>
        <v>0</v>
      </c>
      <c r="N373" s="563"/>
      <c r="O373" s="564">
        <f t="shared" si="29"/>
        <v>0</v>
      </c>
    </row>
    <row r="374">
      <c r="A374" s="561"/>
      <c r="B374" s="562"/>
      <c r="C374" s="563"/>
      <c r="D374" s="563"/>
      <c r="E374" s="563"/>
      <c r="F374" s="563"/>
      <c r="G374" s="564">
        <f t="shared" si="30"/>
        <v>0</v>
      </c>
      <c r="H374" s="565"/>
      <c r="I374" s="564">
        <f t="shared" si="31"/>
        <v>0</v>
      </c>
      <c r="J374" s="565"/>
      <c r="K374" s="564">
        <f t="shared" si="27"/>
        <v>0</v>
      </c>
      <c r="L374" s="563"/>
      <c r="M374" s="564">
        <f t="shared" si="28"/>
        <v>0</v>
      </c>
      <c r="N374" s="563"/>
      <c r="O374" s="564">
        <f t="shared" si="29"/>
        <v>0</v>
      </c>
    </row>
    <row r="375">
      <c r="A375" s="561"/>
      <c r="B375" s="562"/>
      <c r="C375" s="563"/>
      <c r="D375" s="563"/>
      <c r="E375" s="563"/>
      <c r="F375" s="563"/>
      <c r="G375" s="564">
        <f t="shared" si="30"/>
        <v>0</v>
      </c>
      <c r="H375" s="565"/>
      <c r="I375" s="564">
        <f t="shared" si="31"/>
        <v>0</v>
      </c>
      <c r="J375" s="565"/>
      <c r="K375" s="564">
        <f t="shared" si="27"/>
        <v>0</v>
      </c>
      <c r="L375" s="563"/>
      <c r="M375" s="564">
        <f t="shared" si="28"/>
        <v>0</v>
      </c>
      <c r="N375" s="563"/>
      <c r="O375" s="564">
        <f t="shared" si="29"/>
        <v>0</v>
      </c>
    </row>
    <row r="376">
      <c r="A376" s="561"/>
      <c r="B376" s="562"/>
      <c r="C376" s="563"/>
      <c r="D376" s="563"/>
      <c r="E376" s="563"/>
      <c r="F376" s="563"/>
      <c r="G376" s="564">
        <f t="shared" si="30"/>
        <v>0</v>
      </c>
      <c r="H376" s="565"/>
      <c r="I376" s="564">
        <f t="shared" si="31"/>
        <v>0</v>
      </c>
      <c r="J376" s="565"/>
      <c r="K376" s="564">
        <f t="shared" si="27"/>
        <v>0</v>
      </c>
      <c r="L376" s="563"/>
      <c r="M376" s="564">
        <f t="shared" si="28"/>
        <v>0</v>
      </c>
      <c r="N376" s="563"/>
      <c r="O376" s="564">
        <f t="shared" si="29"/>
        <v>0</v>
      </c>
    </row>
    <row r="377">
      <c r="A377" s="561"/>
      <c r="B377" s="562"/>
      <c r="C377" s="563"/>
      <c r="D377" s="563"/>
      <c r="E377" s="563"/>
      <c r="F377" s="563"/>
      <c r="G377" s="564">
        <f t="shared" si="30"/>
        <v>0</v>
      </c>
      <c r="H377" s="565"/>
      <c r="I377" s="564">
        <f t="shared" si="31"/>
        <v>0</v>
      </c>
      <c r="J377" s="565"/>
      <c r="K377" s="564">
        <f t="shared" si="27"/>
        <v>0</v>
      </c>
      <c r="L377" s="563"/>
      <c r="M377" s="564">
        <f t="shared" si="28"/>
        <v>0</v>
      </c>
      <c r="N377" s="563"/>
      <c r="O377" s="564">
        <f t="shared" si="29"/>
        <v>0</v>
      </c>
    </row>
    <row r="378">
      <c r="A378" s="561"/>
      <c r="B378" s="562"/>
      <c r="C378" s="563"/>
      <c r="D378" s="563"/>
      <c r="E378" s="563"/>
      <c r="F378" s="563"/>
      <c r="G378" s="564">
        <f t="shared" si="30"/>
        <v>0</v>
      </c>
      <c r="H378" s="565"/>
      <c r="I378" s="564">
        <f t="shared" si="31"/>
        <v>0</v>
      </c>
      <c r="J378" s="565"/>
      <c r="K378" s="564">
        <f t="shared" si="27"/>
        <v>0</v>
      </c>
      <c r="L378" s="563"/>
      <c r="M378" s="564">
        <f t="shared" si="28"/>
        <v>0</v>
      </c>
      <c r="N378" s="563"/>
      <c r="O378" s="564">
        <f t="shared" si="29"/>
        <v>0</v>
      </c>
    </row>
    <row r="379">
      <c r="A379" s="561"/>
      <c r="B379" s="562"/>
      <c r="C379" s="563"/>
      <c r="D379" s="563"/>
      <c r="E379" s="563"/>
      <c r="F379" s="563"/>
      <c r="G379" s="564">
        <f t="shared" si="30"/>
        <v>0</v>
      </c>
      <c r="H379" s="565"/>
      <c r="I379" s="564">
        <f t="shared" si="31"/>
        <v>0</v>
      </c>
      <c r="J379" s="565"/>
      <c r="K379" s="564">
        <f t="shared" si="27"/>
        <v>0</v>
      </c>
      <c r="L379" s="563"/>
      <c r="M379" s="564">
        <f t="shared" si="28"/>
        <v>0</v>
      </c>
      <c r="N379" s="563"/>
      <c r="O379" s="564">
        <f t="shared" si="29"/>
        <v>0</v>
      </c>
    </row>
    <row r="380">
      <c r="A380" s="561"/>
      <c r="B380" s="562"/>
      <c r="C380" s="563"/>
      <c r="D380" s="563"/>
      <c r="E380" s="563"/>
      <c r="F380" s="563"/>
      <c r="G380" s="564">
        <f t="shared" si="30"/>
        <v>0</v>
      </c>
      <c r="H380" s="565"/>
      <c r="I380" s="564">
        <f t="shared" si="31"/>
        <v>0</v>
      </c>
      <c r="J380" s="565"/>
      <c r="K380" s="564">
        <f t="shared" si="27"/>
        <v>0</v>
      </c>
      <c r="L380" s="563"/>
      <c r="M380" s="564">
        <f t="shared" si="28"/>
        <v>0</v>
      </c>
      <c r="N380" s="563"/>
      <c r="O380" s="564">
        <f t="shared" si="29"/>
        <v>0</v>
      </c>
    </row>
    <row r="381">
      <c r="A381" s="561"/>
      <c r="B381" s="562"/>
      <c r="C381" s="563"/>
      <c r="D381" s="563"/>
      <c r="E381" s="563"/>
      <c r="F381" s="563"/>
      <c r="G381" s="564">
        <f t="shared" si="30"/>
        <v>0</v>
      </c>
      <c r="H381" s="565"/>
      <c r="I381" s="564">
        <f t="shared" si="31"/>
        <v>0</v>
      </c>
      <c r="J381" s="565"/>
      <c r="K381" s="564">
        <f t="shared" si="27"/>
        <v>0</v>
      </c>
      <c r="L381" s="563"/>
      <c r="M381" s="564">
        <f t="shared" si="28"/>
        <v>0</v>
      </c>
      <c r="N381" s="563"/>
      <c r="O381" s="564">
        <f t="shared" si="29"/>
        <v>0</v>
      </c>
    </row>
    <row r="382">
      <c r="A382" s="561"/>
      <c r="B382" s="562"/>
      <c r="C382" s="563"/>
      <c r="D382" s="563"/>
      <c r="E382" s="563"/>
      <c r="F382" s="563"/>
      <c r="G382" s="564">
        <f t="shared" si="30"/>
        <v>0</v>
      </c>
      <c r="H382" s="565"/>
      <c r="I382" s="564">
        <f t="shared" si="31"/>
        <v>0</v>
      </c>
      <c r="J382" s="565"/>
      <c r="K382" s="564">
        <f t="shared" si="27"/>
        <v>0</v>
      </c>
      <c r="L382" s="563"/>
      <c r="M382" s="564">
        <f t="shared" si="28"/>
        <v>0</v>
      </c>
      <c r="N382" s="563"/>
      <c r="O382" s="564">
        <f t="shared" si="29"/>
        <v>0</v>
      </c>
    </row>
    <row r="383">
      <c r="A383" s="561"/>
      <c r="B383" s="562"/>
      <c r="C383" s="563"/>
      <c r="D383" s="563"/>
      <c r="E383" s="563"/>
      <c r="F383" s="563"/>
      <c r="G383" s="564">
        <f t="shared" si="30"/>
        <v>0</v>
      </c>
      <c r="H383" s="565"/>
      <c r="I383" s="564">
        <f t="shared" si="31"/>
        <v>0</v>
      </c>
      <c r="J383" s="565"/>
      <c r="K383" s="564">
        <f t="shared" si="27"/>
        <v>0</v>
      </c>
      <c r="L383" s="563"/>
      <c r="M383" s="564">
        <f t="shared" si="28"/>
        <v>0</v>
      </c>
      <c r="N383" s="563"/>
      <c r="O383" s="564">
        <f t="shared" si="29"/>
        <v>0</v>
      </c>
    </row>
    <row r="384">
      <c r="A384" s="561"/>
      <c r="B384" s="562"/>
      <c r="C384" s="563"/>
      <c r="D384" s="563"/>
      <c r="E384" s="563"/>
      <c r="F384" s="563"/>
      <c r="G384" s="564">
        <f t="shared" si="30"/>
        <v>0</v>
      </c>
      <c r="H384" s="565"/>
      <c r="I384" s="564">
        <f t="shared" si="31"/>
        <v>0</v>
      </c>
      <c r="J384" s="565"/>
      <c r="K384" s="564">
        <f t="shared" si="27"/>
        <v>0</v>
      </c>
      <c r="L384" s="563"/>
      <c r="M384" s="564">
        <f t="shared" si="28"/>
        <v>0</v>
      </c>
      <c r="N384" s="563"/>
      <c r="O384" s="564">
        <f t="shared" si="29"/>
        <v>0</v>
      </c>
    </row>
    <row r="385">
      <c r="A385" s="561"/>
      <c r="B385" s="562"/>
      <c r="C385" s="563"/>
      <c r="D385" s="563"/>
      <c r="E385" s="563"/>
      <c r="F385" s="563"/>
      <c r="G385" s="564">
        <f t="shared" si="30"/>
        <v>0</v>
      </c>
      <c r="H385" s="565"/>
      <c r="I385" s="564">
        <f t="shared" si="31"/>
        <v>0</v>
      </c>
      <c r="J385" s="565"/>
      <c r="K385" s="564">
        <f t="shared" si="27"/>
        <v>0</v>
      </c>
      <c r="L385" s="563"/>
      <c r="M385" s="564">
        <f t="shared" si="28"/>
        <v>0</v>
      </c>
      <c r="N385" s="563"/>
      <c r="O385" s="564">
        <f t="shared" si="29"/>
        <v>0</v>
      </c>
    </row>
    <row r="386">
      <c r="A386" s="561"/>
      <c r="B386" s="562"/>
      <c r="C386" s="563"/>
      <c r="D386" s="563"/>
      <c r="E386" s="563"/>
      <c r="F386" s="563"/>
      <c r="G386" s="564">
        <f t="shared" si="30"/>
        <v>0</v>
      </c>
      <c r="H386" s="565"/>
      <c r="I386" s="564">
        <f t="shared" si="31"/>
        <v>0</v>
      </c>
      <c r="J386" s="565"/>
      <c r="K386" s="564">
        <f t="shared" si="27"/>
        <v>0</v>
      </c>
      <c r="L386" s="563"/>
      <c r="M386" s="564">
        <f t="shared" si="28"/>
        <v>0</v>
      </c>
      <c r="N386" s="563"/>
      <c r="O386" s="564">
        <f t="shared" si="29"/>
        <v>0</v>
      </c>
    </row>
    <row r="387">
      <c r="A387" s="561"/>
      <c r="B387" s="562"/>
      <c r="C387" s="563"/>
      <c r="D387" s="563"/>
      <c r="E387" s="563"/>
      <c r="F387" s="563"/>
      <c r="G387" s="564">
        <f t="shared" si="30"/>
        <v>0</v>
      </c>
      <c r="H387" s="565"/>
      <c r="I387" s="564">
        <f t="shared" si="31"/>
        <v>0</v>
      </c>
      <c r="J387" s="565"/>
      <c r="K387" s="564">
        <f t="shared" si="27"/>
        <v>0</v>
      </c>
      <c r="L387" s="563"/>
      <c r="M387" s="564">
        <f t="shared" si="28"/>
        <v>0</v>
      </c>
      <c r="N387" s="563"/>
      <c r="O387" s="564">
        <f t="shared" si="29"/>
        <v>0</v>
      </c>
    </row>
    <row r="388">
      <c r="A388" s="561"/>
      <c r="B388" s="562"/>
      <c r="C388" s="563"/>
      <c r="D388" s="563"/>
      <c r="E388" s="563"/>
      <c r="F388" s="563"/>
      <c r="G388" s="564">
        <f t="shared" si="30"/>
        <v>0</v>
      </c>
      <c r="H388" s="565"/>
      <c r="I388" s="564">
        <f t="shared" si="31"/>
        <v>0</v>
      </c>
      <c r="J388" s="565"/>
      <c r="K388" s="564">
        <f ref="K388:K400" t="shared" si="32">IF(J388&gt;0,ROUND(10*LOG10(J388)+30,2),0)</f>
        <v>0</v>
      </c>
      <c r="L388" s="563"/>
      <c r="M388" s="564">
        <f ref="M388:M400" t="shared" si="33">IF(L388&gt;0,ROUND(10*LOG10(L388)+30,2),0)</f>
        <v>0</v>
      </c>
      <c r="N388" s="563"/>
      <c r="O388" s="564">
        <f ref="O388:O400" t="shared" si="34">IF(N388&gt;0,ROUND(10*LOG10(N388)+30,2),0)</f>
        <v>0</v>
      </c>
    </row>
    <row r="389">
      <c r="A389" s="561"/>
      <c r="B389" s="562"/>
      <c r="C389" s="563"/>
      <c r="D389" s="563"/>
      <c r="E389" s="563"/>
      <c r="F389" s="563"/>
      <c r="G389" s="564">
        <f ref="G389:G400" t="shared" si="35">IF(F389&gt;0,ROUND(10*LOG10(F389)+30,2),0)</f>
        <v>0</v>
      </c>
      <c r="H389" s="565"/>
      <c r="I389" s="564">
        <f ref="I389:I400" t="shared" si="36">IF(H389&gt;0,ROUND(10*LOG10(H389)+30,2),0)</f>
        <v>0</v>
      </c>
      <c r="J389" s="565"/>
      <c r="K389" s="564">
        <f t="shared" si="32"/>
        <v>0</v>
      </c>
      <c r="L389" s="563"/>
      <c r="M389" s="564">
        <f t="shared" si="33"/>
        <v>0</v>
      </c>
      <c r="N389" s="563"/>
      <c r="O389" s="564">
        <f t="shared" si="34"/>
        <v>0</v>
      </c>
    </row>
    <row r="390">
      <c r="A390" s="561"/>
      <c r="B390" s="562"/>
      <c r="C390" s="563"/>
      <c r="D390" s="563"/>
      <c r="E390" s="563"/>
      <c r="F390" s="563"/>
      <c r="G390" s="564">
        <f t="shared" si="35"/>
        <v>0</v>
      </c>
      <c r="H390" s="565"/>
      <c r="I390" s="564">
        <f t="shared" si="36"/>
        <v>0</v>
      </c>
      <c r="J390" s="565"/>
      <c r="K390" s="564">
        <f t="shared" si="32"/>
        <v>0</v>
      </c>
      <c r="L390" s="563"/>
      <c r="M390" s="564">
        <f t="shared" si="33"/>
        <v>0</v>
      </c>
      <c r="N390" s="563"/>
      <c r="O390" s="564">
        <f t="shared" si="34"/>
        <v>0</v>
      </c>
    </row>
    <row r="391">
      <c r="A391" s="561"/>
      <c r="B391" s="562"/>
      <c r="C391" s="563"/>
      <c r="D391" s="563"/>
      <c r="E391" s="563"/>
      <c r="F391" s="563"/>
      <c r="G391" s="564">
        <f t="shared" si="35"/>
        <v>0</v>
      </c>
      <c r="H391" s="565"/>
      <c r="I391" s="564">
        <f t="shared" si="36"/>
        <v>0</v>
      </c>
      <c r="J391" s="565"/>
      <c r="K391" s="564">
        <f t="shared" si="32"/>
        <v>0</v>
      </c>
      <c r="L391" s="563"/>
      <c r="M391" s="564">
        <f t="shared" si="33"/>
        <v>0</v>
      </c>
      <c r="N391" s="563"/>
      <c r="O391" s="564">
        <f t="shared" si="34"/>
        <v>0</v>
      </c>
    </row>
    <row r="392">
      <c r="A392" s="561"/>
      <c r="B392" s="562"/>
      <c r="C392" s="563"/>
      <c r="D392" s="563"/>
      <c r="E392" s="563"/>
      <c r="F392" s="563"/>
      <c r="G392" s="564">
        <f t="shared" si="35"/>
        <v>0</v>
      </c>
      <c r="H392" s="565"/>
      <c r="I392" s="564">
        <f t="shared" si="36"/>
        <v>0</v>
      </c>
      <c r="J392" s="565"/>
      <c r="K392" s="564">
        <f t="shared" si="32"/>
        <v>0</v>
      </c>
      <c r="L392" s="563"/>
      <c r="M392" s="564">
        <f t="shared" si="33"/>
        <v>0</v>
      </c>
      <c r="N392" s="563"/>
      <c r="O392" s="564">
        <f t="shared" si="34"/>
        <v>0</v>
      </c>
    </row>
    <row r="393">
      <c r="A393" s="561"/>
      <c r="B393" s="562"/>
      <c r="C393" s="563"/>
      <c r="D393" s="563"/>
      <c r="E393" s="563"/>
      <c r="F393" s="563"/>
      <c r="G393" s="564">
        <f t="shared" si="35"/>
        <v>0</v>
      </c>
      <c r="H393" s="565"/>
      <c r="I393" s="564">
        <f t="shared" si="36"/>
        <v>0</v>
      </c>
      <c r="J393" s="565"/>
      <c r="K393" s="564">
        <f t="shared" si="32"/>
        <v>0</v>
      </c>
      <c r="L393" s="563"/>
      <c r="M393" s="564">
        <f t="shared" si="33"/>
        <v>0</v>
      </c>
      <c r="N393" s="563"/>
      <c r="O393" s="564">
        <f t="shared" si="34"/>
        <v>0</v>
      </c>
    </row>
    <row r="394">
      <c r="A394" s="561"/>
      <c r="B394" s="562"/>
      <c r="C394" s="563"/>
      <c r="D394" s="563"/>
      <c r="E394" s="563"/>
      <c r="F394" s="563"/>
      <c r="G394" s="564">
        <f t="shared" si="35"/>
        <v>0</v>
      </c>
      <c r="H394" s="565"/>
      <c r="I394" s="564">
        <f t="shared" si="36"/>
        <v>0</v>
      </c>
      <c r="J394" s="565"/>
      <c r="K394" s="564">
        <f t="shared" si="32"/>
        <v>0</v>
      </c>
      <c r="L394" s="563"/>
      <c r="M394" s="564">
        <f t="shared" si="33"/>
        <v>0</v>
      </c>
      <c r="N394" s="563"/>
      <c r="O394" s="564">
        <f t="shared" si="34"/>
        <v>0</v>
      </c>
    </row>
    <row r="395">
      <c r="A395" s="561"/>
      <c r="B395" s="562"/>
      <c r="C395" s="563"/>
      <c r="D395" s="563"/>
      <c r="E395" s="563"/>
      <c r="F395" s="563"/>
      <c r="G395" s="564">
        <f t="shared" si="35"/>
        <v>0</v>
      </c>
      <c r="H395" s="565"/>
      <c r="I395" s="564">
        <f t="shared" si="36"/>
        <v>0</v>
      </c>
      <c r="J395" s="565"/>
      <c r="K395" s="564">
        <f t="shared" si="32"/>
        <v>0</v>
      </c>
      <c r="L395" s="563"/>
      <c r="M395" s="564">
        <f t="shared" si="33"/>
        <v>0</v>
      </c>
      <c r="N395" s="563"/>
      <c r="O395" s="564">
        <f t="shared" si="34"/>
        <v>0</v>
      </c>
    </row>
    <row r="396">
      <c r="A396" s="561"/>
      <c r="B396" s="562"/>
      <c r="C396" s="563"/>
      <c r="D396" s="563"/>
      <c r="E396" s="563"/>
      <c r="F396" s="563"/>
      <c r="G396" s="564">
        <f t="shared" si="35"/>
        <v>0</v>
      </c>
      <c r="H396" s="565"/>
      <c r="I396" s="564">
        <f t="shared" si="36"/>
        <v>0</v>
      </c>
      <c r="J396" s="565"/>
      <c r="K396" s="564">
        <f t="shared" si="32"/>
        <v>0</v>
      </c>
      <c r="L396" s="563"/>
      <c r="M396" s="564">
        <f t="shared" si="33"/>
        <v>0</v>
      </c>
      <c r="N396" s="563"/>
      <c r="O396" s="564">
        <f t="shared" si="34"/>
        <v>0</v>
      </c>
    </row>
    <row r="397">
      <c r="A397" s="561"/>
      <c r="B397" s="562"/>
      <c r="C397" s="563"/>
      <c r="D397" s="563"/>
      <c r="E397" s="563"/>
      <c r="F397" s="563"/>
      <c r="G397" s="564">
        <f t="shared" si="35"/>
        <v>0</v>
      </c>
      <c r="H397" s="565"/>
      <c r="I397" s="564">
        <f t="shared" si="36"/>
        <v>0</v>
      </c>
      <c r="J397" s="565"/>
      <c r="K397" s="564">
        <f t="shared" si="32"/>
        <v>0</v>
      </c>
      <c r="L397" s="563"/>
      <c r="M397" s="564">
        <f t="shared" si="33"/>
        <v>0</v>
      </c>
      <c r="N397" s="563"/>
      <c r="O397" s="564">
        <f t="shared" si="34"/>
        <v>0</v>
      </c>
    </row>
    <row r="398">
      <c r="A398" s="561"/>
      <c r="B398" s="562"/>
      <c r="C398" s="563"/>
      <c r="D398" s="563"/>
      <c r="E398" s="563"/>
      <c r="F398" s="563"/>
      <c r="G398" s="564">
        <f t="shared" si="35"/>
        <v>0</v>
      </c>
      <c r="H398" s="565"/>
      <c r="I398" s="564">
        <f t="shared" si="36"/>
        <v>0</v>
      </c>
      <c r="J398" s="565"/>
      <c r="K398" s="564">
        <f t="shared" si="32"/>
        <v>0</v>
      </c>
      <c r="L398" s="563"/>
      <c r="M398" s="564">
        <f t="shared" si="33"/>
        <v>0</v>
      </c>
      <c r="N398" s="563"/>
      <c r="O398" s="564">
        <f t="shared" si="34"/>
        <v>0</v>
      </c>
    </row>
    <row r="399">
      <c r="A399" s="561"/>
      <c r="B399" s="562"/>
      <c r="C399" s="563"/>
      <c r="D399" s="563"/>
      <c r="E399" s="563"/>
      <c r="F399" s="563"/>
      <c r="G399" s="564">
        <f t="shared" si="35"/>
        <v>0</v>
      </c>
      <c r="H399" s="565"/>
      <c r="I399" s="564">
        <f t="shared" si="36"/>
        <v>0</v>
      </c>
      <c r="J399" s="565"/>
      <c r="K399" s="564">
        <f t="shared" si="32"/>
        <v>0</v>
      </c>
      <c r="L399" s="563"/>
      <c r="M399" s="564">
        <f t="shared" si="33"/>
        <v>0</v>
      </c>
      <c r="N399" s="563"/>
      <c r="O399" s="564">
        <f t="shared" si="34"/>
        <v>0</v>
      </c>
    </row>
    <row r="400">
      <c r="A400" s="561"/>
      <c r="B400" s="562"/>
      <c r="C400" s="563"/>
      <c r="D400" s="563"/>
      <c r="E400" s="563"/>
      <c r="F400" s="563"/>
      <c r="G400" s="564">
        <f t="shared" si="35"/>
        <v>0</v>
      </c>
      <c r="H400" s="565"/>
      <c r="I400" s="564">
        <f t="shared" si="36"/>
        <v>0</v>
      </c>
      <c r="J400" s="565"/>
      <c r="K400" s="564">
        <f t="shared" si="32"/>
        <v>0</v>
      </c>
      <c r="L400" s="563"/>
      <c r="M400" s="564">
        <f t="shared" si="33"/>
        <v>0</v>
      </c>
      <c r="N400" s="563"/>
      <c r="O400" s="564">
        <f t="shared" si="34"/>
        <v>0</v>
      </c>
    </row>
    <row r="401">
      <c r="A401" s="469"/>
      <c r="B401" s="451"/>
      <c r="C401" s="452"/>
      <c r="D401" s="452"/>
      <c r="E401" s="452"/>
      <c r="F401" s="566"/>
      <c r="G401" s="491"/>
      <c r="H401" s="567"/>
      <c r="I401" s="491"/>
      <c r="J401" s="567"/>
      <c r="K401" s="491"/>
      <c r="L401" s="566"/>
      <c r="M401" s="491"/>
      <c r="N401" s="566"/>
      <c r="O401" s="491"/>
    </row>
    <row r="402">
      <c r="A402" s="469"/>
      <c r="B402" s="451"/>
      <c r="C402" s="452"/>
      <c r="D402" s="452"/>
      <c r="E402" s="452"/>
      <c r="F402" s="566"/>
      <c r="G402" s="491"/>
      <c r="H402" s="567"/>
      <c r="I402" s="491"/>
      <c r="J402" s="567"/>
      <c r="K402" s="491"/>
      <c r="L402" s="566"/>
      <c r="M402" s="491"/>
      <c r="N402" s="566"/>
      <c r="O402" s="491"/>
    </row>
    <row r="403">
      <c r="A403" s="469"/>
      <c r="B403" s="451"/>
      <c r="C403" s="452"/>
      <c r="D403" s="452"/>
      <c r="E403" s="452"/>
      <c r="F403" s="566"/>
      <c r="G403" s="491"/>
      <c r="H403" s="567"/>
      <c r="I403" s="491"/>
      <c r="J403" s="567"/>
      <c r="K403" s="491"/>
      <c r="L403" s="566"/>
      <c r="M403" s="491"/>
      <c r="N403" s="566"/>
      <c r="O403" s="491"/>
    </row>
    <row r="404">
      <c r="A404" s="469"/>
      <c r="B404" s="451"/>
      <c r="C404" s="452"/>
      <c r="D404" s="452"/>
      <c r="E404" s="452"/>
      <c r="F404" s="566"/>
      <c r="G404" s="491"/>
      <c r="H404" s="567"/>
      <c r="I404" s="491"/>
      <c r="J404" s="567"/>
      <c r="K404" s="491"/>
      <c r="L404" s="566"/>
      <c r="M404" s="491"/>
      <c r="N404" s="566"/>
      <c r="O404" s="491"/>
    </row>
    <row r="405">
      <c r="A405" s="469"/>
      <c r="B405" s="451"/>
      <c r="C405" s="452"/>
      <c r="D405" s="452"/>
      <c r="E405" s="452"/>
      <c r="F405" s="566"/>
      <c r="G405" s="491"/>
      <c r="H405" s="567"/>
      <c r="I405" s="491"/>
      <c r="J405" s="567"/>
      <c r="K405" s="491"/>
      <c r="L405" s="566"/>
      <c r="M405" s="491"/>
      <c r="N405" s="566"/>
      <c r="O405" s="491"/>
    </row>
    <row r="406">
      <c r="A406" s="469"/>
      <c r="B406" s="451"/>
      <c r="C406" s="452"/>
      <c r="D406" s="452"/>
      <c r="E406" s="452"/>
      <c r="F406" s="566"/>
      <c r="G406" s="491"/>
      <c r="H406" s="567"/>
      <c r="I406" s="491"/>
      <c r="J406" s="567"/>
      <c r="K406" s="491"/>
      <c r="L406" s="566"/>
      <c r="M406" s="491"/>
      <c r="N406" s="566"/>
      <c r="O406" s="491"/>
    </row>
    <row r="407">
      <c r="A407" s="469"/>
      <c r="B407" s="451"/>
      <c r="C407" s="452"/>
      <c r="D407" s="452"/>
      <c r="E407" s="452"/>
      <c r="F407" s="566"/>
      <c r="G407" s="491"/>
      <c r="H407" s="567"/>
      <c r="I407" s="491"/>
      <c r="J407" s="567"/>
      <c r="K407" s="491"/>
      <c r="L407" s="566"/>
      <c r="M407" s="491"/>
      <c r="N407" s="566"/>
      <c r="O407" s="491"/>
    </row>
    <row r="408">
      <c r="A408" s="469"/>
      <c r="B408" s="451"/>
      <c r="C408" s="452"/>
      <c r="D408" s="452"/>
      <c r="E408" s="452"/>
      <c r="F408" s="566"/>
      <c r="G408" s="491"/>
      <c r="H408" s="567"/>
      <c r="I408" s="491"/>
      <c r="J408" s="567"/>
      <c r="K408" s="491"/>
      <c r="L408" s="566"/>
      <c r="M408" s="491"/>
      <c r="N408" s="566"/>
      <c r="O408" s="491"/>
    </row>
    <row r="409">
      <c r="A409" s="469"/>
      <c r="B409" s="451"/>
      <c r="C409" s="452"/>
      <c r="D409" s="452"/>
      <c r="E409" s="452"/>
      <c r="F409" s="566"/>
      <c r="G409" s="491"/>
      <c r="H409" s="567"/>
      <c r="I409" s="491"/>
      <c r="J409" s="567"/>
      <c r="K409" s="491"/>
      <c r="L409" s="566"/>
      <c r="M409" s="491"/>
      <c r="N409" s="566"/>
      <c r="O409" s="491"/>
    </row>
    <row r="410">
      <c r="A410" s="469"/>
      <c r="B410" s="451"/>
      <c r="C410" s="452"/>
      <c r="D410" s="452"/>
      <c r="E410" s="452"/>
      <c r="F410" s="566"/>
      <c r="G410" s="491"/>
      <c r="H410" s="567"/>
      <c r="I410" s="491"/>
      <c r="J410" s="567"/>
      <c r="K410" s="491"/>
      <c r="L410" s="566"/>
      <c r="M410" s="491"/>
      <c r="N410" s="566"/>
      <c r="O410" s="491"/>
    </row>
    <row r="411">
      <c r="A411" s="469"/>
      <c r="B411" s="451"/>
      <c r="C411" s="452"/>
      <c r="D411" s="452"/>
      <c r="E411" s="452"/>
      <c r="F411" s="566"/>
      <c r="G411" s="491"/>
      <c r="H411" s="567"/>
      <c r="I411" s="491"/>
      <c r="J411" s="567"/>
      <c r="K411" s="491"/>
      <c r="L411" s="566"/>
      <c r="M411" s="491"/>
      <c r="N411" s="566"/>
      <c r="O411" s="491"/>
    </row>
    <row r="412">
      <c r="A412" s="469"/>
      <c r="B412" s="451"/>
      <c r="C412" s="452"/>
      <c r="D412" s="452"/>
      <c r="E412" s="452"/>
      <c r="F412" s="566"/>
      <c r="G412" s="491"/>
      <c r="H412" s="567"/>
      <c r="I412" s="491"/>
      <c r="J412" s="567"/>
      <c r="K412" s="491"/>
      <c r="L412" s="566"/>
      <c r="M412" s="491"/>
      <c r="N412" s="566"/>
      <c r="O412" s="491"/>
    </row>
    <row r="413">
      <c r="A413" s="469"/>
      <c r="B413" s="451"/>
      <c r="C413" s="452"/>
      <c r="D413" s="452"/>
      <c r="E413" s="452"/>
      <c r="F413" s="566"/>
      <c r="G413" s="491"/>
      <c r="H413" s="567"/>
      <c r="I413" s="491"/>
      <c r="J413" s="567"/>
      <c r="K413" s="491"/>
      <c r="L413" s="566"/>
      <c r="M413" s="491"/>
      <c r="N413" s="566"/>
      <c r="O413" s="491"/>
    </row>
    <row r="414">
      <c r="A414" s="469"/>
      <c r="B414" s="451"/>
      <c r="C414" s="452"/>
      <c r="D414" s="452"/>
      <c r="E414" s="452"/>
      <c r="F414" s="566"/>
      <c r="G414" s="491"/>
      <c r="H414" s="567"/>
      <c r="I414" s="491"/>
      <c r="J414" s="567"/>
      <c r="K414" s="491"/>
      <c r="L414" s="566"/>
      <c r="M414" s="491"/>
      <c r="N414" s="566"/>
      <c r="O414" s="491"/>
    </row>
    <row r="415">
      <c r="A415" s="469"/>
      <c r="B415" s="451"/>
      <c r="C415" s="452"/>
      <c r="D415" s="452"/>
      <c r="E415" s="452"/>
      <c r="F415" s="566"/>
      <c r="G415" s="491"/>
      <c r="H415" s="567"/>
      <c r="I415" s="491"/>
      <c r="J415" s="567"/>
      <c r="K415" s="491"/>
      <c r="L415" s="566"/>
      <c r="M415" s="491"/>
      <c r="N415" s="566"/>
      <c r="O415" s="491"/>
    </row>
    <row r="416">
      <c r="A416" s="469"/>
      <c r="B416" s="451"/>
      <c r="C416" s="452"/>
      <c r="D416" s="452"/>
      <c r="E416" s="452"/>
      <c r="F416" s="566"/>
      <c r="G416" s="491"/>
      <c r="H416" s="567"/>
      <c r="I416" s="491"/>
      <c r="J416" s="567"/>
      <c r="K416" s="491"/>
      <c r="L416" s="566"/>
      <c r="M416" s="491"/>
      <c r="N416" s="566"/>
      <c r="O416" s="491"/>
    </row>
    <row r="417">
      <c r="A417" s="469"/>
      <c r="B417" s="451"/>
      <c r="C417" s="452"/>
      <c r="D417" s="452"/>
      <c r="E417" s="452"/>
      <c r="F417" s="566"/>
      <c r="G417" s="491"/>
      <c r="H417" s="567"/>
      <c r="I417" s="491"/>
      <c r="J417" s="567"/>
      <c r="K417" s="491"/>
      <c r="L417" s="566"/>
      <c r="M417" s="491"/>
      <c r="N417" s="566"/>
      <c r="O417" s="491"/>
    </row>
    <row r="418">
      <c r="A418" s="469"/>
      <c r="B418" s="451"/>
      <c r="C418" s="452"/>
      <c r="D418" s="452"/>
      <c r="E418" s="452"/>
      <c r="F418" s="566"/>
      <c r="G418" s="491"/>
      <c r="H418" s="567"/>
      <c r="I418" s="491"/>
      <c r="J418" s="567"/>
      <c r="K418" s="491"/>
      <c r="L418" s="566"/>
      <c r="M418" s="491"/>
      <c r="N418" s="566"/>
      <c r="O418" s="491"/>
    </row>
    <row r="419">
      <c r="A419" s="469"/>
      <c r="B419" s="451"/>
      <c r="C419" s="452"/>
      <c r="D419" s="452"/>
      <c r="E419" s="452"/>
      <c r="F419" s="566"/>
      <c r="G419" s="491"/>
      <c r="H419" s="567"/>
      <c r="I419" s="491"/>
      <c r="J419" s="567"/>
      <c r="K419" s="491"/>
      <c r="L419" s="566"/>
      <c r="M419" s="491"/>
      <c r="N419" s="566"/>
      <c r="O419" s="491"/>
    </row>
    <row r="420">
      <c r="A420" s="469"/>
      <c r="B420" s="451"/>
      <c r="C420" s="452"/>
      <c r="D420" s="452"/>
      <c r="E420" s="452"/>
      <c r="F420" s="566"/>
      <c r="G420" s="491"/>
      <c r="H420" s="567"/>
      <c r="I420" s="491"/>
      <c r="J420" s="567"/>
      <c r="K420" s="491"/>
      <c r="L420" s="566"/>
      <c r="M420" s="491"/>
      <c r="N420" s="566"/>
      <c r="O420" s="491"/>
    </row>
    <row r="421">
      <c r="A421" s="469"/>
      <c r="B421" s="451"/>
      <c r="C421" s="452"/>
      <c r="D421" s="452"/>
      <c r="E421" s="452"/>
      <c r="F421" s="566"/>
      <c r="G421" s="491"/>
      <c r="H421" s="567"/>
      <c r="I421" s="491"/>
      <c r="J421" s="567"/>
      <c r="K421" s="491"/>
      <c r="L421" s="566"/>
      <c r="M421" s="491"/>
      <c r="N421" s="566"/>
      <c r="O421" s="491"/>
    </row>
    <row r="422">
      <c r="A422" s="469"/>
      <c r="B422" s="451"/>
      <c r="C422" s="452"/>
      <c r="D422" s="452"/>
      <c r="E422" s="452"/>
      <c r="F422" s="566"/>
      <c r="G422" s="491"/>
      <c r="H422" s="567"/>
      <c r="I422" s="491"/>
      <c r="J422" s="567"/>
      <c r="K422" s="491"/>
      <c r="L422" s="566"/>
      <c r="M422" s="491"/>
      <c r="N422" s="566"/>
      <c r="O422" s="491"/>
    </row>
    <row r="423">
      <c r="A423" s="469"/>
      <c r="B423" s="451"/>
      <c r="C423" s="452"/>
      <c r="D423" s="452"/>
      <c r="E423" s="452"/>
      <c r="F423" s="566"/>
      <c r="G423" s="491"/>
      <c r="H423" s="567"/>
      <c r="I423" s="491"/>
      <c r="J423" s="567"/>
      <c r="K423" s="491"/>
      <c r="L423" s="566"/>
      <c r="M423" s="491"/>
      <c r="N423" s="566"/>
      <c r="O423" s="491"/>
    </row>
    <row r="424">
      <c r="A424" s="469"/>
      <c r="B424" s="451"/>
      <c r="C424" s="452"/>
      <c r="D424" s="452"/>
      <c r="E424" s="452"/>
      <c r="F424" s="566"/>
      <c r="G424" s="491"/>
      <c r="H424" s="567"/>
      <c r="I424" s="491"/>
      <c r="J424" s="567"/>
      <c r="K424" s="491"/>
      <c r="L424" s="566"/>
      <c r="M424" s="491"/>
      <c r="N424" s="566"/>
      <c r="O424" s="491"/>
    </row>
    <row r="425">
      <c r="A425" s="469"/>
      <c r="B425" s="451"/>
      <c r="C425" s="452"/>
      <c r="D425" s="452"/>
      <c r="E425" s="452"/>
      <c r="F425" s="566"/>
      <c r="G425" s="491"/>
      <c r="H425" s="567"/>
      <c r="I425" s="491"/>
      <c r="J425" s="567"/>
      <c r="K425" s="491"/>
      <c r="L425" s="566"/>
      <c r="M425" s="491"/>
      <c r="N425" s="566"/>
      <c r="O425" s="491"/>
    </row>
    <row r="426">
      <c r="A426" s="469"/>
      <c r="B426" s="451"/>
      <c r="C426" s="452"/>
      <c r="D426" s="452"/>
      <c r="E426" s="452"/>
      <c r="F426" s="566"/>
      <c r="G426" s="491"/>
      <c r="H426" s="567"/>
      <c r="I426" s="491"/>
      <c r="J426" s="567"/>
      <c r="K426" s="491"/>
      <c r="L426" s="566"/>
      <c r="M426" s="491"/>
      <c r="N426" s="566"/>
      <c r="O426" s="491"/>
    </row>
    <row r="427">
      <c r="A427" s="469"/>
      <c r="B427" s="451"/>
      <c r="C427" s="452"/>
      <c r="D427" s="452"/>
      <c r="E427" s="452"/>
      <c r="F427" s="566"/>
      <c r="G427" s="491"/>
      <c r="H427" s="567"/>
      <c r="I427" s="491"/>
      <c r="J427" s="567"/>
      <c r="K427" s="491"/>
      <c r="L427" s="566"/>
      <c r="M427" s="491"/>
      <c r="N427" s="566"/>
      <c r="O427" s="491"/>
    </row>
    <row r="428">
      <c r="A428" s="469"/>
      <c r="B428" s="451"/>
      <c r="C428" s="452"/>
      <c r="D428" s="452"/>
      <c r="E428" s="452"/>
      <c r="F428" s="566"/>
      <c r="G428" s="491"/>
      <c r="H428" s="567"/>
      <c r="I428" s="491"/>
      <c r="J428" s="567"/>
      <c r="K428" s="491"/>
      <c r="L428" s="566"/>
      <c r="M428" s="491"/>
      <c r="N428" s="566"/>
      <c r="O428" s="491"/>
    </row>
    <row r="429">
      <c r="A429" s="469"/>
      <c r="B429" s="451"/>
      <c r="C429" s="452"/>
      <c r="D429" s="452"/>
      <c r="E429" s="452"/>
      <c r="F429" s="566"/>
      <c r="G429" s="491"/>
      <c r="H429" s="567"/>
      <c r="I429" s="491"/>
      <c r="J429" s="567"/>
      <c r="K429" s="491"/>
      <c r="L429" s="566"/>
      <c r="M429" s="491"/>
      <c r="N429" s="566"/>
      <c r="O429" s="491"/>
    </row>
    <row r="430">
      <c r="A430" s="469"/>
      <c r="B430" s="451"/>
      <c r="C430" s="452"/>
      <c r="D430" s="452"/>
      <c r="E430" s="452"/>
      <c r="F430" s="566"/>
      <c r="G430" s="491"/>
      <c r="H430" s="567"/>
      <c r="I430" s="491"/>
      <c r="J430" s="567"/>
      <c r="K430" s="491"/>
      <c r="L430" s="566"/>
      <c r="M430" s="491"/>
      <c r="N430" s="566"/>
      <c r="O430" s="491"/>
    </row>
    <row r="431">
      <c r="A431" s="469"/>
      <c r="B431" s="451"/>
      <c r="C431" s="452"/>
      <c r="D431" s="452"/>
      <c r="E431" s="452"/>
      <c r="F431" s="566"/>
      <c r="G431" s="491"/>
      <c r="H431" s="567"/>
      <c r="I431" s="491"/>
      <c r="J431" s="567"/>
      <c r="K431" s="491"/>
      <c r="L431" s="566"/>
      <c r="M431" s="491"/>
      <c r="N431" s="566"/>
      <c r="O431" s="491"/>
    </row>
    <row r="432">
      <c r="A432" s="469"/>
      <c r="B432" s="451"/>
      <c r="C432" s="452"/>
      <c r="D432" s="452"/>
      <c r="E432" s="452"/>
      <c r="F432" s="566"/>
      <c r="G432" s="491"/>
      <c r="H432" s="567"/>
      <c r="I432" s="491"/>
      <c r="J432" s="567"/>
      <c r="K432" s="491"/>
      <c r="L432" s="566"/>
      <c r="M432" s="491"/>
      <c r="N432" s="566"/>
      <c r="O432" s="491"/>
    </row>
    <row r="433">
      <c r="A433" s="469"/>
      <c r="B433" s="451"/>
      <c r="C433" s="452"/>
      <c r="D433" s="452"/>
      <c r="E433" s="452"/>
      <c r="F433" s="566"/>
      <c r="G433" s="491"/>
      <c r="H433" s="567"/>
      <c r="I433" s="491"/>
      <c r="J433" s="567"/>
      <c r="K433" s="491"/>
      <c r="L433" s="566"/>
      <c r="M433" s="491"/>
      <c r="N433" s="566"/>
      <c r="O433" s="491"/>
    </row>
    <row r="434">
      <c r="A434" s="469"/>
      <c r="B434" s="451"/>
      <c r="C434" s="452"/>
      <c r="D434" s="452"/>
      <c r="E434" s="452"/>
      <c r="F434" s="566"/>
      <c r="G434" s="491"/>
      <c r="H434" s="567"/>
      <c r="I434" s="491"/>
      <c r="J434" s="567"/>
      <c r="K434" s="491"/>
      <c r="L434" s="566"/>
      <c r="M434" s="491"/>
      <c r="N434" s="566"/>
      <c r="O434" s="491"/>
    </row>
    <row r="435">
      <c r="A435" s="469"/>
      <c r="B435" s="451"/>
      <c r="C435" s="452"/>
      <c r="D435" s="452"/>
      <c r="E435" s="452"/>
      <c r="F435" s="566"/>
      <c r="G435" s="491"/>
      <c r="H435" s="567"/>
      <c r="I435" s="491"/>
      <c r="J435" s="567"/>
      <c r="K435" s="491"/>
      <c r="L435" s="566"/>
      <c r="M435" s="491"/>
      <c r="N435" s="566"/>
      <c r="O435" s="491"/>
    </row>
    <row r="436">
      <c r="A436" s="469"/>
      <c r="B436" s="451"/>
      <c r="C436" s="452"/>
      <c r="D436" s="452"/>
      <c r="E436" s="452"/>
      <c r="F436" s="566"/>
      <c r="G436" s="491"/>
      <c r="H436" s="567"/>
      <c r="I436" s="491"/>
      <c r="J436" s="567"/>
      <c r="K436" s="491"/>
      <c r="L436" s="566"/>
      <c r="M436" s="491"/>
      <c r="N436" s="566"/>
      <c r="O436" s="491"/>
    </row>
    <row r="437">
      <c r="A437" s="469"/>
      <c r="B437" s="451"/>
      <c r="C437" s="452"/>
      <c r="D437" s="452"/>
      <c r="E437" s="452"/>
      <c r="F437" s="566"/>
      <c r="G437" s="491"/>
      <c r="H437" s="567"/>
      <c r="I437" s="491"/>
      <c r="J437" s="567"/>
      <c r="K437" s="491"/>
      <c r="L437" s="566"/>
      <c r="M437" s="491"/>
      <c r="N437" s="566"/>
      <c r="O437" s="491"/>
    </row>
    <row r="438">
      <c r="A438" s="469"/>
      <c r="B438" s="451"/>
      <c r="C438" s="452"/>
      <c r="D438" s="452"/>
      <c r="E438" s="452"/>
      <c r="F438" s="566"/>
      <c r="G438" s="491"/>
      <c r="H438" s="567"/>
      <c r="I438" s="491"/>
      <c r="J438" s="567"/>
      <c r="K438" s="491"/>
      <c r="L438" s="566"/>
      <c r="M438" s="491"/>
      <c r="N438" s="566"/>
      <c r="O438" s="491"/>
    </row>
    <row r="439">
      <c r="A439" s="469"/>
      <c r="B439" s="451"/>
      <c r="C439" s="452"/>
      <c r="D439" s="452"/>
      <c r="E439" s="452"/>
      <c r="F439" s="566"/>
      <c r="G439" s="491"/>
      <c r="H439" s="567"/>
      <c r="I439" s="491"/>
      <c r="J439" s="567"/>
      <c r="K439" s="491"/>
      <c r="L439" s="566"/>
      <c r="M439" s="491"/>
      <c r="N439" s="566"/>
      <c r="O439" s="491"/>
    </row>
    <row r="440">
      <c r="A440" s="469"/>
      <c r="B440" s="451"/>
      <c r="C440" s="452"/>
      <c r="D440" s="452"/>
      <c r="E440" s="452"/>
      <c r="F440" s="566"/>
      <c r="G440" s="491"/>
      <c r="H440" s="567"/>
      <c r="I440" s="491"/>
      <c r="J440" s="567"/>
      <c r="K440" s="491"/>
      <c r="L440" s="566"/>
      <c r="M440" s="491"/>
      <c r="N440" s="566"/>
      <c r="O440" s="491"/>
    </row>
    <row r="441">
      <c r="A441" s="469"/>
      <c r="B441" s="451"/>
      <c r="C441" s="452"/>
      <c r="D441" s="452"/>
      <c r="E441" s="452"/>
      <c r="F441" s="566"/>
      <c r="G441" s="491"/>
      <c r="H441" s="567"/>
      <c r="I441" s="491"/>
      <c r="J441" s="567"/>
      <c r="K441" s="491"/>
      <c r="L441" s="566"/>
      <c r="M441" s="491"/>
      <c r="N441" s="566"/>
      <c r="O441" s="491"/>
    </row>
    <row r="442">
      <c r="A442" s="469"/>
      <c r="B442" s="451"/>
      <c r="C442" s="452"/>
      <c r="D442" s="452"/>
      <c r="E442" s="452"/>
      <c r="F442" s="566"/>
      <c r="G442" s="491"/>
      <c r="H442" s="567"/>
      <c r="I442" s="491"/>
      <c r="J442" s="567"/>
      <c r="K442" s="491"/>
      <c r="L442" s="566"/>
      <c r="M442" s="491"/>
      <c r="N442" s="566"/>
      <c r="O442" s="491"/>
    </row>
    <row r="443">
      <c r="A443" s="469"/>
      <c r="B443" s="451"/>
      <c r="C443" s="452"/>
      <c r="D443" s="452"/>
      <c r="E443" s="452"/>
      <c r="F443" s="566"/>
      <c r="G443" s="491"/>
      <c r="H443" s="567"/>
      <c r="I443" s="491"/>
      <c r="J443" s="567"/>
      <c r="K443" s="491"/>
      <c r="L443" s="566"/>
      <c r="M443" s="491"/>
      <c r="N443" s="566"/>
      <c r="O443" s="491"/>
    </row>
    <row r="444">
      <c r="A444" s="469"/>
      <c r="B444" s="451"/>
      <c r="C444" s="452"/>
      <c r="D444" s="452"/>
      <c r="E444" s="452"/>
      <c r="F444" s="566"/>
      <c r="G444" s="491"/>
      <c r="H444" s="567"/>
      <c r="I444" s="491"/>
      <c r="J444" s="567"/>
      <c r="K444" s="491"/>
      <c r="L444" s="566"/>
      <c r="M444" s="491"/>
      <c r="N444" s="566"/>
      <c r="O444" s="491"/>
    </row>
    <row r="445">
      <c r="A445" s="469"/>
      <c r="B445" s="451"/>
      <c r="C445" s="452"/>
      <c r="D445" s="452"/>
      <c r="E445" s="452"/>
      <c r="F445" s="566"/>
      <c r="G445" s="491"/>
      <c r="H445" s="567"/>
      <c r="I445" s="491"/>
      <c r="J445" s="567"/>
      <c r="K445" s="491"/>
      <c r="L445" s="566"/>
      <c r="M445" s="491"/>
      <c r="N445" s="566"/>
      <c r="O445" s="491"/>
    </row>
    <row r="446">
      <c r="A446" s="469"/>
      <c r="B446" s="451"/>
      <c r="C446" s="452"/>
      <c r="D446" s="452"/>
      <c r="E446" s="452"/>
      <c r="F446" s="566"/>
      <c r="G446" s="491"/>
      <c r="H446" s="567"/>
      <c r="I446" s="491"/>
      <c r="J446" s="567"/>
      <c r="K446" s="491"/>
      <c r="L446" s="566"/>
      <c r="M446" s="491"/>
      <c r="N446" s="566"/>
      <c r="O446" s="491"/>
    </row>
    <row r="447">
      <c r="A447" s="469"/>
      <c r="B447" s="451"/>
      <c r="C447" s="452"/>
      <c r="D447" s="452"/>
      <c r="E447" s="452"/>
      <c r="F447" s="566"/>
      <c r="G447" s="491"/>
      <c r="H447" s="567"/>
      <c r="I447" s="491"/>
      <c r="J447" s="567"/>
      <c r="K447" s="491"/>
      <c r="L447" s="566"/>
      <c r="M447" s="491"/>
      <c r="N447" s="566"/>
      <c r="O447" s="491"/>
    </row>
    <row r="448">
      <c r="A448" s="469"/>
      <c r="B448" s="451"/>
      <c r="C448" s="452"/>
      <c r="D448" s="452"/>
      <c r="E448" s="452"/>
      <c r="F448" s="566"/>
      <c r="G448" s="491"/>
      <c r="H448" s="567"/>
      <c r="I448" s="491"/>
      <c r="J448" s="567"/>
      <c r="K448" s="491"/>
      <c r="L448" s="566"/>
      <c r="M448" s="491"/>
      <c r="N448" s="566"/>
      <c r="O448" s="491"/>
    </row>
    <row r="449">
      <c r="A449" s="469"/>
      <c r="B449" s="451"/>
      <c r="C449" s="452"/>
      <c r="D449" s="452"/>
      <c r="E449" s="452"/>
      <c r="F449" s="566"/>
      <c r="G449" s="491"/>
      <c r="H449" s="567"/>
      <c r="I449" s="491"/>
      <c r="J449" s="567"/>
      <c r="K449" s="491"/>
      <c r="L449" s="566"/>
      <c r="M449" s="491"/>
      <c r="N449" s="566"/>
      <c r="O449" s="491"/>
    </row>
    <row r="450">
      <c r="A450" s="469"/>
      <c r="B450" s="451"/>
      <c r="C450" s="452"/>
      <c r="D450" s="452"/>
      <c r="E450" s="452"/>
      <c r="F450" s="566"/>
      <c r="G450" s="491"/>
      <c r="H450" s="567"/>
      <c r="I450" s="491"/>
      <c r="J450" s="567"/>
      <c r="K450" s="491"/>
      <c r="L450" s="566"/>
      <c r="M450" s="491"/>
      <c r="N450" s="566"/>
      <c r="O450" s="491"/>
    </row>
    <row r="451">
      <c r="A451" s="469"/>
      <c r="B451" s="451"/>
      <c r="C451" s="452"/>
      <c r="D451" s="452"/>
      <c r="E451" s="452"/>
      <c r="F451" s="566"/>
      <c r="G451" s="491"/>
      <c r="H451" s="567"/>
      <c r="I451" s="491"/>
      <c r="J451" s="567"/>
      <c r="K451" s="491"/>
      <c r="L451" s="566"/>
      <c r="M451" s="491"/>
      <c r="N451" s="566"/>
      <c r="O451" s="491"/>
    </row>
    <row r="452">
      <c r="A452" s="469"/>
      <c r="B452" s="451"/>
      <c r="C452" s="452"/>
      <c r="D452" s="452"/>
      <c r="E452" s="452"/>
      <c r="F452" s="566"/>
      <c r="G452" s="491"/>
      <c r="H452" s="567"/>
      <c r="I452" s="491"/>
      <c r="J452" s="567"/>
      <c r="K452" s="491"/>
      <c r="L452" s="566"/>
      <c r="M452" s="491"/>
      <c r="N452" s="566"/>
      <c r="O452" s="491"/>
    </row>
    <row r="453">
      <c r="A453" s="469"/>
      <c r="B453" s="451"/>
      <c r="C453" s="452"/>
      <c r="D453" s="452"/>
      <c r="E453" s="452"/>
      <c r="F453" s="566"/>
      <c r="G453" s="491"/>
      <c r="H453" s="567"/>
      <c r="I453" s="491"/>
      <c r="J453" s="567"/>
      <c r="K453" s="491"/>
      <c r="L453" s="566"/>
      <c r="M453" s="491"/>
      <c r="N453" s="566"/>
      <c r="O453" s="491"/>
    </row>
    <row r="454">
      <c r="A454" s="469"/>
      <c r="B454" s="451"/>
      <c r="C454" s="452"/>
      <c r="D454" s="452"/>
      <c r="E454" s="452"/>
      <c r="F454" s="566"/>
      <c r="G454" s="491"/>
      <c r="H454" s="567"/>
      <c r="I454" s="491"/>
      <c r="J454" s="567"/>
      <c r="K454" s="491"/>
      <c r="L454" s="566"/>
      <c r="M454" s="491"/>
      <c r="N454" s="566"/>
      <c r="O454" s="491"/>
    </row>
    <row r="455">
      <c r="A455" s="469"/>
      <c r="B455" s="451"/>
      <c r="C455" s="452"/>
      <c r="D455" s="452"/>
      <c r="E455" s="452"/>
      <c r="F455" s="566"/>
      <c r="G455" s="491"/>
      <c r="H455" s="567"/>
      <c r="I455" s="491"/>
      <c r="J455" s="567"/>
      <c r="K455" s="491"/>
      <c r="L455" s="566"/>
      <c r="M455" s="491"/>
      <c r="N455" s="566"/>
      <c r="O455" s="491"/>
    </row>
    <row r="456">
      <c r="A456" s="469"/>
      <c r="B456" s="451"/>
      <c r="C456" s="452"/>
      <c r="D456" s="452"/>
      <c r="E456" s="452"/>
      <c r="F456" s="566"/>
      <c r="G456" s="491"/>
      <c r="H456" s="567"/>
      <c r="I456" s="491"/>
      <c r="J456" s="567"/>
      <c r="K456" s="491"/>
      <c r="L456" s="566"/>
      <c r="M456" s="491"/>
      <c r="N456" s="566"/>
      <c r="O456" s="491"/>
    </row>
    <row r="457">
      <c r="A457" s="469"/>
      <c r="B457" s="451"/>
      <c r="C457" s="452"/>
      <c r="D457" s="452"/>
      <c r="E457" s="452"/>
      <c r="F457" s="566"/>
      <c r="G457" s="491"/>
      <c r="H457" s="567"/>
      <c r="I457" s="491"/>
      <c r="J457" s="567"/>
      <c r="K457" s="491"/>
      <c r="L457" s="566"/>
      <c r="M457" s="491"/>
      <c r="N457" s="566"/>
      <c r="O457" s="491"/>
    </row>
    <row r="458">
      <c r="A458" s="469"/>
      <c r="B458" s="451"/>
      <c r="C458" s="452"/>
      <c r="D458" s="452"/>
      <c r="E458" s="452"/>
      <c r="F458" s="566"/>
      <c r="G458" s="491"/>
      <c r="H458" s="567"/>
      <c r="I458" s="491"/>
      <c r="J458" s="567"/>
      <c r="K458" s="491"/>
      <c r="L458" s="566"/>
      <c r="M458" s="491"/>
      <c r="N458" s="566"/>
      <c r="O458" s="491"/>
    </row>
    <row r="459">
      <c r="A459" s="469"/>
      <c r="B459" s="451"/>
      <c r="C459" s="452"/>
      <c r="D459" s="452"/>
      <c r="E459" s="452"/>
      <c r="F459" s="566"/>
      <c r="G459" s="491"/>
      <c r="H459" s="567"/>
      <c r="I459" s="491"/>
      <c r="J459" s="567"/>
      <c r="K459" s="491"/>
      <c r="L459" s="566"/>
      <c r="M459" s="491"/>
      <c r="N459" s="566"/>
      <c r="O459" s="491"/>
    </row>
    <row r="460">
      <c r="A460" s="469"/>
      <c r="B460" s="451"/>
      <c r="C460" s="452"/>
      <c r="D460" s="452"/>
      <c r="E460" s="452"/>
      <c r="F460" s="566"/>
      <c r="G460" s="491"/>
      <c r="H460" s="567"/>
      <c r="I460" s="491"/>
      <c r="J460" s="567"/>
      <c r="K460" s="491"/>
      <c r="L460" s="566"/>
      <c r="M460" s="491"/>
      <c r="N460" s="566"/>
      <c r="O460" s="491"/>
    </row>
    <row r="461">
      <c r="A461" s="469"/>
      <c r="B461" s="451"/>
      <c r="C461" s="452"/>
      <c r="D461" s="452"/>
      <c r="E461" s="452"/>
      <c r="F461" s="566"/>
      <c r="G461" s="491"/>
      <c r="H461" s="567"/>
      <c r="I461" s="491"/>
      <c r="J461" s="567"/>
      <c r="K461" s="491"/>
      <c r="L461" s="566"/>
      <c r="M461" s="491"/>
      <c r="N461" s="566"/>
      <c r="O461" s="491"/>
    </row>
    <row r="462">
      <c r="A462" s="469"/>
      <c r="B462" s="451"/>
      <c r="C462" s="452"/>
      <c r="D462" s="452"/>
      <c r="E462" s="452"/>
      <c r="F462" s="566"/>
      <c r="G462" s="491"/>
      <c r="H462" s="567"/>
      <c r="I462" s="491"/>
      <c r="J462" s="567"/>
      <c r="K462" s="491"/>
      <c r="L462" s="566"/>
      <c r="M462" s="491"/>
      <c r="N462" s="566"/>
      <c r="O462" s="491"/>
    </row>
    <row r="463">
      <c r="A463" s="469"/>
      <c r="B463" s="451"/>
      <c r="C463" s="452"/>
      <c r="D463" s="452"/>
      <c r="E463" s="452"/>
      <c r="F463" s="566"/>
      <c r="G463" s="491"/>
      <c r="H463" s="567"/>
      <c r="I463" s="491"/>
      <c r="J463" s="567"/>
      <c r="K463" s="491"/>
      <c r="L463" s="566"/>
      <c r="M463" s="491"/>
      <c r="N463" s="566"/>
      <c r="O463" s="491"/>
    </row>
    <row r="464">
      <c r="A464" s="469"/>
      <c r="B464" s="451"/>
      <c r="C464" s="452"/>
      <c r="D464" s="452"/>
      <c r="E464" s="452"/>
      <c r="F464" s="566"/>
      <c r="G464" s="491"/>
      <c r="H464" s="567"/>
      <c r="I464" s="491"/>
      <c r="J464" s="567"/>
      <c r="K464" s="491"/>
      <c r="L464" s="566"/>
      <c r="M464" s="491"/>
      <c r="N464" s="566"/>
      <c r="O464" s="491"/>
    </row>
    <row r="465">
      <c r="A465" s="469"/>
      <c r="B465" s="451"/>
      <c r="C465" s="452"/>
      <c r="D465" s="452"/>
      <c r="E465" s="452"/>
      <c r="F465" s="566"/>
      <c r="G465" s="491"/>
      <c r="H465" s="567"/>
      <c r="I465" s="491"/>
      <c r="J465" s="567"/>
      <c r="K465" s="491"/>
      <c r="L465" s="566"/>
      <c r="M465" s="491"/>
      <c r="N465" s="566"/>
      <c r="O465" s="491"/>
    </row>
    <row r="466">
      <c r="A466" s="469"/>
      <c r="B466" s="451"/>
      <c r="C466" s="452"/>
      <c r="D466" s="452"/>
      <c r="E466" s="452"/>
      <c r="F466" s="566"/>
      <c r="G466" s="491"/>
      <c r="H466" s="567"/>
      <c r="I466" s="491"/>
      <c r="J466" s="567"/>
      <c r="K466" s="491"/>
      <c r="L466" s="566"/>
      <c r="M466" s="491"/>
      <c r="N466" s="566"/>
      <c r="O466" s="491"/>
    </row>
    <row r="467">
      <c r="A467" s="469"/>
      <c r="B467" s="451"/>
      <c r="C467" s="452"/>
      <c r="D467" s="452"/>
      <c r="E467" s="452"/>
      <c r="F467" s="566"/>
      <c r="G467" s="491"/>
      <c r="H467" s="567"/>
      <c r="I467" s="491"/>
      <c r="J467" s="567"/>
      <c r="K467" s="491"/>
      <c r="L467" s="566"/>
      <c r="M467" s="491"/>
      <c r="N467" s="566"/>
      <c r="O467" s="491"/>
    </row>
    <row r="468">
      <c r="A468" s="469"/>
      <c r="B468" s="451"/>
      <c r="C468" s="452"/>
      <c r="D468" s="452"/>
      <c r="E468" s="452"/>
      <c r="F468" s="566"/>
      <c r="G468" s="491"/>
      <c r="H468" s="567"/>
      <c r="I468" s="491"/>
      <c r="J468" s="567"/>
      <c r="K468" s="491"/>
      <c r="L468" s="566"/>
      <c r="M468" s="491"/>
      <c r="N468" s="566"/>
      <c r="O468" s="491"/>
    </row>
    <row r="469">
      <c r="A469" s="469"/>
      <c r="B469" s="451"/>
      <c r="C469" s="452"/>
      <c r="D469" s="452"/>
      <c r="E469" s="452"/>
      <c r="F469" s="566"/>
      <c r="G469" s="491"/>
      <c r="H469" s="567"/>
      <c r="I469" s="491"/>
      <c r="J469" s="567"/>
      <c r="K469" s="491"/>
      <c r="L469" s="566"/>
      <c r="M469" s="491"/>
      <c r="N469" s="566"/>
      <c r="O469" s="491"/>
    </row>
    <row r="470">
      <c r="A470" s="469"/>
      <c r="B470" s="451"/>
      <c r="C470" s="452"/>
      <c r="D470" s="452"/>
      <c r="E470" s="452"/>
      <c r="F470" s="566"/>
      <c r="G470" s="491"/>
      <c r="H470" s="567"/>
      <c r="I470" s="491"/>
      <c r="J470" s="567"/>
      <c r="K470" s="491"/>
      <c r="L470" s="566"/>
      <c r="M470" s="491"/>
      <c r="N470" s="566"/>
      <c r="O470" s="491"/>
    </row>
    <row r="471">
      <c r="A471" s="469"/>
      <c r="B471" s="451"/>
      <c r="C471" s="452"/>
      <c r="D471" s="452"/>
      <c r="E471" s="452"/>
      <c r="F471" s="566"/>
      <c r="G471" s="491"/>
      <c r="H471" s="567"/>
      <c r="I471" s="491"/>
      <c r="J471" s="567"/>
      <c r="K471" s="491"/>
      <c r="L471" s="566"/>
      <c r="M471" s="491"/>
      <c r="N471" s="566"/>
      <c r="O471" s="491"/>
    </row>
    <row r="472">
      <c r="A472" s="469"/>
      <c r="B472" s="451"/>
      <c r="C472" s="452"/>
      <c r="D472" s="452"/>
      <c r="E472" s="452"/>
      <c r="F472" s="566"/>
      <c r="G472" s="491"/>
      <c r="H472" s="567"/>
      <c r="I472" s="491"/>
      <c r="J472" s="567"/>
      <c r="K472" s="491"/>
      <c r="L472" s="566"/>
      <c r="M472" s="491"/>
      <c r="N472" s="566"/>
      <c r="O472" s="491"/>
    </row>
    <row r="473">
      <c r="A473" s="469"/>
      <c r="B473" s="451"/>
      <c r="C473" s="452"/>
      <c r="D473" s="452"/>
      <c r="E473" s="452"/>
      <c r="F473" s="566"/>
      <c r="G473" s="491"/>
      <c r="H473" s="567"/>
      <c r="I473" s="491"/>
      <c r="J473" s="567"/>
      <c r="K473" s="491"/>
      <c r="L473" s="566"/>
      <c r="M473" s="491"/>
      <c r="N473" s="566"/>
      <c r="O473" s="491"/>
    </row>
    <row r="474">
      <c r="A474" s="469"/>
      <c r="B474" s="451"/>
      <c r="C474" s="452"/>
      <c r="D474" s="452"/>
      <c r="E474" s="452"/>
      <c r="F474" s="566"/>
      <c r="G474" s="491"/>
      <c r="H474" s="567"/>
      <c r="I474" s="491"/>
      <c r="J474" s="567"/>
      <c r="K474" s="491"/>
      <c r="L474" s="566"/>
      <c r="M474" s="491"/>
      <c r="N474" s="566"/>
      <c r="O474" s="491"/>
    </row>
    <row r="475">
      <c r="A475" s="469"/>
      <c r="B475" s="451"/>
      <c r="C475" s="452"/>
      <c r="D475" s="452"/>
      <c r="E475" s="452"/>
      <c r="F475" s="566"/>
      <c r="G475" s="491"/>
      <c r="H475" s="567"/>
      <c r="I475" s="491"/>
      <c r="J475" s="567"/>
      <c r="K475" s="491"/>
      <c r="L475" s="566"/>
      <c r="M475" s="491"/>
      <c r="N475" s="566"/>
      <c r="O475" s="491"/>
    </row>
    <row r="476">
      <c r="A476" s="469"/>
      <c r="B476" s="451"/>
      <c r="C476" s="452"/>
      <c r="D476" s="452"/>
      <c r="E476" s="452"/>
      <c r="F476" s="566"/>
      <c r="G476" s="491"/>
      <c r="H476" s="567"/>
      <c r="I476" s="491"/>
      <c r="J476" s="567"/>
      <c r="K476" s="491"/>
      <c r="L476" s="566"/>
      <c r="M476" s="491"/>
      <c r="N476" s="566"/>
      <c r="O476" s="491"/>
    </row>
    <row r="477">
      <c r="A477" s="469"/>
      <c r="B477" s="451"/>
      <c r="C477" s="452"/>
      <c r="D477" s="452"/>
      <c r="E477" s="452"/>
      <c r="F477" s="566"/>
      <c r="G477" s="491"/>
      <c r="H477" s="567"/>
      <c r="I477" s="491"/>
      <c r="J477" s="567"/>
      <c r="K477" s="491"/>
      <c r="L477" s="566"/>
      <c r="M477" s="491"/>
      <c r="N477" s="566"/>
      <c r="O477" s="491"/>
    </row>
    <row r="478">
      <c r="A478" s="469"/>
      <c r="B478" s="451"/>
      <c r="C478" s="452"/>
      <c r="D478" s="452"/>
      <c r="E478" s="452"/>
      <c r="F478" s="566"/>
      <c r="G478" s="491"/>
      <c r="H478" s="567"/>
      <c r="I478" s="491"/>
      <c r="J478" s="567"/>
      <c r="K478" s="491"/>
      <c r="L478" s="566"/>
      <c r="M478" s="491"/>
      <c r="N478" s="566"/>
      <c r="O478" s="491"/>
    </row>
    <row r="479">
      <c r="A479" s="469"/>
      <c r="B479" s="451"/>
      <c r="C479" s="452"/>
      <c r="D479" s="452"/>
      <c r="E479" s="452"/>
      <c r="F479" s="566"/>
      <c r="G479" s="491"/>
      <c r="H479" s="567"/>
      <c r="I479" s="491"/>
      <c r="J479" s="567"/>
      <c r="K479" s="491"/>
      <c r="L479" s="566"/>
      <c r="M479" s="491"/>
      <c r="N479" s="566"/>
      <c r="O479" s="491"/>
    </row>
    <row r="480">
      <c r="A480" s="469"/>
      <c r="B480" s="451"/>
      <c r="C480" s="452"/>
      <c r="D480" s="452"/>
      <c r="E480" s="452"/>
      <c r="F480" s="566"/>
      <c r="G480" s="491"/>
      <c r="H480" s="567"/>
      <c r="I480" s="491"/>
      <c r="J480" s="567"/>
      <c r="K480" s="491"/>
      <c r="L480" s="566"/>
      <c r="M480" s="491"/>
      <c r="N480" s="566"/>
      <c r="O480" s="491"/>
    </row>
    <row r="481">
      <c r="A481" s="469"/>
      <c r="B481" s="451"/>
      <c r="C481" s="452"/>
      <c r="D481" s="452"/>
      <c r="E481" s="452"/>
      <c r="F481" s="566"/>
      <c r="G481" s="491"/>
      <c r="H481" s="567"/>
      <c r="I481" s="491"/>
      <c r="J481" s="567"/>
      <c r="K481" s="491"/>
      <c r="L481" s="566"/>
      <c r="M481" s="491"/>
      <c r="N481" s="566"/>
      <c r="O481" s="491"/>
    </row>
    <row r="482">
      <c r="A482" s="469"/>
      <c r="B482" s="451"/>
      <c r="C482" s="452"/>
      <c r="D482" s="452"/>
      <c r="E482" s="452"/>
      <c r="F482" s="566"/>
      <c r="G482" s="491"/>
      <c r="H482" s="567"/>
      <c r="I482" s="491"/>
      <c r="J482" s="567"/>
      <c r="K482" s="491"/>
      <c r="L482" s="566"/>
      <c r="M482" s="491"/>
      <c r="N482" s="566"/>
      <c r="O482" s="491"/>
    </row>
    <row r="483">
      <c r="A483" s="469"/>
      <c r="B483" s="451"/>
      <c r="C483" s="452"/>
      <c r="D483" s="452"/>
      <c r="E483" s="452"/>
      <c r="F483" s="566"/>
      <c r="G483" s="491"/>
      <c r="H483" s="567"/>
      <c r="I483" s="491"/>
      <c r="J483" s="567"/>
      <c r="K483" s="491"/>
      <c r="L483" s="566"/>
      <c r="M483" s="491"/>
      <c r="N483" s="566"/>
      <c r="O483" s="491"/>
    </row>
    <row r="484">
      <c r="A484" s="469"/>
      <c r="B484" s="451"/>
      <c r="C484" s="452"/>
      <c r="D484" s="452"/>
      <c r="E484" s="452"/>
      <c r="F484" s="566"/>
      <c r="G484" s="491"/>
      <c r="H484" s="567"/>
      <c r="I484" s="491"/>
      <c r="J484" s="567"/>
      <c r="K484" s="491"/>
      <c r="L484" s="566"/>
      <c r="M484" s="491"/>
      <c r="N484" s="566"/>
      <c r="O484" s="491"/>
    </row>
    <row r="485">
      <c r="A485" s="469"/>
      <c r="B485" s="451"/>
      <c r="C485" s="452"/>
      <c r="D485" s="452"/>
      <c r="E485" s="452"/>
      <c r="F485" s="566"/>
      <c r="G485" s="491"/>
      <c r="H485" s="567"/>
      <c r="I485" s="491"/>
      <c r="J485" s="567"/>
      <c r="K485" s="491"/>
      <c r="L485" s="566"/>
      <c r="M485" s="491"/>
      <c r="N485" s="566"/>
      <c r="O485" s="491"/>
    </row>
    <row r="486">
      <c r="A486" s="469"/>
      <c r="B486" s="451"/>
      <c r="C486" s="452"/>
      <c r="D486" s="452"/>
      <c r="E486" s="452"/>
      <c r="F486" s="566"/>
      <c r="G486" s="491"/>
      <c r="H486" s="567"/>
      <c r="I486" s="491"/>
      <c r="J486" s="567"/>
      <c r="K486" s="491"/>
      <c r="L486" s="566"/>
      <c r="M486" s="491"/>
      <c r="N486" s="566"/>
      <c r="O486" s="491"/>
    </row>
    <row r="487">
      <c r="A487" s="469"/>
      <c r="B487" s="451"/>
      <c r="C487" s="452"/>
      <c r="D487" s="452"/>
      <c r="E487" s="452"/>
      <c r="F487" s="566"/>
      <c r="G487" s="491"/>
      <c r="H487" s="567"/>
      <c r="I487" s="491"/>
      <c r="J487" s="567"/>
      <c r="K487" s="491"/>
      <c r="L487" s="566"/>
      <c r="M487" s="491"/>
      <c r="N487" s="566"/>
      <c r="O487" s="491"/>
    </row>
    <row r="488">
      <c r="A488" s="469"/>
      <c r="B488" s="451"/>
      <c r="C488" s="452"/>
      <c r="D488" s="452"/>
      <c r="E488" s="452"/>
      <c r="F488" s="566"/>
      <c r="G488" s="491"/>
      <c r="H488" s="567"/>
      <c r="I488" s="491"/>
      <c r="J488" s="567"/>
      <c r="K488" s="491"/>
      <c r="L488" s="566"/>
      <c r="M488" s="491"/>
      <c r="N488" s="566"/>
      <c r="O488" s="491"/>
    </row>
    <row r="489">
      <c r="A489" s="469"/>
      <c r="B489" s="451"/>
      <c r="C489" s="452"/>
      <c r="D489" s="452"/>
      <c r="E489" s="452"/>
      <c r="F489" s="566"/>
      <c r="G489" s="491"/>
      <c r="H489" s="567"/>
      <c r="I489" s="491"/>
      <c r="J489" s="567"/>
      <c r="K489" s="491"/>
      <c r="L489" s="566"/>
      <c r="M489" s="491"/>
      <c r="N489" s="566"/>
      <c r="O489" s="491"/>
    </row>
    <row r="490">
      <c r="A490" s="469"/>
      <c r="B490" s="451"/>
      <c r="C490" s="452"/>
      <c r="D490" s="452"/>
      <c r="E490" s="452"/>
      <c r="F490" s="566"/>
      <c r="G490" s="491"/>
      <c r="H490" s="567"/>
      <c r="I490" s="491"/>
      <c r="J490" s="567"/>
      <c r="K490" s="491"/>
      <c r="L490" s="566"/>
      <c r="M490" s="491"/>
      <c r="N490" s="566"/>
      <c r="O490" s="491"/>
    </row>
    <row r="491">
      <c r="A491" s="469"/>
      <c r="B491" s="451"/>
      <c r="C491" s="452"/>
      <c r="D491" s="452"/>
      <c r="E491" s="452"/>
      <c r="F491" s="566"/>
      <c r="G491" s="491"/>
      <c r="H491" s="567"/>
      <c r="I491" s="491"/>
      <c r="J491" s="567"/>
      <c r="K491" s="491"/>
      <c r="L491" s="566"/>
      <c r="M491" s="491"/>
      <c r="N491" s="566"/>
      <c r="O491" s="491"/>
    </row>
    <row r="492">
      <c r="A492" s="469"/>
      <c r="B492" s="451"/>
      <c r="C492" s="452"/>
      <c r="D492" s="452"/>
      <c r="E492" s="452"/>
      <c r="F492" s="566"/>
      <c r="G492" s="491"/>
      <c r="H492" s="567"/>
      <c r="I492" s="491"/>
      <c r="J492" s="567"/>
      <c r="K492" s="491"/>
      <c r="L492" s="566"/>
      <c r="M492" s="491"/>
      <c r="N492" s="566"/>
      <c r="O492" s="491"/>
    </row>
    <row r="493">
      <c r="A493" s="469"/>
      <c r="B493" s="451"/>
      <c r="C493" s="452"/>
      <c r="D493" s="452"/>
      <c r="E493" s="452"/>
      <c r="F493" s="566"/>
      <c r="G493" s="491"/>
      <c r="H493" s="567"/>
      <c r="I493" s="491"/>
      <c r="J493" s="567"/>
      <c r="K493" s="491"/>
      <c r="L493" s="566"/>
      <c r="M493" s="491"/>
      <c r="N493" s="566"/>
      <c r="O493" s="491"/>
    </row>
    <row r="494">
      <c r="A494" s="469"/>
      <c r="B494" s="451"/>
      <c r="C494" s="452"/>
      <c r="D494" s="452"/>
      <c r="E494" s="452"/>
      <c r="F494" s="566"/>
      <c r="G494" s="491"/>
      <c r="H494" s="567"/>
      <c r="I494" s="491"/>
      <c r="J494" s="567"/>
      <c r="K494" s="491"/>
      <c r="L494" s="566"/>
      <c r="M494" s="491"/>
      <c r="N494" s="566"/>
      <c r="O494" s="491"/>
    </row>
    <row r="495">
      <c r="A495" s="469"/>
      <c r="B495" s="451"/>
      <c r="C495" s="452"/>
      <c r="D495" s="452"/>
      <c r="E495" s="452"/>
      <c r="F495" s="566"/>
      <c r="G495" s="491"/>
      <c r="H495" s="567"/>
      <c r="I495" s="491"/>
      <c r="J495" s="567"/>
      <c r="K495" s="491"/>
      <c r="L495" s="566"/>
      <c r="M495" s="491"/>
      <c r="N495" s="566"/>
      <c r="O495" s="491"/>
    </row>
    <row r="496">
      <c r="A496" s="469"/>
      <c r="B496" s="451"/>
      <c r="C496" s="452"/>
      <c r="D496" s="452"/>
      <c r="E496" s="452"/>
      <c r="F496" s="566"/>
      <c r="G496" s="491"/>
      <c r="H496" s="567"/>
      <c r="I496" s="491"/>
      <c r="J496" s="567"/>
      <c r="K496" s="491"/>
      <c r="L496" s="566"/>
      <c r="M496" s="491"/>
      <c r="N496" s="566"/>
      <c r="O496" s="491"/>
    </row>
    <row r="497">
      <c r="A497" s="469"/>
      <c r="B497" s="451"/>
      <c r="C497" s="452"/>
      <c r="D497" s="452"/>
      <c r="E497" s="452"/>
      <c r="F497" s="566"/>
      <c r="G497" s="491"/>
      <c r="H497" s="567"/>
      <c r="I497" s="491"/>
      <c r="J497" s="567"/>
      <c r="K497" s="491"/>
      <c r="L497" s="566"/>
      <c r="M497" s="491"/>
      <c r="N497" s="566"/>
      <c r="O497" s="491"/>
    </row>
    <row r="498">
      <c r="A498" s="469"/>
      <c r="B498" s="451"/>
      <c r="C498" s="452"/>
      <c r="D498" s="452"/>
      <c r="E498" s="452"/>
      <c r="F498" s="566"/>
      <c r="G498" s="491"/>
      <c r="H498" s="567"/>
      <c r="I498" s="491"/>
      <c r="J498" s="567"/>
      <c r="K498" s="491"/>
      <c r="L498" s="566"/>
      <c r="M498" s="491"/>
      <c r="N498" s="566"/>
      <c r="O498" s="491"/>
    </row>
    <row r="499">
      <c r="A499" s="469"/>
      <c r="B499" s="451"/>
      <c r="C499" s="452"/>
      <c r="D499" s="452"/>
      <c r="E499" s="452"/>
      <c r="F499" s="566"/>
      <c r="G499" s="491"/>
      <c r="H499" s="567"/>
      <c r="I499" s="491"/>
      <c r="J499" s="567"/>
      <c r="K499" s="491"/>
      <c r="L499" s="566"/>
      <c r="M499" s="491"/>
      <c r="N499" s="566"/>
      <c r="O499" s="491"/>
    </row>
    <row r="500">
      <c r="A500" s="469"/>
      <c r="B500" s="451"/>
      <c r="C500" s="452"/>
      <c r="D500" s="452"/>
      <c r="E500" s="452"/>
      <c r="F500" s="566"/>
      <c r="G500" s="491"/>
      <c r="H500" s="567"/>
      <c r="I500" s="491"/>
      <c r="J500" s="567"/>
      <c r="K500" s="491"/>
      <c r="L500" s="566"/>
      <c r="M500" s="491"/>
      <c r="N500" s="566"/>
      <c r="O500" s="491"/>
    </row>
    <row r="501">
      <c r="A501" s="469"/>
      <c r="B501" s="451"/>
      <c r="C501" s="452"/>
      <c r="D501" s="452"/>
      <c r="E501" s="452"/>
      <c r="F501" s="566"/>
      <c r="G501" s="491"/>
      <c r="H501" s="567"/>
      <c r="I501" s="491"/>
      <c r="J501" s="567"/>
      <c r="K501" s="491"/>
      <c r="L501" s="566"/>
      <c r="M501" s="491"/>
      <c r="N501" s="566"/>
      <c r="O501" s="491"/>
    </row>
    <row r="502">
      <c r="A502" s="469"/>
      <c r="B502" s="451"/>
      <c r="C502" s="452"/>
      <c r="D502" s="452"/>
      <c r="E502" s="452"/>
      <c r="F502" s="566"/>
      <c r="G502" s="491"/>
      <c r="H502" s="567"/>
      <c r="I502" s="491"/>
      <c r="J502" s="567"/>
      <c r="K502" s="491"/>
      <c r="L502" s="566"/>
      <c r="M502" s="491"/>
      <c r="N502" s="566"/>
      <c r="O502" s="491"/>
    </row>
    <row r="503">
      <c r="A503" s="469"/>
      <c r="B503" s="451"/>
      <c r="C503" s="452"/>
      <c r="D503" s="452"/>
      <c r="E503" s="452"/>
      <c r="F503" s="566"/>
      <c r="G503" s="491"/>
      <c r="H503" s="567"/>
      <c r="I503" s="491"/>
      <c r="J503" s="567"/>
      <c r="K503" s="491"/>
      <c r="L503" s="566"/>
      <c r="M503" s="491"/>
      <c r="N503" s="566"/>
      <c r="O503" s="491"/>
    </row>
    <row r="504">
      <c r="A504" s="469"/>
      <c r="B504" s="451"/>
      <c r="C504" s="452"/>
      <c r="D504" s="452"/>
      <c r="E504" s="452"/>
      <c r="F504" s="566"/>
      <c r="G504" s="491"/>
      <c r="H504" s="567"/>
      <c r="I504" s="491"/>
      <c r="J504" s="567"/>
      <c r="K504" s="491"/>
      <c r="L504" s="566"/>
      <c r="M504" s="491"/>
      <c r="N504" s="566"/>
      <c r="O504" s="491"/>
    </row>
    <row r="505">
      <c r="A505" s="469"/>
      <c r="B505" s="451"/>
      <c r="C505" s="452"/>
      <c r="D505" s="452"/>
      <c r="E505" s="452"/>
      <c r="F505" s="566"/>
      <c r="G505" s="491"/>
      <c r="H505" s="567"/>
      <c r="I505" s="491"/>
      <c r="J505" s="567"/>
      <c r="K505" s="491"/>
      <c r="L505" s="566"/>
      <c r="M505" s="491"/>
      <c r="N505" s="566"/>
      <c r="O505" s="491"/>
    </row>
    <row r="506">
      <c r="A506" s="469"/>
      <c r="B506" s="451"/>
      <c r="C506" s="452"/>
      <c r="D506" s="452"/>
      <c r="E506" s="452"/>
      <c r="F506" s="566"/>
      <c r="G506" s="491"/>
      <c r="H506" s="567"/>
      <c r="I506" s="491"/>
      <c r="J506" s="567"/>
      <c r="K506" s="491"/>
      <c r="L506" s="566"/>
      <c r="M506" s="491"/>
      <c r="N506" s="566"/>
      <c r="O506" s="491"/>
    </row>
    <row r="507">
      <c r="A507" s="469"/>
      <c r="B507" s="451"/>
      <c r="C507" s="452"/>
      <c r="D507" s="452"/>
      <c r="E507" s="452"/>
      <c r="F507" s="566"/>
      <c r="G507" s="491"/>
      <c r="H507" s="567"/>
      <c r="I507" s="491"/>
      <c r="J507" s="567"/>
      <c r="K507" s="491"/>
      <c r="L507" s="566"/>
      <c r="M507" s="491"/>
      <c r="N507" s="566"/>
      <c r="O507" s="491"/>
    </row>
    <row r="508">
      <c r="A508" s="469"/>
      <c r="B508" s="451"/>
      <c r="C508" s="452"/>
      <c r="D508" s="452"/>
      <c r="E508" s="452"/>
      <c r="F508" s="566"/>
      <c r="G508" s="491"/>
      <c r="H508" s="567"/>
      <c r="I508" s="491"/>
      <c r="J508" s="567"/>
      <c r="K508" s="491"/>
      <c r="L508" s="566"/>
      <c r="M508" s="491"/>
      <c r="N508" s="566"/>
      <c r="O508" s="491"/>
    </row>
    <row r="509">
      <c r="A509" s="469"/>
      <c r="B509" s="451"/>
      <c r="C509" s="452"/>
      <c r="D509" s="452"/>
      <c r="E509" s="452"/>
      <c r="F509" s="566"/>
      <c r="G509" s="491"/>
      <c r="H509" s="567"/>
      <c r="I509" s="491"/>
      <c r="J509" s="567"/>
      <c r="K509" s="491"/>
      <c r="L509" s="566"/>
      <c r="M509" s="491"/>
      <c r="N509" s="566"/>
      <c r="O509" s="491"/>
    </row>
    <row r="510">
      <c r="A510" s="469"/>
      <c r="B510" s="451"/>
      <c r="C510" s="452"/>
      <c r="D510" s="452"/>
      <c r="E510" s="452"/>
      <c r="F510" s="566"/>
      <c r="G510" s="491"/>
      <c r="H510" s="567"/>
      <c r="I510" s="491"/>
      <c r="J510" s="567"/>
      <c r="K510" s="491"/>
      <c r="L510" s="566"/>
      <c r="M510" s="491"/>
      <c r="N510" s="566"/>
      <c r="O510" s="491"/>
    </row>
    <row r="511">
      <c r="A511" s="469"/>
      <c r="B511" s="451"/>
      <c r="C511" s="452"/>
      <c r="D511" s="452"/>
      <c r="E511" s="452"/>
      <c r="F511" s="566"/>
      <c r="G511" s="491"/>
      <c r="H511" s="567"/>
      <c r="I511" s="491"/>
      <c r="J511" s="567"/>
      <c r="K511" s="491"/>
      <c r="L511" s="566"/>
      <c r="M511" s="491"/>
      <c r="N511" s="566"/>
      <c r="O511" s="491"/>
    </row>
    <row r="512">
      <c r="A512" s="469"/>
      <c r="B512" s="451"/>
      <c r="C512" s="452"/>
      <c r="D512" s="452"/>
      <c r="E512" s="452"/>
      <c r="F512" s="566"/>
      <c r="G512" s="491"/>
      <c r="H512" s="567"/>
      <c r="I512" s="491"/>
      <c r="J512" s="567"/>
      <c r="K512" s="491"/>
      <c r="L512" s="566"/>
      <c r="M512" s="491"/>
      <c r="N512" s="566"/>
      <c r="O512" s="491"/>
    </row>
    <row r="513">
      <c r="A513" s="469"/>
      <c r="B513" s="451"/>
      <c r="C513" s="452"/>
      <c r="D513" s="452"/>
      <c r="E513" s="452"/>
      <c r="F513" s="566"/>
      <c r="G513" s="491"/>
      <c r="H513" s="567"/>
      <c r="I513" s="491"/>
      <c r="J513" s="567"/>
      <c r="K513" s="491"/>
      <c r="L513" s="566"/>
      <c r="M513" s="491"/>
      <c r="N513" s="566"/>
      <c r="O513" s="491"/>
    </row>
    <row r="514">
      <c r="A514" s="469"/>
      <c r="B514" s="451"/>
      <c r="C514" s="452"/>
      <c r="D514" s="452"/>
      <c r="E514" s="452"/>
      <c r="F514" s="566"/>
      <c r="G514" s="491"/>
      <c r="H514" s="567"/>
      <c r="I514" s="491"/>
      <c r="J514" s="567"/>
      <c r="K514" s="491"/>
      <c r="L514" s="566"/>
      <c r="M514" s="491"/>
      <c r="N514" s="566"/>
      <c r="O514" s="491"/>
    </row>
    <row r="515">
      <c r="A515" s="469"/>
      <c r="B515" s="451"/>
      <c r="C515" s="452"/>
      <c r="D515" s="452"/>
      <c r="E515" s="452"/>
      <c r="F515" s="566"/>
      <c r="G515" s="491"/>
      <c r="H515" s="567"/>
      <c r="I515" s="491"/>
      <c r="J515" s="567"/>
      <c r="K515" s="491"/>
      <c r="L515" s="566"/>
      <c r="M515" s="491"/>
      <c r="N515" s="566"/>
      <c r="O515" s="491"/>
    </row>
    <row r="516">
      <c r="A516" s="469"/>
      <c r="B516" s="451"/>
      <c r="C516" s="452"/>
      <c r="D516" s="452"/>
      <c r="E516" s="452"/>
      <c r="F516" s="566"/>
      <c r="G516" s="491"/>
      <c r="H516" s="567"/>
      <c r="I516" s="491"/>
      <c r="J516" s="567"/>
      <c r="K516" s="491"/>
      <c r="L516" s="566"/>
      <c r="M516" s="491"/>
      <c r="N516" s="566"/>
      <c r="O516" s="491"/>
    </row>
    <row r="517">
      <c r="A517" s="469"/>
      <c r="B517" s="451"/>
      <c r="C517" s="452"/>
      <c r="D517" s="452"/>
      <c r="E517" s="452"/>
      <c r="F517" s="566"/>
      <c r="G517" s="491"/>
      <c r="H517" s="567"/>
      <c r="I517" s="491"/>
      <c r="J517" s="567"/>
      <c r="K517" s="491"/>
      <c r="L517" s="566"/>
      <c r="M517" s="491"/>
      <c r="N517" s="566"/>
      <c r="O517" s="491"/>
    </row>
    <row r="518">
      <c r="A518" s="469"/>
      <c r="B518" s="451"/>
      <c r="C518" s="452"/>
      <c r="D518" s="452"/>
      <c r="E518" s="452"/>
      <c r="F518" s="566"/>
      <c r="G518" s="491"/>
      <c r="H518" s="567"/>
      <c r="I518" s="491"/>
      <c r="J518" s="567"/>
      <c r="K518" s="491"/>
      <c r="L518" s="566"/>
      <c r="M518" s="491"/>
      <c r="N518" s="566"/>
      <c r="O518" s="491"/>
    </row>
    <row r="519">
      <c r="A519" s="469"/>
      <c r="B519" s="451"/>
      <c r="C519" s="452"/>
      <c r="D519" s="452"/>
      <c r="E519" s="452"/>
      <c r="F519" s="566"/>
      <c r="G519" s="491"/>
      <c r="H519" s="567"/>
      <c r="I519" s="491"/>
      <c r="J519" s="567"/>
      <c r="K519" s="491"/>
      <c r="L519" s="566"/>
      <c r="M519" s="491"/>
      <c r="N519" s="566"/>
      <c r="O519" s="491"/>
    </row>
    <row r="520">
      <c r="A520" s="469"/>
      <c r="B520" s="451"/>
      <c r="C520" s="452"/>
      <c r="D520" s="452"/>
      <c r="E520" s="452"/>
      <c r="F520" s="566"/>
      <c r="G520" s="491"/>
      <c r="H520" s="567"/>
      <c r="I520" s="491"/>
      <c r="J520" s="567"/>
      <c r="K520" s="491"/>
      <c r="L520" s="566"/>
      <c r="M520" s="491"/>
      <c r="N520" s="566"/>
      <c r="O520" s="491"/>
    </row>
    <row r="521">
      <c r="A521" s="469"/>
      <c r="B521" s="451"/>
      <c r="C521" s="452"/>
      <c r="D521" s="452"/>
      <c r="E521" s="452"/>
      <c r="F521" s="566"/>
      <c r="G521" s="491"/>
      <c r="H521" s="567"/>
      <c r="I521" s="491"/>
      <c r="J521" s="567"/>
      <c r="K521" s="491"/>
      <c r="L521" s="566"/>
      <c r="M521" s="491"/>
      <c r="N521" s="566"/>
      <c r="O521" s="491"/>
    </row>
    <row r="522">
      <c r="A522" s="469"/>
      <c r="B522" s="451"/>
      <c r="C522" s="452"/>
      <c r="D522" s="452"/>
      <c r="E522" s="452"/>
      <c r="F522" s="566"/>
      <c r="G522" s="491"/>
      <c r="H522" s="567"/>
      <c r="I522" s="491"/>
      <c r="J522" s="567"/>
      <c r="K522" s="491"/>
      <c r="L522" s="566"/>
      <c r="M522" s="491"/>
      <c r="N522" s="566"/>
      <c r="O522" s="491"/>
    </row>
    <row r="523">
      <c r="A523" s="469"/>
      <c r="B523" s="451"/>
      <c r="C523" s="452"/>
      <c r="D523" s="452"/>
      <c r="E523" s="452"/>
      <c r="F523" s="566"/>
      <c r="G523" s="491"/>
      <c r="H523" s="567"/>
      <c r="I523" s="491"/>
      <c r="J523" s="567"/>
      <c r="K523" s="491"/>
      <c r="L523" s="566"/>
      <c r="M523" s="491"/>
      <c r="N523" s="566"/>
      <c r="O523" s="491"/>
    </row>
    <row r="524">
      <c r="A524" s="469"/>
      <c r="B524" s="451"/>
      <c r="C524" s="452"/>
      <c r="D524" s="452"/>
      <c r="E524" s="452"/>
      <c r="F524" s="566"/>
      <c r="G524" s="491"/>
      <c r="H524" s="567"/>
      <c r="I524" s="491"/>
      <c r="J524" s="567"/>
      <c r="K524" s="491"/>
      <c r="L524" s="566"/>
      <c r="M524" s="491"/>
      <c r="N524" s="566"/>
      <c r="O524" s="491"/>
    </row>
    <row r="525">
      <c r="A525" s="469"/>
      <c r="B525" s="451"/>
      <c r="C525" s="452"/>
      <c r="D525" s="452"/>
      <c r="E525" s="452"/>
      <c r="F525" s="566"/>
      <c r="G525" s="491"/>
      <c r="H525" s="567"/>
      <c r="I525" s="491"/>
      <c r="J525" s="567"/>
      <c r="K525" s="491"/>
      <c r="L525" s="566"/>
      <c r="M525" s="491"/>
      <c r="N525" s="566"/>
      <c r="O525" s="491"/>
    </row>
    <row r="526">
      <c r="A526" s="469"/>
      <c r="B526" s="451"/>
      <c r="C526" s="452"/>
      <c r="D526" s="452"/>
      <c r="E526" s="452"/>
      <c r="F526" s="566"/>
      <c r="G526" s="491"/>
      <c r="H526" s="567"/>
      <c r="I526" s="491"/>
      <c r="J526" s="567"/>
      <c r="K526" s="491"/>
      <c r="L526" s="566"/>
      <c r="M526" s="491"/>
      <c r="N526" s="566"/>
      <c r="O526" s="491"/>
    </row>
    <row r="527">
      <c r="A527" s="469"/>
      <c r="B527" s="451"/>
      <c r="C527" s="452"/>
      <c r="D527" s="452"/>
      <c r="E527" s="452"/>
      <c r="F527" s="566"/>
      <c r="G527" s="491"/>
      <c r="H527" s="567"/>
      <c r="I527" s="491"/>
      <c r="J527" s="567"/>
      <c r="K527" s="491"/>
      <c r="L527" s="566"/>
      <c r="M527" s="491"/>
      <c r="N527" s="566"/>
      <c r="O527" s="491"/>
    </row>
    <row r="528">
      <c r="A528" s="469"/>
      <c r="B528" s="451"/>
      <c r="C528" s="452"/>
      <c r="D528" s="452"/>
      <c r="E528" s="452"/>
      <c r="F528" s="566"/>
      <c r="G528" s="491"/>
      <c r="H528" s="567"/>
      <c r="I528" s="491"/>
      <c r="J528" s="567"/>
      <c r="K528" s="491"/>
      <c r="L528" s="566"/>
      <c r="M528" s="491"/>
      <c r="N528" s="566"/>
      <c r="O528" s="491"/>
    </row>
    <row r="529">
      <c r="A529" s="469"/>
      <c r="B529" s="451"/>
      <c r="C529" s="452"/>
      <c r="D529" s="452"/>
      <c r="E529" s="452"/>
      <c r="F529" s="566"/>
      <c r="G529" s="491"/>
      <c r="H529" s="567"/>
      <c r="I529" s="491"/>
      <c r="J529" s="567"/>
      <c r="K529" s="491"/>
      <c r="L529" s="566"/>
      <c r="M529" s="491"/>
      <c r="N529" s="566"/>
      <c r="O529" s="491"/>
    </row>
    <row r="530">
      <c r="A530" s="469"/>
      <c r="B530" s="451"/>
      <c r="C530" s="452"/>
      <c r="D530" s="452"/>
      <c r="E530" s="452"/>
      <c r="F530" s="566"/>
      <c r="G530" s="491"/>
      <c r="H530" s="567"/>
      <c r="I530" s="491"/>
      <c r="J530" s="567"/>
      <c r="K530" s="491"/>
      <c r="L530" s="566"/>
      <c r="M530" s="491"/>
      <c r="N530" s="566"/>
      <c r="O530" s="491"/>
    </row>
    <row r="531">
      <c r="A531" s="469"/>
      <c r="B531" s="451"/>
      <c r="C531" s="452"/>
      <c r="D531" s="452"/>
      <c r="E531" s="452"/>
      <c r="F531" s="566"/>
      <c r="G531" s="491"/>
      <c r="H531" s="567"/>
      <c r="I531" s="491"/>
      <c r="J531" s="567"/>
      <c r="K531" s="491"/>
      <c r="L531" s="566"/>
      <c r="M531" s="491"/>
      <c r="N531" s="566"/>
      <c r="O531" s="491"/>
    </row>
    <row r="532">
      <c r="A532" s="469"/>
      <c r="B532" s="451"/>
      <c r="C532" s="452"/>
      <c r="D532" s="452"/>
      <c r="E532" s="452"/>
      <c r="F532" s="450"/>
      <c r="G532" s="450"/>
      <c r="H532" s="461"/>
      <c r="I532" s="450"/>
      <c r="J532" s="461"/>
      <c r="K532" s="450"/>
      <c r="L532" s="450"/>
      <c r="M532" s="450"/>
      <c r="N532" s="450"/>
      <c r="O532" s="450"/>
    </row>
    <row r="533">
      <c r="A533" s="469"/>
      <c r="B533" s="451"/>
      <c r="C533" s="452"/>
      <c r="D533" s="452"/>
      <c r="E533" s="452"/>
      <c r="F533" s="450"/>
      <c r="G533" s="450"/>
      <c r="H533" s="461"/>
      <c r="I533" s="450"/>
      <c r="J533" s="461"/>
      <c r="K533" s="450"/>
      <c r="L533" s="450"/>
      <c r="M533" s="450"/>
      <c r="N533" s="450"/>
      <c r="O533" s="450"/>
    </row>
    <row r="534">
      <c r="A534" s="469"/>
      <c r="B534" s="451"/>
      <c r="C534" s="452"/>
      <c r="D534" s="452"/>
      <c r="E534" s="452"/>
      <c r="F534" s="450"/>
      <c r="G534" s="450"/>
      <c r="H534" s="461"/>
      <c r="I534" s="450"/>
      <c r="J534" s="461"/>
      <c r="K534" s="450"/>
      <c r="L534" s="450"/>
      <c r="M534" s="450"/>
      <c r="N534" s="450"/>
      <c r="O534" s="450"/>
    </row>
    <row r="535">
      <c r="A535" s="469"/>
      <c r="B535" s="451"/>
      <c r="C535" s="452"/>
      <c r="D535" s="452"/>
      <c r="E535" s="452"/>
      <c r="F535" s="450"/>
      <c r="G535" s="450"/>
      <c r="H535" s="461"/>
      <c r="I535" s="450"/>
      <c r="J535" s="461"/>
      <c r="K535" s="450"/>
      <c r="L535" s="450"/>
      <c r="M535" s="450"/>
      <c r="N535" s="450"/>
      <c r="O535" s="450"/>
    </row>
    <row r="536">
      <c r="A536" s="469"/>
      <c r="B536" s="451"/>
      <c r="C536" s="452"/>
      <c r="D536" s="452"/>
      <c r="E536" s="452"/>
      <c r="F536" s="450"/>
      <c r="G536" s="450"/>
      <c r="H536" s="461"/>
      <c r="I536" s="450"/>
      <c r="J536" s="461"/>
      <c r="K536" s="450"/>
      <c r="L536" s="450"/>
      <c r="M536" s="450"/>
      <c r="N536" s="450"/>
      <c r="O536" s="450"/>
    </row>
    <row r="537">
      <c r="A537" s="469"/>
      <c r="B537" s="451"/>
      <c r="C537" s="452"/>
      <c r="D537" s="452"/>
      <c r="E537" s="452"/>
      <c r="F537" s="450"/>
      <c r="G537" s="450"/>
      <c r="H537" s="461"/>
      <c r="I537" s="450"/>
      <c r="J537" s="461"/>
      <c r="K537" s="450"/>
      <c r="L537" s="450"/>
      <c r="M537" s="450"/>
      <c r="N537" s="450"/>
      <c r="O537" s="450"/>
    </row>
    <row r="538">
      <c r="A538" s="469"/>
      <c r="B538" s="451"/>
      <c r="C538" s="452"/>
      <c r="D538" s="452"/>
      <c r="E538" s="452"/>
      <c r="F538" s="450"/>
      <c r="G538" s="450"/>
      <c r="H538" s="461"/>
      <c r="I538" s="450"/>
      <c r="J538" s="461"/>
      <c r="K538" s="450"/>
      <c r="L538" s="450"/>
      <c r="M538" s="450"/>
      <c r="N538" s="450"/>
      <c r="O538" s="450"/>
    </row>
    <row r="539">
      <c r="A539" s="469"/>
      <c r="B539" s="451"/>
      <c r="C539" s="452"/>
      <c r="D539" s="452"/>
      <c r="E539" s="452"/>
      <c r="F539" s="450"/>
      <c r="G539" s="450"/>
      <c r="H539" s="461"/>
      <c r="I539" s="450"/>
      <c r="J539" s="461"/>
      <c r="K539" s="450"/>
      <c r="L539" s="450"/>
      <c r="M539" s="450"/>
      <c r="N539" s="450"/>
      <c r="O539" s="450"/>
    </row>
    <row r="540">
      <c r="A540" s="469"/>
      <c r="B540" s="451"/>
      <c r="C540" s="452"/>
      <c r="D540" s="452"/>
      <c r="E540" s="452"/>
      <c r="F540" s="450"/>
      <c r="G540" s="450"/>
      <c r="H540" s="461"/>
      <c r="I540" s="450"/>
      <c r="J540" s="461"/>
      <c r="K540" s="450"/>
      <c r="L540" s="450"/>
      <c r="M540" s="450"/>
      <c r="N540" s="450"/>
      <c r="O540" s="450"/>
    </row>
    <row r="541">
      <c r="A541" s="469"/>
      <c r="B541" s="451"/>
      <c r="C541" s="452"/>
      <c r="D541" s="452"/>
      <c r="E541" s="452"/>
      <c r="F541" s="450"/>
      <c r="G541" s="450"/>
      <c r="H541" s="461"/>
      <c r="I541" s="450"/>
      <c r="J541" s="461"/>
      <c r="K541" s="450"/>
      <c r="L541" s="450"/>
      <c r="M541" s="450"/>
      <c r="N541" s="450"/>
      <c r="O541" s="450"/>
    </row>
    <row r="542">
      <c r="A542" s="469"/>
      <c r="B542" s="451"/>
      <c r="C542" s="452"/>
      <c r="D542" s="452"/>
      <c r="E542" s="452"/>
      <c r="F542" s="450"/>
      <c r="G542" s="450"/>
      <c r="H542" s="461"/>
      <c r="I542" s="450"/>
      <c r="J542" s="461"/>
      <c r="K542" s="450"/>
      <c r="L542" s="450"/>
      <c r="M542" s="450"/>
      <c r="N542" s="450"/>
      <c r="O542" s="450"/>
    </row>
    <row r="543">
      <c r="A543" s="469"/>
      <c r="B543" s="451"/>
      <c r="C543" s="452"/>
      <c r="D543" s="452"/>
      <c r="E543" s="452"/>
      <c r="F543" s="450"/>
      <c r="G543" s="450"/>
      <c r="H543" s="461"/>
      <c r="I543" s="450"/>
      <c r="J543" s="461"/>
      <c r="K543" s="450"/>
      <c r="L543" s="450"/>
      <c r="M543" s="450"/>
      <c r="N543" s="450"/>
      <c r="O543" s="450"/>
    </row>
    <row r="544">
      <c r="A544" s="469"/>
      <c r="B544" s="451"/>
      <c r="C544" s="452"/>
      <c r="D544" s="452"/>
      <c r="E544" s="452"/>
      <c r="F544" s="450"/>
      <c r="G544" s="450"/>
      <c r="H544" s="461"/>
      <c r="I544" s="450"/>
      <c r="J544" s="461"/>
      <c r="K544" s="450"/>
      <c r="L544" s="450"/>
      <c r="M544" s="450"/>
      <c r="N544" s="450"/>
      <c r="O544" s="450"/>
    </row>
    <row r="545">
      <c r="A545" s="469"/>
      <c r="B545" s="451"/>
      <c r="C545" s="452"/>
      <c r="D545" s="452"/>
      <c r="E545" s="452"/>
      <c r="F545" s="450"/>
      <c r="G545" s="450"/>
      <c r="H545" s="461"/>
      <c r="I545" s="450"/>
      <c r="J545" s="461"/>
      <c r="K545" s="450"/>
      <c r="L545" s="450"/>
      <c r="M545" s="450"/>
      <c r="N545" s="450"/>
      <c r="O545" s="450"/>
    </row>
    <row r="546">
      <c r="A546" s="469"/>
      <c r="B546" s="451"/>
      <c r="C546" s="452"/>
      <c r="D546" s="452"/>
      <c r="E546" s="452"/>
      <c r="F546" s="450"/>
      <c r="G546" s="450"/>
      <c r="H546" s="461"/>
      <c r="I546" s="450"/>
      <c r="J546" s="461"/>
      <c r="K546" s="450"/>
      <c r="L546" s="450"/>
      <c r="M546" s="450"/>
      <c r="N546" s="450"/>
      <c r="O546" s="450"/>
    </row>
    <row r="547">
      <c r="A547" s="469"/>
      <c r="B547" s="451"/>
      <c r="C547" s="452"/>
      <c r="D547" s="452"/>
      <c r="E547" s="452"/>
      <c r="F547" s="450"/>
      <c r="G547" s="450"/>
      <c r="H547" s="461"/>
      <c r="I547" s="450"/>
      <c r="J547" s="461"/>
      <c r="K547" s="450"/>
      <c r="L547" s="450"/>
      <c r="M547" s="450"/>
      <c r="N547" s="450"/>
      <c r="O547" s="450"/>
    </row>
    <row r="548">
      <c r="A548" s="469"/>
      <c r="B548" s="451"/>
      <c r="C548" s="452"/>
      <c r="D548" s="452"/>
      <c r="E548" s="452"/>
      <c r="F548" s="450"/>
      <c r="G548" s="450"/>
      <c r="H548" s="461"/>
      <c r="I548" s="450"/>
      <c r="J548" s="461"/>
      <c r="K548" s="450"/>
      <c r="L548" s="450"/>
      <c r="M548" s="450"/>
      <c r="N548" s="450"/>
      <c r="O548" s="450"/>
    </row>
    <row r="549">
      <c r="A549" s="469"/>
      <c r="B549" s="451"/>
      <c r="C549" s="452"/>
      <c r="D549" s="452"/>
      <c r="E549" s="452"/>
      <c r="F549" s="450"/>
      <c r="G549" s="450"/>
      <c r="H549" s="461"/>
      <c r="I549" s="450"/>
      <c r="J549" s="461"/>
      <c r="K549" s="450"/>
      <c r="L549" s="450"/>
      <c r="M549" s="450"/>
      <c r="N549" s="450"/>
      <c r="O549" s="450"/>
    </row>
    <row r="550">
      <c r="A550" s="469"/>
      <c r="B550" s="451"/>
      <c r="C550" s="452"/>
      <c r="D550" s="452"/>
      <c r="E550" s="452"/>
      <c r="F550" s="450"/>
      <c r="G550" s="450"/>
      <c r="H550" s="461"/>
      <c r="I550" s="450"/>
      <c r="J550" s="461"/>
      <c r="K550" s="450"/>
      <c r="L550" s="450"/>
      <c r="M550" s="450"/>
      <c r="N550" s="450"/>
      <c r="O550" s="450"/>
    </row>
    <row r="551">
      <c r="A551" s="469"/>
      <c r="B551" s="451"/>
      <c r="C551" s="452"/>
      <c r="D551" s="452"/>
      <c r="E551" s="452"/>
      <c r="F551" s="450"/>
      <c r="G551" s="450"/>
      <c r="H551" s="461"/>
      <c r="I551" s="450"/>
      <c r="J551" s="461"/>
      <c r="K551" s="450"/>
      <c r="L551" s="450"/>
      <c r="M551" s="450"/>
      <c r="N551" s="450"/>
      <c r="O551" s="450"/>
    </row>
    <row r="552">
      <c r="A552" s="469"/>
      <c r="B552" s="451"/>
      <c r="C552" s="452"/>
      <c r="D552" s="452"/>
      <c r="E552" s="452"/>
      <c r="F552" s="450"/>
      <c r="G552" s="450"/>
      <c r="H552" s="461"/>
      <c r="I552" s="450"/>
      <c r="J552" s="461"/>
      <c r="K552" s="450"/>
      <c r="L552" s="450"/>
      <c r="M552" s="450"/>
      <c r="N552" s="450"/>
      <c r="O552" s="450"/>
    </row>
    <row r="553">
      <c r="A553" s="469"/>
      <c r="B553" s="451"/>
      <c r="C553" s="452"/>
      <c r="D553" s="452"/>
      <c r="E553" s="452"/>
      <c r="F553" s="450"/>
      <c r="G553" s="450"/>
      <c r="H553" s="461"/>
      <c r="I553" s="450"/>
      <c r="J553" s="461"/>
      <c r="K553" s="450"/>
      <c r="L553" s="450"/>
      <c r="M553" s="450"/>
      <c r="N553" s="450"/>
      <c r="O553" s="450"/>
    </row>
    <row r="554">
      <c r="A554" s="469"/>
      <c r="B554" s="451"/>
      <c r="C554" s="452"/>
      <c r="D554" s="452"/>
      <c r="E554" s="452"/>
      <c r="F554" s="450"/>
      <c r="G554" s="450"/>
      <c r="H554" s="461"/>
      <c r="I554" s="450"/>
      <c r="J554" s="461"/>
      <c r="K554" s="450"/>
      <c r="L554" s="450"/>
      <c r="M554" s="450"/>
      <c r="N554" s="450"/>
      <c r="O554" s="450"/>
    </row>
    <row r="555">
      <c r="A555" s="469"/>
      <c r="B555" s="451"/>
      <c r="C555" s="452"/>
      <c r="D555" s="452"/>
      <c r="E555" s="452"/>
      <c r="F555" s="450"/>
      <c r="G555" s="450"/>
      <c r="H555" s="461"/>
      <c r="I555" s="450"/>
      <c r="J555" s="461"/>
      <c r="K555" s="450"/>
      <c r="L555" s="450"/>
      <c r="M555" s="450"/>
      <c r="N555" s="450"/>
      <c r="O555" s="450"/>
    </row>
    <row r="556">
      <c r="A556" s="469"/>
      <c r="B556" s="451"/>
      <c r="C556" s="452"/>
      <c r="D556" s="452"/>
      <c r="E556" s="452"/>
      <c r="F556" s="450"/>
      <c r="G556" s="450"/>
      <c r="H556" s="461"/>
      <c r="I556" s="450"/>
      <c r="J556" s="461"/>
      <c r="K556" s="450"/>
      <c r="L556" s="450"/>
      <c r="M556" s="450"/>
      <c r="N556" s="450"/>
      <c r="O556" s="450"/>
    </row>
    <row r="557">
      <c r="A557" s="469"/>
      <c r="B557" s="451"/>
      <c r="C557" s="452"/>
      <c r="D557" s="452"/>
      <c r="E557" s="452"/>
      <c r="F557" s="450"/>
      <c r="G557" s="450"/>
      <c r="H557" s="461"/>
      <c r="I557" s="450"/>
      <c r="J557" s="461"/>
      <c r="K557" s="450"/>
      <c r="L557" s="450"/>
      <c r="M557" s="450"/>
      <c r="N557" s="450"/>
      <c r="O557" s="450"/>
    </row>
    <row r="558">
      <c r="A558" s="469"/>
      <c r="B558" s="451"/>
      <c r="C558" s="452"/>
      <c r="D558" s="452"/>
      <c r="E558" s="452"/>
      <c r="F558" s="450"/>
      <c r="G558" s="450"/>
      <c r="H558" s="461"/>
      <c r="I558" s="450"/>
      <c r="J558" s="461"/>
      <c r="K558" s="450"/>
      <c r="L558" s="450"/>
      <c r="M558" s="450"/>
      <c r="N558" s="450"/>
      <c r="O558" s="450"/>
    </row>
    <row r="559">
      <c r="A559" s="469"/>
      <c r="B559" s="451"/>
      <c r="C559" s="452"/>
      <c r="D559" s="452"/>
      <c r="E559" s="452"/>
      <c r="F559" s="450"/>
      <c r="G559" s="450"/>
      <c r="H559" s="461"/>
      <c r="I559" s="450"/>
      <c r="J559" s="461"/>
      <c r="K559" s="450"/>
      <c r="L559" s="450"/>
      <c r="M559" s="450"/>
      <c r="N559" s="450"/>
      <c r="O559" s="450"/>
    </row>
    <row r="560">
      <c r="A560" s="469"/>
      <c r="B560" s="451"/>
      <c r="C560" s="452"/>
      <c r="D560" s="452"/>
      <c r="E560" s="452"/>
      <c r="F560" s="450"/>
      <c r="G560" s="450"/>
      <c r="H560" s="461"/>
      <c r="I560" s="450"/>
      <c r="J560" s="461"/>
      <c r="K560" s="450"/>
      <c r="L560" s="450"/>
      <c r="M560" s="450"/>
      <c r="N560" s="450"/>
      <c r="O560" s="450"/>
    </row>
    <row r="561">
      <c r="A561" s="469"/>
      <c r="B561" s="451"/>
      <c r="C561" s="452"/>
      <c r="D561" s="452"/>
      <c r="E561" s="452"/>
      <c r="F561" s="450"/>
      <c r="G561" s="450"/>
      <c r="H561" s="461"/>
      <c r="I561" s="450"/>
      <c r="J561" s="461"/>
      <c r="K561" s="450"/>
      <c r="L561" s="450"/>
      <c r="M561" s="450"/>
      <c r="N561" s="450"/>
      <c r="O561" s="450"/>
    </row>
    <row r="562">
      <c r="A562" s="469"/>
      <c r="B562" s="451"/>
      <c r="C562" s="452"/>
      <c r="D562" s="452"/>
      <c r="E562" s="452"/>
      <c r="F562" s="450"/>
      <c r="G562" s="450"/>
      <c r="H562" s="461"/>
      <c r="I562" s="450"/>
      <c r="J562" s="461"/>
      <c r="K562" s="450"/>
      <c r="L562" s="450"/>
      <c r="M562" s="450"/>
      <c r="N562" s="450"/>
      <c r="O562" s="450"/>
    </row>
    <row r="563">
      <c r="A563" s="469"/>
      <c r="B563" s="451"/>
      <c r="C563" s="452"/>
      <c r="D563" s="452"/>
      <c r="E563" s="452"/>
      <c r="F563" s="450"/>
      <c r="G563" s="450"/>
      <c r="H563" s="461"/>
      <c r="I563" s="450"/>
      <c r="J563" s="461"/>
      <c r="K563" s="450"/>
      <c r="L563" s="450"/>
      <c r="M563" s="450"/>
      <c r="N563" s="450"/>
      <c r="O563" s="450"/>
    </row>
    <row r="564">
      <c r="A564" s="469"/>
      <c r="B564" s="451"/>
      <c r="C564" s="452"/>
      <c r="D564" s="452"/>
      <c r="E564" s="452"/>
      <c r="F564" s="450"/>
      <c r="G564" s="450"/>
      <c r="H564" s="461"/>
      <c r="I564" s="450"/>
      <c r="J564" s="461"/>
      <c r="K564" s="450"/>
      <c r="L564" s="450"/>
      <c r="M564" s="450"/>
      <c r="N564" s="450"/>
      <c r="O564" s="450"/>
    </row>
    <row r="565">
      <c r="A565" s="469"/>
      <c r="B565" s="451"/>
      <c r="C565" s="452"/>
      <c r="D565" s="452"/>
      <c r="E565" s="452"/>
      <c r="F565" s="450"/>
      <c r="G565" s="450"/>
      <c r="H565" s="461"/>
      <c r="I565" s="450"/>
      <c r="J565" s="461"/>
      <c r="K565" s="450"/>
      <c r="L565" s="450"/>
      <c r="M565" s="450"/>
      <c r="N565" s="450"/>
      <c r="O565" s="450"/>
    </row>
    <row r="566">
      <c r="A566" s="469"/>
      <c r="B566" s="451"/>
      <c r="C566" s="452"/>
      <c r="D566" s="452"/>
      <c r="E566" s="452"/>
      <c r="F566" s="450"/>
      <c r="G566" s="450"/>
      <c r="H566" s="461"/>
      <c r="I566" s="450"/>
      <c r="J566" s="461"/>
      <c r="K566" s="450"/>
      <c r="L566" s="450"/>
      <c r="M566" s="450"/>
      <c r="N566" s="450"/>
      <c r="O566" s="450"/>
    </row>
    <row r="567">
      <c r="A567" s="469"/>
      <c r="B567" s="451"/>
      <c r="C567" s="452"/>
      <c r="D567" s="452"/>
      <c r="E567" s="452"/>
      <c r="F567" s="450"/>
      <c r="G567" s="450"/>
      <c r="H567" s="461"/>
      <c r="I567" s="450"/>
      <c r="J567" s="461"/>
      <c r="K567" s="450"/>
      <c r="L567" s="450"/>
      <c r="M567" s="450"/>
      <c r="N567" s="450"/>
      <c r="O567" s="450"/>
    </row>
    <row r="568">
      <c r="A568" s="469"/>
      <c r="B568" s="451"/>
      <c r="C568" s="452"/>
      <c r="D568" s="452"/>
      <c r="E568" s="452"/>
      <c r="F568" s="450"/>
      <c r="G568" s="450"/>
      <c r="H568" s="461"/>
      <c r="I568" s="450"/>
      <c r="J568" s="461"/>
      <c r="K568" s="450"/>
      <c r="L568" s="450"/>
      <c r="M568" s="450"/>
      <c r="N568" s="450"/>
      <c r="O568" s="450"/>
    </row>
    <row r="569">
      <c r="A569" s="469"/>
      <c r="B569" s="451"/>
      <c r="C569" s="452"/>
      <c r="D569" s="452"/>
      <c r="E569" s="452"/>
      <c r="F569" s="450"/>
      <c r="G569" s="450"/>
      <c r="H569" s="461"/>
      <c r="I569" s="450"/>
      <c r="J569" s="461"/>
      <c r="K569" s="450"/>
      <c r="L569" s="450"/>
      <c r="M569" s="450"/>
      <c r="N569" s="450"/>
      <c r="O569" s="450"/>
    </row>
    <row r="570">
      <c r="A570" s="469"/>
      <c r="B570" s="451"/>
      <c r="C570" s="452"/>
      <c r="D570" s="452"/>
      <c r="E570" s="452"/>
      <c r="F570" s="450"/>
      <c r="G570" s="450"/>
      <c r="H570" s="461"/>
      <c r="I570" s="450"/>
      <c r="J570" s="461"/>
      <c r="K570" s="450"/>
      <c r="L570" s="450"/>
      <c r="M570" s="450"/>
      <c r="N570" s="450"/>
      <c r="O570" s="450"/>
    </row>
    <row r="571">
      <c r="A571" s="469"/>
      <c r="B571" s="451"/>
      <c r="C571" s="452"/>
      <c r="D571" s="452"/>
      <c r="E571" s="452"/>
      <c r="F571" s="450"/>
      <c r="G571" s="450"/>
      <c r="H571" s="461"/>
      <c r="I571" s="450"/>
      <c r="J571" s="461"/>
      <c r="K571" s="450"/>
      <c r="L571" s="450"/>
      <c r="M571" s="450"/>
      <c r="N571" s="450"/>
      <c r="O571" s="450"/>
    </row>
    <row r="572">
      <c r="A572" s="469"/>
      <c r="B572" s="451"/>
      <c r="C572" s="452"/>
      <c r="D572" s="452"/>
      <c r="E572" s="452"/>
      <c r="F572" s="450"/>
      <c r="G572" s="450"/>
      <c r="H572" s="461"/>
      <c r="I572" s="450"/>
      <c r="J572" s="461"/>
      <c r="K572" s="450"/>
      <c r="L572" s="450"/>
      <c r="M572" s="450"/>
      <c r="N572" s="450"/>
      <c r="O572" s="450"/>
    </row>
    <row r="573">
      <c r="A573" s="469"/>
      <c r="B573" s="451"/>
      <c r="C573" s="452"/>
      <c r="D573" s="452"/>
      <c r="E573" s="452"/>
      <c r="F573" s="450"/>
      <c r="G573" s="450"/>
      <c r="H573" s="461"/>
      <c r="I573" s="450"/>
      <c r="J573" s="461"/>
      <c r="K573" s="450"/>
      <c r="L573" s="450"/>
      <c r="M573" s="450"/>
      <c r="N573" s="450"/>
      <c r="O573" s="450"/>
    </row>
    <row r="574">
      <c r="A574" s="469"/>
      <c r="B574" s="451"/>
      <c r="C574" s="452"/>
      <c r="D574" s="452"/>
      <c r="E574" s="452"/>
      <c r="F574" s="450"/>
      <c r="G574" s="450"/>
      <c r="H574" s="461"/>
      <c r="I574" s="450"/>
      <c r="J574" s="461"/>
      <c r="K574" s="450"/>
      <c r="L574" s="450"/>
      <c r="M574" s="450"/>
      <c r="N574" s="450"/>
      <c r="O574" s="450"/>
    </row>
    <row r="575">
      <c r="A575" s="469"/>
      <c r="B575" s="451"/>
      <c r="C575" s="452"/>
      <c r="D575" s="452"/>
      <c r="E575" s="452"/>
      <c r="F575" s="450"/>
      <c r="G575" s="450"/>
      <c r="H575" s="461"/>
      <c r="I575" s="450"/>
      <c r="J575" s="461"/>
      <c r="K575" s="450"/>
      <c r="L575" s="450"/>
      <c r="M575" s="450"/>
      <c r="N575" s="450"/>
      <c r="O575" s="450"/>
    </row>
    <row r="576">
      <c r="A576" s="469"/>
      <c r="B576" s="451"/>
      <c r="C576" s="452"/>
      <c r="D576" s="452"/>
      <c r="E576" s="452"/>
      <c r="F576" s="450"/>
      <c r="G576" s="450"/>
      <c r="H576" s="461"/>
      <c r="I576" s="450"/>
      <c r="J576" s="461"/>
      <c r="K576" s="450"/>
      <c r="L576" s="450"/>
      <c r="M576" s="450"/>
      <c r="N576" s="450"/>
      <c r="O576" s="450"/>
    </row>
    <row r="577">
      <c r="A577" s="469"/>
      <c r="B577" s="451"/>
      <c r="C577" s="452"/>
      <c r="D577" s="452"/>
      <c r="E577" s="452"/>
      <c r="F577" s="450"/>
      <c r="G577" s="450"/>
      <c r="H577" s="461"/>
      <c r="I577" s="450"/>
      <c r="J577" s="461"/>
      <c r="K577" s="450"/>
      <c r="L577" s="450"/>
      <c r="M577" s="450"/>
      <c r="N577" s="450"/>
      <c r="O577" s="450"/>
    </row>
    <row r="578">
      <c r="A578" s="469"/>
      <c r="B578" s="451"/>
      <c r="C578" s="452"/>
      <c r="D578" s="452"/>
      <c r="E578" s="452"/>
      <c r="F578" s="450"/>
      <c r="G578" s="450"/>
      <c r="H578" s="461"/>
      <c r="I578" s="450"/>
      <c r="J578" s="461"/>
      <c r="K578" s="450"/>
      <c r="L578" s="450"/>
      <c r="M578" s="450"/>
      <c r="N578" s="450"/>
      <c r="O578" s="450"/>
    </row>
    <row r="579">
      <c r="A579" s="469"/>
      <c r="B579" s="451"/>
      <c r="C579" s="452"/>
      <c r="D579" s="452"/>
      <c r="E579" s="452"/>
      <c r="F579" s="450"/>
      <c r="G579" s="450"/>
      <c r="H579" s="461"/>
      <c r="I579" s="450"/>
      <c r="J579" s="461"/>
      <c r="K579" s="450"/>
      <c r="L579" s="450"/>
      <c r="M579" s="450"/>
      <c r="N579" s="450"/>
      <c r="O579" s="450"/>
    </row>
    <row r="580">
      <c r="A580" s="469"/>
      <c r="B580" s="451"/>
      <c r="C580" s="452"/>
      <c r="D580" s="452"/>
      <c r="E580" s="452"/>
      <c r="F580" s="450"/>
      <c r="G580" s="450"/>
      <c r="H580" s="461"/>
      <c r="I580" s="450"/>
      <c r="J580" s="461"/>
      <c r="K580" s="450"/>
      <c r="L580" s="450"/>
      <c r="M580" s="450"/>
      <c r="N580" s="450"/>
      <c r="O580" s="450"/>
    </row>
    <row r="581">
      <c r="A581" s="469"/>
      <c r="B581" s="451"/>
      <c r="C581" s="452"/>
      <c r="D581" s="452"/>
      <c r="E581" s="452"/>
      <c r="F581" s="450"/>
      <c r="G581" s="450"/>
      <c r="H581" s="461"/>
      <c r="I581" s="450"/>
      <c r="J581" s="461"/>
      <c r="K581" s="450"/>
      <c r="L581" s="450"/>
      <c r="M581" s="450"/>
      <c r="N581" s="450"/>
      <c r="O581" s="450"/>
    </row>
    <row r="582">
      <c r="A582" s="469"/>
      <c r="B582" s="451"/>
      <c r="C582" s="452"/>
      <c r="D582" s="452"/>
      <c r="E582" s="452"/>
      <c r="F582" s="450"/>
      <c r="G582" s="450"/>
      <c r="H582" s="461"/>
      <c r="I582" s="450"/>
      <c r="J582" s="461"/>
      <c r="K582" s="450"/>
      <c r="L582" s="450"/>
      <c r="M582" s="450"/>
      <c r="N582" s="450"/>
      <c r="O582" s="450"/>
    </row>
    <row r="583">
      <c r="A583" s="469"/>
      <c r="B583" s="451"/>
      <c r="C583" s="452"/>
      <c r="D583" s="452"/>
      <c r="E583" s="452"/>
      <c r="F583" s="450"/>
      <c r="G583" s="450"/>
      <c r="H583" s="461"/>
      <c r="I583" s="450"/>
      <c r="J583" s="461"/>
      <c r="K583" s="450"/>
      <c r="L583" s="450"/>
      <c r="M583" s="450"/>
      <c r="N583" s="450"/>
      <c r="O583" s="450"/>
    </row>
    <row r="584">
      <c r="A584" s="469"/>
      <c r="B584" s="451"/>
      <c r="C584" s="452"/>
      <c r="D584" s="452"/>
      <c r="E584" s="452"/>
      <c r="F584" s="450"/>
      <c r="G584" s="450"/>
      <c r="H584" s="461"/>
      <c r="I584" s="450"/>
      <c r="J584" s="461"/>
      <c r="K584" s="450"/>
      <c r="L584" s="450"/>
      <c r="M584" s="450"/>
      <c r="N584" s="450"/>
      <c r="O584" s="450"/>
    </row>
    <row r="585">
      <c r="A585" s="469"/>
      <c r="B585" s="451"/>
      <c r="C585" s="452"/>
      <c r="D585" s="452"/>
      <c r="E585" s="452"/>
      <c r="F585" s="450"/>
      <c r="G585" s="450"/>
      <c r="H585" s="461"/>
      <c r="I585" s="450"/>
      <c r="J585" s="461"/>
      <c r="K585" s="450"/>
      <c r="L585" s="450"/>
      <c r="M585" s="450"/>
      <c r="N585" s="450"/>
      <c r="O585" s="450"/>
    </row>
    <row r="586">
      <c r="A586" s="469"/>
      <c r="B586" s="451"/>
      <c r="C586" s="452"/>
      <c r="D586" s="452"/>
      <c r="E586" s="452"/>
      <c r="F586" s="450"/>
      <c r="G586" s="450"/>
      <c r="H586" s="461"/>
      <c r="I586" s="450"/>
      <c r="J586" s="461"/>
      <c r="K586" s="450"/>
      <c r="L586" s="450"/>
      <c r="M586" s="450"/>
      <c r="N586" s="450"/>
      <c r="O586" s="450"/>
    </row>
    <row r="587">
      <c r="A587" s="469"/>
      <c r="B587" s="451"/>
      <c r="C587" s="452"/>
      <c r="D587" s="452"/>
      <c r="E587" s="452"/>
      <c r="F587" s="450"/>
      <c r="G587" s="450"/>
      <c r="H587" s="461"/>
      <c r="I587" s="450"/>
      <c r="J587" s="461"/>
      <c r="K587" s="450"/>
      <c r="L587" s="450"/>
      <c r="M587" s="450"/>
      <c r="N587" s="450"/>
      <c r="O587" s="450"/>
    </row>
    <row r="588">
      <c r="A588" s="469"/>
      <c r="B588" s="451"/>
      <c r="C588" s="452"/>
      <c r="D588" s="452"/>
      <c r="E588" s="452"/>
      <c r="F588" s="450"/>
      <c r="G588" s="450"/>
      <c r="H588" s="461"/>
      <c r="I588" s="450"/>
      <c r="J588" s="461"/>
      <c r="K588" s="450"/>
      <c r="L588" s="450"/>
      <c r="M588" s="450"/>
      <c r="N588" s="450"/>
      <c r="O588" s="450"/>
    </row>
    <row r="589">
      <c r="A589" s="469"/>
      <c r="B589" s="451"/>
      <c r="C589" s="452"/>
      <c r="D589" s="452"/>
      <c r="E589" s="452"/>
      <c r="F589" s="450"/>
      <c r="G589" s="450"/>
      <c r="H589" s="461"/>
      <c r="I589" s="450"/>
      <c r="J589" s="461"/>
      <c r="K589" s="450"/>
      <c r="L589" s="450"/>
      <c r="M589" s="450"/>
      <c r="N589" s="450"/>
      <c r="O589" s="450"/>
    </row>
    <row r="590">
      <c r="A590" s="469"/>
      <c r="B590" s="451"/>
      <c r="C590" s="452"/>
      <c r="D590" s="452"/>
      <c r="E590" s="452"/>
      <c r="F590" s="450"/>
      <c r="G590" s="450"/>
      <c r="H590" s="461"/>
      <c r="I590" s="450"/>
      <c r="J590" s="461"/>
      <c r="K590" s="450"/>
      <c r="L590" s="450"/>
      <c r="M590" s="450"/>
      <c r="N590" s="450"/>
      <c r="O590" s="450"/>
    </row>
    <row r="591">
      <c r="A591" s="469"/>
      <c r="B591" s="451"/>
      <c r="C591" s="452"/>
      <c r="D591" s="452"/>
      <c r="E591" s="452"/>
      <c r="F591" s="450"/>
      <c r="G591" s="450"/>
      <c r="H591" s="461"/>
      <c r="I591" s="450"/>
      <c r="J591" s="461"/>
      <c r="K591" s="450"/>
      <c r="L591" s="450"/>
      <c r="M591" s="450"/>
      <c r="N591" s="450"/>
      <c r="O591" s="450"/>
    </row>
    <row r="592">
      <c r="A592" s="469"/>
      <c r="B592" s="451"/>
      <c r="C592" s="452"/>
      <c r="D592" s="452"/>
      <c r="E592" s="452"/>
      <c r="F592" s="450"/>
      <c r="G592" s="450"/>
      <c r="H592" s="461"/>
      <c r="I592" s="450"/>
      <c r="J592" s="461"/>
      <c r="K592" s="450"/>
      <c r="L592" s="450"/>
      <c r="M592" s="450"/>
      <c r="N592" s="450"/>
      <c r="O592" s="450"/>
    </row>
    <row r="593">
      <c r="A593" s="469"/>
      <c r="B593" s="451"/>
      <c r="C593" s="452"/>
      <c r="D593" s="452"/>
      <c r="E593" s="452"/>
      <c r="F593" s="450"/>
      <c r="G593" s="450"/>
      <c r="H593" s="461"/>
      <c r="I593" s="450"/>
      <c r="J593" s="461"/>
      <c r="K593" s="450"/>
      <c r="L593" s="450"/>
      <c r="M593" s="450"/>
      <c r="N593" s="450"/>
      <c r="O593" s="450"/>
    </row>
    <row r="594">
      <c r="A594" s="469"/>
      <c r="B594" s="451"/>
      <c r="C594" s="452"/>
      <c r="D594" s="452"/>
      <c r="E594" s="452"/>
      <c r="F594" s="450"/>
      <c r="G594" s="450"/>
      <c r="H594" s="461"/>
      <c r="I594" s="450"/>
      <c r="J594" s="461"/>
      <c r="K594" s="450"/>
      <c r="L594" s="450"/>
      <c r="M594" s="450"/>
      <c r="N594" s="450"/>
      <c r="O594" s="450"/>
    </row>
    <row r="595">
      <c r="A595" s="469"/>
      <c r="B595" s="451"/>
      <c r="C595" s="452"/>
      <c r="D595" s="452"/>
      <c r="E595" s="452"/>
      <c r="F595" s="450"/>
      <c r="G595" s="450"/>
      <c r="H595" s="461"/>
      <c r="I595" s="450"/>
      <c r="J595" s="461"/>
      <c r="K595" s="450"/>
      <c r="L595" s="450"/>
      <c r="M595" s="450"/>
      <c r="N595" s="450"/>
      <c r="O595" s="450"/>
    </row>
    <row r="596">
      <c r="A596" s="469"/>
      <c r="B596" s="451"/>
      <c r="C596" s="452"/>
      <c r="D596" s="452"/>
      <c r="E596" s="452"/>
      <c r="F596" s="450"/>
      <c r="G596" s="450"/>
      <c r="H596" s="461"/>
      <c r="I596" s="450"/>
      <c r="J596" s="461"/>
      <c r="K596" s="450"/>
      <c r="L596" s="450"/>
      <c r="M596" s="450"/>
      <c r="N596" s="450"/>
      <c r="O596" s="450"/>
    </row>
    <row r="597">
      <c r="A597" s="469"/>
      <c r="B597" s="451"/>
      <c r="C597" s="452"/>
      <c r="D597" s="452"/>
      <c r="E597" s="452"/>
      <c r="F597" s="450"/>
      <c r="G597" s="450"/>
      <c r="H597" s="461"/>
      <c r="I597" s="450"/>
      <c r="J597" s="461"/>
      <c r="K597" s="450"/>
      <c r="L597" s="450"/>
      <c r="M597" s="450"/>
      <c r="N597" s="450"/>
      <c r="O597" s="450"/>
    </row>
    <row r="598">
      <c r="A598" s="469"/>
      <c r="B598" s="451"/>
      <c r="C598" s="452"/>
      <c r="D598" s="452"/>
      <c r="E598" s="452"/>
      <c r="F598" s="450"/>
      <c r="G598" s="450"/>
      <c r="H598" s="461"/>
      <c r="I598" s="450"/>
      <c r="J598" s="461"/>
      <c r="K598" s="450"/>
      <c r="L598" s="450"/>
      <c r="M598" s="450"/>
      <c r="N598" s="450"/>
      <c r="O598" s="450"/>
    </row>
    <row r="599">
      <c r="A599" s="469"/>
      <c r="B599" s="451"/>
      <c r="C599" s="452"/>
      <c r="D599" s="452"/>
      <c r="E599" s="452"/>
      <c r="F599" s="450"/>
      <c r="G599" s="450"/>
      <c r="H599" s="461"/>
      <c r="I599" s="450"/>
      <c r="J599" s="461"/>
      <c r="K599" s="450"/>
      <c r="L599" s="450"/>
      <c r="M599" s="450"/>
      <c r="N599" s="450"/>
      <c r="O599" s="450"/>
    </row>
    <row r="600">
      <c r="A600" s="469"/>
      <c r="B600" s="451"/>
      <c r="C600" s="452"/>
      <c r="D600" s="452"/>
      <c r="E600" s="452"/>
      <c r="F600" s="450"/>
      <c r="G600" s="450"/>
      <c r="H600" s="461"/>
      <c r="I600" s="450"/>
      <c r="J600" s="461"/>
      <c r="K600" s="450"/>
      <c r="L600" s="450"/>
      <c r="M600" s="450"/>
      <c r="N600" s="450"/>
      <c r="O600" s="450"/>
    </row>
    <row r="601">
      <c r="A601" s="469"/>
      <c r="B601" s="451"/>
      <c r="C601" s="452"/>
      <c r="D601" s="452"/>
      <c r="E601" s="452"/>
      <c r="F601" s="450"/>
      <c r="G601" s="450"/>
      <c r="H601" s="461"/>
      <c r="I601" s="450"/>
      <c r="J601" s="461"/>
      <c r="K601" s="450"/>
      <c r="L601" s="450"/>
      <c r="M601" s="450"/>
      <c r="N601" s="450"/>
      <c r="O601" s="450"/>
    </row>
    <row r="602">
      <c r="A602" s="469"/>
      <c r="B602" s="451"/>
      <c r="C602" s="452"/>
      <c r="D602" s="452"/>
      <c r="E602" s="452"/>
      <c r="F602" s="450"/>
      <c r="G602" s="450"/>
      <c r="H602" s="461"/>
      <c r="I602" s="450"/>
      <c r="J602" s="461"/>
      <c r="K602" s="450"/>
      <c r="L602" s="450"/>
      <c r="M602" s="450"/>
      <c r="N602" s="450"/>
      <c r="O602" s="450"/>
    </row>
    <row r="603">
      <c r="A603" s="469"/>
      <c r="B603" s="451"/>
      <c r="C603" s="452"/>
      <c r="D603" s="452"/>
      <c r="E603" s="452"/>
      <c r="F603" s="450"/>
      <c r="G603" s="450"/>
      <c r="H603" s="461"/>
      <c r="I603" s="450"/>
      <c r="J603" s="461"/>
      <c r="K603" s="450"/>
      <c r="L603" s="450"/>
      <c r="M603" s="450"/>
      <c r="N603" s="450"/>
      <c r="O603" s="450"/>
    </row>
    <row r="604">
      <c r="A604" s="469"/>
      <c r="B604" s="451"/>
      <c r="C604" s="452"/>
      <c r="D604" s="452"/>
      <c r="E604" s="452"/>
      <c r="F604" s="450"/>
      <c r="G604" s="450"/>
      <c r="H604" s="461"/>
      <c r="I604" s="450"/>
      <c r="J604" s="461"/>
      <c r="K604" s="450"/>
      <c r="L604" s="450"/>
      <c r="M604" s="450"/>
      <c r="N604" s="450"/>
      <c r="O604" s="450"/>
    </row>
    <row r="605">
      <c r="A605" s="469"/>
      <c r="B605" s="451"/>
      <c r="C605" s="452"/>
      <c r="D605" s="452"/>
      <c r="E605" s="452"/>
      <c r="F605" s="450"/>
      <c r="G605" s="450"/>
      <c r="H605" s="461"/>
      <c r="I605" s="450"/>
      <c r="J605" s="461"/>
      <c r="K605" s="450"/>
      <c r="L605" s="450"/>
      <c r="M605" s="450"/>
      <c r="N605" s="450"/>
      <c r="O605" s="450"/>
    </row>
    <row r="606">
      <c r="A606" s="469"/>
      <c r="B606" s="451"/>
      <c r="C606" s="452"/>
      <c r="D606" s="452"/>
      <c r="E606" s="452"/>
      <c r="F606" s="450"/>
      <c r="G606" s="450"/>
      <c r="H606" s="461"/>
      <c r="I606" s="450"/>
      <c r="J606" s="461"/>
      <c r="K606" s="450"/>
      <c r="L606" s="450"/>
      <c r="M606" s="450"/>
      <c r="N606" s="450"/>
      <c r="O606" s="450"/>
    </row>
    <row r="607">
      <c r="A607" s="469"/>
      <c r="B607" s="451"/>
      <c r="C607" s="452"/>
      <c r="D607" s="452"/>
      <c r="E607" s="452"/>
      <c r="F607" s="450"/>
      <c r="G607" s="450"/>
      <c r="H607" s="461"/>
      <c r="I607" s="450"/>
      <c r="J607" s="461"/>
      <c r="K607" s="450"/>
      <c r="L607" s="450"/>
      <c r="M607" s="450"/>
      <c r="N607" s="450"/>
      <c r="O607" s="450"/>
    </row>
    <row r="608">
      <c r="A608" s="469"/>
      <c r="B608" s="451"/>
      <c r="C608" s="452"/>
      <c r="D608" s="452"/>
      <c r="E608" s="452"/>
      <c r="F608" s="450"/>
      <c r="G608" s="450"/>
      <c r="H608" s="461"/>
      <c r="I608" s="450"/>
      <c r="J608" s="461"/>
      <c r="K608" s="450"/>
      <c r="L608" s="450"/>
      <c r="M608" s="450"/>
      <c r="N608" s="450"/>
      <c r="O608" s="450"/>
    </row>
    <row r="609">
      <c r="A609" s="469"/>
      <c r="B609" s="451"/>
      <c r="C609" s="452"/>
      <c r="D609" s="452"/>
      <c r="E609" s="452"/>
      <c r="F609" s="450"/>
      <c r="G609" s="450"/>
      <c r="H609" s="461"/>
      <c r="I609" s="450"/>
      <c r="J609" s="461"/>
      <c r="K609" s="450"/>
      <c r="L609" s="450"/>
      <c r="M609" s="450"/>
      <c r="N609" s="450"/>
      <c r="O609" s="450"/>
    </row>
    <row r="610">
      <c r="A610" s="469"/>
      <c r="B610" s="451"/>
      <c r="C610" s="452"/>
      <c r="D610" s="452"/>
      <c r="E610" s="452"/>
      <c r="F610" s="450"/>
      <c r="G610" s="450"/>
      <c r="H610" s="461"/>
      <c r="I610" s="450"/>
      <c r="J610" s="461"/>
      <c r="K610" s="450"/>
      <c r="L610" s="450"/>
      <c r="M610" s="450"/>
      <c r="N610" s="450"/>
      <c r="O610" s="450"/>
    </row>
    <row r="611">
      <c r="A611" s="469"/>
      <c r="B611" s="451"/>
      <c r="C611" s="452"/>
      <c r="D611" s="452"/>
      <c r="E611" s="452"/>
      <c r="F611" s="450"/>
      <c r="G611" s="450"/>
      <c r="H611" s="461"/>
      <c r="I611" s="450"/>
      <c r="J611" s="461"/>
      <c r="K611" s="450"/>
      <c r="L611" s="450"/>
      <c r="M611" s="450"/>
      <c r="N611" s="450"/>
      <c r="O611" s="450"/>
    </row>
    <row r="612">
      <c r="A612" s="469"/>
      <c r="B612" s="451"/>
      <c r="C612" s="452"/>
      <c r="D612" s="452"/>
      <c r="E612" s="452"/>
      <c r="F612" s="450"/>
      <c r="G612" s="450"/>
      <c r="H612" s="461"/>
      <c r="I612" s="450"/>
      <c r="J612" s="461"/>
      <c r="K612" s="450"/>
      <c r="L612" s="450"/>
      <c r="M612" s="450"/>
      <c r="N612" s="450"/>
      <c r="O612" s="450"/>
    </row>
    <row r="613">
      <c r="A613" s="469"/>
      <c r="B613" s="451"/>
      <c r="C613" s="452"/>
      <c r="D613" s="452"/>
      <c r="E613" s="452"/>
      <c r="F613" s="450"/>
      <c r="G613" s="450"/>
      <c r="H613" s="461"/>
      <c r="I613" s="450"/>
      <c r="J613" s="461"/>
      <c r="K613" s="450"/>
      <c r="L613" s="450"/>
      <c r="M613" s="450"/>
      <c r="N613" s="450"/>
      <c r="O613" s="450"/>
    </row>
    <row r="614">
      <c r="A614" s="469"/>
      <c r="B614" s="451"/>
      <c r="C614" s="452"/>
      <c r="D614" s="452"/>
      <c r="E614" s="452"/>
      <c r="F614" s="450"/>
      <c r="G614" s="450"/>
      <c r="H614" s="461"/>
      <c r="I614" s="450"/>
      <c r="J614" s="461"/>
      <c r="K614" s="450"/>
      <c r="L614" s="450"/>
      <c r="M614" s="450"/>
      <c r="N614" s="450"/>
      <c r="O614" s="450"/>
    </row>
    <row r="615">
      <c r="A615" s="469"/>
      <c r="B615" s="451"/>
      <c r="C615" s="452"/>
      <c r="D615" s="452"/>
      <c r="E615" s="452"/>
      <c r="F615" s="450"/>
      <c r="G615" s="450"/>
      <c r="H615" s="461"/>
      <c r="I615" s="450"/>
      <c r="J615" s="461"/>
      <c r="K615" s="450"/>
      <c r="L615" s="450"/>
      <c r="M615" s="450"/>
      <c r="N615" s="450"/>
      <c r="O615" s="450"/>
    </row>
    <row r="616">
      <c r="A616" s="469"/>
      <c r="B616" s="451"/>
      <c r="C616" s="452"/>
      <c r="D616" s="452"/>
      <c r="E616" s="452"/>
      <c r="F616" s="450"/>
      <c r="G616" s="450"/>
      <c r="H616" s="461"/>
      <c r="I616" s="450"/>
      <c r="J616" s="461"/>
      <c r="K616" s="450"/>
      <c r="L616" s="450"/>
      <c r="M616" s="450"/>
      <c r="N616" s="450"/>
      <c r="O616" s="450"/>
    </row>
    <row r="617">
      <c r="A617" s="469"/>
      <c r="B617" s="451"/>
      <c r="C617" s="452"/>
      <c r="D617" s="452"/>
      <c r="E617" s="452"/>
      <c r="F617" s="450"/>
      <c r="G617" s="450"/>
      <c r="H617" s="461"/>
      <c r="I617" s="450"/>
      <c r="J617" s="461"/>
      <c r="K617" s="450"/>
      <c r="L617" s="450"/>
      <c r="M617" s="450"/>
      <c r="N617" s="450"/>
      <c r="O617" s="450"/>
    </row>
    <row r="618">
      <c r="A618" s="469"/>
      <c r="B618" s="451"/>
      <c r="C618" s="452"/>
      <c r="D618" s="452"/>
      <c r="E618" s="452"/>
      <c r="F618" s="450"/>
      <c r="G618" s="450"/>
      <c r="H618" s="461"/>
      <c r="I618" s="450"/>
      <c r="J618" s="461"/>
      <c r="K618" s="450"/>
      <c r="L618" s="450"/>
      <c r="M618" s="450"/>
      <c r="N618" s="450"/>
      <c r="O618" s="450"/>
    </row>
    <row r="619">
      <c r="A619" s="469"/>
      <c r="B619" s="451"/>
      <c r="C619" s="452"/>
      <c r="D619" s="452"/>
      <c r="E619" s="452"/>
      <c r="F619" s="450"/>
      <c r="G619" s="450"/>
      <c r="H619" s="461"/>
      <c r="I619" s="450"/>
      <c r="J619" s="461"/>
      <c r="K619" s="450"/>
      <c r="L619" s="450"/>
      <c r="M619" s="450"/>
      <c r="N619" s="450"/>
      <c r="O619" s="450"/>
    </row>
    <row r="620">
      <c r="A620" s="469"/>
      <c r="B620" s="451"/>
      <c r="C620" s="452"/>
      <c r="D620" s="452"/>
      <c r="E620" s="452"/>
      <c r="F620" s="450"/>
      <c r="G620" s="450"/>
      <c r="H620" s="461"/>
      <c r="I620" s="450"/>
      <c r="J620" s="461"/>
      <c r="K620" s="450"/>
      <c r="L620" s="450"/>
      <c r="M620" s="450"/>
      <c r="N620" s="450"/>
      <c r="O620" s="450"/>
    </row>
    <row r="621">
      <c r="A621" s="469"/>
      <c r="B621" s="451"/>
      <c r="C621" s="452"/>
      <c r="D621" s="452"/>
      <c r="E621" s="452"/>
      <c r="F621" s="450"/>
      <c r="G621" s="450"/>
      <c r="H621" s="461"/>
      <c r="I621" s="450"/>
      <c r="J621" s="461"/>
      <c r="K621" s="450"/>
      <c r="L621" s="450"/>
      <c r="M621" s="450"/>
      <c r="N621" s="450"/>
      <c r="O621" s="450"/>
    </row>
    <row r="622">
      <c r="A622" s="469"/>
      <c r="B622" s="451"/>
      <c r="C622" s="452"/>
      <c r="D622" s="452"/>
      <c r="E622" s="452"/>
      <c r="F622" s="450"/>
      <c r="G622" s="450"/>
      <c r="H622" s="461"/>
      <c r="I622" s="450"/>
      <c r="J622" s="461"/>
      <c r="K622" s="450"/>
      <c r="L622" s="450"/>
      <c r="M622" s="450"/>
      <c r="N622" s="450"/>
      <c r="O622" s="450"/>
    </row>
    <row r="623">
      <c r="A623" s="469"/>
      <c r="B623" s="451"/>
      <c r="C623" s="452"/>
      <c r="D623" s="452"/>
      <c r="E623" s="452"/>
      <c r="F623" s="450"/>
      <c r="G623" s="450"/>
      <c r="H623" s="461"/>
      <c r="I623" s="450"/>
      <c r="J623" s="461"/>
      <c r="K623" s="450"/>
      <c r="L623" s="450"/>
      <c r="M623" s="450"/>
      <c r="N623" s="450"/>
      <c r="O623" s="450"/>
    </row>
    <row r="624">
      <c r="A624" s="469"/>
      <c r="B624" s="451"/>
      <c r="C624" s="452"/>
      <c r="D624" s="452"/>
      <c r="E624" s="452"/>
      <c r="F624" s="450"/>
      <c r="G624" s="450"/>
      <c r="H624" s="461"/>
      <c r="I624" s="450"/>
      <c r="J624" s="461"/>
      <c r="K624" s="450"/>
      <c r="L624" s="450"/>
      <c r="M624" s="450"/>
      <c r="N624" s="450"/>
      <c r="O624" s="450"/>
    </row>
    <row r="625">
      <c r="A625" s="469"/>
      <c r="B625" s="451"/>
      <c r="C625" s="452"/>
      <c r="D625" s="452"/>
      <c r="E625" s="452"/>
      <c r="F625" s="450"/>
      <c r="G625" s="450"/>
      <c r="H625" s="461"/>
      <c r="I625" s="450"/>
      <c r="J625" s="461"/>
      <c r="K625" s="450"/>
      <c r="L625" s="450"/>
      <c r="M625" s="450"/>
      <c r="N625" s="450"/>
      <c r="O625" s="450"/>
    </row>
    <row r="626">
      <c r="A626" s="469"/>
      <c r="B626" s="451"/>
      <c r="C626" s="452"/>
      <c r="D626" s="452"/>
      <c r="E626" s="452"/>
      <c r="F626" s="450"/>
      <c r="G626" s="450"/>
      <c r="H626" s="461"/>
      <c r="I626" s="450"/>
      <c r="J626" s="461"/>
      <c r="K626" s="450"/>
      <c r="L626" s="450"/>
      <c r="M626" s="450"/>
      <c r="N626" s="450"/>
      <c r="O626" s="450"/>
    </row>
    <row r="627">
      <c r="A627" s="469"/>
      <c r="B627" s="451"/>
      <c r="C627" s="452"/>
      <c r="D627" s="452"/>
      <c r="E627" s="452"/>
      <c r="F627" s="450"/>
      <c r="G627" s="450"/>
      <c r="H627" s="461"/>
      <c r="I627" s="450"/>
      <c r="J627" s="461"/>
      <c r="K627" s="450"/>
      <c r="L627" s="450"/>
      <c r="M627" s="450"/>
      <c r="N627" s="450"/>
      <c r="O627" s="450"/>
    </row>
    <row r="628">
      <c r="A628" s="469"/>
      <c r="B628" s="451"/>
      <c r="C628" s="452"/>
      <c r="D628" s="452"/>
      <c r="E628" s="452"/>
      <c r="F628" s="450"/>
      <c r="G628" s="450"/>
      <c r="H628" s="461"/>
      <c r="I628" s="450"/>
      <c r="J628" s="461"/>
      <c r="K628" s="450"/>
      <c r="L628" s="450"/>
      <c r="M628" s="450"/>
      <c r="N628" s="450"/>
      <c r="O628" s="450"/>
    </row>
    <row r="629">
      <c r="A629" s="469"/>
      <c r="B629" s="451"/>
      <c r="C629" s="452"/>
      <c r="D629" s="452"/>
      <c r="E629" s="452"/>
      <c r="F629" s="450"/>
      <c r="G629" s="450"/>
      <c r="H629" s="461"/>
      <c r="I629" s="450"/>
      <c r="J629" s="461"/>
      <c r="K629" s="450"/>
      <c r="L629" s="450"/>
      <c r="M629" s="450"/>
      <c r="N629" s="450"/>
      <c r="O629" s="450"/>
    </row>
    <row r="630">
      <c r="A630" s="469"/>
      <c r="B630" s="451"/>
      <c r="C630" s="452"/>
      <c r="D630" s="452"/>
      <c r="E630" s="452"/>
      <c r="F630" s="450"/>
      <c r="G630" s="450"/>
      <c r="H630" s="461"/>
      <c r="I630" s="450"/>
      <c r="J630" s="461"/>
      <c r="K630" s="450"/>
      <c r="L630" s="450"/>
      <c r="M630" s="450"/>
      <c r="N630" s="450"/>
      <c r="O630" s="450"/>
    </row>
    <row r="631">
      <c r="A631" s="469"/>
      <c r="B631" s="451"/>
      <c r="C631" s="452"/>
      <c r="D631" s="452"/>
      <c r="E631" s="452"/>
      <c r="F631" s="450"/>
      <c r="G631" s="450"/>
      <c r="H631" s="461"/>
      <c r="I631" s="450"/>
      <c r="J631" s="461"/>
      <c r="K631" s="450"/>
      <c r="L631" s="450"/>
      <c r="M631" s="450"/>
      <c r="N631" s="450"/>
      <c r="O631" s="450"/>
    </row>
    <row r="632">
      <c r="A632" s="469"/>
      <c r="B632" s="451"/>
      <c r="C632" s="452"/>
      <c r="D632" s="452"/>
      <c r="E632" s="452"/>
      <c r="F632" s="450"/>
      <c r="G632" s="450"/>
      <c r="H632" s="461"/>
      <c r="I632" s="450"/>
      <c r="J632" s="461"/>
      <c r="K632" s="450"/>
      <c r="L632" s="450"/>
      <c r="M632" s="450"/>
      <c r="N632" s="450"/>
      <c r="O632" s="450"/>
    </row>
    <row r="633">
      <c r="A633" s="469"/>
      <c r="B633" s="451"/>
      <c r="C633" s="452"/>
      <c r="D633" s="452"/>
      <c r="E633" s="452"/>
      <c r="F633" s="450"/>
      <c r="G633" s="450"/>
      <c r="H633" s="461"/>
      <c r="I633" s="450"/>
      <c r="J633" s="461"/>
      <c r="K633" s="450"/>
      <c r="L633" s="450"/>
      <c r="M633" s="450"/>
      <c r="N633" s="450"/>
      <c r="O633" s="450"/>
    </row>
    <row r="634">
      <c r="A634" s="469"/>
      <c r="B634" s="451"/>
      <c r="C634" s="452"/>
      <c r="D634" s="452"/>
      <c r="E634" s="452"/>
      <c r="F634" s="450"/>
      <c r="G634" s="450"/>
      <c r="H634" s="461"/>
      <c r="I634" s="450"/>
      <c r="J634" s="461"/>
      <c r="K634" s="450"/>
      <c r="L634" s="450"/>
      <c r="M634" s="450"/>
      <c r="N634" s="450"/>
      <c r="O634" s="450"/>
    </row>
    <row r="635">
      <c r="A635" s="469"/>
      <c r="B635" s="451"/>
      <c r="C635" s="452"/>
      <c r="D635" s="452"/>
      <c r="E635" s="452"/>
      <c r="F635" s="450"/>
      <c r="G635" s="450"/>
      <c r="H635" s="461"/>
      <c r="I635" s="450"/>
      <c r="J635" s="461"/>
      <c r="K635" s="450"/>
      <c r="L635" s="450"/>
      <c r="M635" s="450"/>
      <c r="N635" s="450"/>
      <c r="O635" s="450"/>
    </row>
    <row r="636">
      <c r="A636" s="469"/>
      <c r="B636" s="451"/>
      <c r="C636" s="452"/>
      <c r="D636" s="452"/>
      <c r="E636" s="452"/>
      <c r="F636" s="450"/>
      <c r="G636" s="450"/>
      <c r="H636" s="461"/>
      <c r="I636" s="450"/>
      <c r="J636" s="461"/>
      <c r="K636" s="450"/>
      <c r="L636" s="450"/>
      <c r="M636" s="450"/>
      <c r="N636" s="450"/>
      <c r="O636" s="450"/>
    </row>
    <row r="637">
      <c r="A637" s="469"/>
      <c r="B637" s="451"/>
      <c r="C637" s="452"/>
      <c r="D637" s="452"/>
      <c r="E637" s="452"/>
      <c r="F637" s="450"/>
      <c r="G637" s="450"/>
      <c r="H637" s="461"/>
      <c r="I637" s="450"/>
      <c r="J637" s="461"/>
      <c r="K637" s="450"/>
      <c r="L637" s="450"/>
      <c r="M637" s="450"/>
      <c r="N637" s="450"/>
      <c r="O637" s="450"/>
    </row>
    <row r="638">
      <c r="A638" s="469"/>
      <c r="B638" s="451"/>
      <c r="C638" s="452"/>
      <c r="D638" s="452"/>
      <c r="E638" s="452"/>
      <c r="F638" s="450"/>
      <c r="G638" s="450"/>
      <c r="H638" s="461"/>
      <c r="I638" s="450"/>
      <c r="J638" s="461"/>
      <c r="K638" s="450"/>
      <c r="L638" s="450"/>
      <c r="M638" s="450"/>
      <c r="N638" s="450"/>
      <c r="O638" s="450"/>
    </row>
    <row r="639">
      <c r="A639" s="469"/>
      <c r="B639" s="451"/>
      <c r="C639" s="452"/>
      <c r="D639" s="452"/>
      <c r="E639" s="452"/>
      <c r="F639" s="450"/>
      <c r="G639" s="450"/>
      <c r="H639" s="461"/>
      <c r="I639" s="450"/>
      <c r="J639" s="461"/>
      <c r="K639" s="450"/>
      <c r="L639" s="450"/>
      <c r="M639" s="450"/>
      <c r="N639" s="450"/>
      <c r="O639" s="450"/>
    </row>
    <row r="640">
      <c r="A640" s="469"/>
      <c r="B640" s="451"/>
      <c r="C640" s="452"/>
      <c r="D640" s="452"/>
      <c r="E640" s="452"/>
      <c r="F640" s="450"/>
      <c r="G640" s="450"/>
      <c r="H640" s="461"/>
      <c r="I640" s="450"/>
      <c r="J640" s="461"/>
      <c r="K640" s="450"/>
      <c r="L640" s="450"/>
      <c r="M640" s="450"/>
      <c r="N640" s="450"/>
      <c r="O640" s="450"/>
    </row>
    <row r="641">
      <c r="A641" s="469"/>
      <c r="B641" s="451"/>
      <c r="C641" s="452"/>
      <c r="D641" s="452"/>
      <c r="E641" s="452"/>
      <c r="F641" s="450"/>
      <c r="G641" s="450"/>
      <c r="H641" s="461"/>
      <c r="I641" s="450"/>
      <c r="J641" s="461"/>
      <c r="K641" s="450"/>
      <c r="L641" s="450"/>
      <c r="M641" s="450"/>
      <c r="N641" s="450"/>
      <c r="O641" s="450"/>
    </row>
    <row r="642">
      <c r="A642" s="469"/>
      <c r="B642" s="451"/>
      <c r="C642" s="452"/>
      <c r="D642" s="452"/>
      <c r="E642" s="452"/>
      <c r="F642" s="450"/>
      <c r="G642" s="450"/>
      <c r="H642" s="461"/>
      <c r="I642" s="450"/>
      <c r="J642" s="461"/>
      <c r="K642" s="450"/>
      <c r="L642" s="450"/>
      <c r="M642" s="450"/>
      <c r="N642" s="450"/>
      <c r="O642" s="450"/>
    </row>
    <row r="643">
      <c r="A643" s="469"/>
      <c r="B643" s="451"/>
      <c r="C643" s="452"/>
      <c r="D643" s="452"/>
      <c r="E643" s="452"/>
      <c r="F643" s="450"/>
      <c r="G643" s="450"/>
      <c r="H643" s="461"/>
      <c r="I643" s="450"/>
      <c r="J643" s="461"/>
      <c r="K643" s="450"/>
      <c r="L643" s="450"/>
      <c r="M643" s="450"/>
      <c r="N643" s="450"/>
      <c r="O643" s="450"/>
    </row>
    <row r="644">
      <c r="A644" s="469"/>
      <c r="B644" s="451"/>
      <c r="C644" s="452"/>
      <c r="D644" s="452"/>
      <c r="E644" s="452"/>
      <c r="F644" s="450"/>
      <c r="G644" s="450"/>
      <c r="H644" s="461"/>
      <c r="I644" s="450"/>
      <c r="J644" s="461"/>
      <c r="K644" s="450"/>
      <c r="L644" s="450"/>
      <c r="M644" s="450"/>
      <c r="N644" s="450"/>
      <c r="O644" s="450"/>
    </row>
    <row r="645">
      <c r="A645" s="469"/>
      <c r="B645" s="451"/>
      <c r="C645" s="452"/>
      <c r="D645" s="452"/>
      <c r="E645" s="452"/>
      <c r="F645" s="450"/>
      <c r="G645" s="450"/>
      <c r="H645" s="461"/>
      <c r="I645" s="450"/>
      <c r="J645" s="461"/>
      <c r="K645" s="450"/>
      <c r="L645" s="450"/>
      <c r="M645" s="450"/>
      <c r="N645" s="450"/>
      <c r="O645" s="450"/>
    </row>
    <row r="646">
      <c r="A646" s="469"/>
      <c r="B646" s="451"/>
      <c r="C646" s="452"/>
      <c r="D646" s="452"/>
      <c r="E646" s="452"/>
      <c r="F646" s="450"/>
      <c r="G646" s="450"/>
      <c r="H646" s="461"/>
      <c r="I646" s="450"/>
      <c r="J646" s="461"/>
      <c r="K646" s="450"/>
      <c r="L646" s="450"/>
      <c r="M646" s="450"/>
      <c r="N646" s="450"/>
      <c r="O646" s="450"/>
    </row>
    <row r="647">
      <c r="A647" s="469"/>
      <c r="B647" s="451"/>
      <c r="C647" s="452"/>
      <c r="D647" s="452"/>
      <c r="E647" s="452"/>
      <c r="F647" s="450"/>
      <c r="G647" s="450"/>
      <c r="H647" s="461"/>
      <c r="I647" s="450"/>
      <c r="J647" s="461"/>
      <c r="K647" s="450"/>
      <c r="L647" s="450"/>
      <c r="M647" s="450"/>
      <c r="N647" s="450"/>
      <c r="O647" s="450"/>
    </row>
    <row r="648">
      <c r="A648" s="469"/>
      <c r="B648" s="451"/>
      <c r="C648" s="452"/>
      <c r="D648" s="452"/>
      <c r="E648" s="452"/>
      <c r="F648" s="450"/>
      <c r="G648" s="450"/>
      <c r="H648" s="461"/>
      <c r="I648" s="450"/>
      <c r="J648" s="461"/>
      <c r="K648" s="450"/>
      <c r="L648" s="450"/>
      <c r="M648" s="450"/>
      <c r="N648" s="450"/>
      <c r="O648" s="450"/>
    </row>
    <row r="649">
      <c r="A649" s="469"/>
      <c r="B649" s="451"/>
      <c r="C649" s="452"/>
      <c r="D649" s="452"/>
      <c r="E649" s="452"/>
      <c r="F649" s="450"/>
      <c r="G649" s="450"/>
      <c r="H649" s="461"/>
      <c r="I649" s="450"/>
      <c r="J649" s="461"/>
      <c r="K649" s="450"/>
      <c r="L649" s="450"/>
      <c r="M649" s="450"/>
      <c r="N649" s="450"/>
      <c r="O649" s="450"/>
    </row>
    <row r="650">
      <c r="A650" s="469"/>
      <c r="B650" s="451"/>
      <c r="C650" s="452"/>
      <c r="D650" s="452"/>
      <c r="E650" s="452"/>
      <c r="F650" s="450"/>
      <c r="G650" s="450"/>
      <c r="H650" s="461"/>
      <c r="I650" s="450"/>
      <c r="J650" s="461"/>
      <c r="K650" s="450"/>
      <c r="L650" s="450"/>
      <c r="M650" s="450"/>
      <c r="N650" s="450"/>
      <c r="O650" s="450"/>
    </row>
    <row r="651">
      <c r="A651" s="469"/>
      <c r="B651" s="451"/>
      <c r="C651" s="452"/>
      <c r="D651" s="452"/>
      <c r="E651" s="452"/>
      <c r="F651" s="450"/>
      <c r="G651" s="450"/>
      <c r="H651" s="461"/>
      <c r="I651" s="450"/>
      <c r="J651" s="461"/>
      <c r="K651" s="450"/>
      <c r="L651" s="450"/>
      <c r="M651" s="450"/>
      <c r="N651" s="450"/>
      <c r="O651" s="450"/>
    </row>
    <row r="652">
      <c r="A652" s="469"/>
      <c r="B652" s="451"/>
      <c r="C652" s="452"/>
      <c r="D652" s="452"/>
      <c r="E652" s="452"/>
      <c r="F652" s="450"/>
      <c r="G652" s="450"/>
      <c r="H652" s="461"/>
      <c r="I652" s="450"/>
      <c r="J652" s="461"/>
      <c r="K652" s="450"/>
      <c r="L652" s="450"/>
      <c r="M652" s="450"/>
      <c r="N652" s="450"/>
      <c r="O652" s="450"/>
    </row>
    <row r="653">
      <c r="A653" s="469"/>
      <c r="B653" s="451"/>
      <c r="C653" s="452"/>
      <c r="D653" s="452"/>
      <c r="E653" s="452"/>
      <c r="F653" s="450"/>
      <c r="G653" s="450"/>
      <c r="H653" s="461"/>
      <c r="I653" s="450"/>
      <c r="J653" s="461"/>
      <c r="K653" s="450"/>
      <c r="L653" s="450"/>
      <c r="M653" s="450"/>
      <c r="N653" s="450"/>
      <c r="O653" s="450"/>
    </row>
    <row r="654">
      <c r="A654" s="469"/>
      <c r="B654" s="451"/>
      <c r="C654" s="452"/>
      <c r="D654" s="452"/>
      <c r="E654" s="452"/>
      <c r="F654" s="450"/>
      <c r="G654" s="450"/>
      <c r="H654" s="461"/>
      <c r="I654" s="450"/>
      <c r="J654" s="461"/>
      <c r="K654" s="450"/>
      <c r="L654" s="450"/>
      <c r="M654" s="450"/>
      <c r="N654" s="450"/>
      <c r="O654" s="450"/>
    </row>
    <row r="655">
      <c r="A655" s="469"/>
      <c r="B655" s="451"/>
      <c r="C655" s="452"/>
      <c r="D655" s="452"/>
      <c r="E655" s="452"/>
      <c r="F655" s="450"/>
      <c r="G655" s="450"/>
      <c r="H655" s="461"/>
      <c r="I655" s="450"/>
      <c r="J655" s="461"/>
      <c r="K655" s="450"/>
      <c r="L655" s="450"/>
      <c r="M655" s="450"/>
      <c r="N655" s="450"/>
      <c r="O655" s="450"/>
    </row>
    <row r="656">
      <c r="A656" s="469"/>
      <c r="B656" s="451"/>
      <c r="C656" s="452"/>
      <c r="D656" s="452"/>
      <c r="E656" s="452"/>
      <c r="F656" s="450"/>
      <c r="G656" s="450"/>
      <c r="H656" s="461"/>
      <c r="I656" s="450"/>
      <c r="J656" s="461"/>
      <c r="K656" s="450"/>
      <c r="L656" s="450"/>
      <c r="M656" s="450"/>
      <c r="N656" s="450"/>
      <c r="O656" s="450"/>
    </row>
    <row r="657">
      <c r="A657" s="469"/>
      <c r="B657" s="451"/>
      <c r="C657" s="452"/>
      <c r="D657" s="452"/>
      <c r="E657" s="452"/>
      <c r="F657" s="450"/>
      <c r="G657" s="450"/>
      <c r="H657" s="461"/>
      <c r="I657" s="450"/>
      <c r="J657" s="461"/>
      <c r="K657" s="450"/>
      <c r="L657" s="450"/>
      <c r="M657" s="450"/>
      <c r="N657" s="450"/>
      <c r="O657" s="450"/>
    </row>
    <row r="658">
      <c r="A658" s="469"/>
      <c r="B658" s="451"/>
      <c r="C658" s="452"/>
      <c r="D658" s="452"/>
      <c r="E658" s="452"/>
      <c r="F658" s="450"/>
      <c r="G658" s="450"/>
      <c r="H658" s="461"/>
      <c r="I658" s="450"/>
      <c r="J658" s="461"/>
      <c r="K658" s="450"/>
      <c r="L658" s="450"/>
      <c r="M658" s="450"/>
      <c r="N658" s="450"/>
      <c r="O658" s="450"/>
    </row>
    <row r="659">
      <c r="A659" s="469"/>
      <c r="B659" s="451"/>
      <c r="C659" s="452"/>
      <c r="D659" s="452"/>
      <c r="E659" s="452"/>
      <c r="F659" s="450"/>
      <c r="G659" s="450"/>
      <c r="H659" s="461"/>
      <c r="I659" s="450"/>
      <c r="J659" s="461"/>
      <c r="K659" s="450"/>
      <c r="L659" s="450"/>
      <c r="M659" s="450"/>
      <c r="N659" s="450"/>
      <c r="O659" s="450"/>
    </row>
    <row r="660">
      <c r="A660" s="469"/>
      <c r="B660" s="451"/>
      <c r="C660" s="452"/>
      <c r="D660" s="452"/>
      <c r="E660" s="452"/>
      <c r="F660" s="450"/>
      <c r="G660" s="450"/>
      <c r="H660" s="461"/>
      <c r="I660" s="450"/>
      <c r="J660" s="461"/>
      <c r="K660" s="450"/>
      <c r="L660" s="450"/>
      <c r="M660" s="450"/>
      <c r="N660" s="450"/>
      <c r="O660" s="450"/>
    </row>
    <row r="661">
      <c r="A661" s="469"/>
      <c r="B661" s="451"/>
      <c r="C661" s="452"/>
      <c r="D661" s="452"/>
      <c r="E661" s="452"/>
      <c r="F661" s="450"/>
      <c r="G661" s="450"/>
      <c r="H661" s="461"/>
      <c r="I661" s="450"/>
      <c r="J661" s="461"/>
      <c r="K661" s="450"/>
      <c r="L661" s="450"/>
      <c r="M661" s="450"/>
      <c r="N661" s="450"/>
      <c r="O661" s="450"/>
    </row>
    <row r="662">
      <c r="A662" s="469"/>
      <c r="B662" s="451"/>
      <c r="C662" s="452"/>
      <c r="D662" s="452"/>
      <c r="E662" s="452"/>
      <c r="F662" s="450"/>
      <c r="G662" s="450"/>
      <c r="H662" s="461"/>
      <c r="I662" s="450"/>
      <c r="J662" s="461"/>
      <c r="K662" s="450"/>
      <c r="L662" s="450"/>
      <c r="M662" s="450"/>
      <c r="N662" s="450"/>
      <c r="O662" s="450"/>
    </row>
    <row r="663">
      <c r="A663" s="469"/>
      <c r="B663" s="451"/>
      <c r="C663" s="452"/>
      <c r="D663" s="452"/>
      <c r="E663" s="452"/>
      <c r="F663" s="450"/>
      <c r="G663" s="450"/>
      <c r="H663" s="461"/>
      <c r="I663" s="450"/>
      <c r="J663" s="461"/>
      <c r="K663" s="450"/>
      <c r="L663" s="450"/>
      <c r="M663" s="450"/>
      <c r="N663" s="450"/>
      <c r="O663" s="450"/>
    </row>
    <row r="664">
      <c r="A664" s="469"/>
      <c r="B664" s="451"/>
      <c r="C664" s="452"/>
      <c r="D664" s="452"/>
      <c r="E664" s="452"/>
      <c r="F664" s="450"/>
      <c r="G664" s="450"/>
      <c r="H664" s="461"/>
      <c r="I664" s="450"/>
      <c r="J664" s="461"/>
      <c r="K664" s="450"/>
      <c r="L664" s="450"/>
      <c r="M664" s="450"/>
      <c r="N664" s="450"/>
      <c r="O664" s="450"/>
    </row>
    <row r="665">
      <c r="A665" s="469"/>
      <c r="B665" s="451"/>
      <c r="C665" s="452"/>
      <c r="D665" s="452"/>
      <c r="E665" s="452"/>
      <c r="F665" s="450"/>
      <c r="G665" s="450"/>
      <c r="H665" s="461"/>
      <c r="I665" s="450"/>
      <c r="J665" s="461"/>
      <c r="K665" s="450"/>
      <c r="L665" s="450"/>
      <c r="M665" s="450"/>
      <c r="N665" s="450"/>
      <c r="O665" s="450"/>
    </row>
    <row r="666">
      <c r="A666" s="469"/>
      <c r="B666" s="451"/>
      <c r="C666" s="452"/>
      <c r="D666" s="452"/>
      <c r="E666" s="452"/>
      <c r="F666" s="450"/>
      <c r="G666" s="450"/>
      <c r="H666" s="461"/>
      <c r="I666" s="450"/>
      <c r="J666" s="461"/>
      <c r="K666" s="450"/>
      <c r="L666" s="450"/>
      <c r="M666" s="450"/>
      <c r="N666" s="450"/>
      <c r="O666" s="450"/>
    </row>
    <row r="667">
      <c r="A667" s="469"/>
      <c r="B667" s="451"/>
      <c r="C667" s="452"/>
      <c r="D667" s="452"/>
      <c r="E667" s="452"/>
      <c r="F667" s="450"/>
      <c r="G667" s="450"/>
      <c r="H667" s="461"/>
      <c r="I667" s="450"/>
      <c r="J667" s="461"/>
      <c r="K667" s="450"/>
      <c r="L667" s="450"/>
      <c r="M667" s="450"/>
      <c r="N667" s="450"/>
      <c r="O667" s="450"/>
    </row>
    <row r="668">
      <c r="A668" s="469"/>
      <c r="B668" s="451"/>
      <c r="C668" s="452"/>
      <c r="D668" s="452"/>
      <c r="E668" s="452"/>
      <c r="F668" s="450"/>
      <c r="G668" s="450"/>
      <c r="H668" s="461"/>
      <c r="I668" s="450"/>
      <c r="J668" s="461"/>
      <c r="K668" s="450"/>
      <c r="L668" s="450"/>
      <c r="M668" s="450"/>
      <c r="N668" s="450"/>
      <c r="O668" s="450"/>
    </row>
    <row r="669">
      <c r="A669" s="469"/>
      <c r="B669" s="451"/>
      <c r="C669" s="452"/>
      <c r="D669" s="452"/>
      <c r="E669" s="452"/>
      <c r="F669" s="450"/>
      <c r="G669" s="450"/>
      <c r="H669" s="461"/>
      <c r="I669" s="450"/>
      <c r="J669" s="461"/>
      <c r="K669" s="450"/>
      <c r="L669" s="450"/>
      <c r="M669" s="450"/>
      <c r="N669" s="450"/>
      <c r="O669" s="450"/>
    </row>
    <row r="670">
      <c r="A670" s="469"/>
      <c r="B670" s="451"/>
      <c r="C670" s="452"/>
      <c r="D670" s="452"/>
      <c r="E670" s="452"/>
      <c r="F670" s="450"/>
      <c r="G670" s="450"/>
      <c r="H670" s="461"/>
      <c r="I670" s="450"/>
      <c r="J670" s="461"/>
      <c r="K670" s="450"/>
      <c r="L670" s="450"/>
      <c r="M670" s="450"/>
      <c r="N670" s="450"/>
      <c r="O670" s="450"/>
    </row>
    <row r="671">
      <c r="A671" s="469"/>
      <c r="B671" s="451"/>
      <c r="C671" s="452"/>
      <c r="D671" s="452"/>
      <c r="E671" s="452"/>
      <c r="F671" s="450"/>
      <c r="G671" s="450"/>
      <c r="H671" s="461"/>
      <c r="I671" s="450"/>
      <c r="J671" s="461"/>
      <c r="K671" s="450"/>
      <c r="L671" s="450"/>
      <c r="M671" s="450"/>
      <c r="N671" s="450"/>
      <c r="O671" s="450"/>
    </row>
    <row r="672">
      <c r="A672" s="469"/>
      <c r="B672" s="451"/>
      <c r="C672" s="452"/>
      <c r="D672" s="452"/>
      <c r="E672" s="452"/>
      <c r="F672" s="450"/>
      <c r="G672" s="450"/>
      <c r="H672" s="461"/>
      <c r="I672" s="450"/>
      <c r="J672" s="461"/>
      <c r="K672" s="450"/>
      <c r="L672" s="450"/>
      <c r="M672" s="450"/>
      <c r="N672" s="450"/>
      <c r="O672" s="450"/>
    </row>
    <row r="673">
      <c r="A673" s="469"/>
      <c r="B673" s="451"/>
      <c r="C673" s="452"/>
      <c r="D673" s="452"/>
      <c r="E673" s="452"/>
      <c r="F673" s="450"/>
      <c r="G673" s="450"/>
      <c r="H673" s="461"/>
      <c r="I673" s="450"/>
      <c r="J673" s="461"/>
      <c r="K673" s="450"/>
      <c r="L673" s="450"/>
      <c r="M673" s="450"/>
      <c r="N673" s="450"/>
      <c r="O673" s="450"/>
    </row>
    <row r="674">
      <c r="A674" s="469"/>
      <c r="B674" s="451"/>
      <c r="C674" s="452"/>
      <c r="D674" s="452"/>
      <c r="E674" s="452"/>
      <c r="F674" s="450"/>
      <c r="G674" s="450"/>
      <c r="H674" s="461"/>
      <c r="I674" s="450"/>
      <c r="J674" s="461"/>
      <c r="K674" s="450"/>
      <c r="L674" s="450"/>
      <c r="M674" s="450"/>
      <c r="N674" s="450"/>
      <c r="O674" s="450"/>
    </row>
    <row r="675">
      <c r="A675" s="469"/>
      <c r="B675" s="451"/>
      <c r="C675" s="452"/>
      <c r="D675" s="452"/>
      <c r="E675" s="452"/>
      <c r="F675" s="450"/>
      <c r="G675" s="450"/>
      <c r="H675" s="461"/>
      <c r="I675" s="450"/>
      <c r="J675" s="461"/>
      <c r="K675" s="450"/>
      <c r="L675" s="450"/>
      <c r="M675" s="450"/>
      <c r="N675" s="450"/>
      <c r="O675" s="450"/>
    </row>
    <row r="676">
      <c r="A676" s="469"/>
      <c r="B676" s="451"/>
      <c r="C676" s="452"/>
      <c r="D676" s="452"/>
      <c r="E676" s="452"/>
      <c r="F676" s="450"/>
      <c r="G676" s="450"/>
      <c r="H676" s="461"/>
      <c r="I676" s="450"/>
      <c r="J676" s="461"/>
      <c r="K676" s="450"/>
      <c r="L676" s="450"/>
      <c r="M676" s="450"/>
      <c r="N676" s="450"/>
      <c r="O676" s="450"/>
    </row>
    <row r="677">
      <c r="A677" s="469"/>
      <c r="B677" s="451"/>
      <c r="C677" s="452"/>
      <c r="D677" s="452"/>
      <c r="E677" s="452"/>
      <c r="F677" s="450"/>
      <c r="G677" s="450"/>
      <c r="H677" s="461"/>
      <c r="I677" s="450"/>
      <c r="J677" s="461"/>
      <c r="K677" s="450"/>
      <c r="L677" s="450"/>
      <c r="M677" s="450"/>
      <c r="N677" s="450"/>
      <c r="O677" s="450"/>
    </row>
    <row r="678">
      <c r="A678" s="469"/>
      <c r="B678" s="451"/>
      <c r="C678" s="452"/>
      <c r="D678" s="452"/>
      <c r="E678" s="452"/>
      <c r="F678" s="450"/>
      <c r="G678" s="450"/>
      <c r="H678" s="461"/>
      <c r="I678" s="450"/>
      <c r="J678" s="461"/>
      <c r="K678" s="450"/>
      <c r="L678" s="450"/>
      <c r="M678" s="450"/>
      <c r="N678" s="450"/>
      <c r="O678" s="450"/>
    </row>
    <row r="679">
      <c r="A679" s="469"/>
      <c r="B679" s="451"/>
      <c r="C679" s="452"/>
      <c r="D679" s="452"/>
      <c r="E679" s="452"/>
      <c r="F679" s="450"/>
      <c r="G679" s="450"/>
      <c r="H679" s="461"/>
      <c r="I679" s="450"/>
      <c r="J679" s="461"/>
      <c r="K679" s="450"/>
      <c r="L679" s="450"/>
      <c r="M679" s="450"/>
      <c r="N679" s="450"/>
      <c r="O679" s="450"/>
    </row>
  </sheetData>
  <sheetProtection sheet="1" objects="1" scenarios="1" formatCells="0" formatColumns="0" formatRows="0" sort="0" autoFilter="0" pivotTables="0"/>
  <autoFilter ref="A2:BJ400"/>
  <mergeCells>
    <mergeCell ref="BE1:BF1"/>
    <mergeCell ref="A1:O1"/>
    <mergeCell ref="AD1:AI1"/>
    <mergeCell ref="AL1:AO1"/>
    <mergeCell ref="AT1:AV1"/>
    <mergeCell ref="BB1:BC1"/>
  </mergeCells>
  <dataValidations count="1">
    <dataValidation allowBlank="1" showInputMessage="1" showErrorMessage="1" errorTitle="Cảnh báo" error="Nếu cấu hình bạn chọn là đúng, hãy liên hệ Administrator" promptTitle="Chú ý:" prompt="Chỉ nhập cấu hình sau khi đã chọn Operator!" sqref="BI13"/>
  </dataValidations>
  <pageMargins left="0.70866141732283472" right="0.26"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74"/>
    <col min="2" max="2" width="3.140625" customWidth="1" style="274"/>
    <col min="3" max="3" width="3.140625" customWidth="1" style="274"/>
    <col min="4" max="4" width="3.140625" customWidth="1" style="274"/>
    <col min="5" max="5" width="3.140625" customWidth="1" style="274"/>
    <col min="6" max="6" width="3.140625" customWidth="1" style="274"/>
    <col min="7" max="7" width="3.140625" customWidth="1" style="274"/>
    <col min="8" max="8" width="3.140625" customWidth="1" style="274"/>
    <col min="9" max="9" width="3.140625" customWidth="1" style="274"/>
    <col min="10" max="10" width="3.140625" customWidth="1" style="274"/>
    <col min="11" max="11" width="3.140625" customWidth="1" style="274"/>
    <col min="12" max="12" width="3.140625" customWidth="1" style="274"/>
    <col min="13" max="13" width="3.140625" customWidth="1" style="274"/>
    <col min="14" max="14" width="8.42578125" customWidth="1" style="274"/>
    <col min="15" max="15" width="3.140625" customWidth="1" style="274"/>
    <col min="16" max="16" width="3.140625" customWidth="1" style="274"/>
    <col min="17" max="17" width="3.140625" customWidth="1" style="274"/>
    <col min="18" max="18" width="3.140625" customWidth="1" style="274"/>
    <col min="19" max="19" width="3.140625" customWidth="1" style="274"/>
    <col min="20" max="20" width="3.140625" customWidth="1" style="274"/>
    <col min="21" max="21" width="3.140625" customWidth="1" style="274"/>
    <col min="22" max="22" width="3.140625" customWidth="1" style="274"/>
    <col min="23" max="23" width="3.140625" customWidth="1" style="274"/>
    <col min="24" max="25" width="3.140625" customWidth="1" style="274"/>
    <col min="26" max="26" width="3.5703125" customWidth="1" style="274"/>
    <col min="27" max="29" width="3.140625" customWidth="1" style="274"/>
    <col min="30" max="30" bestFit="1" width="10.5703125" customWidth="1" style="274"/>
    <col min="31" max="31" bestFit="1" width="11.85546875" customWidth="1" style="274"/>
    <col min="32" max="32" bestFit="1" width="10.5703125" customWidth="1" style="274"/>
    <col min="33" max="33" bestFit="1" width="9.85546875" customWidth="1" style="274"/>
    <col min="34" max="34" bestFit="1" width="11.85546875" customWidth="1" style="274"/>
    <col min="35" max="16384" width="9.140625" customWidth="1" style="274"/>
  </cols>
  <sheetData>
    <row r="1" ht="16.5">
      <c r="A1" s="625" t="s">
        <v>648</v>
      </c>
      <c r="B1" s="625"/>
      <c r="C1" s="625"/>
      <c r="D1" s="625"/>
      <c r="E1" s="625"/>
      <c r="F1" s="625"/>
      <c r="G1" s="625"/>
      <c r="H1" s="625"/>
      <c r="I1" s="625"/>
      <c r="J1" s="625"/>
      <c r="N1" s="601" t="s">
        <v>85</v>
      </c>
      <c r="O1" s="601"/>
      <c r="P1" s="601"/>
      <c r="Q1" s="601"/>
      <c r="R1" s="601"/>
      <c r="S1" s="601"/>
      <c r="T1" s="601"/>
      <c r="U1" s="601"/>
      <c r="V1" s="601"/>
      <c r="W1" s="601"/>
      <c r="X1" s="601"/>
      <c r="Y1" s="601"/>
      <c r="Z1" s="601"/>
      <c r="AA1" s="275"/>
    </row>
    <row r="2" ht="16.5" customHeight="1">
      <c r="A2" s="601" t="s">
        <v>84</v>
      </c>
      <c r="B2" s="601"/>
      <c r="C2" s="601"/>
      <c r="D2" s="601"/>
      <c r="E2" s="601"/>
      <c r="F2" s="601"/>
      <c r="G2" s="601"/>
      <c r="H2" s="601"/>
      <c r="I2" s="601"/>
      <c r="J2" s="601"/>
      <c r="N2" s="604" t="s">
        <v>87</v>
      </c>
      <c r="O2" s="604"/>
      <c r="P2" s="604"/>
      <c r="Q2" s="604"/>
      <c r="R2" s="604"/>
      <c r="S2" s="604"/>
      <c r="T2" s="604"/>
      <c r="U2" s="604"/>
      <c r="V2" s="604"/>
      <c r="W2" s="604"/>
      <c r="X2" s="604"/>
      <c r="Y2" s="604"/>
      <c r="Z2" s="604"/>
    </row>
    <row r="3" ht="16.5">
      <c r="A3" s="601" t="s">
        <v>86</v>
      </c>
      <c r="B3" s="601"/>
      <c r="C3" s="601"/>
      <c r="D3" s="601"/>
      <c r="E3" s="601"/>
      <c r="F3" s="601"/>
      <c r="G3" s="601"/>
      <c r="H3" s="601"/>
      <c r="I3" s="601"/>
      <c r="J3" s="601"/>
      <c r="O3" s="276"/>
      <c r="P3" s="276"/>
      <c r="Q3" s="276"/>
      <c r="R3" s="276"/>
      <c r="S3" s="276"/>
      <c r="T3" s="276"/>
      <c r="U3" s="276"/>
      <c r="V3" s="276"/>
      <c r="W3" s="276"/>
    </row>
    <row r="4" ht="21.75" customHeight="1">
      <c r="C4" s="627" t="str">
        <f>IF(LEN(AD4)=1,"Số: 0"&amp;AD4&amp;"/LPKĐ-TT2","Số: "&amp;AD4&amp;"/LPKĐ-TT2")</f>
        <v>Số: 02/LPKĐ-TT2</v>
      </c>
      <c r="D4" s="627"/>
      <c r="E4" s="627"/>
      <c r="F4" s="627"/>
      <c r="G4" s="627"/>
      <c r="H4" s="627"/>
      <c r="N4" s="630" t="str">
        <f>"TP. Hồ Chí Minh, ngày "&amp;AF4&amp;" tháng "&amp;AG4&amp;" năm "&amp;AH4</f>
        <v>TP. Hồ Chí Minh, ngày 27 tháng 2 năm 2019</v>
      </c>
      <c r="O4" s="630"/>
      <c r="P4" s="630"/>
      <c r="Q4" s="630"/>
      <c r="R4" s="630"/>
      <c r="S4" s="630"/>
      <c r="T4" s="630"/>
      <c r="U4" s="630"/>
      <c r="V4" s="630"/>
      <c r="W4" s="630"/>
      <c r="X4" s="630"/>
      <c r="Y4" s="630"/>
      <c r="Z4" s="630"/>
      <c r="AD4" s="277">
        <v>2</v>
      </c>
      <c r="AE4" s="278" t="s">
        <v>649</v>
      </c>
      <c r="AF4" s="274">
        <f>DAY(AE4)</f>
        <v>27</v>
      </c>
      <c r="AG4" s="274">
        <f>MONTH(AE4)</f>
        <v>2</v>
      </c>
      <c r="AH4" s="274">
        <f>YEAR(AE4)</f>
        <v>2019</v>
      </c>
    </row>
    <row r="6" ht="8.25" customHeight="1">
      <c r="O6" s="275"/>
    </row>
    <row r="7" ht="18.75">
      <c r="C7" s="629" t="s">
        <v>650</v>
      </c>
      <c r="D7" s="629"/>
      <c r="E7" s="629"/>
      <c r="F7" s="629"/>
      <c r="G7" s="629"/>
      <c r="H7" s="629"/>
      <c r="I7" s="629"/>
      <c r="J7" s="629"/>
      <c r="K7" s="629"/>
      <c r="L7" s="629"/>
      <c r="M7" s="629"/>
      <c r="N7" s="629"/>
      <c r="O7" s="629"/>
      <c r="P7" s="629"/>
      <c r="Q7" s="629"/>
      <c r="R7" s="629"/>
      <c r="S7" s="629"/>
      <c r="T7" s="629"/>
      <c r="U7" s="629"/>
      <c r="V7" s="629"/>
      <c r="W7" s="629"/>
      <c r="X7" s="629"/>
    </row>
    <row r="8" ht="18.75">
      <c r="C8" s="629" t="s">
        <v>89</v>
      </c>
      <c r="D8" s="629"/>
      <c r="E8" s="629"/>
      <c r="F8" s="629"/>
      <c r="G8" s="629"/>
      <c r="H8" s="629"/>
      <c r="I8" s="629"/>
      <c r="J8" s="629"/>
      <c r="K8" s="629"/>
      <c r="L8" s="629"/>
      <c r="M8" s="629"/>
      <c r="N8" s="629"/>
      <c r="O8" s="629"/>
      <c r="P8" s="629"/>
      <c r="Q8" s="629"/>
      <c r="R8" s="629"/>
      <c r="S8" s="629"/>
      <c r="T8" s="629"/>
      <c r="U8" s="629"/>
      <c r="V8" s="629"/>
      <c r="W8" s="629"/>
      <c r="X8" s="629"/>
    </row>
    <row r="10" ht="16.5">
      <c r="D10" s="625" t="str">
        <f>"Kính gửi: "&amp;AD10</f>
        <v>Kính gửi: Trung tâm Thông tin di động khu vực II</v>
      </c>
      <c r="E10" s="625"/>
      <c r="F10" s="625"/>
      <c r="G10" s="625"/>
      <c r="H10" s="625"/>
      <c r="I10" s="625"/>
      <c r="J10" s="625"/>
      <c r="K10" s="625"/>
      <c r="L10" s="625"/>
      <c r="M10" s="625"/>
      <c r="N10" s="625"/>
      <c r="O10" s="625"/>
      <c r="P10" s="625"/>
      <c r="Q10" s="625"/>
      <c r="R10" s="625"/>
      <c r="S10" s="625"/>
      <c r="T10" s="625"/>
      <c r="U10" s="625"/>
      <c r="V10" s="625"/>
      <c r="W10" s="625"/>
      <c r="AD10" s="274" t="s">
        <v>651</v>
      </c>
    </row>
    <row r="11" ht="15.75" customHeight="1">
      <c r="A11" s="279"/>
      <c r="B11" s="279"/>
      <c r="D11" s="628" t="s">
        <v>652</v>
      </c>
      <c r="E11" s="628"/>
      <c r="F11" s="628"/>
      <c r="G11" s="605" t="str">
        <f>AD11</f>
        <v>Số MM18, đường Trường Sơn, phường 14, quận 10, thành phố Hồ Chí Minh.</v>
      </c>
      <c r="H11" s="605"/>
      <c r="I11" s="605"/>
      <c r="J11" s="605"/>
      <c r="K11" s="605"/>
      <c r="L11" s="605"/>
      <c r="M11" s="605"/>
      <c r="N11" s="605"/>
      <c r="O11" s="605"/>
      <c r="P11" s="605"/>
      <c r="Q11" s="605"/>
      <c r="R11" s="605"/>
      <c r="S11" s="605"/>
      <c r="T11" s="605"/>
      <c r="U11" s="605"/>
      <c r="V11" s="605"/>
      <c r="W11" s="605"/>
      <c r="X11" s="280"/>
      <c r="Y11" s="280"/>
      <c r="Z11" s="280"/>
      <c r="AD11" s="274" t="s">
        <v>653</v>
      </c>
    </row>
    <row r="12">
      <c r="A12" s="279"/>
      <c r="B12" s="279"/>
      <c r="C12" s="279"/>
      <c r="D12" s="279"/>
      <c r="E12" s="279"/>
      <c r="F12" s="280"/>
      <c r="G12" s="605"/>
      <c r="H12" s="605"/>
      <c r="I12" s="605"/>
      <c r="J12" s="605"/>
      <c r="K12" s="605"/>
      <c r="L12" s="605"/>
      <c r="M12" s="605"/>
      <c r="N12" s="605"/>
      <c r="O12" s="605"/>
      <c r="P12" s="605"/>
      <c r="Q12" s="605"/>
      <c r="R12" s="605"/>
      <c r="S12" s="605"/>
      <c r="T12" s="605"/>
      <c r="U12" s="605"/>
      <c r="V12" s="605"/>
      <c r="W12" s="605"/>
      <c r="X12" s="280"/>
      <c r="Y12" s="280"/>
      <c r="Z12" s="280"/>
    </row>
    <row r="13" ht="20.25" customHeight="1">
      <c r="A13" s="279"/>
      <c r="B13" s="279"/>
      <c r="D13" s="279" t="s">
        <v>654</v>
      </c>
      <c r="E13" s="279"/>
      <c r="F13" s="279"/>
      <c r="G13" s="628" t="str">
        <f>AD13</f>
        <v>08 38662387</v>
      </c>
      <c r="H13" s="628"/>
      <c r="I13" s="628"/>
      <c r="J13" s="628"/>
      <c r="K13" s="628"/>
      <c r="L13" s="628"/>
      <c r="M13" s="628"/>
      <c r="N13" s="279"/>
      <c r="O13" s="279" t="s">
        <v>655</v>
      </c>
      <c r="P13" s="279"/>
      <c r="Q13" s="628" t="str">
        <f>AH13</f>
        <v>08 38662388</v>
      </c>
      <c r="R13" s="628"/>
      <c r="S13" s="628"/>
      <c r="T13" s="628"/>
      <c r="U13" s="628"/>
      <c r="V13" s="628"/>
      <c r="W13" s="628"/>
      <c r="X13" s="279"/>
      <c r="Y13" s="279"/>
      <c r="Z13" s="279"/>
      <c r="AD13" s="274" t="s">
        <v>656</v>
      </c>
      <c r="AH13" s="274" t="s">
        <v>657</v>
      </c>
    </row>
    <row r="14" ht="55.15" customHeight="1">
      <c r="A14" s="603"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603"/>
      <c r="C14" s="603"/>
      <c r="D14" s="603"/>
      <c r="E14" s="603"/>
      <c r="F14" s="603"/>
      <c r="G14" s="603"/>
      <c r="H14" s="603"/>
      <c r="I14" s="603"/>
      <c r="J14" s="603"/>
      <c r="K14" s="603"/>
      <c r="L14" s="603"/>
      <c r="M14" s="603"/>
      <c r="N14" s="603"/>
      <c r="O14" s="603"/>
      <c r="P14" s="603"/>
      <c r="Q14" s="603"/>
      <c r="R14" s="603"/>
      <c r="S14" s="603"/>
      <c r="T14" s="603"/>
      <c r="U14" s="603"/>
      <c r="V14" s="603"/>
      <c r="W14" s="603"/>
      <c r="X14" s="603"/>
      <c r="Y14" s="603"/>
      <c r="Z14" s="603"/>
      <c r="AD14" s="274" t="s">
        <v>658</v>
      </c>
      <c r="AE14" s="278" t="s">
        <v>659</v>
      </c>
      <c r="AF14" s="274">
        <f>DAY(AE14)</f>
        <v>25</v>
      </c>
      <c r="AG14" s="274">
        <f>MONTH(AE14)</f>
        <v>12</v>
      </c>
      <c r="AH14" s="274">
        <f>YEAR(AE14)</f>
        <v>2013</v>
      </c>
    </row>
    <row r="15" ht="87.75" customHeight="1">
      <c r="A15" s="626" t="s">
        <v>660</v>
      </c>
      <c r="B15" s="626"/>
      <c r="C15" s="626"/>
      <c r="D15" s="626"/>
      <c r="E15" s="626"/>
      <c r="F15" s="626"/>
      <c r="G15" s="626"/>
      <c r="H15" s="626"/>
      <c r="I15" s="626"/>
      <c r="J15" s="626"/>
      <c r="K15" s="626"/>
      <c r="L15" s="626"/>
      <c r="M15" s="626"/>
      <c r="N15" s="626"/>
      <c r="O15" s="626"/>
      <c r="P15" s="626"/>
      <c r="Q15" s="626"/>
      <c r="R15" s="626"/>
      <c r="S15" s="626"/>
      <c r="T15" s="626"/>
      <c r="U15" s="626"/>
      <c r="V15" s="626"/>
      <c r="W15" s="626"/>
      <c r="X15" s="626"/>
      <c r="Y15" s="626"/>
      <c r="Z15" s="626"/>
    </row>
    <row r="16" ht="33" customHeight="1">
      <c r="B16" s="612" t="s">
        <v>661</v>
      </c>
      <c r="C16" s="614"/>
      <c r="D16" s="612" t="s">
        <v>662</v>
      </c>
      <c r="E16" s="613"/>
      <c r="F16" s="613"/>
      <c r="G16" s="613"/>
      <c r="H16" s="613"/>
      <c r="I16" s="613"/>
      <c r="J16" s="613"/>
      <c r="K16" s="613"/>
      <c r="L16" s="613"/>
      <c r="M16" s="613"/>
      <c r="N16" s="614"/>
      <c r="O16" s="611" t="s">
        <v>663</v>
      </c>
      <c r="P16" s="611"/>
      <c r="Q16" s="611"/>
      <c r="R16" s="611" t="s">
        <v>664</v>
      </c>
      <c r="S16" s="611"/>
      <c r="T16" s="611"/>
      <c r="U16" s="611" t="s">
        <v>665</v>
      </c>
      <c r="V16" s="611"/>
      <c r="W16" s="611"/>
      <c r="X16" s="611"/>
      <c r="Y16" s="611"/>
    </row>
    <row r="17" ht="18.75" customHeight="1">
      <c r="B17" s="623">
        <v>1</v>
      </c>
      <c r="C17" s="624"/>
      <c r="D17" s="615" t="s">
        <v>666</v>
      </c>
      <c r="E17" s="616"/>
      <c r="F17" s="616"/>
      <c r="G17" s="616"/>
      <c r="H17" s="616"/>
      <c r="I17" s="616"/>
      <c r="J17" s="616"/>
      <c r="K17" s="616"/>
      <c r="L17" s="616"/>
      <c r="M17" s="616"/>
      <c r="N17" s="616"/>
      <c r="O17" s="617">
        <v>50000</v>
      </c>
      <c r="P17" s="618"/>
      <c r="Q17" s="619"/>
      <c r="R17" s="608">
        <f>AD17</f>
        <v>10</v>
      </c>
      <c r="S17" s="609"/>
      <c r="T17" s="610"/>
      <c r="U17" s="617">
        <f>O17*R17</f>
        <v>500000</v>
      </c>
      <c r="V17" s="618"/>
      <c r="W17" s="618"/>
      <c r="X17" s="618"/>
      <c r="Y17" s="619"/>
      <c r="AD17" s="274">
        <v>10</v>
      </c>
    </row>
    <row r="18" ht="18.75" customHeight="1">
      <c r="B18" s="612" t="s">
        <v>667</v>
      </c>
      <c r="C18" s="613"/>
      <c r="D18" s="613"/>
      <c r="E18" s="613"/>
      <c r="F18" s="613"/>
      <c r="G18" s="613"/>
      <c r="H18" s="613"/>
      <c r="I18" s="613"/>
      <c r="J18" s="613"/>
      <c r="K18" s="613"/>
      <c r="L18" s="613"/>
      <c r="M18" s="613"/>
      <c r="N18" s="613"/>
      <c r="O18" s="613"/>
      <c r="P18" s="613"/>
      <c r="Q18" s="613"/>
      <c r="R18" s="613"/>
      <c r="S18" s="613"/>
      <c r="T18" s="614"/>
      <c r="U18" s="620">
        <f>U17</f>
        <v>500000</v>
      </c>
      <c r="V18" s="621"/>
      <c r="W18" s="621"/>
      <c r="X18" s="621"/>
      <c r="Y18" s="622"/>
      <c r="AD18" s="281">
        <f>U18</f>
        <v>500000</v>
      </c>
    </row>
    <row r="19">
      <c r="B19" s="608" t="str">
        <f>"Bằng chữ: "&amp;AD19</f>
        <v>Bằng chữ: Ba triệu năm trăm ngàn đồng chẵn.</v>
      </c>
      <c r="C19" s="609"/>
      <c r="D19" s="609"/>
      <c r="E19" s="609"/>
      <c r="F19" s="609"/>
      <c r="G19" s="609"/>
      <c r="H19" s="609"/>
      <c r="I19" s="609"/>
      <c r="J19" s="609"/>
      <c r="K19" s="609"/>
      <c r="L19" s="609"/>
      <c r="M19" s="609"/>
      <c r="N19" s="609"/>
      <c r="O19" s="609"/>
      <c r="P19" s="609"/>
      <c r="Q19" s="609"/>
      <c r="R19" s="609"/>
      <c r="S19" s="609"/>
      <c r="T19" s="609"/>
      <c r="U19" s="609"/>
      <c r="V19" s="609"/>
      <c r="W19" s="609"/>
      <c r="X19" s="609"/>
      <c r="Y19" s="610"/>
      <c r="AD19" s="274" t="s">
        <v>668</v>
      </c>
    </row>
    <row r="20" ht="7.5" customHeight="1"/>
    <row r="21" ht="18" customHeight="1">
      <c r="B21" s="602" t="s">
        <v>669</v>
      </c>
      <c r="C21" s="602"/>
      <c r="D21" s="602"/>
      <c r="E21" s="602"/>
      <c r="F21" s="602"/>
      <c r="G21" s="602"/>
      <c r="H21" s="602"/>
      <c r="I21" s="602"/>
      <c r="J21" s="602" t="s">
        <v>670</v>
      </c>
      <c r="K21" s="602"/>
      <c r="L21" s="602"/>
      <c r="M21" s="602"/>
      <c r="N21" s="602"/>
      <c r="O21" s="602"/>
      <c r="P21" s="602"/>
      <c r="Q21" s="602"/>
      <c r="R21" s="602"/>
      <c r="S21" s="602"/>
      <c r="T21" s="602"/>
      <c r="U21" s="602"/>
      <c r="V21" s="602"/>
      <c r="W21" s="602"/>
      <c r="X21" s="602"/>
      <c r="Y21" s="602"/>
    </row>
    <row r="22" ht="18.75" customHeight="1">
      <c r="B22" s="602" t="s">
        <v>671</v>
      </c>
      <c r="C22" s="602"/>
      <c r="D22" s="602"/>
      <c r="E22" s="602"/>
      <c r="F22" s="602"/>
      <c r="G22" s="602"/>
      <c r="H22" s="602"/>
      <c r="I22" s="602"/>
      <c r="J22" s="602" t="s">
        <v>51</v>
      </c>
      <c r="K22" s="602"/>
      <c r="L22" s="602"/>
      <c r="M22" s="602"/>
      <c r="N22" s="602"/>
      <c r="O22" s="602"/>
      <c r="P22" s="602"/>
      <c r="Q22" s="602"/>
      <c r="R22" s="602"/>
      <c r="S22" s="602"/>
      <c r="T22" s="602"/>
      <c r="U22" s="602"/>
      <c r="V22" s="602"/>
      <c r="W22" s="602"/>
      <c r="X22" s="602"/>
      <c r="Y22" s="602"/>
    </row>
    <row r="23" ht="18" customHeight="1">
      <c r="B23" s="607"/>
      <c r="C23" s="607"/>
      <c r="D23" s="607"/>
      <c r="E23" s="607"/>
      <c r="F23" s="607"/>
      <c r="G23" s="607"/>
      <c r="H23" s="607"/>
      <c r="I23" s="607"/>
      <c r="J23" s="602" t="s">
        <v>672</v>
      </c>
      <c r="K23" s="602"/>
      <c r="L23" s="602"/>
      <c r="M23" s="602"/>
      <c r="N23" s="602"/>
      <c r="O23" s="602"/>
      <c r="P23" s="602"/>
      <c r="Q23" s="602"/>
      <c r="R23" s="602"/>
      <c r="S23" s="602"/>
      <c r="T23" s="602"/>
      <c r="U23" s="602"/>
      <c r="V23" s="602"/>
      <c r="W23" s="602"/>
      <c r="X23" s="602"/>
      <c r="Y23" s="602"/>
    </row>
    <row r="24" ht="16.5" customHeight="1">
      <c r="B24" s="602" t="s">
        <v>673</v>
      </c>
      <c r="C24" s="602"/>
      <c r="D24" s="602"/>
      <c r="E24" s="602"/>
      <c r="F24" s="602"/>
      <c r="G24" s="602"/>
      <c r="H24" s="602"/>
      <c r="I24" s="602"/>
      <c r="J24" s="602" t="s">
        <v>674</v>
      </c>
      <c r="K24" s="602"/>
      <c r="L24" s="602"/>
      <c r="M24" s="602"/>
      <c r="N24" s="602"/>
      <c r="O24" s="602"/>
      <c r="P24" s="602"/>
      <c r="Q24" s="602"/>
      <c r="R24" s="602"/>
      <c r="S24" s="602"/>
      <c r="T24" s="602"/>
      <c r="U24" s="602"/>
      <c r="V24" s="602"/>
      <c r="W24" s="602"/>
      <c r="X24" s="602"/>
      <c r="Y24" s="602"/>
    </row>
    <row r="25" ht="17.25" customHeight="1">
      <c r="J25" s="602" t="s">
        <v>675</v>
      </c>
      <c r="K25" s="602"/>
      <c r="L25" s="602"/>
      <c r="M25" s="602"/>
      <c r="N25" s="602"/>
      <c r="O25" s="602"/>
      <c r="P25" s="602"/>
      <c r="Q25" s="602"/>
      <c r="R25" s="602"/>
      <c r="S25" s="602"/>
      <c r="T25" s="602"/>
      <c r="U25" s="602"/>
      <c r="V25" s="602"/>
      <c r="W25" s="602"/>
      <c r="X25" s="602"/>
      <c r="Y25" s="602"/>
    </row>
    <row r="26" ht="47.25" customHeight="1">
      <c r="A26" s="603" t="s">
        <v>676</v>
      </c>
      <c r="B26" s="603"/>
      <c r="C26" s="603"/>
      <c r="D26" s="603"/>
      <c r="E26" s="603"/>
      <c r="F26" s="603"/>
      <c r="G26" s="603"/>
      <c r="H26" s="603"/>
      <c r="I26" s="603"/>
      <c r="J26" s="603"/>
      <c r="K26" s="603"/>
      <c r="L26" s="603"/>
      <c r="M26" s="603"/>
      <c r="N26" s="603"/>
      <c r="O26" s="603"/>
      <c r="P26" s="603"/>
      <c r="Q26" s="603"/>
      <c r="R26" s="603"/>
      <c r="S26" s="603"/>
      <c r="T26" s="603"/>
      <c r="U26" s="603"/>
      <c r="V26" s="603"/>
      <c r="W26" s="603"/>
      <c r="X26" s="603"/>
      <c r="Y26" s="603"/>
      <c r="Z26" s="603"/>
    </row>
    <row r="27" ht="14.25" customHeight="1">
      <c r="AD27" s="282"/>
      <c r="AE27" s="282" t="s">
        <v>121</v>
      </c>
      <c r="AF27" s="282"/>
      <c r="AG27" s="274" t="s">
        <v>122</v>
      </c>
      <c r="AI27" s="282" t="s">
        <v>123</v>
      </c>
      <c r="AK27" s="282"/>
      <c r="AL27" s="282"/>
      <c r="AN27" s="282"/>
      <c r="AO27" s="282"/>
      <c r="AP27" s="282"/>
      <c r="AQ27" s="282"/>
      <c r="AR27" s="282"/>
    </row>
    <row r="28" ht="16.5">
      <c r="A28" s="606" t="s">
        <v>677</v>
      </c>
      <c r="B28" s="606"/>
      <c r="C28" s="606"/>
      <c r="D28" s="606"/>
      <c r="E28" s="606"/>
      <c r="F28" s="606"/>
      <c r="G28" s="606"/>
      <c r="H28" s="606"/>
      <c r="I28" s="606"/>
      <c r="J28" s="606"/>
      <c r="K28" s="606"/>
      <c r="L28" s="606"/>
      <c r="M28" s="606"/>
      <c r="O28" s="601" t="str">
        <f>IF(AD34=0,AG27,IF(AD34=1,AE27,AI27))</f>
        <v>KT. GIÁM ĐỐC</v>
      </c>
      <c r="P28" s="601"/>
      <c r="Q28" s="601"/>
      <c r="R28" s="601"/>
      <c r="S28" s="601"/>
      <c r="T28" s="601"/>
      <c r="U28" s="601"/>
      <c r="V28" s="601"/>
      <c r="W28" s="601"/>
      <c r="X28" s="601"/>
      <c r="Y28" s="601"/>
      <c r="Z28" s="601"/>
      <c r="AD28" s="282"/>
      <c r="AF28" s="282"/>
      <c r="AG28" s="282" t="s">
        <v>127</v>
      </c>
      <c r="AH28" s="282"/>
      <c r="AI28" s="282" t="s">
        <v>128</v>
      </c>
      <c r="AK28" s="282"/>
      <c r="AL28" s="282"/>
      <c r="AN28" s="282"/>
      <c r="AO28" s="282"/>
      <c r="AP28" s="282"/>
      <c r="AQ28" s="282"/>
      <c r="AR28" s="282"/>
    </row>
    <row r="29">
      <c r="A29" s="283" t="s">
        <v>678</v>
      </c>
      <c r="B29" s="279"/>
      <c r="C29" s="279"/>
      <c r="D29" s="279"/>
      <c r="E29" s="279"/>
      <c r="F29" s="279"/>
      <c r="O29" s="600" t="str">
        <f>IF(AD34=0,AG28,IF(AD34=1,"",AI28))</f>
        <v>PHÓ GIÁM ĐỐC</v>
      </c>
      <c r="P29" s="600"/>
      <c r="Q29" s="600"/>
      <c r="R29" s="600"/>
      <c r="S29" s="600"/>
      <c r="T29" s="600"/>
      <c r="U29" s="600"/>
      <c r="V29" s="600"/>
      <c r="W29" s="600"/>
      <c r="X29" s="600"/>
      <c r="Y29" s="600"/>
      <c r="Z29" s="600"/>
      <c r="AD29" s="282"/>
      <c r="AE29" s="282"/>
      <c r="AF29" s="282"/>
      <c r="AG29" s="282"/>
      <c r="AH29" s="282"/>
      <c r="AI29" s="282"/>
      <c r="AK29" s="282"/>
      <c r="AL29" s="282"/>
      <c r="AM29" s="282"/>
      <c r="AN29" s="282"/>
      <c r="AO29" s="282"/>
      <c r="AP29" s="282"/>
      <c r="AQ29" s="282"/>
      <c r="AR29" s="282"/>
    </row>
    <row r="30">
      <c r="A30" s="283" t="str">
        <f>IF(AD34=1,AD31,AD30:AD31)</f>
        <v>-    GĐTT (để báo cáo);</v>
      </c>
      <c r="B30" s="279"/>
      <c r="C30" s="279"/>
      <c r="D30" s="279"/>
      <c r="E30" s="279"/>
      <c r="F30" s="279"/>
      <c r="AD30" s="283" t="s">
        <v>679</v>
      </c>
      <c r="AE30" s="282"/>
      <c r="AF30" s="282"/>
      <c r="AG30" s="282"/>
      <c r="AH30" s="282"/>
      <c r="AI30" s="282"/>
      <c r="AK30" s="282"/>
      <c r="AL30" s="282"/>
      <c r="AM30" s="282"/>
      <c r="AN30" s="282"/>
      <c r="AO30" s="282"/>
      <c r="AP30" s="282"/>
      <c r="AQ30" s="282"/>
      <c r="AR30" s="282"/>
    </row>
    <row r="31" ht="16.5" customHeight="1">
      <c r="A31" s="283" t="str">
        <f>IF(AD34=1,"",AD31)</f>
        <v>-    Lưu: PTH, PKĐ.</v>
      </c>
      <c r="AD31" s="283" t="s">
        <v>680</v>
      </c>
      <c r="AE31" s="282"/>
      <c r="AF31" s="282"/>
      <c r="AG31" s="282"/>
      <c r="AH31" s="282"/>
      <c r="AI31" s="282"/>
      <c r="AK31" s="282"/>
      <c r="AL31" s="282"/>
      <c r="AM31" s="282"/>
      <c r="AN31" s="282"/>
      <c r="AO31" s="282"/>
      <c r="AP31" s="282"/>
      <c r="AQ31" s="282"/>
      <c r="AR31" s="282"/>
    </row>
    <row r="32" ht="16.5" customHeight="1">
      <c r="AD32" s="282"/>
      <c r="AE32" s="282"/>
      <c r="AF32" s="282"/>
      <c r="AG32" s="282"/>
      <c r="AH32" s="282"/>
      <c r="AI32" s="282"/>
      <c r="AK32" s="282"/>
      <c r="AL32" s="282"/>
      <c r="AM32" s="282"/>
      <c r="AN32" s="282"/>
      <c r="AO32" s="282"/>
      <c r="AP32" s="282"/>
      <c r="AQ32" s="282"/>
      <c r="AR32" s="282"/>
    </row>
    <row r="33" ht="16.5" customHeight="1">
      <c r="O33" s="284"/>
      <c r="P33" s="284"/>
      <c r="Q33" s="284"/>
      <c r="R33" s="284"/>
      <c r="S33" s="284"/>
      <c r="T33" s="284"/>
      <c r="U33" s="284"/>
      <c r="V33" s="284"/>
      <c r="W33" s="284"/>
      <c r="X33" s="284"/>
      <c r="Y33" s="284"/>
      <c r="Z33" s="284"/>
      <c r="AD33" s="282"/>
      <c r="AE33" s="282"/>
      <c r="AF33" s="282"/>
      <c r="AG33" s="282"/>
      <c r="AH33" s="282"/>
      <c r="AI33" s="282"/>
      <c r="AK33" s="282"/>
      <c r="AL33" s="282"/>
      <c r="AM33" s="282"/>
      <c r="AN33" s="282"/>
      <c r="AO33" s="282"/>
      <c r="AP33" s="282"/>
      <c r="AQ33" s="282"/>
      <c r="AR33" s="282"/>
    </row>
    <row r="34" ht="16.5" customHeight="1">
      <c r="O34" s="601" t="str">
        <f>IF(AD34=0,AG34,IF(AD34=1,AE34,AI34))</f>
        <v>Trần Công Khanh</v>
      </c>
      <c r="P34" s="601"/>
      <c r="Q34" s="601"/>
      <c r="R34" s="601"/>
      <c r="S34" s="601"/>
      <c r="T34" s="601"/>
      <c r="U34" s="601"/>
      <c r="V34" s="601"/>
      <c r="W34" s="601"/>
      <c r="X34" s="601"/>
      <c r="Y34" s="601"/>
      <c r="Z34" s="601"/>
      <c r="AD34" s="282">
        <v>0</v>
      </c>
      <c r="AE34" s="282" t="s">
        <v>131</v>
      </c>
      <c r="AF34" s="282"/>
      <c r="AG34" s="282" t="s">
        <v>132</v>
      </c>
      <c r="AH34" s="282"/>
      <c r="AI34" s="282" t="s">
        <v>133</v>
      </c>
      <c r="AK34" s="282"/>
      <c r="AL34" s="282"/>
      <c r="AM34" s="282"/>
      <c r="AO34" s="282"/>
      <c r="AP34" s="282"/>
      <c r="AQ34" s="282"/>
      <c r="AR34" s="282"/>
    </row>
  </sheetData>
  <sheetProtection sheet="1" objects="1" scenarios="1"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10"/>
  <sheetViews>
    <sheetView view="pageLayout" topLeftCell="D7" workbookViewId="0">
      <selection activeCell="G5" sqref="G5"/>
    </sheetView>
  </sheetViews>
  <sheetFormatPr defaultColWidth="9.140625" defaultRowHeight="15"/>
  <cols>
    <col min="1" max="1" width="6.7109375" customWidth="1" style="377"/>
    <col min="2" max="2" width="13" customWidth="1" style="377"/>
    <col min="3" max="3" width="46.7109375" customWidth="1" style="377"/>
    <col min="4" max="4" width="26.28515625" customWidth="1" style="377"/>
    <col min="5" max="5" width="4.85546875" customWidth="1" style="209"/>
    <col min="6" max="6" width="9.28515625" customWidth="1" style="209"/>
    <col min="7" max="7" width="10" customWidth="1" style="209"/>
    <col min="8" max="8" width="25.140625" customWidth="1" style="209"/>
    <col min="9" max="9" width="10.28515625" customWidth="1" style="209"/>
    <col min="10" max="10" width="6.140625" customWidth="1" style="209"/>
    <col min="11" max="11" width="6.28515625" customWidth="1" style="209"/>
    <col min="12" max="12" width="6.7109375" customWidth="1" style="209"/>
    <col min="13" max="13" width="15.5703125" customWidth="1" style="209"/>
    <col min="14" max="107" width="3.140625" customWidth="1" style="209"/>
    <col min="108" max="16384" width="9.140625" customWidth="1" style="209"/>
  </cols>
  <sheetData>
    <row r="1" ht="16.5" customHeight="1">
      <c r="A1" s="631" t="s">
        <v>681</v>
      </c>
      <c r="B1" s="631"/>
      <c r="C1" s="631"/>
      <c r="D1" s="631"/>
      <c r="E1" s="631" t="s">
        <v>681</v>
      </c>
      <c r="F1" s="631"/>
      <c r="G1" s="631"/>
      <c r="H1" s="631"/>
      <c r="I1" s="631"/>
      <c r="J1" s="631"/>
      <c r="K1" s="631"/>
      <c r="L1" s="631"/>
      <c r="M1" s="631"/>
    </row>
    <row r="2" ht="15.75" customHeight="1">
      <c r="A2" s="632" t="s">
        <v>682</v>
      </c>
      <c r="B2" s="632"/>
      <c r="C2" s="632"/>
      <c r="D2" s="632"/>
      <c r="E2" s="632" t="s">
        <v>683</v>
      </c>
      <c r="F2" s="632"/>
      <c r="G2" s="632"/>
      <c r="H2" s="632"/>
      <c r="I2" s="632"/>
      <c r="J2" s="632"/>
      <c r="K2" s="632"/>
      <c r="L2" s="632"/>
      <c r="M2" s="632"/>
    </row>
    <row r="3" ht="15.75" customHeight="1" s="285" customFormat="1">
      <c r="A3" s="633"/>
      <c r="B3" s="633"/>
      <c r="C3" s="633"/>
      <c r="D3" s="633"/>
    </row>
    <row r="4" ht="52.5">
      <c r="A4" s="286" t="s">
        <v>661</v>
      </c>
      <c r="B4" s="286" t="s">
        <v>95</v>
      </c>
      <c r="C4" s="286" t="s">
        <v>93</v>
      </c>
      <c r="D4" s="349" t="s">
        <v>684</v>
      </c>
      <c r="E4" s="287" t="s">
        <v>661</v>
      </c>
      <c r="F4" s="287" t="s">
        <v>685</v>
      </c>
      <c r="G4" s="287" t="s">
        <v>95</v>
      </c>
      <c r="H4" s="287" t="s">
        <v>93</v>
      </c>
      <c r="I4" s="287" t="s">
        <v>686</v>
      </c>
      <c r="J4" s="287" t="s">
        <v>687</v>
      </c>
      <c r="K4" s="287" t="s">
        <v>688</v>
      </c>
      <c r="L4" s="287" t="s">
        <v>689</v>
      </c>
      <c r="M4" s="287" t="s">
        <v>690</v>
      </c>
    </row>
    <row r="5" ht="63.75">
      <c r="A5" s="288">
        <v>1</v>
      </c>
      <c r="B5" s="288" t="s">
        <v>691</v>
      </c>
      <c r="C5" s="289" t="s">
        <v>692</v>
      </c>
      <c r="D5" s="288" t="s">
        <v>693</v>
      </c>
      <c r="E5" s="290">
        <f>A5</f>
        <v>1</v>
      </c>
      <c r="F5" s="291"/>
      <c r="G5" s="291">
        <v>43423</v>
      </c>
      <c r="H5" s="292" t="str">
        <f>C5</f>
        <v>Số 47, đường Hoàng Văn Thụ, khu dân cư Chánh Nghĩa, phường Chánh Nghĩa, thành phố Thủ Dầu Một, tỉnh Bình Dương.</v>
      </c>
      <c r="I5" s="291" t="s">
        <v>694</v>
      </c>
      <c r="J5" s="290">
        <v>0</v>
      </c>
      <c r="K5" s="291">
        <v>0</v>
      </c>
      <c r="L5" s="290"/>
      <c r="M5" s="291" t="str">
        <f>D5</f>
        <v>B00300040319TG05</v>
      </c>
    </row>
    <row r="6" ht="51">
      <c r="A6" s="288">
        <v>2</v>
      </c>
      <c r="B6" s="288" t="s">
        <v>695</v>
      </c>
      <c r="C6" s="289" t="s">
        <v>696</v>
      </c>
      <c r="D6" s="288" t="s">
        <v>697</v>
      </c>
      <c r="E6" s="290">
        <f ref="E6:E10" t="shared" si="0">A6</f>
        <v>2</v>
      </c>
      <c r="F6" s="291"/>
      <c r="G6" s="291">
        <v>43423</v>
      </c>
      <c r="H6" s="292" t="str">
        <f ref="H6:H10" t="shared" si="1">C6</f>
        <v>Số 74, đường Bùi Quốc Khánh, phường Chánh Nghĩa, thành phố Thủ Dầu Một, tỉnh Bình Dương.</v>
      </c>
      <c r="I6" s="291" t="s">
        <v>698</v>
      </c>
      <c r="J6" s="290">
        <v>0</v>
      </c>
      <c r="K6" s="291">
        <v>0</v>
      </c>
      <c r="L6" s="290"/>
      <c r="M6" s="291" t="str">
        <f ref="M6:M10" t="shared" si="2">D6</f>
        <v>B00301040319TG05</v>
      </c>
    </row>
    <row r="7" ht="51">
      <c r="A7" s="288">
        <v>3</v>
      </c>
      <c r="B7" s="288" t="s">
        <v>699</v>
      </c>
      <c r="C7" s="289" t="s">
        <v>700</v>
      </c>
      <c r="D7" s="288" t="s">
        <v>701</v>
      </c>
      <c r="E7" s="290">
        <f t="shared" si="0"/>
        <v>3</v>
      </c>
      <c r="F7" s="291"/>
      <c r="G7" s="291">
        <v>43423</v>
      </c>
      <c r="H7" s="292" t="str">
        <f t="shared" si="1"/>
        <v>Số 104/6, đường Bàu Bàng, phường Chánh Nghĩa, thành phố Thủ Dầu Một, tỉnh Bình Dương.</v>
      </c>
      <c r="I7" s="291" t="s">
        <v>702</v>
      </c>
      <c r="J7" s="290">
        <v>0</v>
      </c>
      <c r="K7" s="291">
        <v>0</v>
      </c>
      <c r="L7" s="290"/>
      <c r="M7" s="291" t="str">
        <f t="shared" si="2"/>
        <v>B00302040319TG05</v>
      </c>
    </row>
    <row r="8" ht="51">
      <c r="A8" s="288">
        <v>4</v>
      </c>
      <c r="B8" s="288" t="s">
        <v>703</v>
      </c>
      <c r="C8" s="289" t="s">
        <v>704</v>
      </c>
      <c r="D8" s="288" t="s">
        <v>705</v>
      </c>
      <c r="E8" s="290">
        <f t="shared" si="0"/>
        <v>4</v>
      </c>
      <c r="F8" s="291"/>
      <c r="G8" s="291">
        <v>43423</v>
      </c>
      <c r="H8" s="292" t="str">
        <f t="shared" si="1"/>
        <v>Số 3, đường Chùa Hội Khánh, phường Phú Cường, thành phố Thủ Dầu Một, tỉnh Bình Dương.</v>
      </c>
      <c r="I8" s="291" t="s">
        <v>706</v>
      </c>
      <c r="J8" s="290">
        <v>0</v>
      </c>
      <c r="K8" s="291">
        <v>0</v>
      </c>
      <c r="L8" s="290"/>
      <c r="M8" s="291" t="str">
        <f t="shared" si="2"/>
        <v>B00303040319TG05</v>
      </c>
    </row>
    <row r="9" ht="51">
      <c r="A9" s="288">
        <v>5</v>
      </c>
      <c r="B9" s="288" t="s">
        <v>707</v>
      </c>
      <c r="C9" s="289" t="s">
        <v>708</v>
      </c>
      <c r="D9" s="288" t="s">
        <v>709</v>
      </c>
      <c r="E9" s="290">
        <f t="shared" si="0"/>
        <v>5</v>
      </c>
      <c r="F9" s="291"/>
      <c r="G9" s="291">
        <v>43423</v>
      </c>
      <c r="H9" s="292" t="str">
        <f t="shared" si="1"/>
        <v>Số 54-D2, khu dân cư Phú Hòa, phường Phú Hòa, thành phố Thủ Dầu Một, tỉnh Bình Dương.</v>
      </c>
      <c r="I9" s="291" t="s">
        <v>710</v>
      </c>
      <c r="J9" s="290">
        <v>0</v>
      </c>
      <c r="K9" s="291">
        <v>0</v>
      </c>
      <c r="L9" s="290"/>
      <c r="M9" s="291" t="str">
        <f t="shared" si="2"/>
        <v>B00304040319TG05</v>
      </c>
    </row>
    <row r="10" ht="51">
      <c r="A10" s="288">
        <v>6</v>
      </c>
      <c r="B10" s="288" t="s">
        <v>711</v>
      </c>
      <c r="C10" s="289" t="s">
        <v>712</v>
      </c>
      <c r="D10" s="288" t="s">
        <v>713</v>
      </c>
      <c r="E10" s="290">
        <f t="shared" si="0"/>
        <v>6</v>
      </c>
      <c r="F10" s="291"/>
      <c r="G10" s="291">
        <v>43423</v>
      </c>
      <c r="H10" s="292" t="str">
        <f t="shared" si="1"/>
        <v>Số 108/15, đường 30 Tháng 4, khu phố 2, phường Phú Hòa, thành phố Thủ Dầu Một, tỉnh Bình Dương.</v>
      </c>
      <c r="I10" s="291" t="s">
        <v>714</v>
      </c>
      <c r="J10" s="290">
        <v>0</v>
      </c>
      <c r="K10" s="291">
        <v>0</v>
      </c>
      <c r="L10" s="290"/>
      <c r="M10" s="291"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
  <sheetViews>
    <sheetView workbookViewId="0">
      <selection activeCell="I5" sqref="I5"/>
    </sheetView>
  </sheetViews>
  <sheetFormatPr defaultColWidth="9.140625" defaultRowHeight="15"/>
  <cols>
    <col min="1" max="1" width="5.140625" customWidth="1" style="294"/>
    <col min="2" max="2" width="12.7109375" customWidth="1" style="294"/>
    <col min="3" max="3" width="39.140625" customWidth="1" style="208"/>
    <col min="4" max="4" width="13.140625" customWidth="1" style="294"/>
    <col min="5" max="5" width="20.5703125" customWidth="1" style="294"/>
    <col min="6" max="6" width="21.28515625" customWidth="1" style="294"/>
    <col min="7" max="7" width="11.5703125" customWidth="1" style="207"/>
    <col min="8" max="8" width="9.85546875" customWidth="1" style="294"/>
    <col min="9" max="9" width="34" customWidth="1" style="585"/>
    <col min="10" max="16384" width="9.140625" customWidth="1" style="207"/>
  </cols>
  <sheetData>
    <row r="1" ht="7.5" customHeight="1">
      <c r="A1" s="201"/>
      <c r="B1" s="201"/>
      <c r="C1" s="202"/>
      <c r="D1" s="201"/>
      <c r="E1" s="201"/>
      <c r="F1" s="201"/>
      <c r="G1" s="293"/>
      <c r="H1" s="201"/>
      <c r="I1" s="588"/>
    </row>
    <row r="2">
      <c r="C2" s="634" t="s">
        <v>715</v>
      </c>
      <c r="D2" s="634"/>
      <c r="E2" s="634"/>
      <c r="F2" s="634"/>
      <c r="G2" s="634"/>
      <c r="I2" s="588"/>
    </row>
    <row r="3" ht="9.75" customHeight="1">
      <c r="A3" s="295"/>
      <c r="B3" s="295"/>
      <c r="C3" s="296"/>
      <c r="D3" s="295"/>
      <c r="E3" s="295"/>
      <c r="F3" s="295"/>
      <c r="G3" s="297"/>
      <c r="H3" s="295"/>
      <c r="I3" s="588"/>
    </row>
    <row r="4" ht="36" customHeight="1">
      <c r="A4" s="298" t="s">
        <v>661</v>
      </c>
      <c r="B4" s="301" t="s">
        <v>716</v>
      </c>
      <c r="C4" s="299" t="s">
        <v>93</v>
      </c>
      <c r="D4" s="298" t="s">
        <v>717</v>
      </c>
      <c r="E4" s="300" t="s">
        <v>718</v>
      </c>
      <c r="F4" s="300" t="s">
        <v>719</v>
      </c>
      <c r="G4" s="301" t="s">
        <v>720</v>
      </c>
      <c r="H4" s="301" t="s">
        <v>721</v>
      </c>
      <c r="I4" s="300" t="s">
        <v>722</v>
      </c>
    </row>
    <row r="5" ht="45" s="378" customFormat="1">
      <c r="A5" s="350">
        <v>1</v>
      </c>
      <c r="B5" s="350" t="s">
        <v>617</v>
      </c>
      <c r="C5" s="351" t="s">
        <v>618</v>
      </c>
      <c r="D5" s="352" t="s">
        <v>6</v>
      </c>
      <c r="E5" s="350" t="s">
        <v>723</v>
      </c>
      <c r="F5" s="350" t="s">
        <v>621</v>
      </c>
      <c r="G5" s="353">
        <v>43423</v>
      </c>
      <c r="H5" s="350">
        <v>3</v>
      </c>
      <c r="I5" s="354" t="s">
        <v>633</v>
      </c>
    </row>
    <row r="6" ht="45" s="378" customFormat="1">
      <c r="A6" s="350">
        <v>2</v>
      </c>
      <c r="B6" s="350" t="s">
        <v>724</v>
      </c>
      <c r="C6" s="351" t="s">
        <v>725</v>
      </c>
      <c r="D6" s="352" t="s">
        <v>6</v>
      </c>
      <c r="E6" s="350" t="s">
        <v>726</v>
      </c>
      <c r="F6" s="350" t="s">
        <v>727</v>
      </c>
      <c r="G6" s="353">
        <v>43423</v>
      </c>
      <c r="H6" s="350">
        <v>4</v>
      </c>
      <c r="I6" s="354" t="s">
        <v>728</v>
      </c>
    </row>
    <row r="7" ht="45" s="378" customFormat="1">
      <c r="A7" s="350">
        <v>3</v>
      </c>
      <c r="B7" s="350" t="s">
        <v>729</v>
      </c>
      <c r="C7" s="351" t="s">
        <v>730</v>
      </c>
      <c r="D7" s="352" t="s">
        <v>6</v>
      </c>
      <c r="E7" s="350" t="s">
        <v>731</v>
      </c>
      <c r="F7" s="350" t="s">
        <v>732</v>
      </c>
      <c r="G7" s="353">
        <v>43423</v>
      </c>
      <c r="H7" s="350">
        <v>3</v>
      </c>
      <c r="I7" s="354" t="s">
        <v>633</v>
      </c>
    </row>
    <row r="8" ht="45" s="378" customFormat="1">
      <c r="A8" s="350">
        <v>4</v>
      </c>
      <c r="B8" s="350" t="s">
        <v>733</v>
      </c>
      <c r="C8" s="351" t="s">
        <v>734</v>
      </c>
      <c r="D8" s="352" t="s">
        <v>6</v>
      </c>
      <c r="E8" s="350" t="s">
        <v>735</v>
      </c>
      <c r="F8" s="350" t="s">
        <v>736</v>
      </c>
      <c r="G8" s="353">
        <v>43423</v>
      </c>
      <c r="H8" s="350">
        <v>4</v>
      </c>
      <c r="I8" s="354" t="s">
        <v>728</v>
      </c>
    </row>
  </sheetData>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82"/>
    <col min="2" max="2" width="2" customWidth="1" style="282"/>
    <col min="3" max="15" width="3.140625" customWidth="1" style="282"/>
    <col min="16" max="29" width="3.140625" customWidth="1" style="282"/>
    <col min="30" max="30" width="6" customWidth="1" style="282"/>
    <col min="31" max="31" width="3.140625" customWidth="1" style="304"/>
    <col min="32" max="32" width="3.140625" customWidth="1" style="282"/>
    <col min="33" max="33" bestFit="1" width="3.5703125" customWidth="1" style="282"/>
    <col min="34" max="44" width="3.140625" customWidth="1" style="282"/>
    <col min="45" max="45" bestFit="1" width="5" customWidth="1" style="282"/>
    <col min="46" max="16384" width="3.140625" customWidth="1" style="282"/>
  </cols>
  <sheetData>
    <row r="1" ht="19.7" customHeight="1">
      <c r="B1" s="657" t="s">
        <v>84</v>
      </c>
      <c r="C1" s="657"/>
      <c r="D1" s="657"/>
      <c r="E1" s="657"/>
      <c r="F1" s="657"/>
      <c r="G1" s="657"/>
      <c r="H1" s="657"/>
      <c r="I1" s="657"/>
      <c r="J1" s="657"/>
      <c r="K1" s="657"/>
      <c r="L1" s="657"/>
      <c r="M1" s="657"/>
      <c r="P1" s="638" t="s">
        <v>85</v>
      </c>
      <c r="Q1" s="638"/>
      <c r="R1" s="638"/>
      <c r="S1" s="638"/>
      <c r="T1" s="638"/>
      <c r="U1" s="638"/>
      <c r="V1" s="638"/>
      <c r="W1" s="638"/>
      <c r="X1" s="638"/>
      <c r="Y1" s="638"/>
      <c r="Z1" s="638"/>
      <c r="AA1" s="638"/>
      <c r="AB1" s="638"/>
      <c r="AC1" s="638"/>
      <c r="AD1" s="638"/>
      <c r="AE1" s="302"/>
    </row>
    <row r="2" ht="19.7" customHeight="1">
      <c r="C2" s="657" t="s">
        <v>86</v>
      </c>
      <c r="D2" s="657"/>
      <c r="E2" s="657"/>
      <c r="F2" s="657"/>
      <c r="G2" s="657"/>
      <c r="H2" s="657"/>
      <c r="I2" s="657"/>
      <c r="J2" s="657"/>
      <c r="K2" s="657"/>
      <c r="L2" s="657"/>
      <c r="N2" s="303"/>
      <c r="P2" s="646" t="s">
        <v>87</v>
      </c>
      <c r="Q2" s="646"/>
      <c r="R2" s="646"/>
      <c r="S2" s="646"/>
      <c r="T2" s="646"/>
      <c r="U2" s="646"/>
      <c r="V2" s="646"/>
      <c r="W2" s="646"/>
      <c r="X2" s="646"/>
      <c r="Y2" s="646"/>
      <c r="Z2" s="646"/>
      <c r="AA2" s="646"/>
      <c r="AB2" s="646"/>
      <c r="AC2" s="646"/>
      <c r="AD2" s="646"/>
    </row>
    <row r="3" ht="12" customHeight="1">
      <c r="C3" s="305"/>
      <c r="D3" s="305"/>
      <c r="E3" s="306"/>
      <c r="F3" s="306"/>
      <c r="G3" s="306"/>
      <c r="H3" s="306"/>
      <c r="I3" s="306"/>
      <c r="J3" s="306"/>
      <c r="K3" s="305"/>
      <c r="L3" s="590"/>
      <c r="M3" s="305"/>
      <c r="N3" s="305"/>
      <c r="O3" s="305"/>
      <c r="P3" s="305"/>
      <c r="Q3" s="307"/>
      <c r="R3" s="307"/>
      <c r="S3" s="306"/>
      <c r="T3" s="306"/>
      <c r="U3" s="306"/>
      <c r="V3" s="306"/>
      <c r="W3" s="306"/>
      <c r="X3" s="306"/>
      <c r="Y3" s="306"/>
      <c r="Z3" s="306"/>
      <c r="AA3" s="306"/>
    </row>
    <row r="4" ht="8.25" customHeight="1">
      <c r="C4" s="308"/>
      <c r="D4" s="308"/>
      <c r="E4" s="309"/>
      <c r="F4" s="309"/>
      <c r="G4" s="309"/>
      <c r="H4" s="309"/>
      <c r="I4" s="309"/>
      <c r="J4" s="309"/>
      <c r="K4" s="309"/>
      <c r="L4" s="310"/>
      <c r="M4" s="310"/>
      <c r="N4" s="310"/>
      <c r="O4" s="310"/>
      <c r="P4" s="309"/>
      <c r="Q4" s="311"/>
      <c r="R4" s="311"/>
      <c r="S4" s="311"/>
      <c r="T4" s="311"/>
      <c r="U4" s="311"/>
      <c r="V4" s="311"/>
      <c r="W4" s="311"/>
      <c r="X4" s="311"/>
      <c r="Y4" s="311"/>
      <c r="Z4" s="311"/>
      <c r="AA4" s="311"/>
      <c r="AB4" s="311"/>
      <c r="AC4" s="311"/>
      <c r="AD4" s="311"/>
    </row>
    <row r="5" hidden="1" ht="9.75" customHeight="1">
      <c r="C5" s="312"/>
      <c r="D5" s="312"/>
      <c r="E5" s="305"/>
      <c r="F5" s="305"/>
      <c r="G5" s="305"/>
      <c r="H5" s="305"/>
      <c r="I5" s="305"/>
      <c r="J5" s="305"/>
      <c r="K5" s="305"/>
      <c r="L5" s="305"/>
      <c r="M5" s="305"/>
      <c r="N5" s="305"/>
      <c r="O5" s="305"/>
      <c r="P5" s="305"/>
      <c r="Q5" s="305"/>
      <c r="R5" s="305"/>
      <c r="S5" s="305"/>
      <c r="T5" s="305"/>
      <c r="U5" s="305"/>
      <c r="V5" s="305"/>
      <c r="W5" s="305"/>
      <c r="X5" s="305"/>
      <c r="Y5" s="305"/>
      <c r="Z5" s="305"/>
      <c r="AA5" s="305"/>
    </row>
    <row r="6" ht="19.7" customHeight="1">
      <c r="C6" s="650" t="s">
        <v>88</v>
      </c>
      <c r="D6" s="650"/>
      <c r="E6" s="650"/>
      <c r="F6" s="650"/>
      <c r="G6" s="650"/>
      <c r="H6" s="650"/>
      <c r="I6" s="650"/>
      <c r="J6" s="650"/>
      <c r="K6" s="650"/>
      <c r="L6" s="650"/>
      <c r="M6" s="650"/>
      <c r="N6" s="650"/>
      <c r="O6" s="650"/>
      <c r="P6" s="650"/>
      <c r="Q6" s="650"/>
      <c r="R6" s="650"/>
      <c r="S6" s="650"/>
      <c r="T6" s="650"/>
      <c r="U6" s="650"/>
      <c r="V6" s="650"/>
      <c r="W6" s="650"/>
      <c r="X6" s="650"/>
      <c r="Y6" s="650"/>
      <c r="Z6" s="650"/>
      <c r="AA6" s="650"/>
      <c r="AB6" s="650"/>
      <c r="AC6" s="650"/>
      <c r="AD6" s="650"/>
    </row>
    <row r="7" ht="19.7" customHeight="1">
      <c r="C7" s="650" t="s">
        <v>89</v>
      </c>
      <c r="D7" s="650"/>
      <c r="E7" s="650"/>
      <c r="F7" s="650"/>
      <c r="G7" s="650"/>
      <c r="H7" s="650"/>
      <c r="I7" s="650"/>
      <c r="J7" s="650"/>
      <c r="K7" s="650"/>
      <c r="L7" s="650"/>
      <c r="M7" s="650"/>
      <c r="N7" s="650"/>
      <c r="O7" s="650"/>
      <c r="P7" s="650"/>
      <c r="Q7" s="650"/>
      <c r="R7" s="650"/>
      <c r="S7" s="650"/>
      <c r="T7" s="650"/>
      <c r="U7" s="650"/>
      <c r="V7" s="650"/>
      <c r="W7" s="650"/>
      <c r="X7" s="650"/>
      <c r="Y7" s="650"/>
      <c r="Z7" s="650"/>
      <c r="AA7" s="650"/>
      <c r="AB7" s="650"/>
      <c r="AC7" s="650"/>
      <c r="AD7" s="650"/>
    </row>
    <row r="8" ht="10.5" customHeight="1">
      <c r="C8" s="313"/>
      <c r="D8" s="314"/>
      <c r="E8" s="314"/>
      <c r="F8" s="314"/>
      <c r="G8" s="314"/>
      <c r="H8" s="314"/>
      <c r="I8" s="314"/>
      <c r="J8" s="314"/>
      <c r="K8" s="314"/>
      <c r="L8" s="314"/>
      <c r="M8" s="314"/>
      <c r="N8" s="314"/>
      <c r="O8" s="314"/>
      <c r="P8" s="314"/>
      <c r="Q8" s="314"/>
      <c r="R8" s="314"/>
      <c r="S8" s="314"/>
      <c r="T8" s="314"/>
      <c r="U8" s="314"/>
      <c r="V8" s="314"/>
      <c r="W8" s="314"/>
      <c r="X8" s="314"/>
      <c r="Y8" s="314"/>
      <c r="Z8" s="314"/>
      <c r="AA8" s="314"/>
      <c r="AB8" s="315"/>
      <c r="AC8" s="315"/>
      <c r="AD8" s="315"/>
    </row>
    <row r="9" ht="15.75" customHeight="1">
      <c r="C9" s="658" t="str">
        <f>"Số: "&amp;AG9</f>
        <v>Số: B08600120811TG05</v>
      </c>
      <c r="D9" s="658"/>
      <c r="E9" s="658"/>
      <c r="F9" s="658"/>
      <c r="G9" s="658"/>
      <c r="H9" s="658"/>
      <c r="I9" s="658"/>
      <c r="J9" s="658"/>
      <c r="K9" s="658"/>
      <c r="L9" s="658"/>
      <c r="M9" s="658"/>
      <c r="N9" s="658"/>
      <c r="O9" s="658"/>
      <c r="P9" s="658"/>
      <c r="Q9" s="658"/>
      <c r="R9" s="658"/>
      <c r="S9" s="658"/>
      <c r="T9" s="658"/>
      <c r="U9" s="658"/>
      <c r="V9" s="658"/>
      <c r="W9" s="658"/>
      <c r="X9" s="658"/>
      <c r="Y9" s="658"/>
      <c r="Z9" s="658"/>
      <c r="AA9" s="658"/>
      <c r="AB9" s="658"/>
      <c r="AC9" s="658"/>
      <c r="AD9" s="658"/>
      <c r="AG9" s="316" t="s">
        <v>90</v>
      </c>
    </row>
    <row r="10" ht="11.25" customHeight="1">
      <c r="C10" s="317"/>
      <c r="D10" s="314"/>
      <c r="E10" s="314"/>
      <c r="F10" s="314"/>
      <c r="G10" s="314"/>
      <c r="H10" s="314"/>
      <c r="I10" s="314"/>
      <c r="J10" s="314"/>
      <c r="K10" s="314"/>
      <c r="L10" s="314"/>
      <c r="M10" s="314"/>
      <c r="N10" s="314"/>
      <c r="O10" s="314"/>
      <c r="P10" s="314"/>
      <c r="Q10" s="314"/>
      <c r="R10" s="314"/>
      <c r="S10" s="314"/>
      <c r="T10" s="314"/>
      <c r="U10" s="314"/>
      <c r="V10" s="314"/>
      <c r="W10" s="314"/>
      <c r="X10" s="314"/>
      <c r="Y10" s="314"/>
      <c r="Z10" s="314"/>
      <c r="AA10" s="314"/>
      <c r="AB10" s="315"/>
      <c r="AC10" s="315"/>
      <c r="AD10" s="315"/>
    </row>
    <row r="11" ht="19.7" customHeight="1">
      <c r="C11" s="650" t="s">
        <v>91</v>
      </c>
      <c r="D11" s="650"/>
      <c r="E11" s="650"/>
      <c r="F11" s="650"/>
      <c r="G11" s="650"/>
      <c r="H11" s="650"/>
      <c r="I11" s="650"/>
      <c r="J11" s="650"/>
      <c r="K11" s="650"/>
      <c r="L11" s="650"/>
      <c r="M11" s="650"/>
      <c r="N11" s="650"/>
      <c r="O11" s="650"/>
      <c r="P11" s="650"/>
      <c r="Q11" s="650"/>
      <c r="R11" s="650"/>
      <c r="S11" s="650"/>
      <c r="T11" s="650"/>
      <c r="U11" s="650"/>
      <c r="V11" s="650"/>
      <c r="W11" s="650"/>
      <c r="X11" s="650"/>
      <c r="Y11" s="650"/>
      <c r="Z11" s="650"/>
      <c r="AA11" s="650"/>
      <c r="AB11" s="650"/>
      <c r="AC11" s="650"/>
      <c r="AD11" s="650"/>
    </row>
    <row r="12" ht="19.7" customHeight="1">
      <c r="C12" s="650" t="s">
        <v>92</v>
      </c>
      <c r="D12" s="650"/>
      <c r="E12" s="650"/>
      <c r="F12" s="650"/>
      <c r="G12" s="650"/>
      <c r="H12" s="650"/>
      <c r="I12" s="650"/>
      <c r="J12" s="650"/>
      <c r="K12" s="650"/>
      <c r="L12" s="650"/>
      <c r="M12" s="650"/>
      <c r="N12" s="650"/>
      <c r="O12" s="650"/>
      <c r="P12" s="650"/>
      <c r="Q12" s="650"/>
      <c r="R12" s="650"/>
      <c r="S12" s="650"/>
      <c r="T12" s="650"/>
      <c r="U12" s="650"/>
      <c r="V12" s="650"/>
      <c r="W12" s="650"/>
      <c r="X12" s="650"/>
      <c r="Y12" s="650"/>
      <c r="Z12" s="650"/>
      <c r="AA12" s="650"/>
      <c r="AB12" s="650"/>
      <c r="AC12" s="650"/>
      <c r="AD12" s="650"/>
    </row>
    <row r="13" ht="7.5" customHeight="1">
      <c r="C13" s="318"/>
      <c r="D13" s="305"/>
      <c r="E13" s="305"/>
      <c r="F13" s="305"/>
      <c r="G13" s="305"/>
      <c r="H13" s="305"/>
      <c r="I13" s="305"/>
      <c r="J13" s="305"/>
      <c r="K13" s="305"/>
      <c r="L13" s="305"/>
      <c r="M13" s="305"/>
      <c r="N13" s="305"/>
      <c r="O13" s="305"/>
      <c r="P13" s="305"/>
      <c r="Q13" s="305"/>
      <c r="R13" s="305"/>
      <c r="S13" s="305"/>
      <c r="T13" s="305"/>
      <c r="U13" s="305"/>
      <c r="V13" s="305"/>
      <c r="W13" s="305"/>
      <c r="X13" s="305"/>
      <c r="Y13" s="305"/>
      <c r="Z13" s="305"/>
      <c r="AA13" s="305"/>
    </row>
    <row r="14" hidden="1" ht="3" customHeight="1">
      <c r="C14" s="319"/>
      <c r="D14" s="305"/>
      <c r="E14" s="305"/>
      <c r="F14" s="305"/>
      <c r="G14" s="305"/>
      <c r="H14" s="305"/>
      <c r="I14" s="305"/>
      <c r="J14" s="305"/>
      <c r="K14" s="305"/>
      <c r="L14" s="305"/>
      <c r="M14" s="305"/>
      <c r="N14" s="305"/>
      <c r="O14" s="305"/>
      <c r="P14" s="305"/>
      <c r="Q14" s="305"/>
      <c r="R14" s="305"/>
      <c r="S14" s="305"/>
      <c r="T14" s="305"/>
      <c r="U14" s="305"/>
      <c r="V14" s="305"/>
      <c r="W14" s="305"/>
      <c r="X14" s="305"/>
      <c r="Y14" s="305"/>
      <c r="Z14" s="305"/>
      <c r="AA14" s="305"/>
    </row>
    <row r="15" ht="25.5" customHeight="1">
      <c r="C15" s="651" t="s">
        <v>89</v>
      </c>
      <c r="D15" s="652"/>
      <c r="E15" s="652"/>
      <c r="F15" s="652"/>
      <c r="G15" s="652"/>
      <c r="H15" s="652"/>
      <c r="I15" s="652"/>
      <c r="J15" s="652"/>
      <c r="K15" s="652"/>
      <c r="L15" s="652"/>
      <c r="M15" s="652"/>
      <c r="N15" s="652"/>
      <c r="O15" s="652"/>
      <c r="P15" s="652"/>
      <c r="Q15" s="652"/>
      <c r="R15" s="652"/>
      <c r="S15" s="652"/>
      <c r="T15" s="652"/>
      <c r="U15" s="652"/>
      <c r="V15" s="652"/>
      <c r="W15" s="652"/>
      <c r="X15" s="652"/>
      <c r="Y15" s="652"/>
      <c r="Z15" s="652"/>
      <c r="AA15" s="652"/>
      <c r="AB15" s="652"/>
      <c r="AC15" s="652"/>
      <c r="AD15" s="653"/>
      <c r="AE15" s="320"/>
      <c r="AG15" s="321">
        <v>1</v>
      </c>
      <c r="AH15" s="321"/>
      <c r="AI15" s="321"/>
      <c r="AJ15" s="321"/>
      <c r="AK15" s="321">
        <v>2</v>
      </c>
      <c r="AL15" s="321"/>
      <c r="AM15" s="321"/>
      <c r="AN15" s="321"/>
      <c r="AO15" s="321">
        <v>3</v>
      </c>
      <c r="AS15" s="282">
        <v>4</v>
      </c>
    </row>
    <row r="16" ht="40.5" customHeight="1">
      <c r="C16" s="659" t="s">
        <v>93</v>
      </c>
      <c r="D16" s="660"/>
      <c r="E16" s="660"/>
      <c r="F16" s="660"/>
      <c r="G16" s="660"/>
      <c r="H16" s="660"/>
      <c r="I16" s="660"/>
      <c r="J16" s="660"/>
      <c r="K16" s="660"/>
      <c r="L16" s="661"/>
      <c r="M16" s="662" t="str">
        <f>AG16</f>
        <v>Ấp Bàu Trâu, xã Phước Thạnh, huyện Củ Chi, thành phố Hồ Chí Minh.</v>
      </c>
      <c r="N16" s="663"/>
      <c r="O16" s="663"/>
      <c r="P16" s="663"/>
      <c r="Q16" s="663"/>
      <c r="R16" s="663"/>
      <c r="S16" s="663"/>
      <c r="T16" s="663"/>
      <c r="U16" s="663"/>
      <c r="V16" s="663"/>
      <c r="W16" s="663"/>
      <c r="X16" s="663"/>
      <c r="Y16" s="663"/>
      <c r="Z16" s="663"/>
      <c r="AA16" s="663"/>
      <c r="AB16" s="663"/>
      <c r="AC16" s="663"/>
      <c r="AD16" s="664"/>
      <c r="AE16" s="320"/>
      <c r="AG16" s="322" t="s">
        <v>94</v>
      </c>
    </row>
    <row r="17" ht="19.5" customHeight="1">
      <c r="C17" s="659" t="s">
        <v>95</v>
      </c>
      <c r="D17" s="660"/>
      <c r="E17" s="660"/>
      <c r="F17" s="660"/>
      <c r="G17" s="660"/>
      <c r="H17" s="660"/>
      <c r="I17" s="660"/>
      <c r="J17" s="660"/>
      <c r="K17" s="660"/>
      <c r="L17" s="661"/>
      <c r="M17" s="647" t="str">
        <f>IF(AG17="","",AG17)</f>
      </c>
      <c r="N17" s="648"/>
      <c r="O17" s="648"/>
      <c r="P17" s="648"/>
      <c r="Q17" s="648"/>
      <c r="R17" s="648"/>
      <c r="S17" s="648"/>
      <c r="T17" s="648"/>
      <c r="U17" s="648"/>
      <c r="V17" s="648"/>
      <c r="W17" s="648"/>
      <c r="X17" s="648"/>
      <c r="Y17" s="648"/>
      <c r="Z17" s="648"/>
      <c r="AA17" s="648"/>
      <c r="AB17" s="648"/>
      <c r="AC17" s="648"/>
      <c r="AD17" s="649"/>
      <c r="AE17" s="320"/>
    </row>
    <row r="18" ht="33.95" customHeight="1">
      <c r="C18" s="654" t="s">
        <v>96</v>
      </c>
      <c r="D18" s="655"/>
      <c r="E18" s="655"/>
      <c r="F18" s="655"/>
      <c r="G18" s="655"/>
      <c r="H18" s="655"/>
      <c r="I18" s="655"/>
      <c r="J18" s="655"/>
      <c r="K18" s="655"/>
      <c r="L18" s="656"/>
      <c r="M18" s="647" t="str">
        <f>AG18</f>
        <v>CÔNG TY CỔ PHẦN VIỄN THÔNG DI ĐỘNG TOÀN CẦU</v>
      </c>
      <c r="N18" s="648"/>
      <c r="O18" s="648"/>
      <c r="P18" s="648"/>
      <c r="Q18" s="648"/>
      <c r="R18" s="648"/>
      <c r="S18" s="648"/>
      <c r="T18" s="648"/>
      <c r="U18" s="648"/>
      <c r="V18" s="648"/>
      <c r="W18" s="648"/>
      <c r="X18" s="648"/>
      <c r="Y18" s="648"/>
      <c r="Z18" s="648"/>
      <c r="AA18" s="648"/>
      <c r="AB18" s="648"/>
      <c r="AC18" s="648"/>
      <c r="AD18" s="649"/>
      <c r="AE18" s="320"/>
      <c r="AG18" s="316" t="s">
        <v>99</v>
      </c>
    </row>
    <row r="19" ht="33.95" customHeight="1">
      <c r="C19" s="654" t="s">
        <v>98</v>
      </c>
      <c r="D19" s="655"/>
      <c r="E19" s="655"/>
      <c r="F19" s="655"/>
      <c r="G19" s="655"/>
      <c r="H19" s="655"/>
      <c r="I19" s="655"/>
      <c r="J19" s="655"/>
      <c r="K19" s="655"/>
      <c r="L19" s="656"/>
      <c r="M19" s="647" t="str">
        <f>AG19</f>
        <v>CÔNG TY CỔ PHẦN VIỄN THÔNG DI ĐỘNG TOÀN CẦU</v>
      </c>
      <c r="N19" s="648"/>
      <c r="O19" s="648"/>
      <c r="P19" s="648"/>
      <c r="Q19" s="648"/>
      <c r="R19" s="648"/>
      <c r="S19" s="648"/>
      <c r="T19" s="648"/>
      <c r="U19" s="648"/>
      <c r="V19" s="648"/>
      <c r="W19" s="648"/>
      <c r="X19" s="648"/>
      <c r="Y19" s="648"/>
      <c r="Z19" s="648"/>
      <c r="AA19" s="648"/>
      <c r="AB19" s="648"/>
      <c r="AC19" s="648"/>
      <c r="AD19" s="649"/>
      <c r="AE19" s="323"/>
      <c r="AG19" s="316" t="s">
        <v>99</v>
      </c>
    </row>
    <row r="20" ht="21" customHeight="1">
      <c r="C20" s="671" t="s">
        <v>100</v>
      </c>
      <c r="D20" s="672"/>
      <c r="E20" s="672"/>
      <c r="F20" s="672"/>
      <c r="G20" s="672"/>
      <c r="H20" s="672"/>
      <c r="I20" s="672"/>
      <c r="J20" s="672"/>
      <c r="K20" s="672"/>
      <c r="L20" s="672"/>
      <c r="M20" s="672"/>
      <c r="N20" s="672"/>
      <c r="O20" s="672"/>
      <c r="P20" s="672"/>
      <c r="Q20" s="672"/>
      <c r="R20" s="672"/>
      <c r="S20" s="672"/>
      <c r="T20" s="672"/>
      <c r="U20" s="672"/>
      <c r="V20" s="672"/>
      <c r="W20" s="672"/>
      <c r="X20" s="672"/>
      <c r="Y20" s="672"/>
      <c r="Z20" s="672"/>
      <c r="AA20" s="672"/>
      <c r="AB20" s="672"/>
      <c r="AC20" s="672"/>
      <c r="AD20" s="673"/>
      <c r="AE20" s="324"/>
    </row>
    <row r="21" ht="33.95" customHeight="1">
      <c r="C21" s="665" t="s">
        <v>101</v>
      </c>
      <c r="D21" s="665"/>
      <c r="E21" s="665"/>
      <c r="F21" s="665"/>
      <c r="G21" s="665"/>
      <c r="H21" s="665"/>
      <c r="I21" s="665"/>
      <c r="J21" s="665"/>
      <c r="K21" s="665"/>
      <c r="L21" s="665"/>
      <c r="M21" s="647" t="str">
        <f>AG21</f>
        <v>A</v>
      </c>
      <c r="N21" s="648"/>
      <c r="O21" s="648"/>
      <c r="P21" s="648"/>
      <c r="Q21" s="648"/>
      <c r="R21" s="648"/>
      <c r="S21" s="648"/>
      <c r="T21" s="648"/>
      <c r="U21" s="648"/>
      <c r="V21" s="648"/>
      <c r="W21" s="648"/>
      <c r="X21" s="648"/>
      <c r="Y21" s="648"/>
      <c r="Z21" s="648"/>
      <c r="AA21" s="648"/>
      <c r="AB21" s="648"/>
      <c r="AC21" s="648"/>
      <c r="AD21" s="649"/>
      <c r="AE21" s="320"/>
      <c r="AG21" s="316" t="s">
        <v>740</v>
      </c>
      <c r="AK21" s="316" t="s">
        <v>103</v>
      </c>
      <c r="AO21" s="316" t="s">
        <v>104</v>
      </c>
      <c r="AS21" s="316" t="s">
        <v>105</v>
      </c>
    </row>
    <row r="22" ht="19.7" customHeight="1">
      <c r="C22" s="674" t="s">
        <v>106</v>
      </c>
      <c r="D22" s="675"/>
      <c r="E22" s="675"/>
      <c r="F22" s="675"/>
      <c r="G22" s="675"/>
      <c r="H22" s="675"/>
      <c r="I22" s="675"/>
      <c r="J22" s="675"/>
      <c r="K22" s="675"/>
      <c r="L22" s="676"/>
      <c r="M22" s="647">
        <f>AG22</f>
        <v>4</v>
      </c>
      <c r="N22" s="648"/>
      <c r="O22" s="648"/>
      <c r="P22" s="648"/>
      <c r="Q22" s="648"/>
      <c r="R22" s="648"/>
      <c r="S22" s="648"/>
      <c r="T22" s="648"/>
      <c r="U22" s="648"/>
      <c r="V22" s="648"/>
      <c r="W22" s="648"/>
      <c r="X22" s="648"/>
      <c r="Y22" s="648"/>
      <c r="Z22" s="648"/>
      <c r="AA22" s="648"/>
      <c r="AB22" s="648"/>
      <c r="AC22" s="648"/>
      <c r="AD22" s="649"/>
      <c r="AE22" s="320"/>
      <c r="AG22" s="321">
        <v>4</v>
      </c>
      <c r="AH22" s="321"/>
      <c r="AI22" s="321"/>
      <c r="AJ22" s="321"/>
      <c r="AK22" s="321">
        <v>1</v>
      </c>
      <c r="AL22" s="321"/>
      <c r="AM22" s="321"/>
      <c r="AN22" s="321"/>
      <c r="AO22" s="321">
        <v>3</v>
      </c>
      <c r="AS22" s="282">
        <v>1</v>
      </c>
    </row>
    <row r="23" ht="19.7" customHeight="1">
      <c r="C23" s="665" t="s">
        <v>107</v>
      </c>
      <c r="D23" s="665"/>
      <c r="E23" s="665"/>
      <c r="F23" s="665"/>
      <c r="G23" s="665"/>
      <c r="H23" s="665"/>
      <c r="I23" s="665"/>
      <c r="J23" s="665"/>
      <c r="K23" s="665"/>
      <c r="L23" s="665"/>
      <c r="M23" s="668" t="str">
        <f>AG23</f>
        <v>4/4/4</v>
      </c>
      <c r="N23" s="669"/>
      <c r="O23" s="669"/>
      <c r="P23" s="669"/>
      <c r="Q23" s="669"/>
      <c r="R23" s="669"/>
      <c r="S23" s="669"/>
      <c r="T23" s="669"/>
      <c r="U23" s="669"/>
      <c r="V23" s="669"/>
      <c r="W23" s="669"/>
      <c r="X23" s="669"/>
      <c r="Y23" s="669"/>
      <c r="Z23" s="669"/>
      <c r="AA23" s="669"/>
      <c r="AB23" s="669"/>
      <c r="AC23" s="669"/>
      <c r="AD23" s="670"/>
      <c r="AE23" s="325"/>
      <c r="AG23" s="326" t="s">
        <v>108</v>
      </c>
      <c r="AH23" s="327"/>
      <c r="AI23" s="327"/>
      <c r="AJ23" s="327"/>
      <c r="AK23" s="326" t="s">
        <v>109</v>
      </c>
      <c r="AL23" s="327"/>
      <c r="AM23" s="327"/>
      <c r="AN23" s="327"/>
      <c r="AO23" s="326" t="s">
        <v>110</v>
      </c>
      <c r="AP23" s="327"/>
      <c r="AQ23" s="327"/>
      <c r="AR23" s="327"/>
      <c r="AS23" s="326" t="s">
        <v>111</v>
      </c>
    </row>
    <row r="24" ht="19.7" customHeight="1">
      <c r="C24" s="674" t="s">
        <v>112</v>
      </c>
      <c r="D24" s="675"/>
      <c r="E24" s="675"/>
      <c r="F24" s="675"/>
      <c r="G24" s="675"/>
      <c r="H24" s="675"/>
      <c r="I24" s="675"/>
      <c r="J24" s="675"/>
      <c r="K24" s="675"/>
      <c r="L24" s="676"/>
      <c r="M24" s="647" t="str">
        <f>IF(M22=4,AG24&amp;"W/ "&amp;AH24&amp;"W/ "&amp;AI24&amp;"W/ "&amp;AJ24&amp;"W",IF(M22=3,AG24&amp;"W/ "&amp;AH24&amp;"W/ "&amp;AI24&amp;"W",IF(M22=2,AG24&amp;"W/ "&amp;AH24&amp;"W",AG24&amp;"W")))</f>
        <v>20W/ 20W/ 20W/ 20W</v>
      </c>
      <c r="N24" s="648"/>
      <c r="O24" s="648"/>
      <c r="P24" s="648"/>
      <c r="Q24" s="648"/>
      <c r="R24" s="648"/>
      <c r="S24" s="648"/>
      <c r="T24" s="648"/>
      <c r="U24" s="648"/>
      <c r="V24" s="648"/>
      <c r="W24" s="648"/>
      <c r="X24" s="648"/>
      <c r="Y24" s="648"/>
      <c r="Z24" s="648"/>
      <c r="AA24" s="648"/>
      <c r="AB24" s="648"/>
      <c r="AC24" s="648"/>
      <c r="AD24" s="649"/>
      <c r="AE24" s="323"/>
      <c r="AG24" s="282">
        <v>20</v>
      </c>
      <c r="AH24" s="282">
        <v>20</v>
      </c>
      <c r="AI24" s="282">
        <v>20</v>
      </c>
      <c r="AJ24" s="282">
        <v>20</v>
      </c>
      <c r="AK24" s="282">
        <v>40</v>
      </c>
      <c r="AL24" s="282">
        <v>40</v>
      </c>
      <c r="AM24" s="282">
        <v>40</v>
      </c>
      <c r="AN24" s="282">
        <v>20</v>
      </c>
      <c r="AO24" s="282">
        <v>60</v>
      </c>
      <c r="AP24" s="282">
        <v>60</v>
      </c>
      <c r="AQ24" s="282">
        <v>60</v>
      </c>
      <c r="AR24" s="282">
        <v>60</v>
      </c>
      <c r="AS24" s="282">
        <v>80</v>
      </c>
      <c r="AT24" s="282">
        <v>80</v>
      </c>
      <c r="AU24" s="282">
        <v>80</v>
      </c>
      <c r="AV24" s="282">
        <v>80</v>
      </c>
    </row>
    <row r="25" ht="19.7" customHeight="1">
      <c r="C25" s="665" t="s">
        <v>113</v>
      </c>
      <c r="D25" s="665"/>
      <c r="E25" s="665"/>
      <c r="F25" s="665"/>
      <c r="G25" s="665"/>
      <c r="H25" s="665"/>
      <c r="I25" s="665"/>
      <c r="J25" s="665"/>
      <c r="K25" s="665"/>
      <c r="L25" s="665"/>
      <c r="M25" s="647" t="str">
        <f>IF(AG25="900 &amp; 1800","900MHz &amp; 1800MHz",IF(AG25="900 &amp; 2100","900MHz &amp; 2100MHz",IF(AG25="1800 &amp; 2100","1800MHz &amp; 2100MHz",AG25&amp;"MHz")))</f>
        <v>900MHz</v>
      </c>
      <c r="N25" s="648"/>
      <c r="O25" s="648"/>
      <c r="P25" s="648"/>
      <c r="Q25" s="648"/>
      <c r="R25" s="648"/>
      <c r="S25" s="648"/>
      <c r="T25" s="648"/>
      <c r="U25" s="648"/>
      <c r="V25" s="648"/>
      <c r="W25" s="648"/>
      <c r="X25" s="648"/>
      <c r="Y25" s="648"/>
      <c r="Z25" s="648"/>
      <c r="AA25" s="648"/>
      <c r="AB25" s="648"/>
      <c r="AC25" s="648"/>
      <c r="AD25" s="649"/>
      <c r="AE25" s="320"/>
      <c r="AG25" s="282">
        <v>900</v>
      </c>
      <c r="AK25" s="282">
        <v>1800</v>
      </c>
      <c r="AO25" s="282">
        <v>2100</v>
      </c>
      <c r="AS25" s="316" t="s">
        <v>739</v>
      </c>
    </row>
    <row r="26" ht="33.95" customHeight="1">
      <c r="C26" s="665" t="s">
        <v>741</v>
      </c>
      <c r="D26" s="665"/>
      <c r="E26" s="665"/>
      <c r="F26" s="665"/>
      <c r="G26" s="665"/>
      <c r="H26" s="665"/>
      <c r="I26" s="665"/>
      <c r="J26" s="665"/>
      <c r="K26" s="665"/>
      <c r="L26" s="665"/>
      <c r="M26" s="647">
        <f>AG26</f>
        <v>15</v>
      </c>
      <c r="N26" s="648"/>
      <c r="O26" s="648"/>
      <c r="P26" s="648"/>
      <c r="Q26" s="648"/>
      <c r="R26" s="648"/>
      <c r="S26" s="648"/>
      <c r="T26" s="648"/>
      <c r="U26" s="648"/>
      <c r="V26" s="648"/>
      <c r="W26" s="648"/>
      <c r="X26" s="648"/>
      <c r="Y26" s="648"/>
      <c r="Z26" s="648"/>
      <c r="AA26" s="648"/>
      <c r="AB26" s="648"/>
      <c r="AC26" s="648"/>
      <c r="AD26" s="649"/>
      <c r="AE26" s="323"/>
      <c r="AG26" s="282">
        <v>15</v>
      </c>
      <c r="AK26" s="282">
        <v>16</v>
      </c>
      <c r="AO26" s="282">
        <v>17</v>
      </c>
      <c r="AS26" s="282">
        <v>18</v>
      </c>
    </row>
    <row r="27" ht="25.5" customHeight="1">
      <c r="C27" s="666" t="s">
        <v>116</v>
      </c>
      <c r="D27" s="666"/>
      <c r="E27" s="666"/>
      <c r="F27" s="666"/>
      <c r="G27" s="666"/>
      <c r="H27" s="666"/>
      <c r="I27" s="666"/>
      <c r="J27" s="666"/>
      <c r="K27" s="666"/>
      <c r="L27" s="666"/>
      <c r="M27" s="666"/>
      <c r="N27" s="666"/>
      <c r="O27" s="666"/>
      <c r="P27" s="666"/>
      <c r="Q27" s="666"/>
      <c r="R27" s="666"/>
      <c r="S27" s="666"/>
      <c r="T27" s="666"/>
      <c r="U27" s="666"/>
      <c r="V27" s="666"/>
      <c r="W27" s="666"/>
      <c r="X27" s="666"/>
      <c r="Y27" s="666"/>
      <c r="Z27" s="666"/>
      <c r="AA27" s="666"/>
      <c r="AB27" s="328"/>
      <c r="AC27" s="328"/>
      <c r="AD27" s="328"/>
    </row>
    <row r="28" ht="24.75" customHeight="1">
      <c r="C28" s="677"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77"/>
      <c r="E28" s="677"/>
      <c r="F28" s="677"/>
      <c r="G28" s="677"/>
      <c r="H28" s="677"/>
      <c r="I28" s="677"/>
      <c r="J28" s="677"/>
      <c r="K28" s="677"/>
      <c r="L28" s="677"/>
      <c r="M28" s="677"/>
      <c r="N28" s="677"/>
      <c r="O28" s="677"/>
      <c r="P28" s="677"/>
      <c r="Q28" s="677"/>
      <c r="R28" s="677"/>
      <c r="S28" s="677"/>
      <c r="T28" s="677"/>
      <c r="U28" s="677"/>
      <c r="V28" s="677"/>
      <c r="W28" s="677"/>
      <c r="X28" s="677"/>
      <c r="Y28" s="677"/>
      <c r="Z28" s="677"/>
      <c r="AA28" s="677"/>
      <c r="AB28" s="677"/>
      <c r="AC28" s="677"/>
      <c r="AD28" s="677"/>
      <c r="AG28" s="282">
        <v>30</v>
      </c>
      <c r="AO28" s="282" t="s">
        <v>117</v>
      </c>
    </row>
    <row r="29" ht="24.75" customHeight="1">
      <c r="C29" s="677"/>
      <c r="D29" s="677"/>
      <c r="E29" s="677"/>
      <c r="F29" s="677"/>
      <c r="G29" s="677"/>
      <c r="H29" s="677"/>
      <c r="I29" s="677"/>
      <c r="J29" s="677"/>
      <c r="K29" s="677"/>
      <c r="L29" s="677"/>
      <c r="M29" s="677"/>
      <c r="N29" s="677"/>
      <c r="O29" s="677"/>
      <c r="P29" s="677"/>
      <c r="Q29" s="677"/>
      <c r="R29" s="677"/>
      <c r="S29" s="677"/>
      <c r="T29" s="677"/>
      <c r="U29" s="677"/>
      <c r="V29" s="677"/>
      <c r="W29" s="677"/>
      <c r="X29" s="677"/>
      <c r="Y29" s="677"/>
      <c r="Z29" s="677"/>
      <c r="AA29" s="677"/>
      <c r="AB29" s="677"/>
      <c r="AC29" s="677"/>
      <c r="AD29" s="677"/>
      <c r="AG29" s="282">
        <v>1</v>
      </c>
      <c r="AO29" s="282"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82" t="s">
        <v>118</v>
      </c>
      <c r="AQ29" s="282" t="str">
        <f>IF(AG28&gt;=0," cao hơn "," thấp hơn ")</f>
        <v> cao hơn </v>
      </c>
      <c r="AR29" s="282" t="s">
        <v>119</v>
      </c>
    </row>
    <row r="30" ht="16.5" customHeight="1">
      <c r="C30" s="667" t="str">
        <f>IF(AG31=1,AO31,IF(AG31=2,AO30))</f>
        <v>Trạm gốc điện thoại di động mặt đất công cộng này có mức an toàn phơi nhiễm trường điện từ tuân thủ quy chuẩn kỹ thuật trên.</v>
      </c>
      <c r="D30" s="667"/>
      <c r="E30" s="667"/>
      <c r="F30" s="667"/>
      <c r="G30" s="667"/>
      <c r="H30" s="667"/>
      <c r="I30" s="667"/>
      <c r="J30" s="667"/>
      <c r="K30" s="667"/>
      <c r="L30" s="667"/>
      <c r="M30" s="667"/>
      <c r="N30" s="667"/>
      <c r="O30" s="667"/>
      <c r="P30" s="667"/>
      <c r="Q30" s="667"/>
      <c r="R30" s="667"/>
      <c r="S30" s="667"/>
      <c r="T30" s="667"/>
      <c r="U30" s="667"/>
      <c r="V30" s="667"/>
      <c r="W30" s="667"/>
      <c r="X30" s="667"/>
      <c r="Y30" s="667"/>
      <c r="Z30" s="667"/>
      <c r="AA30" s="667"/>
      <c r="AB30" s="667"/>
      <c r="AC30" s="667"/>
      <c r="AD30" s="667"/>
      <c r="AG30" s="282">
        <v>20</v>
      </c>
      <c r="AO30" s="282" t="s">
        <v>120</v>
      </c>
    </row>
    <row r="31" ht="16.5" customHeight="1">
      <c r="C31" s="667"/>
      <c r="D31" s="667"/>
      <c r="E31" s="667"/>
      <c r="F31" s="667"/>
      <c r="G31" s="667"/>
      <c r="H31" s="667"/>
      <c r="I31" s="667"/>
      <c r="J31" s="667"/>
      <c r="K31" s="667"/>
      <c r="L31" s="667"/>
      <c r="M31" s="667"/>
      <c r="N31" s="667"/>
      <c r="O31" s="667"/>
      <c r="P31" s="667"/>
      <c r="Q31" s="667"/>
      <c r="R31" s="667"/>
      <c r="S31" s="667"/>
      <c r="T31" s="667"/>
      <c r="U31" s="667"/>
      <c r="V31" s="667"/>
      <c r="W31" s="667"/>
      <c r="X31" s="667"/>
      <c r="Y31" s="667"/>
      <c r="Z31" s="667"/>
      <c r="AA31" s="667"/>
      <c r="AB31" s="667"/>
      <c r="AC31" s="667"/>
      <c r="AD31" s="667"/>
      <c r="AG31" s="282">
        <v>2</v>
      </c>
      <c r="AO31" s="32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78" t="s">
        <v>120</v>
      </c>
      <c r="D32" s="678"/>
      <c r="E32" s="678"/>
      <c r="F32" s="678"/>
      <c r="G32" s="678"/>
      <c r="H32" s="678"/>
      <c r="I32" s="678"/>
      <c r="J32" s="678"/>
      <c r="K32" s="678"/>
      <c r="L32" s="678"/>
      <c r="M32" s="678"/>
      <c r="N32" s="678"/>
      <c r="O32" s="678"/>
      <c r="P32" s="678"/>
      <c r="Q32" s="678"/>
      <c r="R32" s="678"/>
      <c r="S32" s="678"/>
      <c r="T32" s="678"/>
      <c r="U32" s="678"/>
      <c r="V32" s="678"/>
      <c r="W32" s="678"/>
      <c r="X32" s="678"/>
      <c r="Y32" s="678"/>
      <c r="Z32" s="678"/>
      <c r="AA32" s="678"/>
      <c r="AB32" s="678"/>
      <c r="AC32" s="678"/>
      <c r="AD32" s="678"/>
    </row>
    <row r="33" ht="17.1" customHeight="1">
      <c r="C33" s="678"/>
      <c r="D33" s="678"/>
      <c r="E33" s="678"/>
      <c r="F33" s="678"/>
      <c r="G33" s="678"/>
      <c r="H33" s="678"/>
      <c r="I33" s="678"/>
      <c r="J33" s="678"/>
      <c r="K33" s="678"/>
      <c r="L33" s="678"/>
      <c r="M33" s="678"/>
      <c r="N33" s="678"/>
      <c r="O33" s="678"/>
      <c r="P33" s="678"/>
      <c r="Q33" s="678"/>
      <c r="R33" s="678"/>
      <c r="S33" s="678"/>
      <c r="T33" s="678"/>
      <c r="U33" s="678"/>
      <c r="V33" s="678"/>
      <c r="W33" s="678"/>
      <c r="X33" s="678"/>
      <c r="Y33" s="678"/>
      <c r="Z33" s="678"/>
      <c r="AA33" s="678"/>
      <c r="AB33" s="678"/>
      <c r="AC33" s="678"/>
      <c r="AD33" s="678"/>
      <c r="AE33" s="330"/>
    </row>
    <row r="34" ht="17.1" customHeight="1">
      <c r="C34" s="644"/>
      <c r="D34" s="644"/>
      <c r="E34" s="644"/>
      <c r="F34" s="644"/>
      <c r="G34" s="644"/>
      <c r="H34" s="328"/>
      <c r="I34" s="645"/>
      <c r="J34" s="645"/>
      <c r="K34" s="645"/>
      <c r="L34" s="645"/>
      <c r="M34" s="645"/>
      <c r="N34" s="645"/>
      <c r="O34" s="328"/>
      <c r="P34" s="302"/>
      <c r="Q34" s="302"/>
      <c r="R34" s="302"/>
      <c r="S34" s="302"/>
      <c r="T34" s="639" t="str">
        <f>IF(AI41=0,AN34,IF(AI41=1,AK34,AR34))</f>
        <v>KT. GIÁM ĐỐC</v>
      </c>
      <c r="U34" s="639"/>
      <c r="V34" s="639"/>
      <c r="W34" s="639"/>
      <c r="X34" s="639"/>
      <c r="Y34" s="639"/>
      <c r="Z34" s="639"/>
      <c r="AA34" s="639"/>
      <c r="AB34" s="639"/>
      <c r="AC34" s="639"/>
      <c r="AD34" s="639"/>
      <c r="AE34" s="639"/>
      <c r="AK34" s="282" t="s">
        <v>121</v>
      </c>
      <c r="AN34" s="282" t="s">
        <v>122</v>
      </c>
      <c r="AR34" s="282" t="s">
        <v>123</v>
      </c>
    </row>
    <row r="35" ht="17.1" customHeight="1">
      <c r="C35" s="640" t="s">
        <v>124</v>
      </c>
      <c r="D35" s="640"/>
      <c r="E35" s="640"/>
      <c r="F35" s="640"/>
      <c r="G35" s="640"/>
      <c r="H35" s="331" t="s">
        <v>125</v>
      </c>
      <c r="I35" s="642" t="s">
        <v>126</v>
      </c>
      <c r="J35" s="642"/>
      <c r="K35" s="642"/>
      <c r="L35" s="642"/>
      <c r="M35" s="642"/>
      <c r="N35" s="642"/>
      <c r="O35" s="332"/>
      <c r="P35" s="332"/>
      <c r="Q35" s="328"/>
      <c r="R35" s="328"/>
      <c r="S35" s="328"/>
      <c r="T35" s="639" t="str">
        <f>IF(AI41=0,AN35,IF(AI41=1,"",AR35))</f>
        <v>PHÓ GIÁM ĐỐC</v>
      </c>
      <c r="U35" s="639"/>
      <c r="V35" s="639"/>
      <c r="W35" s="639"/>
      <c r="X35" s="639"/>
      <c r="Y35" s="639"/>
      <c r="Z35" s="639"/>
      <c r="AA35" s="639"/>
      <c r="AB35" s="639"/>
      <c r="AC35" s="639"/>
      <c r="AD35" s="639"/>
      <c r="AE35" s="639"/>
      <c r="AN35" s="282" t="s">
        <v>127</v>
      </c>
      <c r="AR35" s="282" t="s">
        <v>128</v>
      </c>
    </row>
    <row r="36" ht="17.1" customHeight="1">
      <c r="C36" s="640" t="s">
        <v>129</v>
      </c>
      <c r="D36" s="640"/>
      <c r="E36" s="640"/>
      <c r="F36" s="640"/>
      <c r="G36" s="640"/>
      <c r="H36" s="331" t="s">
        <v>125</v>
      </c>
      <c r="I36" s="641">
        <f>AG36</f>
        <v>40806</v>
      </c>
      <c r="J36" s="642"/>
      <c r="K36" s="642"/>
      <c r="L36" s="642"/>
      <c r="M36" s="642"/>
      <c r="N36" s="333"/>
      <c r="O36" s="333"/>
      <c r="P36" s="333"/>
      <c r="Q36" s="328"/>
      <c r="R36" s="328"/>
      <c r="S36" s="328"/>
      <c r="T36" s="328"/>
      <c r="U36" s="328"/>
      <c r="V36" s="328"/>
      <c r="W36" s="328"/>
      <c r="X36" s="328"/>
      <c r="Y36" s="328"/>
      <c r="Z36" s="328"/>
      <c r="AA36" s="328"/>
      <c r="AB36" s="328"/>
      <c r="AC36" s="328"/>
      <c r="AD36" s="328"/>
      <c r="AG36" s="334">
        <v>40806</v>
      </c>
    </row>
    <row r="37" ht="17.1" customHeight="1">
      <c r="C37" s="640" t="s">
        <v>130</v>
      </c>
      <c r="D37" s="640"/>
      <c r="E37" s="640"/>
      <c r="F37" s="640"/>
      <c r="G37" s="640"/>
      <c r="H37" s="331" t="s">
        <v>125</v>
      </c>
      <c r="I37" s="641">
        <f>AG37</f>
        <v>42633</v>
      </c>
      <c r="J37" s="642"/>
      <c r="K37" s="642"/>
      <c r="L37" s="642"/>
      <c r="M37" s="642"/>
      <c r="N37" s="333"/>
      <c r="O37" s="333"/>
      <c r="P37" s="333"/>
      <c r="Q37" s="328"/>
      <c r="R37" s="328"/>
      <c r="S37" s="328"/>
      <c r="T37" s="328"/>
      <c r="U37" s="328"/>
      <c r="V37" s="328"/>
      <c r="W37" s="328"/>
      <c r="X37" s="328"/>
      <c r="Y37" s="328"/>
      <c r="Z37" s="328"/>
      <c r="AA37" s="328"/>
      <c r="AB37" s="328"/>
      <c r="AC37" s="328"/>
      <c r="AD37" s="328"/>
      <c r="AG37" s="334">
        <v>42633</v>
      </c>
    </row>
    <row r="38" ht="17.1" customHeight="1">
      <c r="C38" s="335"/>
      <c r="D38" s="335"/>
      <c r="E38" s="335"/>
      <c r="F38" s="312"/>
      <c r="G38" s="305"/>
      <c r="H38" s="305"/>
      <c r="I38" s="305"/>
      <c r="J38" s="305"/>
      <c r="K38" s="305"/>
      <c r="L38" s="305"/>
      <c r="M38" s="305"/>
      <c r="N38" s="305"/>
      <c r="O38" s="305"/>
      <c r="P38" s="305"/>
      <c r="Q38" s="305"/>
      <c r="R38" s="305"/>
      <c r="S38" s="305"/>
      <c r="T38" s="305"/>
      <c r="U38" s="305"/>
      <c r="V38" s="305"/>
      <c r="W38" s="305"/>
      <c r="X38" s="305"/>
      <c r="Y38" s="305"/>
      <c r="Z38" s="305"/>
      <c r="AA38" s="305"/>
      <c r="AB38" s="328"/>
      <c r="AC38" s="328"/>
      <c r="AD38" s="328"/>
    </row>
    <row r="39" ht="17.1" customHeight="1">
      <c r="C39" s="335"/>
      <c r="D39" s="335"/>
      <c r="E39" s="335"/>
      <c r="F39" s="312"/>
      <c r="G39" s="305"/>
      <c r="H39" s="305"/>
      <c r="I39" s="305"/>
      <c r="J39" s="305"/>
      <c r="K39" s="305"/>
      <c r="L39" s="305"/>
      <c r="M39" s="305"/>
      <c r="N39" s="305"/>
      <c r="O39" s="305"/>
      <c r="P39" s="305"/>
      <c r="Q39" s="305"/>
      <c r="R39" s="305"/>
      <c r="S39" s="305"/>
      <c r="T39" s="643"/>
      <c r="U39" s="643"/>
      <c r="V39" s="643"/>
      <c r="W39" s="643"/>
      <c r="X39" s="643"/>
      <c r="Y39" s="643"/>
      <c r="Z39" s="643"/>
      <c r="AA39" s="643"/>
      <c r="AB39" s="643"/>
      <c r="AC39" s="643"/>
      <c r="AD39" s="643"/>
      <c r="AE39" s="643"/>
      <c r="AI39" s="282">
        <v>0</v>
      </c>
    </row>
    <row r="40" ht="17.1" customHeight="1">
      <c r="C40" s="335"/>
      <c r="D40" s="335"/>
      <c r="E40" s="335"/>
      <c r="F40" s="312"/>
      <c r="G40" s="305"/>
      <c r="H40" s="305"/>
      <c r="I40" s="305"/>
      <c r="J40" s="305"/>
      <c r="K40" s="305"/>
      <c r="L40" s="305"/>
      <c r="M40" s="305"/>
      <c r="N40" s="305"/>
      <c r="O40" s="305"/>
      <c r="P40" s="302"/>
      <c r="Q40" s="302"/>
      <c r="R40" s="302"/>
      <c r="S40" s="302"/>
      <c r="T40" s="638"/>
      <c r="U40" s="638"/>
      <c r="V40" s="638"/>
      <c r="W40" s="638"/>
      <c r="X40" s="638"/>
      <c r="Y40" s="638"/>
      <c r="Z40" s="638"/>
      <c r="AA40" s="638"/>
      <c r="AB40" s="638"/>
      <c r="AC40" s="638"/>
      <c r="AD40" s="638"/>
      <c r="AE40" s="638"/>
    </row>
    <row r="41" ht="17.1" customHeight="1">
      <c r="C41" s="335"/>
      <c r="D41" s="335"/>
      <c r="E41" s="335"/>
      <c r="F41" s="312"/>
      <c r="G41" s="305"/>
      <c r="H41" s="305"/>
      <c r="I41" s="305"/>
      <c r="J41" s="305"/>
      <c r="K41" s="305"/>
      <c r="L41" s="305"/>
      <c r="M41" s="305"/>
      <c r="N41" s="305"/>
      <c r="O41" s="305"/>
      <c r="P41" s="305"/>
      <c r="Q41" s="305"/>
      <c r="R41" s="305"/>
      <c r="S41" s="305"/>
      <c r="T41" s="638" t="str">
        <f>IF(AI41=0,AO41,IF(AI41=1,AK41,AS41))</f>
        <v>Trần Công Khanh</v>
      </c>
      <c r="U41" s="638"/>
      <c r="V41" s="638"/>
      <c r="W41" s="638"/>
      <c r="X41" s="638"/>
      <c r="Y41" s="638"/>
      <c r="Z41" s="638"/>
      <c r="AA41" s="638"/>
      <c r="AB41" s="638"/>
      <c r="AC41" s="638"/>
      <c r="AD41" s="638"/>
      <c r="AE41" s="638"/>
      <c r="AI41" s="282">
        <v>0</v>
      </c>
      <c r="AK41" s="282" t="s">
        <v>131</v>
      </c>
      <c r="AO41" s="282" t="s">
        <v>132</v>
      </c>
      <c r="AS41" s="282" t="s">
        <v>133</v>
      </c>
    </row>
    <row r="42" ht="16.5">
      <c r="A42" s="304"/>
      <c r="B42" s="304"/>
      <c r="C42" s="307"/>
      <c r="D42" s="307"/>
      <c r="E42" s="307"/>
      <c r="F42" s="307"/>
      <c r="G42" s="307"/>
      <c r="H42" s="307"/>
      <c r="I42" s="307"/>
      <c r="J42" s="307"/>
      <c r="K42" s="307"/>
      <c r="L42" s="307"/>
      <c r="M42" s="307"/>
      <c r="N42" s="307"/>
      <c r="O42" s="307"/>
      <c r="P42" s="307"/>
      <c r="Q42" s="307"/>
      <c r="R42" s="307"/>
      <c r="S42" s="307"/>
      <c r="T42" s="307"/>
      <c r="U42" s="307"/>
      <c r="V42" s="307"/>
      <c r="W42" s="307"/>
      <c r="X42" s="307"/>
      <c r="Y42" s="307"/>
      <c r="Z42" s="307"/>
      <c r="AA42" s="307"/>
      <c r="AB42" s="336"/>
      <c r="AC42" s="336"/>
      <c r="AD42" s="336"/>
    </row>
    <row r="43" ht="16.5" customHeight="1" s="321" customFormat="1">
      <c r="A43" s="337"/>
      <c r="B43" s="680" t="s">
        <v>134</v>
      </c>
      <c r="C43" s="680"/>
      <c r="D43" s="680"/>
      <c r="E43" s="680"/>
      <c r="F43" s="680"/>
      <c r="G43" s="680"/>
      <c r="H43" s="681" t="s">
        <v>100</v>
      </c>
      <c r="I43" s="681"/>
      <c r="J43" s="681"/>
      <c r="K43" s="681"/>
      <c r="L43" s="681"/>
      <c r="M43" s="681"/>
      <c r="N43" s="681"/>
      <c r="O43" s="681"/>
      <c r="P43" s="681"/>
      <c r="Q43" s="681"/>
      <c r="R43" s="681"/>
      <c r="S43" s="681"/>
      <c r="T43" s="681"/>
      <c r="U43" s="681"/>
      <c r="V43" s="681"/>
      <c r="W43" s="681"/>
      <c r="X43" s="681"/>
      <c r="Y43" s="681"/>
      <c r="Z43" s="681"/>
      <c r="AA43" s="681"/>
      <c r="AB43" s="681"/>
      <c r="AC43" s="681"/>
      <c r="AD43" s="681"/>
      <c r="AE43" s="591"/>
    </row>
    <row r="44" ht="16.5" customHeight="1">
      <c r="A44" s="304"/>
      <c r="B44" s="680"/>
      <c r="C44" s="680"/>
      <c r="D44" s="680"/>
      <c r="E44" s="680"/>
      <c r="F44" s="680"/>
      <c r="G44" s="680"/>
      <c r="H44" s="681"/>
      <c r="I44" s="681"/>
      <c r="J44" s="681"/>
      <c r="K44" s="681"/>
      <c r="L44" s="681"/>
      <c r="M44" s="681"/>
      <c r="N44" s="681"/>
      <c r="O44" s="681"/>
      <c r="P44" s="681"/>
      <c r="Q44" s="681"/>
      <c r="R44" s="681"/>
      <c r="S44" s="681"/>
      <c r="T44" s="681"/>
      <c r="U44" s="681"/>
      <c r="V44" s="681"/>
      <c r="W44" s="681"/>
      <c r="X44" s="681"/>
      <c r="Y44" s="681"/>
      <c r="Z44" s="681"/>
      <c r="AA44" s="681"/>
      <c r="AB44" s="681"/>
      <c r="AC44" s="681"/>
      <c r="AD44" s="681"/>
      <c r="AE44" s="591"/>
    </row>
    <row r="45" ht="16.5" customHeight="1">
      <c r="A45" s="304"/>
      <c r="B45" s="680"/>
      <c r="C45" s="680"/>
      <c r="D45" s="680"/>
      <c r="E45" s="680"/>
      <c r="F45" s="680"/>
      <c r="G45" s="680"/>
      <c r="H45" s="635" t="s">
        <v>135</v>
      </c>
      <c r="I45" s="635"/>
      <c r="J45" s="635"/>
      <c r="K45" s="635"/>
      <c r="L45" s="635" t="s">
        <v>136</v>
      </c>
      <c r="M45" s="635"/>
      <c r="N45" s="635" t="s">
        <v>137</v>
      </c>
      <c r="O45" s="635"/>
      <c r="P45" s="635"/>
      <c r="Q45" s="635" t="s">
        <v>138</v>
      </c>
      <c r="R45" s="635"/>
      <c r="S45" s="635"/>
      <c r="T45" s="635"/>
      <c r="U45" s="635"/>
      <c r="V45" s="635" t="s">
        <v>139</v>
      </c>
      <c r="W45" s="635"/>
      <c r="X45" s="635"/>
      <c r="Y45" s="635" t="s">
        <v>140</v>
      </c>
      <c r="Z45" s="635"/>
      <c r="AA45" s="635"/>
      <c r="AB45" s="635"/>
      <c r="AC45" s="635"/>
      <c r="AD45" s="635"/>
      <c r="AE45" s="589"/>
    </row>
    <row r="46" ht="16.5" customHeight="1">
      <c r="A46" s="304"/>
      <c r="B46" s="680"/>
      <c r="C46" s="680"/>
      <c r="D46" s="680"/>
      <c r="E46" s="680"/>
      <c r="F46" s="680"/>
      <c r="G46" s="680"/>
      <c r="H46" s="635"/>
      <c r="I46" s="635"/>
      <c r="J46" s="635"/>
      <c r="K46" s="635"/>
      <c r="L46" s="635"/>
      <c r="M46" s="635"/>
      <c r="N46" s="635"/>
      <c r="O46" s="635"/>
      <c r="P46" s="635"/>
      <c r="Q46" s="635"/>
      <c r="R46" s="635"/>
      <c r="S46" s="635"/>
      <c r="T46" s="635"/>
      <c r="U46" s="635"/>
      <c r="V46" s="635"/>
      <c r="W46" s="635"/>
      <c r="X46" s="635"/>
      <c r="Y46" s="635"/>
      <c r="Z46" s="635"/>
      <c r="AA46" s="635"/>
      <c r="AB46" s="635"/>
      <c r="AC46" s="635"/>
      <c r="AD46" s="635"/>
      <c r="AE46" s="589"/>
    </row>
    <row r="47" ht="16.5" customHeight="1">
      <c r="A47" s="304"/>
      <c r="B47" s="680"/>
      <c r="C47" s="680"/>
      <c r="D47" s="680"/>
      <c r="E47" s="680"/>
      <c r="F47" s="680"/>
      <c r="G47" s="680"/>
      <c r="H47" s="635"/>
      <c r="I47" s="635"/>
      <c r="J47" s="635"/>
      <c r="K47" s="635"/>
      <c r="L47" s="635"/>
      <c r="M47" s="635"/>
      <c r="N47" s="635"/>
      <c r="O47" s="635"/>
      <c r="P47" s="635"/>
      <c r="Q47" s="635"/>
      <c r="R47" s="635"/>
      <c r="S47" s="635"/>
      <c r="T47" s="635"/>
      <c r="U47" s="635"/>
      <c r="V47" s="635"/>
      <c r="W47" s="635"/>
      <c r="X47" s="635"/>
      <c r="Y47" s="635"/>
      <c r="Z47" s="635"/>
      <c r="AA47" s="635"/>
      <c r="AB47" s="635"/>
      <c r="AC47" s="635"/>
      <c r="AD47" s="635"/>
      <c r="AE47" s="589"/>
    </row>
    <row r="48" ht="16.5" customHeight="1">
      <c r="A48" s="304"/>
      <c r="B48" s="680"/>
      <c r="C48" s="680"/>
      <c r="D48" s="680"/>
      <c r="E48" s="680"/>
      <c r="F48" s="680"/>
      <c r="G48" s="680"/>
      <c r="H48" s="635"/>
      <c r="I48" s="635"/>
      <c r="J48" s="635"/>
      <c r="K48" s="635"/>
      <c r="L48" s="635"/>
      <c r="M48" s="635"/>
      <c r="N48" s="635"/>
      <c r="O48" s="635"/>
      <c r="P48" s="635"/>
      <c r="Q48" s="635"/>
      <c r="R48" s="635"/>
      <c r="S48" s="635"/>
      <c r="T48" s="635"/>
      <c r="U48" s="635"/>
      <c r="V48" s="635"/>
      <c r="W48" s="635"/>
      <c r="X48" s="635"/>
      <c r="Y48" s="635"/>
      <c r="Z48" s="635"/>
      <c r="AA48" s="635"/>
      <c r="AB48" s="635"/>
      <c r="AC48" s="635"/>
      <c r="AD48" s="635"/>
      <c r="AE48" s="589"/>
      <c r="AG48" s="282">
        <v>33</v>
      </c>
      <c r="AI48" s="282">
        <v>35</v>
      </c>
      <c r="AL48" s="282">
        <v>38</v>
      </c>
      <c r="AO48" s="282">
        <v>41</v>
      </c>
      <c r="AP48" s="282">
        <v>42</v>
      </c>
      <c r="AQ48" s="282">
        <v>43</v>
      </c>
      <c r="AR48" s="282">
        <v>44</v>
      </c>
      <c r="AS48" s="282">
        <v>45</v>
      </c>
      <c r="AT48" s="282">
        <v>46</v>
      </c>
      <c r="AU48" s="282">
        <v>47</v>
      </c>
      <c r="AV48" s="282">
        <v>48</v>
      </c>
    </row>
    <row r="49" ht="18.75" customHeight="1">
      <c r="A49" s="304"/>
      <c r="B49" s="635" t="str">
        <f>AG49</f>
        <v>CÔNG TY CỔ PHẦN VIỄN THÔNG DI ĐỘNG TOÀN CẦU</v>
      </c>
      <c r="C49" s="635"/>
      <c r="D49" s="635"/>
      <c r="E49" s="635"/>
      <c r="F49" s="635"/>
      <c r="G49" s="635"/>
      <c r="H49" s="636" t="str">
        <f>AI49</f>
        <v>TB1</v>
      </c>
      <c r="I49" s="636"/>
      <c r="J49" s="636"/>
      <c r="K49" s="636"/>
      <c r="L49" s="637">
        <v>2</v>
      </c>
      <c r="M49" s="637"/>
      <c r="N49" s="679" t="str">
        <f>AL49</f>
        <v>4/4/4</v>
      </c>
      <c r="O49" s="679"/>
      <c r="P49" s="679"/>
      <c r="Q49" s="635" t="str">
        <f>IF(L49=4,AO49&amp;"W/ "&amp;AP49&amp;"W/ "&amp;AQ49&amp;"W/ "&amp;AR49&amp;"W",IF(L49=3,AO49&amp;"W/ "&amp;AP49&amp;"W/ "&amp;AQ49&amp;"W",IF(L49=2,AO49&amp;"W/ "&amp;AP49&amp;"W",AO49&amp;"W")))</f>
        <v>20W/ 30W</v>
      </c>
      <c r="R49" s="635"/>
      <c r="S49" s="635"/>
      <c r="T49" s="635"/>
      <c r="U49" s="635"/>
      <c r="V49" s="635" t="str">
        <f>IF(AS49="900 &amp; 1800","900MHz &amp; 1800MHz",IF(AS49="900 &amp; 2100","900MHz &amp; 2100MHz",IF(AS49="1800 &amp; 2100","1800MHz &amp; 2100MHz",AS49&amp;"MHz")))</f>
        <v>900MHz</v>
      </c>
      <c r="W49" s="635"/>
      <c r="X49" s="635"/>
      <c r="Y49" s="635">
        <f>AT49</f>
        <v>15</v>
      </c>
      <c r="Z49" s="635"/>
      <c r="AA49" s="635"/>
      <c r="AB49" s="635"/>
      <c r="AC49" s="635"/>
      <c r="AD49" s="635"/>
      <c r="AE49" s="589"/>
      <c r="AG49" s="316" t="s">
        <v>99</v>
      </c>
      <c r="AI49" s="316" t="s">
        <v>141</v>
      </c>
      <c r="AJ49" s="316"/>
      <c r="AL49" s="326" t="s">
        <v>108</v>
      </c>
      <c r="AO49" s="282">
        <v>20</v>
      </c>
      <c r="AP49" s="282">
        <v>30</v>
      </c>
      <c r="AQ49" s="282">
        <v>40</v>
      </c>
      <c r="AR49" s="282">
        <v>50</v>
      </c>
      <c r="AS49" s="282">
        <v>900</v>
      </c>
      <c r="AT49" s="282">
        <v>15</v>
      </c>
    </row>
    <row r="50" ht="18.75" customHeight="1">
      <c r="A50" s="304"/>
      <c r="B50" s="635"/>
      <c r="C50" s="635"/>
      <c r="D50" s="635"/>
      <c r="E50" s="635"/>
      <c r="F50" s="635"/>
      <c r="G50" s="635"/>
      <c r="H50" s="636"/>
      <c r="I50" s="636"/>
      <c r="J50" s="636"/>
      <c r="K50" s="636"/>
      <c r="L50" s="637"/>
      <c r="M50" s="637"/>
      <c r="N50" s="679"/>
      <c r="O50" s="679"/>
      <c r="P50" s="679"/>
      <c r="Q50" s="635"/>
      <c r="R50" s="635"/>
      <c r="S50" s="635"/>
      <c r="T50" s="635"/>
      <c r="U50" s="635"/>
      <c r="V50" s="635"/>
      <c r="W50" s="635"/>
      <c r="X50" s="635"/>
      <c r="Y50" s="635"/>
      <c r="Z50" s="635"/>
      <c r="AA50" s="635"/>
      <c r="AB50" s="635"/>
      <c r="AC50" s="635"/>
      <c r="AD50" s="635"/>
      <c r="AE50" s="589"/>
    </row>
    <row r="51" ht="18.75" customHeight="1">
      <c r="A51" s="304"/>
      <c r="B51" s="635"/>
      <c r="C51" s="635"/>
      <c r="D51" s="635"/>
      <c r="E51" s="635"/>
      <c r="F51" s="635"/>
      <c r="G51" s="635"/>
      <c r="H51" s="636"/>
      <c r="I51" s="636"/>
      <c r="J51" s="636"/>
      <c r="K51" s="636"/>
      <c r="L51" s="637"/>
      <c r="M51" s="637"/>
      <c r="N51" s="679"/>
      <c r="O51" s="679"/>
      <c r="P51" s="679"/>
      <c r="Q51" s="635"/>
      <c r="R51" s="635"/>
      <c r="S51" s="635"/>
      <c r="T51" s="635"/>
      <c r="U51" s="635"/>
      <c r="V51" s="635"/>
      <c r="W51" s="635"/>
      <c r="X51" s="635"/>
      <c r="Y51" s="635"/>
      <c r="Z51" s="635"/>
      <c r="AA51" s="635"/>
      <c r="AB51" s="635"/>
      <c r="AC51" s="635"/>
      <c r="AD51" s="635"/>
      <c r="AE51" s="589"/>
    </row>
    <row r="52" ht="18.75" customHeight="1">
      <c r="A52" s="304"/>
      <c r="B52" s="635"/>
      <c r="C52" s="635"/>
      <c r="D52" s="635"/>
      <c r="E52" s="635"/>
      <c r="F52" s="635"/>
      <c r="G52" s="635"/>
      <c r="H52" s="636"/>
      <c r="I52" s="636"/>
      <c r="J52" s="636"/>
      <c r="K52" s="636"/>
      <c r="L52" s="637"/>
      <c r="M52" s="637"/>
      <c r="N52" s="679"/>
      <c r="O52" s="679"/>
      <c r="P52" s="679"/>
      <c r="Q52" s="635"/>
      <c r="R52" s="635"/>
      <c r="S52" s="635"/>
      <c r="T52" s="635"/>
      <c r="U52" s="635"/>
      <c r="V52" s="635"/>
      <c r="W52" s="635"/>
      <c r="X52" s="635"/>
      <c r="Y52" s="635"/>
      <c r="Z52" s="635"/>
      <c r="AA52" s="635"/>
      <c r="AB52" s="635"/>
      <c r="AC52" s="635"/>
      <c r="AD52" s="635"/>
      <c r="AE52" s="589"/>
    </row>
    <row r="53" ht="18.75" customHeight="1">
      <c r="A53" s="304"/>
      <c r="B53" s="635" t="str">
        <f>AG53</f>
        <v>CÔNG TY CỔ PHẦN VIỄN THÔNG DI ĐỘNG TOÀN CẦU</v>
      </c>
      <c r="C53" s="635"/>
      <c r="D53" s="635"/>
      <c r="E53" s="635"/>
      <c r="F53" s="635"/>
      <c r="G53" s="635"/>
      <c r="H53" s="636" t="str">
        <f>AI53</f>
        <v>TB1</v>
      </c>
      <c r="I53" s="636"/>
      <c r="J53" s="636"/>
      <c r="K53" s="636"/>
      <c r="L53" s="637">
        <v>4</v>
      </c>
      <c r="M53" s="637"/>
      <c r="N53" s="679" t="str">
        <f>AL53</f>
        <v>4/4/4</v>
      </c>
      <c r="O53" s="679"/>
      <c r="P53" s="679"/>
      <c r="Q53" s="635" t="str">
        <f>IF(L53=4,AO53&amp;"W/ "&amp;AP53&amp;"W/ "&amp;AQ53&amp;"W/ "&amp;AR53&amp;"W",IF(L53=3,AO53&amp;"W/ "&amp;AP53&amp;"W/ "&amp;AQ53&amp;"W",IF(L53=2,AO53&amp;"W/ "&amp;AP53&amp;"W",AO53&amp;"W")))</f>
        <v>20W/ 30W/ 40W/ 50W</v>
      </c>
      <c r="R53" s="635"/>
      <c r="S53" s="635"/>
      <c r="T53" s="635"/>
      <c r="U53" s="635"/>
      <c r="V53" s="635" t="str">
        <f>IF(AS53="900 &amp; 1800","900MHz &amp; 1800MHz",IF(AS53="900 &amp; 2100","900MHz &amp; 2100MHz",IF(AS53="1800 &amp; 2100","1800MHz &amp; 2100MHz",AS53&amp;"MHz")))</f>
        <v>1800MHz</v>
      </c>
      <c r="W53" s="635"/>
      <c r="X53" s="635"/>
      <c r="Y53" s="635">
        <f>AT53</f>
        <v>15</v>
      </c>
      <c r="Z53" s="635"/>
      <c r="AA53" s="635"/>
      <c r="AB53" s="635"/>
      <c r="AC53" s="635"/>
      <c r="AD53" s="635"/>
      <c r="AE53" s="589"/>
      <c r="AG53" s="316" t="s">
        <v>99</v>
      </c>
      <c r="AI53" s="316" t="s">
        <v>141</v>
      </c>
      <c r="AJ53" s="316"/>
      <c r="AL53" s="326" t="s">
        <v>108</v>
      </c>
      <c r="AO53" s="282">
        <v>20</v>
      </c>
      <c r="AP53" s="282">
        <v>30</v>
      </c>
      <c r="AQ53" s="282">
        <v>40</v>
      </c>
      <c r="AR53" s="282">
        <v>50</v>
      </c>
      <c r="AS53" s="282">
        <v>1800</v>
      </c>
      <c r="AT53" s="282">
        <v>15</v>
      </c>
    </row>
    <row r="54" ht="18.75" customHeight="1">
      <c r="A54" s="304"/>
      <c r="B54" s="635"/>
      <c r="C54" s="635"/>
      <c r="D54" s="635"/>
      <c r="E54" s="635"/>
      <c r="F54" s="635"/>
      <c r="G54" s="635"/>
      <c r="H54" s="636"/>
      <c r="I54" s="636"/>
      <c r="J54" s="636"/>
      <c r="K54" s="636"/>
      <c r="L54" s="637"/>
      <c r="M54" s="637"/>
      <c r="N54" s="679"/>
      <c r="O54" s="679"/>
      <c r="P54" s="679"/>
      <c r="Q54" s="635"/>
      <c r="R54" s="635"/>
      <c r="S54" s="635"/>
      <c r="T54" s="635"/>
      <c r="U54" s="635"/>
      <c r="V54" s="635"/>
      <c r="W54" s="635"/>
      <c r="X54" s="635"/>
      <c r="Y54" s="635"/>
      <c r="Z54" s="635"/>
      <c r="AA54" s="635"/>
      <c r="AB54" s="635"/>
      <c r="AC54" s="635"/>
      <c r="AD54" s="635"/>
      <c r="AE54" s="589"/>
      <c r="AG54" s="316"/>
      <c r="AI54" s="316"/>
      <c r="AJ54" s="316"/>
      <c r="AL54" s="326"/>
    </row>
    <row r="55" ht="18.75" customHeight="1">
      <c r="A55" s="304"/>
      <c r="B55" s="635"/>
      <c r="C55" s="635"/>
      <c r="D55" s="635"/>
      <c r="E55" s="635"/>
      <c r="F55" s="635"/>
      <c r="G55" s="635"/>
      <c r="H55" s="636"/>
      <c r="I55" s="636"/>
      <c r="J55" s="636"/>
      <c r="K55" s="636"/>
      <c r="L55" s="637"/>
      <c r="M55" s="637"/>
      <c r="N55" s="679"/>
      <c r="O55" s="679"/>
      <c r="P55" s="679"/>
      <c r="Q55" s="635"/>
      <c r="R55" s="635"/>
      <c r="S55" s="635"/>
      <c r="T55" s="635"/>
      <c r="U55" s="635"/>
      <c r="V55" s="635"/>
      <c r="W55" s="635"/>
      <c r="X55" s="635"/>
      <c r="Y55" s="635"/>
      <c r="Z55" s="635"/>
      <c r="AA55" s="635"/>
      <c r="AB55" s="635"/>
      <c r="AC55" s="635"/>
      <c r="AD55" s="635"/>
      <c r="AE55" s="589"/>
    </row>
    <row r="56" ht="18.75" customHeight="1">
      <c r="A56" s="304"/>
      <c r="B56" s="635"/>
      <c r="C56" s="635"/>
      <c r="D56" s="635"/>
      <c r="E56" s="635"/>
      <c r="F56" s="635"/>
      <c r="G56" s="635"/>
      <c r="H56" s="636"/>
      <c r="I56" s="636"/>
      <c r="J56" s="636"/>
      <c r="K56" s="636"/>
      <c r="L56" s="637"/>
      <c r="M56" s="637"/>
      <c r="N56" s="679"/>
      <c r="O56" s="679"/>
      <c r="P56" s="679"/>
      <c r="Q56" s="635"/>
      <c r="R56" s="635"/>
      <c r="S56" s="635"/>
      <c r="T56" s="635"/>
      <c r="U56" s="635"/>
      <c r="V56" s="635"/>
      <c r="W56" s="635"/>
      <c r="X56" s="635"/>
      <c r="Y56" s="635"/>
      <c r="Z56" s="635"/>
      <c r="AA56" s="635"/>
      <c r="AB56" s="635"/>
      <c r="AC56" s="635"/>
      <c r="AD56" s="635"/>
      <c r="AE56" s="589"/>
    </row>
    <row r="57" ht="18.75" customHeight="1">
      <c r="A57" s="304"/>
      <c r="B57" s="635" t="str">
        <f>AG57</f>
        <v>CÔNG TY CỔ PHẦN VIỄN THÔNG DI ĐỘNG TOÀN CẦU</v>
      </c>
      <c r="C57" s="635"/>
      <c r="D57" s="635"/>
      <c r="E57" s="635"/>
      <c r="F57" s="635"/>
      <c r="G57" s="635"/>
      <c r="H57" s="636" t="str">
        <f>AI57</f>
        <v>TB1</v>
      </c>
      <c r="I57" s="636"/>
      <c r="J57" s="636"/>
      <c r="K57" s="636"/>
      <c r="L57" s="637">
        <v>3</v>
      </c>
      <c r="M57" s="637"/>
      <c r="N57" s="679" t="str">
        <f>AL57</f>
        <v>4/4/4</v>
      </c>
      <c r="O57" s="679"/>
      <c r="P57" s="679"/>
      <c r="Q57" s="635" t="str">
        <f>IF(L57=4,AO57&amp;"W/ "&amp;AP57&amp;"W/ "&amp;AQ57&amp;"W/ "&amp;AR57&amp;"W",IF(L57=3,AO57&amp;"W/ "&amp;AP57&amp;"W/ "&amp;AQ57&amp;"W",IF(L57=2,AO57&amp;"W/ "&amp;AP57&amp;"W",AO57&amp;"W")))</f>
        <v>20W/ 30W/ 40W</v>
      </c>
      <c r="R57" s="635"/>
      <c r="S57" s="635"/>
      <c r="T57" s="635"/>
      <c r="U57" s="635"/>
      <c r="V57" s="635" t="str">
        <f>IF(AS57="900 &amp; 1800","900MHz &amp; 1800MHz",IF(AS57="900 &amp; 2100","900MHz &amp; 2100MHz",IF(AS57="1800 &amp; 2100","1800MHz &amp; 2100MHz",AS57&amp;"MHz")))</f>
        <v>9000 &amp; 1800MHz</v>
      </c>
      <c r="W57" s="635"/>
      <c r="X57" s="635"/>
      <c r="Y57" s="635">
        <f>AT57</f>
        <v>15</v>
      </c>
      <c r="Z57" s="635"/>
      <c r="AA57" s="635"/>
      <c r="AB57" s="635"/>
      <c r="AC57" s="635"/>
      <c r="AD57" s="635"/>
      <c r="AE57" s="589"/>
      <c r="AG57" s="316" t="s">
        <v>99</v>
      </c>
      <c r="AI57" s="316" t="s">
        <v>141</v>
      </c>
      <c r="AJ57" s="316"/>
      <c r="AL57" s="326" t="s">
        <v>108</v>
      </c>
      <c r="AO57" s="282">
        <v>20</v>
      </c>
      <c r="AP57" s="282">
        <v>30</v>
      </c>
      <c r="AQ57" s="282">
        <v>40</v>
      </c>
      <c r="AR57" s="282">
        <v>50</v>
      </c>
      <c r="AS57" s="282" t="s">
        <v>142</v>
      </c>
      <c r="AT57" s="282">
        <v>15</v>
      </c>
    </row>
    <row r="58" ht="18.75" customHeight="1">
      <c r="A58" s="304"/>
      <c r="B58" s="635"/>
      <c r="C58" s="635"/>
      <c r="D58" s="635"/>
      <c r="E58" s="635"/>
      <c r="F58" s="635"/>
      <c r="G58" s="635"/>
      <c r="H58" s="636"/>
      <c r="I58" s="636"/>
      <c r="J58" s="636"/>
      <c r="K58" s="636"/>
      <c r="L58" s="637"/>
      <c r="M58" s="637"/>
      <c r="N58" s="679"/>
      <c r="O58" s="679"/>
      <c r="P58" s="679"/>
      <c r="Q58" s="635"/>
      <c r="R58" s="635"/>
      <c r="S58" s="635"/>
      <c r="T58" s="635"/>
      <c r="U58" s="635"/>
      <c r="V58" s="635"/>
      <c r="W58" s="635"/>
      <c r="X58" s="635"/>
      <c r="Y58" s="635"/>
      <c r="Z58" s="635"/>
      <c r="AA58" s="635"/>
      <c r="AB58" s="635"/>
      <c r="AC58" s="635"/>
      <c r="AD58" s="635"/>
      <c r="AE58" s="589"/>
      <c r="AG58" s="316"/>
      <c r="AI58" s="316"/>
      <c r="AJ58" s="316"/>
      <c r="AL58" s="326"/>
    </row>
    <row r="59" ht="18.75" customHeight="1">
      <c r="A59" s="304"/>
      <c r="B59" s="635"/>
      <c r="C59" s="635"/>
      <c r="D59" s="635"/>
      <c r="E59" s="635"/>
      <c r="F59" s="635"/>
      <c r="G59" s="635"/>
      <c r="H59" s="636"/>
      <c r="I59" s="636"/>
      <c r="J59" s="636"/>
      <c r="K59" s="636"/>
      <c r="L59" s="637"/>
      <c r="M59" s="637"/>
      <c r="N59" s="679"/>
      <c r="O59" s="679"/>
      <c r="P59" s="679"/>
      <c r="Q59" s="635"/>
      <c r="R59" s="635"/>
      <c r="S59" s="635"/>
      <c r="T59" s="635"/>
      <c r="U59" s="635"/>
      <c r="V59" s="635"/>
      <c r="W59" s="635"/>
      <c r="X59" s="635"/>
      <c r="Y59" s="635"/>
      <c r="Z59" s="635"/>
      <c r="AA59" s="635"/>
      <c r="AB59" s="635"/>
      <c r="AC59" s="635"/>
      <c r="AD59" s="635"/>
      <c r="AE59" s="589"/>
    </row>
    <row r="60" ht="18.75" customHeight="1">
      <c r="A60" s="304"/>
      <c r="B60" s="635"/>
      <c r="C60" s="635"/>
      <c r="D60" s="635"/>
      <c r="E60" s="635"/>
      <c r="F60" s="635"/>
      <c r="G60" s="635"/>
      <c r="H60" s="636"/>
      <c r="I60" s="636"/>
      <c r="J60" s="636"/>
      <c r="K60" s="636"/>
      <c r="L60" s="637"/>
      <c r="M60" s="637"/>
      <c r="N60" s="679"/>
      <c r="O60" s="679"/>
      <c r="P60" s="679"/>
      <c r="Q60" s="635"/>
      <c r="R60" s="635"/>
      <c r="S60" s="635"/>
      <c r="T60" s="635"/>
      <c r="U60" s="635"/>
      <c r="V60" s="635"/>
      <c r="W60" s="635"/>
      <c r="X60" s="635"/>
      <c r="Y60" s="635"/>
      <c r="Z60" s="635"/>
      <c r="AA60" s="635"/>
      <c r="AB60" s="635"/>
      <c r="AC60" s="635"/>
      <c r="AD60" s="635"/>
      <c r="AE60" s="589"/>
    </row>
    <row r="61" ht="18.75" customHeight="1">
      <c r="A61" s="304"/>
      <c r="B61" s="635" t="str">
        <f>AG61</f>
        <v>CÔNG TY CỔ PHẦN VIỄN THÔNG DI ĐỘNG TOÀN CẦU</v>
      </c>
      <c r="C61" s="635"/>
      <c r="D61" s="635"/>
      <c r="E61" s="635"/>
      <c r="F61" s="635"/>
      <c r="G61" s="635"/>
      <c r="H61" s="636" t="str">
        <f>AI61</f>
        <v>TB1</v>
      </c>
      <c r="I61" s="636"/>
      <c r="J61" s="636"/>
      <c r="K61" s="636"/>
      <c r="L61" s="637">
        <v>2</v>
      </c>
      <c r="M61" s="637"/>
      <c r="N61" s="679" t="str">
        <f>AL61</f>
        <v>4/4/4</v>
      </c>
      <c r="O61" s="679"/>
      <c r="P61" s="679"/>
      <c r="Q61" s="635" t="str">
        <f>IF(L61=4,AO61&amp;"W/ "&amp;AP61&amp;"W/ "&amp;AQ61&amp;"W/ "&amp;AR61&amp;"W",IF(L61=3,AO61&amp;"W/ "&amp;AP61&amp;"W/ "&amp;AQ61&amp;"W",IF(L61=2,AO61&amp;"W/ "&amp;AP61&amp;"W",AO61&amp;"W")))</f>
        <v>20W/ 30W</v>
      </c>
      <c r="R61" s="635"/>
      <c r="S61" s="635"/>
      <c r="T61" s="635"/>
      <c r="U61" s="635"/>
      <c r="V61" s="635" t="str">
        <f>IF(AS61="900 &amp; 1800","900MHz &amp; 1800MHz",IF(AS61="900 &amp; 2100","900MHz &amp; 2100MHz",IF(AS61="1800 &amp; 2100","1800MHz &amp; 2100MHz",AS61&amp;"MHz")))</f>
        <v>9000 &amp; 2100MHz</v>
      </c>
      <c r="W61" s="635"/>
      <c r="X61" s="635"/>
      <c r="Y61" s="635">
        <f>AT61</f>
        <v>15</v>
      </c>
      <c r="Z61" s="635"/>
      <c r="AA61" s="635"/>
      <c r="AB61" s="635"/>
      <c r="AC61" s="635"/>
      <c r="AD61" s="635"/>
      <c r="AE61" s="589"/>
      <c r="AG61" s="316" t="s">
        <v>99</v>
      </c>
      <c r="AI61" s="316" t="s">
        <v>141</v>
      </c>
      <c r="AJ61" s="316"/>
      <c r="AL61" s="326" t="s">
        <v>108</v>
      </c>
      <c r="AO61" s="282">
        <v>20</v>
      </c>
      <c r="AP61" s="282">
        <v>30</v>
      </c>
      <c r="AQ61" s="282">
        <v>40</v>
      </c>
      <c r="AR61" s="282">
        <v>50</v>
      </c>
      <c r="AS61" s="282" t="s">
        <v>143</v>
      </c>
      <c r="AT61" s="282">
        <v>15</v>
      </c>
    </row>
    <row r="62" ht="18.75" customHeight="1">
      <c r="A62" s="304"/>
      <c r="B62" s="635"/>
      <c r="C62" s="635"/>
      <c r="D62" s="635"/>
      <c r="E62" s="635"/>
      <c r="F62" s="635"/>
      <c r="G62" s="635"/>
      <c r="H62" s="636"/>
      <c r="I62" s="636"/>
      <c r="J62" s="636"/>
      <c r="K62" s="636"/>
      <c r="L62" s="637"/>
      <c r="M62" s="637"/>
      <c r="N62" s="679"/>
      <c r="O62" s="679"/>
      <c r="P62" s="679"/>
      <c r="Q62" s="635"/>
      <c r="R62" s="635"/>
      <c r="S62" s="635"/>
      <c r="T62" s="635"/>
      <c r="U62" s="635"/>
      <c r="V62" s="635"/>
      <c r="W62" s="635"/>
      <c r="X62" s="635"/>
      <c r="Y62" s="635"/>
      <c r="Z62" s="635"/>
      <c r="AA62" s="635"/>
      <c r="AB62" s="635"/>
      <c r="AC62" s="635"/>
      <c r="AD62" s="635"/>
      <c r="AE62" s="589"/>
      <c r="AG62" s="316"/>
      <c r="AI62" s="316"/>
      <c r="AJ62" s="316"/>
      <c r="AL62" s="326"/>
    </row>
    <row r="63" ht="18.75" customHeight="1">
      <c r="A63" s="304"/>
      <c r="B63" s="635"/>
      <c r="C63" s="635"/>
      <c r="D63" s="635"/>
      <c r="E63" s="635"/>
      <c r="F63" s="635"/>
      <c r="G63" s="635"/>
      <c r="H63" s="636"/>
      <c r="I63" s="636"/>
      <c r="J63" s="636"/>
      <c r="K63" s="636"/>
      <c r="L63" s="637"/>
      <c r="M63" s="637"/>
      <c r="N63" s="679"/>
      <c r="O63" s="679"/>
      <c r="P63" s="679"/>
      <c r="Q63" s="635"/>
      <c r="R63" s="635"/>
      <c r="S63" s="635"/>
      <c r="T63" s="635"/>
      <c r="U63" s="635"/>
      <c r="V63" s="635"/>
      <c r="W63" s="635"/>
      <c r="X63" s="635"/>
      <c r="Y63" s="635"/>
      <c r="Z63" s="635"/>
      <c r="AA63" s="635"/>
      <c r="AB63" s="635"/>
      <c r="AC63" s="635"/>
      <c r="AD63" s="635"/>
      <c r="AE63" s="589"/>
    </row>
    <row r="64" ht="18.75" customHeight="1">
      <c r="A64" s="304"/>
      <c r="B64" s="635"/>
      <c r="C64" s="635"/>
      <c r="D64" s="635"/>
      <c r="E64" s="635"/>
      <c r="F64" s="635"/>
      <c r="G64" s="635"/>
      <c r="H64" s="636"/>
      <c r="I64" s="636"/>
      <c r="J64" s="636"/>
      <c r="K64" s="636"/>
      <c r="L64" s="637"/>
      <c r="M64" s="637"/>
      <c r="N64" s="679"/>
      <c r="O64" s="679"/>
      <c r="P64" s="679"/>
      <c r="Q64" s="635"/>
      <c r="R64" s="635"/>
      <c r="S64" s="635"/>
      <c r="T64" s="635"/>
      <c r="U64" s="635"/>
      <c r="V64" s="635"/>
      <c r="W64" s="635"/>
      <c r="X64" s="635"/>
      <c r="Y64" s="635"/>
      <c r="Z64" s="635"/>
      <c r="AA64" s="635"/>
      <c r="AB64" s="635"/>
      <c r="AC64" s="635"/>
      <c r="AD64" s="635"/>
      <c r="AE64" s="589"/>
    </row>
    <row r="65" ht="18.75" customHeight="1">
      <c r="A65" s="304"/>
      <c r="B65" s="635" t="str">
        <f>AG65</f>
        <v>CÔNG TY CỔ PHẦN VIỄN THÔNG DI ĐỘNG TOÀN CẦU</v>
      </c>
      <c r="C65" s="635"/>
      <c r="D65" s="635"/>
      <c r="E65" s="635"/>
      <c r="F65" s="635"/>
      <c r="G65" s="635"/>
      <c r="H65" s="636" t="str">
        <f>AI65</f>
        <v>TB1</v>
      </c>
      <c r="I65" s="636"/>
      <c r="J65" s="636"/>
      <c r="K65" s="636"/>
      <c r="L65" s="637">
        <v>1</v>
      </c>
      <c r="M65" s="637"/>
      <c r="N65" s="679" t="str">
        <f>AL65</f>
        <v>4/4/4</v>
      </c>
      <c r="O65" s="679"/>
      <c r="P65" s="679"/>
      <c r="Q65" s="635" t="str">
        <f>IF(L65=4,AO65&amp;"W/ "&amp;AP65&amp;"W/ "&amp;AQ65&amp;"W/ "&amp;AR65&amp;"W",IF(L65=3,AO65&amp;"W/ "&amp;AP65&amp;"W/ "&amp;AQ65&amp;"W",IF(L65=2,AO65&amp;"W/ "&amp;AP65&amp;"W",AO65&amp;"W")))</f>
        <v>20W</v>
      </c>
      <c r="R65" s="635"/>
      <c r="S65" s="635"/>
      <c r="T65" s="635"/>
      <c r="U65" s="635"/>
      <c r="V65" s="635" t="str">
        <f>IF(AS65="900 &amp; 1800","900MHz &amp; 1800MHz",IF(AS65="900 &amp; 2100","900MHz &amp; 2100MHz",IF(AS65="1800 &amp; 2100","1800MHz &amp; 2100MHz",AS65&amp;"MHz")))</f>
        <v>1800MHz &amp; 2100MHz</v>
      </c>
      <c r="W65" s="635"/>
      <c r="X65" s="635"/>
      <c r="Y65" s="635">
        <f>AT65</f>
        <v>15</v>
      </c>
      <c r="Z65" s="635"/>
      <c r="AA65" s="635"/>
      <c r="AB65" s="635"/>
      <c r="AC65" s="635"/>
      <c r="AD65" s="635"/>
      <c r="AE65" s="589"/>
      <c r="AG65" s="316" t="s">
        <v>99</v>
      </c>
      <c r="AI65" s="316" t="s">
        <v>141</v>
      </c>
      <c r="AJ65" s="316"/>
      <c r="AL65" s="326" t="s">
        <v>108</v>
      </c>
      <c r="AO65" s="282">
        <v>20</v>
      </c>
      <c r="AP65" s="282">
        <v>30</v>
      </c>
      <c r="AQ65" s="282">
        <v>40</v>
      </c>
      <c r="AR65" s="282">
        <v>50</v>
      </c>
      <c r="AS65" s="282" t="s">
        <v>144</v>
      </c>
      <c r="AT65" s="282">
        <v>15</v>
      </c>
      <c r="AU65" s="282">
        <v>16</v>
      </c>
      <c r="AV65" s="282">
        <v>17</v>
      </c>
    </row>
    <row r="66" ht="18.75" customHeight="1">
      <c r="A66" s="304"/>
      <c r="B66" s="635"/>
      <c r="C66" s="635"/>
      <c r="D66" s="635"/>
      <c r="E66" s="635"/>
      <c r="F66" s="635"/>
      <c r="G66" s="635"/>
      <c r="H66" s="636"/>
      <c r="I66" s="636"/>
      <c r="J66" s="636"/>
      <c r="K66" s="636"/>
      <c r="L66" s="637"/>
      <c r="M66" s="637"/>
      <c r="N66" s="679"/>
      <c r="O66" s="679"/>
      <c r="P66" s="679"/>
      <c r="Q66" s="635"/>
      <c r="R66" s="635"/>
      <c r="S66" s="635"/>
      <c r="T66" s="635"/>
      <c r="U66" s="635"/>
      <c r="V66" s="635"/>
      <c r="W66" s="635"/>
      <c r="X66" s="635"/>
      <c r="Y66" s="635"/>
      <c r="Z66" s="635"/>
      <c r="AA66" s="635"/>
      <c r="AB66" s="635"/>
      <c r="AC66" s="635"/>
      <c r="AD66" s="635"/>
      <c r="AE66" s="589"/>
      <c r="AG66" s="316"/>
      <c r="AI66" s="316"/>
      <c r="AJ66" s="316"/>
      <c r="AL66" s="326"/>
    </row>
    <row r="67" ht="18.75" customHeight="1">
      <c r="A67" s="304"/>
      <c r="B67" s="635"/>
      <c r="C67" s="635"/>
      <c r="D67" s="635"/>
      <c r="E67" s="635"/>
      <c r="F67" s="635"/>
      <c r="G67" s="635"/>
      <c r="H67" s="636"/>
      <c r="I67" s="636"/>
      <c r="J67" s="636"/>
      <c r="K67" s="636"/>
      <c r="L67" s="637"/>
      <c r="M67" s="637"/>
      <c r="N67" s="679"/>
      <c r="O67" s="679"/>
      <c r="P67" s="679"/>
      <c r="Q67" s="635"/>
      <c r="R67" s="635"/>
      <c r="S67" s="635"/>
      <c r="T67" s="635"/>
      <c r="U67" s="635"/>
      <c r="V67" s="635"/>
      <c r="W67" s="635"/>
      <c r="X67" s="635"/>
      <c r="Y67" s="635"/>
      <c r="Z67" s="635"/>
      <c r="AA67" s="635"/>
      <c r="AB67" s="635"/>
      <c r="AC67" s="635"/>
      <c r="AD67" s="635"/>
      <c r="AE67" s="589"/>
    </row>
    <row r="68" ht="18.75" customHeight="1">
      <c r="A68" s="304"/>
      <c r="B68" s="635"/>
      <c r="C68" s="635"/>
      <c r="D68" s="635"/>
      <c r="E68" s="635"/>
      <c r="F68" s="635"/>
      <c r="G68" s="635"/>
      <c r="H68" s="636"/>
      <c r="I68" s="636"/>
      <c r="J68" s="636"/>
      <c r="K68" s="636"/>
      <c r="L68" s="637"/>
      <c r="M68" s="637"/>
      <c r="N68" s="679"/>
      <c r="O68" s="679"/>
      <c r="P68" s="679"/>
      <c r="Q68" s="635"/>
      <c r="R68" s="635"/>
      <c r="S68" s="635"/>
      <c r="T68" s="635"/>
      <c r="U68" s="635"/>
      <c r="V68" s="635"/>
      <c r="W68" s="635"/>
      <c r="X68" s="635"/>
      <c r="Y68" s="635"/>
      <c r="Z68" s="635"/>
      <c r="AA68" s="635"/>
      <c r="AB68" s="635"/>
      <c r="AC68" s="635"/>
      <c r="AD68" s="635"/>
      <c r="AE68" s="589"/>
    </row>
    <row r="69" ht="18.75" customHeight="1">
      <c r="A69" s="304"/>
      <c r="B69" s="304"/>
      <c r="C69" s="304"/>
      <c r="D69" s="304"/>
      <c r="E69" s="304"/>
      <c r="F69" s="304"/>
      <c r="G69" s="304"/>
      <c r="H69" s="304"/>
      <c r="I69" s="304"/>
      <c r="J69" s="304"/>
      <c r="K69" s="304"/>
      <c r="L69" s="304"/>
      <c r="M69" s="304"/>
      <c r="N69" s="304"/>
      <c r="O69" s="304"/>
      <c r="P69" s="304"/>
      <c r="Q69" s="304"/>
      <c r="R69" s="304"/>
      <c r="S69" s="304"/>
      <c r="T69" s="304"/>
      <c r="U69" s="304"/>
      <c r="V69" s="304"/>
      <c r="W69" s="304"/>
      <c r="X69" s="304"/>
      <c r="Y69" s="304"/>
      <c r="Z69" s="304"/>
      <c r="AA69" s="304"/>
      <c r="AB69" s="304"/>
      <c r="AC69" s="304"/>
      <c r="AD69" s="304"/>
    </row>
    <row r="70" ht="18.75" customHeight="1">
      <c r="A70" s="304"/>
      <c r="B70" s="304"/>
      <c r="C70" s="304"/>
      <c r="D70" s="304"/>
      <c r="E70" s="304"/>
      <c r="F70" s="304"/>
      <c r="G70" s="304"/>
      <c r="H70" s="304"/>
      <c r="I70" s="304"/>
      <c r="J70" s="304"/>
      <c r="K70" s="304"/>
      <c r="L70" s="304"/>
      <c r="M70" s="304"/>
      <c r="N70" s="304"/>
      <c r="O70" s="304"/>
      <c r="P70" s="304"/>
      <c r="Q70" s="304"/>
      <c r="R70" s="304"/>
      <c r="S70" s="304"/>
      <c r="T70" s="304"/>
      <c r="U70" s="304"/>
      <c r="V70" s="304"/>
      <c r="W70" s="304"/>
      <c r="X70" s="304"/>
      <c r="Y70" s="304"/>
      <c r="Z70" s="304"/>
      <c r="AA70" s="304"/>
      <c r="AB70" s="304"/>
      <c r="AC70" s="304"/>
      <c r="AD70" s="304"/>
    </row>
    <row r="71" ht="18.75" customHeight="1">
      <c r="A71" s="304"/>
      <c r="B71" s="304"/>
      <c r="C71" s="304"/>
      <c r="D71" s="304"/>
      <c r="E71" s="304"/>
      <c r="F71" s="304"/>
      <c r="G71" s="304"/>
      <c r="H71" s="304"/>
      <c r="I71" s="304"/>
      <c r="J71" s="304"/>
      <c r="K71" s="304"/>
      <c r="L71" s="304"/>
      <c r="M71" s="304"/>
      <c r="N71" s="304"/>
      <c r="O71" s="304"/>
      <c r="P71" s="304"/>
      <c r="Q71" s="304"/>
      <c r="R71" s="304"/>
      <c r="S71" s="304"/>
      <c r="T71" s="304"/>
      <c r="U71" s="304"/>
      <c r="V71" s="304"/>
      <c r="W71" s="304"/>
      <c r="X71" s="304"/>
      <c r="Y71" s="304"/>
      <c r="Z71" s="304"/>
      <c r="AA71" s="304"/>
      <c r="AB71" s="304"/>
      <c r="AC71" s="304"/>
      <c r="AD71" s="304"/>
    </row>
    <row r="72" ht="18.75" customHeight="1">
      <c r="A72" s="304"/>
      <c r="B72" s="304"/>
      <c r="C72" s="304"/>
      <c r="D72" s="304"/>
      <c r="E72" s="304"/>
      <c r="F72" s="304"/>
      <c r="G72" s="304"/>
      <c r="H72" s="304"/>
      <c r="I72" s="304"/>
      <c r="J72" s="304"/>
      <c r="K72" s="304"/>
      <c r="L72" s="304"/>
      <c r="M72" s="304"/>
      <c r="N72" s="304"/>
      <c r="O72" s="304"/>
      <c r="P72" s="304"/>
      <c r="Q72" s="304"/>
      <c r="R72" s="304"/>
      <c r="S72" s="304"/>
      <c r="T72" s="304"/>
      <c r="U72" s="304"/>
      <c r="V72" s="304"/>
      <c r="W72" s="304"/>
      <c r="X72" s="304"/>
      <c r="Y72" s="304"/>
      <c r="Z72" s="304"/>
      <c r="AA72" s="304"/>
      <c r="AB72" s="304"/>
      <c r="AC72" s="304"/>
      <c r="AD72" s="304"/>
    </row>
    <row r="73" ht="18.75" customHeight="1">
      <c r="A73" s="304"/>
      <c r="B73" s="304"/>
      <c r="C73" s="304"/>
      <c r="D73" s="304"/>
      <c r="E73" s="304"/>
      <c r="F73" s="304"/>
      <c r="G73" s="304"/>
      <c r="H73" s="304"/>
      <c r="I73" s="304"/>
      <c r="J73" s="304"/>
      <c r="K73" s="304"/>
      <c r="L73" s="304"/>
      <c r="M73" s="304"/>
      <c r="N73" s="304"/>
      <c r="O73" s="304"/>
      <c r="P73" s="304"/>
      <c r="Q73" s="304"/>
      <c r="R73" s="304"/>
      <c r="S73" s="304"/>
      <c r="T73" s="304"/>
      <c r="U73" s="304"/>
      <c r="V73" s="304"/>
      <c r="W73" s="304"/>
      <c r="X73" s="304"/>
      <c r="Y73" s="304"/>
      <c r="Z73" s="304"/>
      <c r="AA73" s="304"/>
      <c r="AB73" s="304"/>
      <c r="AC73" s="304"/>
      <c r="AD73" s="304"/>
    </row>
    <row r="74" ht="18.75" customHeight="1">
      <c r="A74" s="304"/>
      <c r="B74" s="304"/>
      <c r="C74" s="304"/>
      <c r="D74" s="304"/>
      <c r="E74" s="304"/>
      <c r="F74" s="304"/>
      <c r="G74" s="304"/>
      <c r="H74" s="304"/>
      <c r="I74" s="304"/>
      <c r="J74" s="304"/>
      <c r="K74" s="304"/>
      <c r="L74" s="304"/>
      <c r="M74" s="304"/>
      <c r="N74" s="304"/>
      <c r="O74" s="304"/>
      <c r="P74" s="304"/>
      <c r="Q74" s="304"/>
      <c r="R74" s="304"/>
      <c r="S74" s="304"/>
      <c r="T74" s="304"/>
      <c r="U74" s="304"/>
      <c r="V74" s="304"/>
      <c r="W74" s="304"/>
      <c r="X74" s="304"/>
      <c r="Y74" s="304"/>
      <c r="Z74" s="304"/>
      <c r="AA74" s="304"/>
      <c r="AB74" s="304"/>
      <c r="AC74" s="304"/>
      <c r="AD74" s="304"/>
    </row>
    <row r="75" ht="18.75" customHeight="1">
      <c r="A75" s="304"/>
      <c r="B75" s="304"/>
      <c r="C75" s="304"/>
      <c r="D75" s="304"/>
      <c r="E75" s="304"/>
      <c r="F75" s="304"/>
      <c r="G75" s="304"/>
      <c r="H75" s="304"/>
      <c r="I75" s="304"/>
      <c r="J75" s="304"/>
      <c r="K75" s="304"/>
      <c r="L75" s="304"/>
      <c r="M75" s="304"/>
      <c r="N75" s="304"/>
      <c r="O75" s="304"/>
      <c r="P75" s="304"/>
      <c r="Q75" s="304"/>
      <c r="R75" s="304"/>
      <c r="S75" s="304"/>
      <c r="T75" s="304"/>
      <c r="U75" s="304"/>
      <c r="V75" s="304"/>
      <c r="W75" s="304"/>
      <c r="X75" s="304"/>
      <c r="Y75" s="304"/>
      <c r="Z75" s="304"/>
      <c r="AA75" s="304"/>
      <c r="AB75" s="304"/>
      <c r="AC75" s="304"/>
      <c r="AD75" s="304"/>
    </row>
    <row r="76" ht="18.75" customHeight="1">
      <c r="A76" s="304"/>
      <c r="B76" s="304"/>
      <c r="C76" s="304"/>
      <c r="D76" s="304"/>
      <c r="E76" s="304"/>
      <c r="F76" s="304"/>
      <c r="G76" s="304"/>
      <c r="H76" s="304"/>
      <c r="I76" s="304"/>
      <c r="J76" s="304"/>
      <c r="K76" s="304"/>
      <c r="L76" s="304"/>
      <c r="M76" s="304"/>
      <c r="N76" s="304"/>
      <c r="O76" s="304"/>
      <c r="P76" s="304"/>
      <c r="Q76" s="304"/>
      <c r="R76" s="304"/>
      <c r="S76" s="304"/>
      <c r="T76" s="304"/>
      <c r="U76" s="304"/>
      <c r="V76" s="304"/>
      <c r="W76" s="304"/>
      <c r="X76" s="304"/>
      <c r="Y76" s="304"/>
      <c r="Z76" s="304"/>
      <c r="AA76" s="304"/>
      <c r="AB76" s="304"/>
      <c r="AC76" s="304"/>
      <c r="AD76" s="304"/>
    </row>
    <row r="77" ht="18.75" customHeight="1">
      <c r="A77" s="304"/>
      <c r="B77" s="304"/>
      <c r="C77" s="304"/>
      <c r="D77" s="304"/>
      <c r="E77" s="304"/>
      <c r="F77" s="304"/>
      <c r="G77" s="304"/>
      <c r="H77" s="304"/>
      <c r="I77" s="304"/>
      <c r="J77" s="304"/>
      <c r="K77" s="304"/>
      <c r="L77" s="304"/>
      <c r="M77" s="304"/>
      <c r="N77" s="304"/>
      <c r="O77" s="304"/>
      <c r="P77" s="304"/>
      <c r="Q77" s="304"/>
      <c r="R77" s="304"/>
      <c r="S77" s="304"/>
      <c r="T77" s="304"/>
      <c r="U77" s="304"/>
      <c r="V77" s="304"/>
      <c r="W77" s="304"/>
      <c r="X77" s="304"/>
      <c r="Y77" s="304"/>
      <c r="Z77" s="304"/>
      <c r="AA77" s="304"/>
      <c r="AB77" s="304"/>
      <c r="AC77" s="304"/>
      <c r="AD77" s="304"/>
    </row>
    <row r="78" ht="18.75" customHeight="1">
      <c r="A78" s="304"/>
      <c r="B78" s="304"/>
      <c r="C78" s="304"/>
      <c r="D78" s="304"/>
      <c r="E78" s="304"/>
      <c r="F78" s="304"/>
      <c r="G78" s="304"/>
      <c r="H78" s="304"/>
      <c r="I78" s="304"/>
      <c r="J78" s="304"/>
      <c r="K78" s="304"/>
      <c r="L78" s="304"/>
      <c r="M78" s="304"/>
      <c r="N78" s="304"/>
      <c r="O78" s="304"/>
      <c r="P78" s="304"/>
      <c r="Q78" s="304"/>
      <c r="R78" s="304"/>
      <c r="S78" s="304"/>
      <c r="T78" s="304"/>
      <c r="U78" s="304"/>
      <c r="V78" s="304"/>
      <c r="W78" s="304"/>
      <c r="X78" s="304"/>
      <c r="Y78" s="304"/>
      <c r="Z78" s="304"/>
      <c r="AA78" s="304"/>
      <c r="AB78" s="304"/>
      <c r="AC78" s="304"/>
      <c r="AD78" s="304"/>
    </row>
    <row r="79" ht="18.75" customHeight="1">
      <c r="A79" s="304"/>
      <c r="B79" s="304"/>
      <c r="C79" s="304"/>
      <c r="D79" s="304"/>
      <c r="E79" s="304"/>
      <c r="F79" s="304"/>
      <c r="G79" s="304"/>
      <c r="H79" s="304"/>
      <c r="I79" s="304"/>
      <c r="J79" s="304"/>
      <c r="K79" s="304"/>
      <c r="L79" s="304"/>
      <c r="M79" s="304"/>
      <c r="N79" s="304"/>
      <c r="O79" s="304"/>
      <c r="P79" s="304"/>
      <c r="Q79" s="304"/>
      <c r="R79" s="304"/>
      <c r="S79" s="304"/>
      <c r="T79" s="304"/>
      <c r="U79" s="304"/>
      <c r="V79" s="304"/>
      <c r="W79" s="304"/>
      <c r="X79" s="304"/>
      <c r="Y79" s="304"/>
      <c r="Z79" s="304"/>
      <c r="AA79" s="304"/>
      <c r="AB79" s="304"/>
      <c r="AC79" s="304"/>
      <c r="AD79" s="304"/>
    </row>
    <row r="80" ht="18.75" customHeight="1">
      <c r="A80" s="304"/>
      <c r="B80" s="304"/>
      <c r="C80" s="304"/>
      <c r="D80" s="304"/>
      <c r="E80" s="304"/>
      <c r="F80" s="304"/>
      <c r="G80" s="304"/>
      <c r="H80" s="304"/>
      <c r="I80" s="304"/>
      <c r="J80" s="304"/>
      <c r="K80" s="304"/>
      <c r="L80" s="304"/>
      <c r="M80" s="304"/>
      <c r="N80" s="304"/>
      <c r="O80" s="304"/>
      <c r="P80" s="304"/>
      <c r="Q80" s="304"/>
      <c r="R80" s="304"/>
      <c r="S80" s="304"/>
      <c r="T80" s="304"/>
      <c r="U80" s="304"/>
      <c r="V80" s="304"/>
      <c r="W80" s="304"/>
      <c r="X80" s="304"/>
      <c r="Y80" s="304"/>
      <c r="Z80" s="304"/>
      <c r="AA80" s="304"/>
      <c r="AB80" s="304"/>
      <c r="AC80" s="304"/>
      <c r="AD80" s="304"/>
    </row>
    <row r="81" ht="18.75" customHeight="1">
      <c r="A81" s="304"/>
      <c r="B81" s="304"/>
      <c r="C81" s="304"/>
      <c r="D81" s="304"/>
      <c r="E81" s="304"/>
      <c r="F81" s="304"/>
      <c r="G81" s="304"/>
      <c r="H81" s="304"/>
      <c r="I81" s="304"/>
      <c r="J81" s="304"/>
      <c r="K81" s="304"/>
      <c r="L81" s="304"/>
      <c r="M81" s="304"/>
      <c r="N81" s="304"/>
      <c r="O81" s="304"/>
      <c r="P81" s="304"/>
      <c r="Q81" s="304"/>
      <c r="R81" s="304"/>
      <c r="S81" s="304"/>
      <c r="T81" s="304"/>
      <c r="U81" s="304"/>
      <c r="V81" s="304"/>
      <c r="W81" s="304"/>
      <c r="X81" s="304"/>
      <c r="Y81" s="304"/>
      <c r="Z81" s="304"/>
      <c r="AA81" s="304"/>
      <c r="AB81" s="304"/>
      <c r="AC81" s="304"/>
      <c r="AD81" s="304"/>
    </row>
    <row r="82" ht="18.75" customHeight="1">
      <c r="A82" s="304"/>
      <c r="B82" s="304"/>
      <c r="C82" s="304"/>
      <c r="D82" s="304"/>
      <c r="E82" s="304"/>
      <c r="F82" s="304"/>
      <c r="G82" s="304"/>
      <c r="H82" s="304"/>
      <c r="I82" s="304"/>
      <c r="J82" s="304"/>
      <c r="K82" s="304"/>
      <c r="L82" s="304"/>
      <c r="M82" s="304"/>
      <c r="N82" s="304"/>
      <c r="O82" s="304"/>
      <c r="P82" s="304"/>
      <c r="Q82" s="304"/>
      <c r="R82" s="304"/>
      <c r="S82" s="304"/>
      <c r="T82" s="304"/>
      <c r="U82" s="304"/>
      <c r="V82" s="304"/>
      <c r="W82" s="304"/>
      <c r="X82" s="304"/>
      <c r="Y82" s="304"/>
      <c r="Z82" s="304"/>
      <c r="AA82" s="304"/>
      <c r="AB82" s="304"/>
      <c r="AC82" s="304"/>
      <c r="AD82" s="304"/>
    </row>
    <row r="83" ht="18.75" customHeight="1">
      <c r="A83" s="304"/>
      <c r="B83" s="304"/>
      <c r="C83" s="304"/>
      <c r="D83" s="304"/>
      <c r="E83" s="304"/>
      <c r="F83" s="304"/>
      <c r="G83" s="304"/>
      <c r="H83" s="304"/>
      <c r="I83" s="304"/>
      <c r="J83" s="304"/>
      <c r="K83" s="304"/>
      <c r="L83" s="304"/>
      <c r="M83" s="304"/>
      <c r="N83" s="304"/>
      <c r="O83" s="304"/>
      <c r="P83" s="304"/>
      <c r="Q83" s="304"/>
      <c r="R83" s="304"/>
      <c r="S83" s="304"/>
      <c r="T83" s="304"/>
      <c r="U83" s="304"/>
      <c r="V83" s="304"/>
      <c r="W83" s="304"/>
      <c r="X83" s="304"/>
      <c r="Y83" s="304"/>
      <c r="Z83" s="304"/>
      <c r="AA83" s="304"/>
      <c r="AB83" s="304"/>
      <c r="AC83" s="304"/>
      <c r="AD83" s="304"/>
    </row>
    <row r="84" ht="18.75" customHeight="1">
      <c r="C84" s="304"/>
      <c r="D84" s="304"/>
      <c r="E84" s="304"/>
      <c r="F84" s="304"/>
      <c r="G84" s="304"/>
      <c r="H84" s="304"/>
      <c r="I84" s="304"/>
      <c r="J84" s="304"/>
      <c r="K84" s="304"/>
      <c r="L84" s="304"/>
      <c r="M84" s="304"/>
      <c r="N84" s="304"/>
      <c r="O84" s="304"/>
      <c r="P84" s="304"/>
      <c r="Q84" s="304"/>
      <c r="R84" s="304"/>
      <c r="S84" s="304"/>
      <c r="T84" s="304"/>
      <c r="U84" s="304"/>
      <c r="V84" s="304"/>
      <c r="W84" s="304"/>
      <c r="X84" s="304"/>
      <c r="Y84" s="304"/>
      <c r="Z84" s="304"/>
      <c r="AA84" s="304"/>
      <c r="AB84" s="304"/>
      <c r="AC84" s="304"/>
      <c r="AD84" s="304"/>
    </row>
    <row r="85" ht="18.75" customHeight="1">
      <c r="C85" s="304"/>
      <c r="D85" s="304"/>
      <c r="E85" s="304"/>
      <c r="F85" s="304"/>
      <c r="G85" s="304"/>
      <c r="H85" s="304"/>
      <c r="I85" s="304"/>
      <c r="J85" s="304"/>
      <c r="K85" s="304"/>
      <c r="L85" s="304"/>
      <c r="M85" s="304"/>
      <c r="N85" s="304"/>
      <c r="O85" s="304"/>
      <c r="P85" s="304"/>
      <c r="Q85" s="304"/>
      <c r="R85" s="304"/>
      <c r="S85" s="304"/>
      <c r="T85" s="304"/>
      <c r="U85" s="304"/>
      <c r="V85" s="304"/>
      <c r="W85" s="304"/>
      <c r="X85" s="304"/>
      <c r="Y85" s="304"/>
      <c r="Z85" s="304"/>
      <c r="AA85" s="304"/>
      <c r="AB85" s="304"/>
      <c r="AC85" s="304"/>
      <c r="AD85" s="304"/>
    </row>
    <row r="86" ht="18.75" customHeight="1">
      <c r="C86" s="304"/>
      <c r="D86" s="304"/>
      <c r="E86" s="304"/>
      <c r="F86" s="304"/>
      <c r="G86" s="304"/>
      <c r="H86" s="304"/>
      <c r="I86" s="304"/>
      <c r="J86" s="304"/>
      <c r="K86" s="304"/>
      <c r="L86" s="304"/>
      <c r="M86" s="304"/>
      <c r="N86" s="304"/>
      <c r="O86" s="304"/>
      <c r="P86" s="304"/>
      <c r="Q86" s="304"/>
      <c r="R86" s="304"/>
      <c r="S86" s="304"/>
      <c r="T86" s="304"/>
      <c r="U86" s="304"/>
      <c r="V86" s="304"/>
      <c r="W86" s="304"/>
      <c r="X86" s="304"/>
      <c r="Y86" s="304"/>
      <c r="Z86" s="304"/>
      <c r="AA86" s="304"/>
      <c r="AB86" s="304"/>
      <c r="AC86" s="304"/>
      <c r="AD86" s="304"/>
    </row>
    <row r="87" ht="18.75" customHeight="1">
      <c r="C87" s="304"/>
      <c r="D87" s="304"/>
      <c r="E87" s="304"/>
      <c r="F87" s="304"/>
      <c r="G87" s="304"/>
      <c r="H87" s="304"/>
      <c r="I87" s="304"/>
      <c r="J87" s="304"/>
      <c r="K87" s="304"/>
      <c r="L87" s="304"/>
      <c r="M87" s="304"/>
      <c r="N87" s="304"/>
      <c r="O87" s="304"/>
      <c r="P87" s="304"/>
      <c r="Q87" s="304"/>
      <c r="R87" s="304"/>
      <c r="S87" s="304"/>
      <c r="T87" s="304"/>
      <c r="U87" s="304"/>
      <c r="V87" s="304"/>
      <c r="W87" s="304"/>
      <c r="X87" s="304"/>
      <c r="Y87" s="304"/>
      <c r="Z87" s="304"/>
      <c r="AA87" s="304"/>
      <c r="AB87" s="304"/>
      <c r="AC87" s="304"/>
      <c r="AD87" s="304"/>
    </row>
    <row r="88" ht="18.75" customHeight="1">
      <c r="C88" s="304"/>
      <c r="D88" s="304"/>
      <c r="E88" s="304"/>
      <c r="F88" s="304"/>
      <c r="G88" s="304"/>
      <c r="H88" s="304"/>
      <c r="I88" s="304"/>
      <c r="J88" s="304"/>
      <c r="K88" s="304"/>
      <c r="L88" s="304"/>
      <c r="M88" s="304"/>
      <c r="N88" s="304"/>
      <c r="O88" s="304"/>
      <c r="P88" s="304"/>
      <c r="Q88" s="304"/>
      <c r="R88" s="304"/>
      <c r="S88" s="304"/>
      <c r="T88" s="304"/>
      <c r="U88" s="304"/>
      <c r="V88" s="304"/>
      <c r="W88" s="304"/>
      <c r="X88" s="304"/>
      <c r="Y88" s="304"/>
      <c r="Z88" s="304"/>
      <c r="AA88" s="304"/>
      <c r="AB88" s="304"/>
      <c r="AC88" s="304"/>
      <c r="AD88" s="304"/>
    </row>
    <row r="89" ht="18.75" customHeight="1">
      <c r="C89" s="304"/>
      <c r="D89" s="304"/>
      <c r="E89" s="304"/>
      <c r="F89" s="304"/>
      <c r="G89" s="304"/>
      <c r="H89" s="304"/>
      <c r="I89" s="304"/>
      <c r="J89" s="304"/>
      <c r="K89" s="304"/>
      <c r="L89" s="304"/>
      <c r="M89" s="304"/>
      <c r="N89" s="304"/>
      <c r="O89" s="304"/>
      <c r="P89" s="304"/>
      <c r="Q89" s="304"/>
      <c r="R89" s="304"/>
      <c r="S89" s="304"/>
      <c r="T89" s="304"/>
      <c r="U89" s="304"/>
      <c r="V89" s="304"/>
      <c r="W89" s="304"/>
      <c r="X89" s="304"/>
      <c r="Y89" s="304"/>
      <c r="Z89" s="304"/>
      <c r="AA89" s="304"/>
      <c r="AB89" s="304"/>
      <c r="AC89" s="304"/>
      <c r="AD89" s="304"/>
    </row>
    <row r="90" ht="18.75" customHeight="1">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row>
    <row r="91" ht="18.75" customHeight="1">
      <c r="C91" s="304"/>
      <c r="D91" s="304"/>
      <c r="E91" s="304"/>
      <c r="F91" s="304"/>
      <c r="G91" s="304"/>
      <c r="H91" s="304"/>
      <c r="I91" s="304"/>
      <c r="J91" s="304"/>
      <c r="K91" s="304"/>
      <c r="L91" s="304"/>
      <c r="M91" s="304"/>
      <c r="N91" s="304"/>
      <c r="O91" s="304"/>
      <c r="P91" s="304"/>
      <c r="Q91" s="304"/>
      <c r="R91" s="304"/>
      <c r="S91" s="304"/>
      <c r="T91" s="304"/>
      <c r="U91" s="304"/>
      <c r="V91" s="304"/>
      <c r="W91" s="304"/>
      <c r="X91" s="304"/>
      <c r="Y91" s="304"/>
      <c r="Z91" s="304"/>
      <c r="AA91" s="304"/>
      <c r="AB91" s="304"/>
      <c r="AC91" s="304"/>
      <c r="AD91" s="304"/>
    </row>
    <row r="92">
      <c r="C92" s="304"/>
      <c r="D92" s="304"/>
      <c r="E92" s="304"/>
      <c r="F92" s="304"/>
      <c r="G92" s="304"/>
      <c r="H92" s="304"/>
      <c r="I92" s="304"/>
      <c r="J92" s="304"/>
      <c r="K92" s="304"/>
      <c r="L92" s="304"/>
      <c r="M92" s="304"/>
      <c r="N92" s="304"/>
      <c r="O92" s="304"/>
      <c r="P92" s="304"/>
      <c r="Q92" s="304"/>
      <c r="R92" s="304"/>
      <c r="S92" s="304"/>
      <c r="T92" s="304"/>
      <c r="U92" s="304"/>
      <c r="V92" s="304"/>
      <c r="W92" s="304"/>
      <c r="X92" s="304"/>
      <c r="Y92" s="304"/>
      <c r="Z92" s="304"/>
      <c r="AA92" s="304"/>
      <c r="AB92" s="304"/>
      <c r="AC92" s="304"/>
      <c r="AD92" s="304"/>
    </row>
    <row r="93">
      <c r="C93" s="304"/>
      <c r="D93" s="304"/>
      <c r="E93" s="304"/>
      <c r="F93" s="304"/>
      <c r="G93" s="304"/>
      <c r="H93" s="304"/>
      <c r="I93" s="304"/>
      <c r="J93" s="304"/>
      <c r="K93" s="304"/>
      <c r="L93" s="304"/>
      <c r="M93" s="304"/>
      <c r="N93" s="304"/>
      <c r="O93" s="304"/>
      <c r="P93" s="304"/>
      <c r="Q93" s="304"/>
      <c r="R93" s="304"/>
      <c r="S93" s="304"/>
      <c r="T93" s="304"/>
      <c r="U93" s="304"/>
      <c r="V93" s="304"/>
      <c r="W93" s="304"/>
      <c r="X93" s="304"/>
      <c r="Y93" s="304"/>
      <c r="Z93" s="304"/>
      <c r="AA93" s="304"/>
      <c r="AB93" s="304"/>
      <c r="AC93" s="304"/>
      <c r="AD93" s="304"/>
    </row>
    <row r="94">
      <c r="C94" s="304"/>
      <c r="D94" s="304"/>
      <c r="E94" s="304"/>
      <c r="F94" s="304"/>
      <c r="G94" s="304"/>
      <c r="H94" s="304"/>
      <c r="I94" s="304"/>
      <c r="J94" s="304"/>
      <c r="K94" s="304"/>
      <c r="L94" s="304"/>
      <c r="M94" s="304"/>
      <c r="N94" s="304"/>
      <c r="O94" s="304"/>
      <c r="P94" s="304"/>
      <c r="Q94" s="304"/>
      <c r="R94" s="304"/>
      <c r="S94" s="304"/>
      <c r="T94" s="304"/>
      <c r="U94" s="304"/>
      <c r="V94" s="304"/>
      <c r="W94" s="304"/>
      <c r="X94" s="304"/>
      <c r="Y94" s="304"/>
      <c r="Z94" s="304"/>
      <c r="AA94" s="304"/>
      <c r="AB94" s="304"/>
      <c r="AC94" s="304"/>
      <c r="AD94" s="304"/>
    </row>
    <row r="95">
      <c r="C95" s="304"/>
      <c r="D95" s="304"/>
      <c r="E95" s="304"/>
      <c r="F95" s="304"/>
      <c r="G95" s="304"/>
      <c r="H95" s="304"/>
      <c r="I95" s="304"/>
      <c r="J95" s="304"/>
      <c r="K95" s="304"/>
      <c r="L95" s="304"/>
      <c r="M95" s="304"/>
      <c r="N95" s="304"/>
      <c r="O95" s="304"/>
      <c r="P95" s="304"/>
      <c r="Q95" s="304"/>
      <c r="R95" s="304"/>
      <c r="S95" s="304"/>
      <c r="T95" s="304"/>
      <c r="U95" s="304"/>
      <c r="V95" s="304"/>
      <c r="W95" s="304"/>
      <c r="X95" s="304"/>
      <c r="Y95" s="304"/>
      <c r="Z95" s="304"/>
      <c r="AA95" s="304"/>
      <c r="AB95" s="304"/>
      <c r="AC95" s="304"/>
      <c r="AD95" s="304"/>
    </row>
    <row r="96">
      <c r="C96" s="304"/>
      <c r="D96" s="304"/>
      <c r="E96" s="304"/>
      <c r="F96" s="304"/>
      <c r="G96" s="304"/>
      <c r="H96" s="304"/>
      <c r="I96" s="304"/>
      <c r="J96" s="304"/>
      <c r="K96" s="304"/>
      <c r="L96" s="304"/>
      <c r="M96" s="304"/>
      <c r="N96" s="304"/>
      <c r="O96" s="304"/>
      <c r="P96" s="304"/>
      <c r="Q96" s="304"/>
      <c r="R96" s="304"/>
      <c r="S96" s="304"/>
      <c r="T96" s="304"/>
      <c r="U96" s="304"/>
      <c r="V96" s="304"/>
      <c r="W96" s="304"/>
      <c r="X96" s="304"/>
      <c r="Y96" s="304"/>
      <c r="Z96" s="304"/>
      <c r="AA96" s="304"/>
      <c r="AB96" s="304"/>
      <c r="AC96" s="304"/>
      <c r="AD96" s="304"/>
    </row>
    <row r="97">
      <c r="C97" s="304"/>
      <c r="D97" s="304"/>
      <c r="E97" s="304"/>
      <c r="F97" s="304"/>
      <c r="G97" s="304"/>
      <c r="H97" s="304"/>
      <c r="I97" s="304"/>
      <c r="J97" s="304"/>
      <c r="K97" s="304"/>
      <c r="L97" s="304"/>
      <c r="M97" s="304"/>
      <c r="N97" s="304"/>
      <c r="O97" s="304"/>
      <c r="P97" s="304"/>
      <c r="Q97" s="304"/>
      <c r="R97" s="304"/>
      <c r="S97" s="304"/>
      <c r="T97" s="304"/>
      <c r="U97" s="304"/>
      <c r="V97" s="304"/>
      <c r="W97" s="304"/>
      <c r="X97" s="304"/>
      <c r="Y97" s="304"/>
      <c r="Z97" s="304"/>
      <c r="AA97" s="304"/>
      <c r="AB97" s="304"/>
      <c r="AC97" s="304"/>
      <c r="AD97" s="304"/>
    </row>
    <row r="98">
      <c r="C98" s="304"/>
      <c r="D98" s="304"/>
      <c r="E98" s="304"/>
      <c r="F98" s="304"/>
      <c r="G98" s="304"/>
      <c r="H98" s="304"/>
      <c r="I98" s="304"/>
      <c r="J98" s="304"/>
      <c r="K98" s="304"/>
      <c r="L98" s="304"/>
      <c r="M98" s="304"/>
      <c r="N98" s="304"/>
      <c r="O98" s="304"/>
      <c r="P98" s="304"/>
      <c r="Q98" s="304"/>
      <c r="R98" s="304"/>
      <c r="S98" s="304"/>
      <c r="T98" s="304"/>
      <c r="U98" s="304"/>
      <c r="V98" s="304"/>
      <c r="W98" s="304"/>
      <c r="X98" s="304"/>
      <c r="Y98" s="304"/>
      <c r="Z98" s="304"/>
      <c r="AA98" s="304"/>
      <c r="AB98" s="304"/>
      <c r="AC98" s="304"/>
      <c r="AD98" s="304"/>
    </row>
  </sheetData>
  <sheetProtection sheet="1" objects="1" scenarios="1"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82"/>
    <col min="16" max="30" width="3.28515625" customWidth="1" style="282"/>
    <col min="31" max="31" width="3.28515625" customWidth="1" style="304"/>
    <col min="32" max="146" width="3.140625" customWidth="1" style="282"/>
    <col min="147" max="16384" width="9.140625" customWidth="1" style="282"/>
  </cols>
  <sheetData>
    <row r="1" ht="19.7" customHeight="1">
      <c r="B1" s="657" t="s">
        <v>84</v>
      </c>
      <c r="C1" s="657"/>
      <c r="D1" s="657"/>
      <c r="E1" s="657"/>
      <c r="F1" s="657"/>
      <c r="G1" s="657"/>
      <c r="H1" s="657"/>
      <c r="I1" s="657"/>
      <c r="J1" s="657"/>
      <c r="K1" s="657"/>
      <c r="L1" s="657"/>
      <c r="M1" s="657"/>
      <c r="N1" s="315"/>
      <c r="O1" s="315"/>
      <c r="P1" s="638" t="s">
        <v>85</v>
      </c>
      <c r="Q1" s="638"/>
      <c r="R1" s="638"/>
      <c r="S1" s="638"/>
      <c r="T1" s="638"/>
      <c r="U1" s="638"/>
      <c r="V1" s="638"/>
      <c r="W1" s="638"/>
      <c r="X1" s="638"/>
      <c r="Y1" s="638"/>
      <c r="Z1" s="638"/>
      <c r="AA1" s="638"/>
      <c r="AB1" s="638"/>
      <c r="AC1" s="638"/>
      <c r="AD1" s="638"/>
      <c r="AE1" s="302"/>
    </row>
    <row r="2" ht="19.7" customHeight="1">
      <c r="C2" s="657" t="s">
        <v>86</v>
      </c>
      <c r="D2" s="657"/>
      <c r="E2" s="657"/>
      <c r="F2" s="657"/>
      <c r="G2" s="657"/>
      <c r="H2" s="657"/>
      <c r="I2" s="657"/>
      <c r="J2" s="657"/>
      <c r="K2" s="657"/>
      <c r="L2" s="657"/>
      <c r="M2" s="315"/>
      <c r="N2" s="338"/>
      <c r="O2" s="315"/>
      <c r="P2" s="658" t="s">
        <v>87</v>
      </c>
      <c r="Q2" s="658"/>
      <c r="R2" s="658"/>
      <c r="S2" s="658"/>
      <c r="T2" s="658"/>
      <c r="U2" s="658"/>
      <c r="V2" s="658"/>
      <c r="W2" s="658"/>
      <c r="X2" s="658"/>
      <c r="Y2" s="658"/>
      <c r="Z2" s="658"/>
      <c r="AA2" s="658"/>
      <c r="AB2" s="658"/>
      <c r="AC2" s="658"/>
      <c r="AD2" s="658"/>
    </row>
    <row r="3" ht="12" customHeight="1">
      <c r="C3" s="314"/>
      <c r="D3" s="314"/>
      <c r="E3" s="339"/>
      <c r="F3" s="339"/>
      <c r="G3" s="339"/>
      <c r="H3" s="339"/>
      <c r="I3" s="339"/>
      <c r="J3" s="339"/>
      <c r="K3" s="314"/>
      <c r="L3" s="313"/>
      <c r="M3" s="314"/>
      <c r="N3" s="314"/>
      <c r="O3" s="314"/>
      <c r="P3" s="314"/>
      <c r="Q3" s="310"/>
      <c r="R3" s="310"/>
      <c r="S3" s="339"/>
      <c r="T3" s="339"/>
      <c r="U3" s="339"/>
      <c r="V3" s="339"/>
      <c r="W3" s="339"/>
      <c r="X3" s="339"/>
      <c r="Y3" s="339"/>
      <c r="Z3" s="339"/>
      <c r="AA3" s="339"/>
      <c r="AB3" s="315"/>
      <c r="AC3" s="315"/>
      <c r="AD3" s="315"/>
    </row>
    <row r="4" ht="6.75" customHeight="1">
      <c r="C4" s="308"/>
      <c r="D4" s="308"/>
      <c r="E4" s="309"/>
      <c r="F4" s="309"/>
      <c r="G4" s="309"/>
      <c r="H4" s="309"/>
      <c r="I4" s="309"/>
      <c r="J4" s="309"/>
      <c r="K4" s="309"/>
      <c r="L4" s="310"/>
      <c r="M4" s="310"/>
      <c r="N4" s="310"/>
      <c r="O4" s="310"/>
      <c r="P4" s="309"/>
      <c r="Q4" s="338"/>
      <c r="R4" s="338"/>
      <c r="S4" s="338"/>
      <c r="T4" s="338"/>
      <c r="U4" s="338"/>
      <c r="V4" s="338"/>
      <c r="W4" s="338"/>
      <c r="X4" s="338"/>
      <c r="Y4" s="338"/>
      <c r="Z4" s="338"/>
      <c r="AA4" s="338"/>
      <c r="AB4" s="338"/>
      <c r="AC4" s="338"/>
      <c r="AD4" s="338"/>
    </row>
    <row r="5" ht="0.75" customHeight="1">
      <c r="C5" s="340"/>
      <c r="D5" s="340"/>
      <c r="E5" s="314"/>
      <c r="F5" s="314"/>
      <c r="G5" s="314"/>
      <c r="H5" s="314"/>
      <c r="I5" s="314"/>
      <c r="J5" s="314"/>
      <c r="K5" s="314"/>
      <c r="L5" s="314"/>
      <c r="M5" s="314"/>
      <c r="N5" s="314"/>
      <c r="O5" s="314"/>
      <c r="P5" s="314"/>
      <c r="Q5" s="314"/>
      <c r="R5" s="314"/>
      <c r="S5" s="314"/>
      <c r="T5" s="314"/>
      <c r="U5" s="314"/>
      <c r="V5" s="314"/>
      <c r="W5" s="314"/>
      <c r="X5" s="314"/>
      <c r="Y5" s="314"/>
      <c r="Z5" s="314"/>
      <c r="AA5" s="314"/>
      <c r="AB5" s="315"/>
      <c r="AC5" s="315"/>
      <c r="AD5" s="315"/>
    </row>
    <row r="6" ht="19.7" customHeight="1">
      <c r="C6" s="650" t="s">
        <v>88</v>
      </c>
      <c r="D6" s="650"/>
      <c r="E6" s="650"/>
      <c r="F6" s="650"/>
      <c r="G6" s="650"/>
      <c r="H6" s="650"/>
      <c r="I6" s="650"/>
      <c r="J6" s="650"/>
      <c r="K6" s="650"/>
      <c r="L6" s="650"/>
      <c r="M6" s="650"/>
      <c r="N6" s="650"/>
      <c r="O6" s="650"/>
      <c r="P6" s="650"/>
      <c r="Q6" s="650"/>
      <c r="R6" s="650"/>
      <c r="S6" s="650"/>
      <c r="T6" s="650"/>
      <c r="U6" s="650"/>
      <c r="V6" s="650"/>
      <c r="W6" s="650"/>
      <c r="X6" s="650"/>
      <c r="Y6" s="650"/>
      <c r="Z6" s="650"/>
      <c r="AA6" s="650"/>
      <c r="AB6" s="650"/>
      <c r="AC6" s="650"/>
      <c r="AD6" s="650"/>
    </row>
    <row r="7" ht="19.7" customHeight="1">
      <c r="C7" s="650" t="s">
        <v>89</v>
      </c>
      <c r="D7" s="650"/>
      <c r="E7" s="650"/>
      <c r="F7" s="650"/>
      <c r="G7" s="650"/>
      <c r="H7" s="650"/>
      <c r="I7" s="650"/>
      <c r="J7" s="650"/>
      <c r="K7" s="650"/>
      <c r="L7" s="650"/>
      <c r="M7" s="650"/>
      <c r="N7" s="650"/>
      <c r="O7" s="650"/>
      <c r="P7" s="650"/>
      <c r="Q7" s="650"/>
      <c r="R7" s="650"/>
      <c r="S7" s="650"/>
      <c r="T7" s="650"/>
      <c r="U7" s="650"/>
      <c r="V7" s="650"/>
      <c r="W7" s="650"/>
      <c r="X7" s="650"/>
      <c r="Y7" s="650"/>
      <c r="Z7" s="650"/>
      <c r="AA7" s="650"/>
      <c r="AB7" s="650"/>
      <c r="AC7" s="650"/>
      <c r="AD7" s="650"/>
    </row>
    <row r="8" ht="12.75" customHeight="1">
      <c r="C8" s="313"/>
      <c r="D8" s="314"/>
      <c r="E8" s="314"/>
      <c r="F8" s="314"/>
      <c r="G8" s="314"/>
      <c r="H8" s="314"/>
      <c r="I8" s="314"/>
      <c r="J8" s="314"/>
      <c r="K8" s="314"/>
      <c r="L8" s="314"/>
      <c r="M8" s="314"/>
      <c r="N8" s="314"/>
      <c r="O8" s="314"/>
      <c r="P8" s="314"/>
      <c r="Q8" s="314"/>
      <c r="R8" s="314"/>
      <c r="S8" s="314"/>
      <c r="T8" s="314"/>
      <c r="U8" s="314"/>
      <c r="V8" s="314"/>
      <c r="W8" s="314"/>
      <c r="X8" s="314"/>
      <c r="Y8" s="314"/>
      <c r="Z8" s="314"/>
      <c r="AA8" s="314"/>
      <c r="AB8" s="315"/>
      <c r="AC8" s="315"/>
      <c r="AD8" s="315"/>
    </row>
    <row r="9" ht="15.75" customHeight="1">
      <c r="C9" s="658" t="str">
        <f>"Số: "&amp;AG9</f>
        <v>Số: B08600120811TG05</v>
      </c>
      <c r="D9" s="658"/>
      <c r="E9" s="658"/>
      <c r="F9" s="658"/>
      <c r="G9" s="658"/>
      <c r="H9" s="658"/>
      <c r="I9" s="658"/>
      <c r="J9" s="658"/>
      <c r="K9" s="658"/>
      <c r="L9" s="658"/>
      <c r="M9" s="658"/>
      <c r="N9" s="658"/>
      <c r="O9" s="658"/>
      <c r="P9" s="658"/>
      <c r="Q9" s="658"/>
      <c r="R9" s="658"/>
      <c r="S9" s="658"/>
      <c r="T9" s="658"/>
      <c r="U9" s="658"/>
      <c r="V9" s="658"/>
      <c r="W9" s="658"/>
      <c r="X9" s="658"/>
      <c r="Y9" s="658"/>
      <c r="Z9" s="658"/>
      <c r="AA9" s="658"/>
      <c r="AB9" s="658"/>
      <c r="AC9" s="658"/>
      <c r="AD9" s="658"/>
      <c r="AG9" s="316" t="s">
        <v>90</v>
      </c>
    </row>
    <row r="10" ht="10.5" customHeight="1">
      <c r="C10" s="317"/>
      <c r="D10" s="314"/>
      <c r="E10" s="314"/>
      <c r="F10" s="314"/>
      <c r="G10" s="314"/>
      <c r="H10" s="314"/>
      <c r="I10" s="314"/>
      <c r="J10" s="314"/>
      <c r="K10" s="314"/>
      <c r="L10" s="314"/>
      <c r="M10" s="314"/>
      <c r="N10" s="314"/>
      <c r="O10" s="314"/>
      <c r="P10" s="314"/>
      <c r="Q10" s="314"/>
      <c r="R10" s="314"/>
      <c r="S10" s="314"/>
      <c r="T10" s="314"/>
      <c r="U10" s="314"/>
      <c r="V10" s="314"/>
      <c r="W10" s="314"/>
      <c r="X10" s="314"/>
      <c r="Y10" s="314"/>
      <c r="Z10" s="314"/>
      <c r="AA10" s="314"/>
      <c r="AB10" s="315"/>
      <c r="AC10" s="315"/>
      <c r="AD10" s="315"/>
    </row>
    <row r="11" ht="19.7" customHeight="1">
      <c r="C11" s="650" t="s">
        <v>91</v>
      </c>
      <c r="D11" s="650"/>
      <c r="E11" s="650"/>
      <c r="F11" s="650"/>
      <c r="G11" s="650"/>
      <c r="H11" s="650"/>
      <c r="I11" s="650"/>
      <c r="J11" s="650"/>
      <c r="K11" s="650"/>
      <c r="L11" s="650"/>
      <c r="M11" s="650"/>
      <c r="N11" s="650"/>
      <c r="O11" s="650"/>
      <c r="P11" s="650"/>
      <c r="Q11" s="650"/>
      <c r="R11" s="650"/>
      <c r="S11" s="650"/>
      <c r="T11" s="650"/>
      <c r="U11" s="650"/>
      <c r="V11" s="650"/>
      <c r="W11" s="650"/>
      <c r="X11" s="650"/>
      <c r="Y11" s="650"/>
      <c r="Z11" s="650"/>
      <c r="AA11" s="650"/>
      <c r="AB11" s="650"/>
      <c r="AC11" s="650"/>
      <c r="AD11" s="650"/>
    </row>
    <row r="12" ht="19.7" customHeight="1">
      <c r="C12" s="650" t="s">
        <v>92</v>
      </c>
      <c r="D12" s="650"/>
      <c r="E12" s="650"/>
      <c r="F12" s="650"/>
      <c r="G12" s="650"/>
      <c r="H12" s="650"/>
      <c r="I12" s="650"/>
      <c r="J12" s="650"/>
      <c r="K12" s="650"/>
      <c r="L12" s="650"/>
      <c r="M12" s="650"/>
      <c r="N12" s="650"/>
      <c r="O12" s="650"/>
      <c r="P12" s="650"/>
      <c r="Q12" s="650"/>
      <c r="R12" s="650"/>
      <c r="S12" s="650"/>
      <c r="T12" s="650"/>
      <c r="U12" s="650"/>
      <c r="V12" s="650"/>
      <c r="W12" s="650"/>
      <c r="X12" s="650"/>
      <c r="Y12" s="650"/>
      <c r="Z12" s="650"/>
      <c r="AA12" s="650"/>
      <c r="AB12" s="650"/>
      <c r="AC12" s="650"/>
      <c r="AD12" s="650"/>
    </row>
    <row r="13" ht="7.5" customHeight="1">
      <c r="C13" s="318"/>
      <c r="D13" s="305"/>
      <c r="E13" s="305"/>
      <c r="F13" s="305"/>
      <c r="G13" s="305"/>
      <c r="H13" s="305"/>
      <c r="I13" s="305"/>
      <c r="J13" s="305"/>
      <c r="K13" s="305"/>
      <c r="L13" s="305"/>
      <c r="M13" s="305"/>
      <c r="N13" s="305"/>
      <c r="O13" s="305"/>
      <c r="P13" s="305"/>
      <c r="Q13" s="305"/>
      <c r="R13" s="305"/>
      <c r="S13" s="305"/>
      <c r="T13" s="305"/>
      <c r="U13" s="305"/>
      <c r="V13" s="305"/>
      <c r="W13" s="305"/>
      <c r="X13" s="305"/>
      <c r="Y13" s="305"/>
      <c r="Z13" s="305"/>
      <c r="AA13" s="305"/>
    </row>
    <row r="14" ht="3" customHeight="1">
      <c r="C14" s="319"/>
      <c r="D14" s="305"/>
      <c r="E14" s="305"/>
      <c r="F14" s="305"/>
      <c r="G14" s="305"/>
      <c r="H14" s="305"/>
      <c r="I14" s="305"/>
      <c r="J14" s="305"/>
      <c r="K14" s="305"/>
      <c r="L14" s="305"/>
      <c r="M14" s="305"/>
      <c r="N14" s="305"/>
      <c r="O14" s="305"/>
      <c r="P14" s="305"/>
      <c r="Q14" s="305"/>
      <c r="R14" s="305"/>
      <c r="S14" s="305"/>
      <c r="T14" s="305"/>
      <c r="U14" s="305"/>
      <c r="V14" s="305"/>
      <c r="W14" s="305"/>
      <c r="X14" s="305"/>
      <c r="Y14" s="305"/>
      <c r="Z14" s="305"/>
      <c r="AA14" s="305"/>
    </row>
    <row r="15" ht="23.25" customHeight="1">
      <c r="C15" s="651" t="s">
        <v>89</v>
      </c>
      <c r="D15" s="652"/>
      <c r="E15" s="652"/>
      <c r="F15" s="652"/>
      <c r="G15" s="652"/>
      <c r="H15" s="652"/>
      <c r="I15" s="652"/>
      <c r="J15" s="652"/>
      <c r="K15" s="652"/>
      <c r="L15" s="652"/>
      <c r="M15" s="652"/>
      <c r="N15" s="652"/>
      <c r="O15" s="652"/>
      <c r="P15" s="652"/>
      <c r="Q15" s="652"/>
      <c r="R15" s="652"/>
      <c r="S15" s="652"/>
      <c r="T15" s="652"/>
      <c r="U15" s="652"/>
      <c r="V15" s="652"/>
      <c r="W15" s="652"/>
      <c r="X15" s="652"/>
      <c r="Y15" s="652"/>
      <c r="Z15" s="652"/>
      <c r="AA15" s="652"/>
      <c r="AB15" s="652"/>
      <c r="AC15" s="652"/>
      <c r="AD15" s="653"/>
      <c r="AE15" s="320"/>
      <c r="AG15" s="321">
        <v>1</v>
      </c>
      <c r="AH15" s="321"/>
      <c r="AI15" s="321"/>
      <c r="AJ15" s="321"/>
      <c r="AK15" s="321">
        <v>2</v>
      </c>
      <c r="AL15" s="321"/>
      <c r="AM15" s="321"/>
      <c r="AN15" s="321"/>
      <c r="AO15" s="321">
        <v>3</v>
      </c>
      <c r="AS15" s="282">
        <v>4</v>
      </c>
    </row>
    <row r="16" ht="38.25" customHeight="1">
      <c r="C16" s="682" t="s">
        <v>93</v>
      </c>
      <c r="D16" s="683"/>
      <c r="E16" s="683"/>
      <c r="F16" s="683"/>
      <c r="G16" s="683"/>
      <c r="H16" s="683"/>
      <c r="I16" s="683"/>
      <c r="J16" s="683"/>
      <c r="K16" s="683"/>
      <c r="L16" s="684"/>
      <c r="M16" s="662" t="str">
        <f>AG16</f>
        <v>Ấp Bàu Trâu, xã Phước Thạnh, huyện Củ Chi, thành phố Hồ Chí Minh.</v>
      </c>
      <c r="N16" s="663"/>
      <c r="O16" s="663"/>
      <c r="P16" s="663"/>
      <c r="Q16" s="663"/>
      <c r="R16" s="663"/>
      <c r="S16" s="663"/>
      <c r="T16" s="663"/>
      <c r="U16" s="663"/>
      <c r="V16" s="663"/>
      <c r="W16" s="663"/>
      <c r="X16" s="663"/>
      <c r="Y16" s="663"/>
      <c r="Z16" s="663"/>
      <c r="AA16" s="663"/>
      <c r="AB16" s="663"/>
      <c r="AC16" s="663"/>
      <c r="AD16" s="664"/>
      <c r="AE16" s="320"/>
      <c r="AG16" s="341" t="s">
        <v>94</v>
      </c>
    </row>
    <row r="17" ht="21" customHeight="1">
      <c r="C17" s="659" t="s">
        <v>95</v>
      </c>
      <c r="D17" s="660"/>
      <c r="E17" s="660"/>
      <c r="F17" s="660"/>
      <c r="G17" s="660"/>
      <c r="H17" s="660"/>
      <c r="I17" s="660"/>
      <c r="J17" s="660"/>
      <c r="K17" s="660"/>
      <c r="L17" s="661"/>
      <c r="M17" s="651" t="str">
        <f>IF(AG17="","",AG17)</f>
      </c>
      <c r="N17" s="652"/>
      <c r="O17" s="652"/>
      <c r="P17" s="652"/>
      <c r="Q17" s="652"/>
      <c r="R17" s="652"/>
      <c r="S17" s="652"/>
      <c r="T17" s="652"/>
      <c r="U17" s="652"/>
      <c r="V17" s="652"/>
      <c r="W17" s="652"/>
      <c r="X17" s="652"/>
      <c r="Y17" s="652"/>
      <c r="Z17" s="652"/>
      <c r="AA17" s="652"/>
      <c r="AB17" s="652"/>
      <c r="AC17" s="652"/>
      <c r="AD17" s="653"/>
      <c r="AE17" s="320"/>
    </row>
    <row r="18" ht="33.95" customHeight="1">
      <c r="C18" s="654" t="s">
        <v>96</v>
      </c>
      <c r="D18" s="655"/>
      <c r="E18" s="655"/>
      <c r="F18" s="655"/>
      <c r="G18" s="655"/>
      <c r="H18" s="655"/>
      <c r="I18" s="655"/>
      <c r="J18" s="655"/>
      <c r="K18" s="655"/>
      <c r="L18" s="656"/>
      <c r="M18" s="647" t="str">
        <f>AG18</f>
        <v>CÔNG TY CỔ PHẦN VIỄN THÔNG DI ĐỘNG TOÀN CẦU</v>
      </c>
      <c r="N18" s="648"/>
      <c r="O18" s="648"/>
      <c r="P18" s="648"/>
      <c r="Q18" s="648"/>
      <c r="R18" s="648"/>
      <c r="S18" s="648"/>
      <c r="T18" s="648"/>
      <c r="U18" s="648"/>
      <c r="V18" s="648"/>
      <c r="W18" s="648"/>
      <c r="X18" s="648"/>
      <c r="Y18" s="648"/>
      <c r="Z18" s="648"/>
      <c r="AA18" s="648"/>
      <c r="AB18" s="648"/>
      <c r="AC18" s="648"/>
      <c r="AD18" s="649"/>
      <c r="AE18" s="320"/>
      <c r="AG18" s="316" t="s">
        <v>99</v>
      </c>
    </row>
    <row r="19" ht="33.95" customHeight="1">
      <c r="C19" s="654" t="s">
        <v>98</v>
      </c>
      <c r="D19" s="655"/>
      <c r="E19" s="655"/>
      <c r="F19" s="655"/>
      <c r="G19" s="655"/>
      <c r="H19" s="655"/>
      <c r="I19" s="655"/>
      <c r="J19" s="655"/>
      <c r="K19" s="655"/>
      <c r="L19" s="656"/>
      <c r="M19" s="647" t="str">
        <f>AG19</f>
        <v>CÔNG TY CỔ PHẦN VIỄN THÔNG DI ĐỘNG TOÀN CẦU</v>
      </c>
      <c r="N19" s="648"/>
      <c r="O19" s="648"/>
      <c r="P19" s="648"/>
      <c r="Q19" s="648"/>
      <c r="R19" s="648"/>
      <c r="S19" s="648"/>
      <c r="T19" s="648"/>
      <c r="U19" s="648"/>
      <c r="V19" s="648"/>
      <c r="W19" s="648"/>
      <c r="X19" s="648"/>
      <c r="Y19" s="648"/>
      <c r="Z19" s="648"/>
      <c r="AA19" s="648"/>
      <c r="AB19" s="648"/>
      <c r="AC19" s="648"/>
      <c r="AD19" s="649"/>
      <c r="AE19" s="323"/>
      <c r="AG19" s="316" t="s">
        <v>99</v>
      </c>
    </row>
    <row r="20" ht="21" customHeight="1">
      <c r="C20" s="671" t="s">
        <v>100</v>
      </c>
      <c r="D20" s="672"/>
      <c r="E20" s="672"/>
      <c r="F20" s="672"/>
      <c r="G20" s="672"/>
      <c r="H20" s="672"/>
      <c r="I20" s="672"/>
      <c r="J20" s="672"/>
      <c r="K20" s="672"/>
      <c r="L20" s="672"/>
      <c r="M20" s="672"/>
      <c r="N20" s="672"/>
      <c r="O20" s="672"/>
      <c r="P20" s="672"/>
      <c r="Q20" s="672"/>
      <c r="R20" s="672"/>
      <c r="S20" s="672"/>
      <c r="T20" s="672"/>
      <c r="U20" s="672"/>
      <c r="V20" s="672"/>
      <c r="W20" s="672"/>
      <c r="X20" s="672"/>
      <c r="Y20" s="672"/>
      <c r="Z20" s="672"/>
      <c r="AA20" s="672"/>
      <c r="AB20" s="672"/>
      <c r="AC20" s="672"/>
      <c r="AD20" s="673"/>
      <c r="AE20" s="324"/>
    </row>
    <row r="21" ht="33.95" customHeight="1">
      <c r="C21" s="665" t="s">
        <v>101</v>
      </c>
      <c r="D21" s="665"/>
      <c r="E21" s="665"/>
      <c r="F21" s="665"/>
      <c r="G21" s="665"/>
      <c r="H21" s="665"/>
      <c r="I21" s="665"/>
      <c r="J21" s="665"/>
      <c r="K21" s="665"/>
      <c r="L21" s="665"/>
      <c r="M21" s="685" t="str">
        <f>AG21</f>
        <v>MOTOROLA HORIZON II MACRO</v>
      </c>
      <c r="N21" s="685"/>
      <c r="O21" s="685"/>
      <c r="P21" s="685"/>
      <c r="Q21" s="685"/>
      <c r="R21" s="685"/>
      <c r="S21" s="685"/>
      <c r="T21" s="685"/>
      <c r="U21" s="685"/>
      <c r="V21" s="685" t="str">
        <f>AK21</f>
        <v>MOTOROLA HORIZON II MACRO</v>
      </c>
      <c r="W21" s="685"/>
      <c r="X21" s="685"/>
      <c r="Y21" s="685"/>
      <c r="Z21" s="685"/>
      <c r="AA21" s="685"/>
      <c r="AB21" s="685"/>
      <c r="AC21" s="685"/>
      <c r="AD21" s="685"/>
      <c r="AE21" s="320"/>
      <c r="AG21" s="316" t="s">
        <v>102</v>
      </c>
      <c r="AK21" s="316" t="s">
        <v>102</v>
      </c>
      <c r="AO21" s="316" t="s">
        <v>104</v>
      </c>
      <c r="AS21" s="316" t="s">
        <v>105</v>
      </c>
    </row>
    <row r="22" ht="19.7" customHeight="1">
      <c r="C22" s="674" t="s">
        <v>106</v>
      </c>
      <c r="D22" s="675"/>
      <c r="E22" s="675"/>
      <c r="F22" s="675"/>
      <c r="G22" s="675"/>
      <c r="H22" s="675"/>
      <c r="I22" s="675"/>
      <c r="J22" s="675"/>
      <c r="K22" s="675"/>
      <c r="L22" s="676"/>
      <c r="M22" s="647">
        <f>AG22</f>
        <v>3</v>
      </c>
      <c r="N22" s="648"/>
      <c r="O22" s="648"/>
      <c r="P22" s="648"/>
      <c r="Q22" s="648"/>
      <c r="R22" s="648"/>
      <c r="S22" s="648"/>
      <c r="T22" s="648"/>
      <c r="U22" s="649"/>
      <c r="V22" s="647">
        <f>AK22</f>
        <v>3</v>
      </c>
      <c r="W22" s="648"/>
      <c r="X22" s="648"/>
      <c r="Y22" s="648"/>
      <c r="Z22" s="648"/>
      <c r="AA22" s="648"/>
      <c r="AB22" s="648"/>
      <c r="AC22" s="648"/>
      <c r="AD22" s="649"/>
      <c r="AE22" s="320"/>
      <c r="AG22" s="321">
        <v>3</v>
      </c>
      <c r="AH22" s="321"/>
      <c r="AI22" s="321"/>
      <c r="AJ22" s="321"/>
      <c r="AK22" s="321">
        <v>3</v>
      </c>
      <c r="AL22" s="321"/>
      <c r="AM22" s="321"/>
      <c r="AN22" s="321"/>
      <c r="AO22" s="321">
        <v>3</v>
      </c>
      <c r="AS22" s="282">
        <v>1</v>
      </c>
    </row>
    <row r="23" ht="19.7" customHeight="1">
      <c r="C23" s="665" t="s">
        <v>107</v>
      </c>
      <c r="D23" s="665"/>
      <c r="E23" s="665"/>
      <c r="F23" s="665"/>
      <c r="G23" s="665"/>
      <c r="H23" s="665"/>
      <c r="I23" s="665"/>
      <c r="J23" s="665"/>
      <c r="K23" s="665"/>
      <c r="L23" s="665"/>
      <c r="M23" s="688" t="str">
        <f>AG23</f>
        <v>4/4/4</v>
      </c>
      <c r="N23" s="689"/>
      <c r="O23" s="689"/>
      <c r="P23" s="689"/>
      <c r="Q23" s="689"/>
      <c r="R23" s="689"/>
      <c r="S23" s="689"/>
      <c r="T23" s="689"/>
      <c r="U23" s="689"/>
      <c r="V23" s="669" t="str">
        <f>AK23</f>
        <v>2/2/2</v>
      </c>
      <c r="W23" s="686"/>
      <c r="X23" s="686"/>
      <c r="Y23" s="686"/>
      <c r="Z23" s="686"/>
      <c r="AA23" s="686"/>
      <c r="AB23" s="686"/>
      <c r="AC23" s="686"/>
      <c r="AD23" s="687"/>
      <c r="AE23" s="325"/>
      <c r="AG23" s="326" t="s">
        <v>108</v>
      </c>
      <c r="AH23" s="327"/>
      <c r="AI23" s="327"/>
      <c r="AJ23" s="327"/>
      <c r="AK23" s="326" t="s">
        <v>109</v>
      </c>
      <c r="AL23" s="327"/>
      <c r="AM23" s="327"/>
      <c r="AN23" s="327"/>
      <c r="AO23" s="326" t="s">
        <v>110</v>
      </c>
      <c r="AP23" s="327"/>
      <c r="AQ23" s="327"/>
      <c r="AR23" s="327"/>
      <c r="AS23" s="326" t="s">
        <v>111</v>
      </c>
    </row>
    <row r="24" ht="18.75" customHeight="1">
      <c r="C24" s="674" t="s">
        <v>112</v>
      </c>
      <c r="D24" s="675"/>
      <c r="E24" s="675"/>
      <c r="F24" s="675"/>
      <c r="G24" s="675"/>
      <c r="H24" s="675"/>
      <c r="I24" s="675"/>
      <c r="J24" s="675"/>
      <c r="K24" s="675"/>
      <c r="L24" s="676"/>
      <c r="M24" s="647" t="str">
        <f>IF(M22=4,AG24&amp;"W/ "&amp;AH24&amp;"W/ "&amp;AI24&amp;"W/ "&amp;AJ24&amp;"W",IF(M22=3,AG24&amp;"W/ "&amp;AH24&amp;"W/ "&amp;AI24&amp;"W",IF(M22=2,AG24&amp;"W/ "&amp;AH24&amp;"W",AG24&amp;"W")))</f>
        <v>100,45W/ 100,45W/ 100,45W</v>
      </c>
      <c r="N24" s="648"/>
      <c r="O24" s="648"/>
      <c r="P24" s="648"/>
      <c r="Q24" s="648"/>
      <c r="R24" s="648"/>
      <c r="S24" s="648"/>
      <c r="T24" s="648"/>
      <c r="U24" s="649"/>
      <c r="V24" s="647" t="str">
        <f>IF(V22=4,AK24&amp;"W/ "&amp;AL24&amp;"W/ "&amp;AM24&amp;"W/ "&amp;AN24&amp;"W",IF(V22=3,AK24&amp;"W/ "&amp;AL24&amp;"W/ "&amp;AM24&amp;"W",IF(V22=2,AK24&amp;"W/"&amp;AL24&amp;"W",AK24&amp;"W")))</f>
        <v>40W/ 40W/ 40W</v>
      </c>
      <c r="W24" s="648"/>
      <c r="X24" s="648"/>
      <c r="Y24" s="648"/>
      <c r="Z24" s="648"/>
      <c r="AA24" s="648"/>
      <c r="AB24" s="648"/>
      <c r="AC24" s="648"/>
      <c r="AD24" s="649"/>
      <c r="AE24" s="323"/>
      <c r="AG24" s="282" t="s">
        <v>737</v>
      </c>
      <c r="AH24" s="282" t="s">
        <v>737</v>
      </c>
      <c r="AI24" s="282" t="s">
        <v>737</v>
      </c>
      <c r="AJ24" s="282" t="s">
        <v>737</v>
      </c>
      <c r="AK24" s="282">
        <v>40</v>
      </c>
      <c r="AL24" s="282">
        <v>40</v>
      </c>
      <c r="AM24" s="282">
        <v>40</v>
      </c>
      <c r="AN24" s="282">
        <v>40</v>
      </c>
      <c r="AO24" s="282">
        <v>60</v>
      </c>
      <c r="AP24" s="282">
        <v>60</v>
      </c>
      <c r="AQ24" s="282">
        <v>60</v>
      </c>
      <c r="AS24" s="282">
        <v>80</v>
      </c>
      <c r="AT24" s="282">
        <v>80</v>
      </c>
      <c r="AU24" s="282">
        <v>80</v>
      </c>
    </row>
    <row r="25" ht="19.7" customHeight="1">
      <c r="C25" s="665" t="s">
        <v>113</v>
      </c>
      <c r="D25" s="665"/>
      <c r="E25" s="665"/>
      <c r="F25" s="665"/>
      <c r="G25" s="665"/>
      <c r="H25" s="665"/>
      <c r="I25" s="665"/>
      <c r="J25" s="665"/>
      <c r="K25" s="665"/>
      <c r="L25" s="665"/>
      <c r="M25" s="685" t="str">
        <f>IF(AG25="900 &amp; 1800","900MHz &amp; 1800MHz",IF(AG25="900 &amp; 2100","900MHz &amp; 2100MHz",IF(AG25="1800 &amp; 2100","1800MHz &amp; 2100MHz",AG25&amp;"MHz")))</f>
        <v>1800MHz</v>
      </c>
      <c r="N25" s="685"/>
      <c r="O25" s="685"/>
      <c r="P25" s="685"/>
      <c r="Q25" s="685"/>
      <c r="R25" s="685"/>
      <c r="S25" s="685"/>
      <c r="T25" s="685"/>
      <c r="U25" s="685"/>
      <c r="V25" s="685" t="str">
        <f>IF(AK25="900 &amp; 1800","900MHz &amp; 1800MHz",IF(AK25="900 &amp; 2100","900MHz &amp; 2100MHz",AK25&amp;"MHz"))</f>
        <v>1800MHz</v>
      </c>
      <c r="W25" s="685"/>
      <c r="X25" s="685"/>
      <c r="Y25" s="685"/>
      <c r="Z25" s="685"/>
      <c r="AA25" s="685"/>
      <c r="AB25" s="685"/>
      <c r="AC25" s="685"/>
      <c r="AD25" s="685"/>
      <c r="AE25" s="320"/>
      <c r="AG25" s="282">
        <v>1800</v>
      </c>
      <c r="AK25" s="282">
        <v>1800</v>
      </c>
      <c r="AO25" s="282">
        <v>2100</v>
      </c>
      <c r="AS25" s="316" t="s">
        <v>114</v>
      </c>
    </row>
    <row r="26" ht="33.95" customHeight="1">
      <c r="C26" s="665" t="s">
        <v>738</v>
      </c>
      <c r="D26" s="665"/>
      <c r="E26" s="665"/>
      <c r="F26" s="665"/>
      <c r="G26" s="665"/>
      <c r="H26" s="665"/>
      <c r="I26" s="665"/>
      <c r="J26" s="665"/>
      <c r="K26" s="665"/>
      <c r="L26" s="665"/>
      <c r="M26" s="685">
        <f>AG26</f>
        <v>15</v>
      </c>
      <c r="N26" s="685"/>
      <c r="O26" s="685"/>
      <c r="P26" s="685"/>
      <c r="Q26" s="685"/>
      <c r="R26" s="685"/>
      <c r="S26" s="685"/>
      <c r="T26" s="685"/>
      <c r="U26" s="685"/>
      <c r="V26" s="685">
        <f>AK26</f>
        <v>16</v>
      </c>
      <c r="W26" s="685"/>
      <c r="X26" s="685"/>
      <c r="Y26" s="685"/>
      <c r="Z26" s="685"/>
      <c r="AA26" s="685"/>
      <c r="AB26" s="685"/>
      <c r="AC26" s="685"/>
      <c r="AD26" s="685"/>
      <c r="AE26" s="323"/>
      <c r="AG26" s="282">
        <v>15</v>
      </c>
      <c r="AK26" s="282">
        <v>16</v>
      </c>
      <c r="AO26" s="282">
        <v>17</v>
      </c>
      <c r="AS26" s="282">
        <v>18</v>
      </c>
    </row>
    <row r="27" ht="25.5" customHeight="1">
      <c r="C27" s="666" t="s">
        <v>116</v>
      </c>
      <c r="D27" s="666"/>
      <c r="E27" s="666"/>
      <c r="F27" s="666"/>
      <c r="G27" s="666"/>
      <c r="H27" s="666"/>
      <c r="I27" s="666"/>
      <c r="J27" s="666"/>
      <c r="K27" s="666"/>
      <c r="L27" s="666"/>
      <c r="M27" s="666"/>
      <c r="N27" s="666"/>
      <c r="O27" s="666"/>
      <c r="P27" s="666"/>
      <c r="Q27" s="666"/>
      <c r="R27" s="666"/>
      <c r="S27" s="666"/>
      <c r="T27" s="666"/>
      <c r="U27" s="666"/>
      <c r="V27" s="666"/>
      <c r="W27" s="666"/>
      <c r="X27" s="666"/>
      <c r="Y27" s="666"/>
      <c r="Z27" s="666"/>
      <c r="AA27" s="666"/>
      <c r="AB27" s="328"/>
      <c r="AC27" s="328"/>
      <c r="AD27" s="328"/>
    </row>
    <row r="28" ht="24.75" customHeight="1">
      <c r="C28" s="677"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77"/>
      <c r="E28" s="677"/>
      <c r="F28" s="677"/>
      <c r="G28" s="677"/>
      <c r="H28" s="677"/>
      <c r="I28" s="677"/>
      <c r="J28" s="677"/>
      <c r="K28" s="677"/>
      <c r="L28" s="677"/>
      <c r="M28" s="677"/>
      <c r="N28" s="677"/>
      <c r="O28" s="677"/>
      <c r="P28" s="677"/>
      <c r="Q28" s="677"/>
      <c r="R28" s="677"/>
      <c r="S28" s="677"/>
      <c r="T28" s="677"/>
      <c r="U28" s="677"/>
      <c r="V28" s="677"/>
      <c r="W28" s="677"/>
      <c r="X28" s="677"/>
      <c r="Y28" s="677"/>
      <c r="Z28" s="677"/>
      <c r="AA28" s="677"/>
      <c r="AB28" s="677"/>
      <c r="AC28" s="677"/>
      <c r="AD28" s="677"/>
      <c r="AG28" s="282">
        <v>30</v>
      </c>
      <c r="AO28" s="282" t="s">
        <v>117</v>
      </c>
    </row>
    <row r="29" ht="24.75" customHeight="1">
      <c r="C29" s="677"/>
      <c r="D29" s="677"/>
      <c r="E29" s="677"/>
      <c r="F29" s="677"/>
      <c r="G29" s="677"/>
      <c r="H29" s="677"/>
      <c r="I29" s="677"/>
      <c r="J29" s="677"/>
      <c r="K29" s="677"/>
      <c r="L29" s="677"/>
      <c r="M29" s="677"/>
      <c r="N29" s="677"/>
      <c r="O29" s="677"/>
      <c r="P29" s="677"/>
      <c r="Q29" s="677"/>
      <c r="R29" s="677"/>
      <c r="S29" s="677"/>
      <c r="T29" s="677"/>
      <c r="U29" s="677"/>
      <c r="V29" s="677"/>
      <c r="W29" s="677"/>
      <c r="X29" s="677"/>
      <c r="Y29" s="677"/>
      <c r="Z29" s="677"/>
      <c r="AA29" s="677"/>
      <c r="AB29" s="677"/>
      <c r="AC29" s="677"/>
      <c r="AD29" s="677"/>
      <c r="AG29" s="282">
        <v>1</v>
      </c>
      <c r="AO29" s="282"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82" t="s">
        <v>118</v>
      </c>
      <c r="AQ29" s="282" t="str">
        <f>IF(AG28&gt;=0," cao hơn "," thấp hơn ")</f>
        <v> cao hơn </v>
      </c>
      <c r="AR29" s="282" t="s">
        <v>119</v>
      </c>
    </row>
    <row r="30" ht="16.5" customHeight="1">
      <c r="C30" s="667" t="str">
        <f>IF(AG31=1,AO31,IF(AG31=2,AO30))</f>
        <v>Trạm gốc điện thoại di động mặt đất công cộng này có mức an toàn phơi nhiễm trường điện từ tuân thủ quy chuẩn kỹ thuật trên.</v>
      </c>
      <c r="D30" s="667"/>
      <c r="E30" s="667"/>
      <c r="F30" s="667"/>
      <c r="G30" s="667"/>
      <c r="H30" s="667"/>
      <c r="I30" s="667"/>
      <c r="J30" s="667"/>
      <c r="K30" s="667"/>
      <c r="L30" s="667"/>
      <c r="M30" s="667"/>
      <c r="N30" s="667"/>
      <c r="O30" s="667"/>
      <c r="P30" s="667"/>
      <c r="Q30" s="667"/>
      <c r="R30" s="667"/>
      <c r="S30" s="667"/>
      <c r="T30" s="667"/>
      <c r="U30" s="667"/>
      <c r="V30" s="667"/>
      <c r="W30" s="667"/>
      <c r="X30" s="667"/>
      <c r="Y30" s="667"/>
      <c r="Z30" s="667"/>
      <c r="AA30" s="667"/>
      <c r="AB30" s="667"/>
      <c r="AC30" s="667"/>
      <c r="AD30" s="667"/>
      <c r="AG30" s="282">
        <v>20</v>
      </c>
      <c r="AO30" s="282" t="s">
        <v>120</v>
      </c>
    </row>
    <row r="31" ht="16.5" customHeight="1">
      <c r="C31" s="667"/>
      <c r="D31" s="667"/>
      <c r="E31" s="667"/>
      <c r="F31" s="667"/>
      <c r="G31" s="667"/>
      <c r="H31" s="667"/>
      <c r="I31" s="667"/>
      <c r="J31" s="667"/>
      <c r="K31" s="667"/>
      <c r="L31" s="667"/>
      <c r="M31" s="667"/>
      <c r="N31" s="667"/>
      <c r="O31" s="667"/>
      <c r="P31" s="667"/>
      <c r="Q31" s="667"/>
      <c r="R31" s="667"/>
      <c r="S31" s="667"/>
      <c r="T31" s="667"/>
      <c r="U31" s="667"/>
      <c r="V31" s="667"/>
      <c r="W31" s="667"/>
      <c r="X31" s="667"/>
      <c r="Y31" s="667"/>
      <c r="Z31" s="667"/>
      <c r="AA31" s="667"/>
      <c r="AB31" s="667"/>
      <c r="AC31" s="667"/>
      <c r="AD31" s="667"/>
      <c r="AG31" s="282">
        <v>2</v>
      </c>
      <c r="AO31" s="32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78" t="s">
        <v>120</v>
      </c>
      <c r="D32" s="678"/>
      <c r="E32" s="678"/>
      <c r="F32" s="678"/>
      <c r="G32" s="678"/>
      <c r="H32" s="678"/>
      <c r="I32" s="678"/>
      <c r="J32" s="678"/>
      <c r="K32" s="678"/>
      <c r="L32" s="678"/>
      <c r="M32" s="678"/>
      <c r="N32" s="678"/>
      <c r="O32" s="678"/>
      <c r="P32" s="678"/>
      <c r="Q32" s="678"/>
      <c r="R32" s="678"/>
      <c r="S32" s="678"/>
      <c r="T32" s="678"/>
      <c r="U32" s="678"/>
      <c r="V32" s="678"/>
      <c r="W32" s="678"/>
      <c r="X32" s="678"/>
      <c r="Y32" s="678"/>
      <c r="Z32" s="678"/>
      <c r="AA32" s="678"/>
      <c r="AB32" s="678"/>
      <c r="AC32" s="678"/>
      <c r="AD32" s="678"/>
    </row>
    <row r="33" ht="17.1" customHeight="1">
      <c r="C33" s="678"/>
      <c r="D33" s="678"/>
      <c r="E33" s="678"/>
      <c r="F33" s="678"/>
      <c r="G33" s="678"/>
      <c r="H33" s="678"/>
      <c r="I33" s="678"/>
      <c r="J33" s="678"/>
      <c r="K33" s="678"/>
      <c r="L33" s="678"/>
      <c r="M33" s="678"/>
      <c r="N33" s="678"/>
      <c r="O33" s="678"/>
      <c r="P33" s="678"/>
      <c r="Q33" s="678"/>
      <c r="R33" s="678"/>
      <c r="S33" s="678"/>
      <c r="T33" s="678"/>
      <c r="U33" s="678"/>
      <c r="V33" s="678"/>
      <c r="W33" s="678"/>
      <c r="X33" s="678"/>
      <c r="Y33" s="678"/>
      <c r="Z33" s="678"/>
      <c r="AA33" s="678"/>
      <c r="AB33" s="678"/>
      <c r="AC33" s="678"/>
      <c r="AD33" s="678"/>
      <c r="AE33" s="330"/>
    </row>
    <row r="34" ht="17.1" customHeight="1">
      <c r="C34" s="644"/>
      <c r="D34" s="644"/>
      <c r="E34" s="644"/>
      <c r="F34" s="644"/>
      <c r="G34" s="644"/>
      <c r="H34" s="328"/>
      <c r="I34" s="645"/>
      <c r="J34" s="645"/>
      <c r="K34" s="645"/>
      <c r="L34" s="645"/>
      <c r="M34" s="645"/>
      <c r="N34" s="645"/>
      <c r="O34" s="328"/>
      <c r="P34" s="302"/>
      <c r="Q34" s="302"/>
      <c r="R34" s="302"/>
      <c r="S34" s="302"/>
      <c r="T34" s="639" t="str">
        <f>IF(AI41=0,AO34,IF(AI41=1,AK34,AS34))</f>
        <v>KT. GIÁM ĐỐC</v>
      </c>
      <c r="U34" s="639"/>
      <c r="V34" s="639"/>
      <c r="W34" s="639"/>
      <c r="X34" s="639"/>
      <c r="Y34" s="639"/>
      <c r="Z34" s="639"/>
      <c r="AA34" s="639"/>
      <c r="AB34" s="639"/>
      <c r="AC34" s="639"/>
      <c r="AD34" s="639"/>
      <c r="AE34" s="639"/>
      <c r="AK34" s="282" t="s">
        <v>121</v>
      </c>
      <c r="AO34" s="282" t="s">
        <v>122</v>
      </c>
      <c r="AS34" s="282" t="s">
        <v>123</v>
      </c>
    </row>
    <row r="35" ht="17.1" customHeight="1">
      <c r="C35" s="640" t="s">
        <v>124</v>
      </c>
      <c r="D35" s="640"/>
      <c r="E35" s="640"/>
      <c r="F35" s="640"/>
      <c r="G35" s="640"/>
      <c r="H35" s="331" t="s">
        <v>125</v>
      </c>
      <c r="I35" s="642" t="s">
        <v>126</v>
      </c>
      <c r="J35" s="642"/>
      <c r="K35" s="642"/>
      <c r="L35" s="642"/>
      <c r="M35" s="642"/>
      <c r="N35" s="642"/>
      <c r="O35" s="332"/>
      <c r="P35" s="332"/>
      <c r="Q35" s="328"/>
      <c r="R35" s="328"/>
      <c r="S35" s="328"/>
      <c r="T35" s="639" t="str">
        <f>IF(AI41=0,AO35,IF(AI41=1,"",AS35))</f>
        <v>PHÓ GIÁM ĐỐC</v>
      </c>
      <c r="U35" s="639"/>
      <c r="V35" s="639"/>
      <c r="W35" s="639"/>
      <c r="X35" s="639"/>
      <c r="Y35" s="639"/>
      <c r="Z35" s="639"/>
      <c r="AA35" s="639"/>
      <c r="AB35" s="639"/>
      <c r="AC35" s="639"/>
      <c r="AD35" s="639"/>
      <c r="AE35" s="639"/>
      <c r="AO35" s="282" t="s">
        <v>127</v>
      </c>
      <c r="AS35" s="282" t="s">
        <v>128</v>
      </c>
    </row>
    <row r="36" ht="17.1" customHeight="1">
      <c r="C36" s="640" t="s">
        <v>129</v>
      </c>
      <c r="D36" s="640"/>
      <c r="E36" s="640"/>
      <c r="F36" s="640"/>
      <c r="G36" s="640"/>
      <c r="H36" s="331" t="s">
        <v>125</v>
      </c>
      <c r="I36" s="641">
        <f>AG36</f>
        <v>40806</v>
      </c>
      <c r="J36" s="642"/>
      <c r="K36" s="642"/>
      <c r="L36" s="642"/>
      <c r="M36" s="642"/>
      <c r="N36" s="333"/>
      <c r="O36" s="333"/>
      <c r="P36" s="333"/>
      <c r="Q36" s="328"/>
      <c r="R36" s="328"/>
      <c r="S36" s="328"/>
      <c r="T36" s="328"/>
      <c r="U36" s="328"/>
      <c r="V36" s="328"/>
      <c r="W36" s="328"/>
      <c r="X36" s="328"/>
      <c r="Y36" s="328"/>
      <c r="Z36" s="328"/>
      <c r="AA36" s="328"/>
      <c r="AB36" s="328"/>
      <c r="AC36" s="328"/>
      <c r="AD36" s="328"/>
      <c r="AG36" s="334">
        <v>40806</v>
      </c>
    </row>
    <row r="37" ht="17.1" customHeight="1">
      <c r="C37" s="640" t="s">
        <v>130</v>
      </c>
      <c r="D37" s="640"/>
      <c r="E37" s="640"/>
      <c r="F37" s="640"/>
      <c r="G37" s="640"/>
      <c r="H37" s="331" t="s">
        <v>125</v>
      </c>
      <c r="I37" s="641">
        <f>AG37</f>
        <v>42633</v>
      </c>
      <c r="J37" s="642"/>
      <c r="K37" s="642"/>
      <c r="L37" s="642"/>
      <c r="M37" s="642"/>
      <c r="N37" s="333"/>
      <c r="O37" s="333"/>
      <c r="P37" s="333"/>
      <c r="Q37" s="328"/>
      <c r="R37" s="328"/>
      <c r="S37" s="328"/>
      <c r="T37" s="328"/>
      <c r="U37" s="328"/>
      <c r="V37" s="328"/>
      <c r="W37" s="328"/>
      <c r="X37" s="328"/>
      <c r="Y37" s="328"/>
      <c r="Z37" s="328"/>
      <c r="AA37" s="328"/>
      <c r="AB37" s="328"/>
      <c r="AC37" s="328"/>
      <c r="AD37" s="328"/>
      <c r="AG37" s="334">
        <v>42633</v>
      </c>
    </row>
    <row r="38" ht="17.1" customHeight="1">
      <c r="C38" s="335"/>
      <c r="D38" s="335"/>
      <c r="E38" s="335"/>
      <c r="F38" s="312"/>
      <c r="G38" s="305"/>
      <c r="H38" s="305"/>
      <c r="I38" s="305"/>
      <c r="J38" s="305"/>
      <c r="K38" s="305"/>
      <c r="L38" s="305"/>
      <c r="M38" s="305"/>
      <c r="N38" s="305"/>
      <c r="O38" s="305"/>
      <c r="P38" s="305"/>
      <c r="Q38" s="305"/>
      <c r="R38" s="305"/>
      <c r="S38" s="305"/>
      <c r="T38" s="305"/>
      <c r="U38" s="305"/>
      <c r="V38" s="305"/>
      <c r="W38" s="305"/>
      <c r="X38" s="305"/>
      <c r="Y38" s="305"/>
      <c r="Z38" s="305"/>
      <c r="AA38" s="305"/>
      <c r="AB38" s="328"/>
      <c r="AC38" s="328"/>
      <c r="AD38" s="328"/>
    </row>
    <row r="39" ht="17.1" customHeight="1">
      <c r="C39" s="335"/>
      <c r="D39" s="335"/>
      <c r="E39" s="335"/>
      <c r="F39" s="312"/>
      <c r="G39" s="305"/>
      <c r="H39" s="305"/>
      <c r="I39" s="305"/>
      <c r="J39" s="305"/>
      <c r="K39" s="305"/>
      <c r="L39" s="305"/>
      <c r="M39" s="305"/>
      <c r="N39" s="305"/>
      <c r="O39" s="305"/>
      <c r="P39" s="305"/>
      <c r="Q39" s="305"/>
      <c r="R39" s="305"/>
      <c r="S39" s="305"/>
      <c r="T39" s="643"/>
      <c r="U39" s="643"/>
      <c r="V39" s="643"/>
      <c r="W39" s="643"/>
      <c r="X39" s="643"/>
      <c r="Y39" s="643"/>
      <c r="Z39" s="643"/>
      <c r="AA39" s="643"/>
      <c r="AB39" s="643"/>
      <c r="AC39" s="643"/>
      <c r="AD39" s="643"/>
      <c r="AE39" s="643"/>
      <c r="AI39" s="282">
        <v>0</v>
      </c>
    </row>
    <row r="40" ht="17.1" customHeight="1">
      <c r="C40" s="335"/>
      <c r="D40" s="335"/>
      <c r="E40" s="335"/>
      <c r="F40" s="312"/>
      <c r="G40" s="305"/>
      <c r="H40" s="305"/>
      <c r="I40" s="305"/>
      <c r="J40" s="305"/>
      <c r="K40" s="305"/>
      <c r="L40" s="305"/>
      <c r="M40" s="305"/>
      <c r="N40" s="305"/>
      <c r="O40" s="305"/>
      <c r="P40" s="302"/>
      <c r="Q40" s="302"/>
      <c r="R40" s="302"/>
      <c r="S40" s="302"/>
      <c r="T40" s="638"/>
      <c r="U40" s="638"/>
      <c r="V40" s="638"/>
      <c r="W40" s="638"/>
      <c r="X40" s="638"/>
      <c r="Y40" s="638"/>
      <c r="Z40" s="638"/>
      <c r="AA40" s="638"/>
      <c r="AB40" s="638"/>
      <c r="AC40" s="638"/>
      <c r="AD40" s="638"/>
      <c r="AE40" s="638"/>
    </row>
    <row r="41" ht="17.1" customHeight="1">
      <c r="C41" s="335"/>
      <c r="D41" s="335"/>
      <c r="E41" s="335"/>
      <c r="F41" s="312"/>
      <c r="G41" s="305"/>
      <c r="H41" s="305"/>
      <c r="I41" s="305"/>
      <c r="J41" s="305"/>
      <c r="K41" s="305"/>
      <c r="L41" s="305"/>
      <c r="M41" s="305"/>
      <c r="N41" s="305"/>
      <c r="O41" s="305"/>
      <c r="P41" s="305"/>
      <c r="Q41" s="305"/>
      <c r="R41" s="305"/>
      <c r="S41" s="305"/>
      <c r="T41" s="638" t="str">
        <f>IF(AI41=0,AO41,IF(AI41=1,AK41,AT41))</f>
        <v>Trần Công Khanh</v>
      </c>
      <c r="U41" s="638"/>
      <c r="V41" s="638"/>
      <c r="W41" s="638"/>
      <c r="X41" s="638"/>
      <c r="Y41" s="638"/>
      <c r="Z41" s="638"/>
      <c r="AA41" s="638"/>
      <c r="AB41" s="638"/>
      <c r="AC41" s="638"/>
      <c r="AD41" s="638"/>
      <c r="AE41" s="638"/>
      <c r="AI41" s="282">
        <v>0</v>
      </c>
      <c r="AK41" s="282" t="s">
        <v>131</v>
      </c>
      <c r="AO41" s="282" t="s">
        <v>132</v>
      </c>
      <c r="AT41" s="282" t="s">
        <v>133</v>
      </c>
    </row>
    <row r="42" ht="16.5">
      <c r="C42" s="307"/>
      <c r="D42" s="307"/>
      <c r="E42" s="307"/>
      <c r="F42" s="307"/>
      <c r="G42" s="307"/>
      <c r="H42" s="307"/>
      <c r="I42" s="307"/>
      <c r="J42" s="307"/>
      <c r="K42" s="307"/>
      <c r="L42" s="307"/>
      <c r="M42" s="307"/>
      <c r="N42" s="307"/>
      <c r="O42" s="307"/>
      <c r="P42" s="307"/>
      <c r="Q42" s="307"/>
      <c r="R42" s="307"/>
      <c r="S42" s="307"/>
      <c r="T42" s="307"/>
      <c r="U42" s="307"/>
      <c r="V42" s="307"/>
      <c r="W42" s="307"/>
      <c r="X42" s="307"/>
      <c r="Y42" s="307"/>
      <c r="Z42" s="307"/>
      <c r="AA42" s="307"/>
      <c r="AB42" s="336"/>
      <c r="AC42" s="336"/>
      <c r="AD42" s="336"/>
    </row>
    <row r="43" ht="16.5" customHeight="1">
      <c r="B43" s="680" t="s">
        <v>134</v>
      </c>
      <c r="C43" s="680"/>
      <c r="D43" s="680"/>
      <c r="E43" s="680"/>
      <c r="F43" s="680"/>
      <c r="G43" s="680"/>
      <c r="H43" s="681" t="s">
        <v>100</v>
      </c>
      <c r="I43" s="681"/>
      <c r="J43" s="681"/>
      <c r="K43" s="681"/>
      <c r="L43" s="681"/>
      <c r="M43" s="681"/>
      <c r="N43" s="681"/>
      <c r="O43" s="681"/>
      <c r="P43" s="681"/>
      <c r="Q43" s="681"/>
      <c r="R43" s="681"/>
      <c r="S43" s="681"/>
      <c r="T43" s="681"/>
      <c r="U43" s="681"/>
      <c r="V43" s="681"/>
      <c r="W43" s="681"/>
      <c r="X43" s="681"/>
      <c r="Y43" s="681"/>
      <c r="Z43" s="681"/>
      <c r="AA43" s="681"/>
      <c r="AB43" s="681"/>
      <c r="AC43" s="681"/>
      <c r="AD43" s="681"/>
    </row>
    <row r="44" ht="16.5" customHeight="1">
      <c r="B44" s="680"/>
      <c r="C44" s="680"/>
      <c r="D44" s="680"/>
      <c r="E44" s="680"/>
      <c r="F44" s="680"/>
      <c r="G44" s="680"/>
      <c r="H44" s="681"/>
      <c r="I44" s="681"/>
      <c r="J44" s="681"/>
      <c r="K44" s="681"/>
      <c r="L44" s="681"/>
      <c r="M44" s="681"/>
      <c r="N44" s="681"/>
      <c r="O44" s="681"/>
      <c r="P44" s="681"/>
      <c r="Q44" s="681"/>
      <c r="R44" s="681"/>
      <c r="S44" s="681"/>
      <c r="T44" s="681"/>
      <c r="U44" s="681"/>
      <c r="V44" s="681"/>
      <c r="W44" s="681"/>
      <c r="X44" s="681"/>
      <c r="Y44" s="681"/>
      <c r="Z44" s="681"/>
      <c r="AA44" s="681"/>
      <c r="AB44" s="681"/>
      <c r="AC44" s="681"/>
      <c r="AD44" s="681"/>
    </row>
    <row r="45" ht="16.5" customHeight="1">
      <c r="B45" s="680"/>
      <c r="C45" s="680"/>
      <c r="D45" s="680"/>
      <c r="E45" s="680"/>
      <c r="F45" s="680"/>
      <c r="G45" s="680"/>
      <c r="H45" s="635" t="s">
        <v>135</v>
      </c>
      <c r="I45" s="635"/>
      <c r="J45" s="635"/>
      <c r="K45" s="635"/>
      <c r="L45" s="635" t="s">
        <v>136</v>
      </c>
      <c r="M45" s="635"/>
      <c r="N45" s="635" t="s">
        <v>137</v>
      </c>
      <c r="O45" s="635"/>
      <c r="P45" s="635"/>
      <c r="Q45" s="635" t="s">
        <v>138</v>
      </c>
      <c r="R45" s="635"/>
      <c r="S45" s="635"/>
      <c r="T45" s="635"/>
      <c r="U45" s="635"/>
      <c r="V45" s="635" t="s">
        <v>139</v>
      </c>
      <c r="W45" s="635"/>
      <c r="X45" s="635"/>
      <c r="Y45" s="635" t="s">
        <v>140</v>
      </c>
      <c r="Z45" s="635"/>
      <c r="AA45" s="635"/>
      <c r="AB45" s="635"/>
      <c r="AC45" s="635"/>
      <c r="AD45" s="635"/>
    </row>
    <row r="46" ht="16.5" customHeight="1">
      <c r="B46" s="680"/>
      <c r="C46" s="680"/>
      <c r="D46" s="680"/>
      <c r="E46" s="680"/>
      <c r="F46" s="680"/>
      <c r="G46" s="680"/>
      <c r="H46" s="635"/>
      <c r="I46" s="635"/>
      <c r="J46" s="635"/>
      <c r="K46" s="635"/>
      <c r="L46" s="635"/>
      <c r="M46" s="635"/>
      <c r="N46" s="635"/>
      <c r="O46" s="635"/>
      <c r="P46" s="635"/>
      <c r="Q46" s="635"/>
      <c r="R46" s="635"/>
      <c r="S46" s="635"/>
      <c r="T46" s="635"/>
      <c r="U46" s="635"/>
      <c r="V46" s="635"/>
      <c r="W46" s="635"/>
      <c r="X46" s="635"/>
      <c r="Y46" s="635"/>
      <c r="Z46" s="635"/>
      <c r="AA46" s="635"/>
      <c r="AB46" s="635"/>
      <c r="AC46" s="635"/>
      <c r="AD46" s="635"/>
    </row>
    <row r="47" ht="16.5" customHeight="1">
      <c r="B47" s="680"/>
      <c r="C47" s="680"/>
      <c r="D47" s="680"/>
      <c r="E47" s="680"/>
      <c r="F47" s="680"/>
      <c r="G47" s="680"/>
      <c r="H47" s="635"/>
      <c r="I47" s="635"/>
      <c r="J47" s="635"/>
      <c r="K47" s="635"/>
      <c r="L47" s="635"/>
      <c r="M47" s="635"/>
      <c r="N47" s="635"/>
      <c r="O47" s="635"/>
      <c r="P47" s="635"/>
      <c r="Q47" s="635"/>
      <c r="R47" s="635"/>
      <c r="S47" s="635"/>
      <c r="T47" s="635"/>
      <c r="U47" s="635"/>
      <c r="V47" s="635"/>
      <c r="W47" s="635"/>
      <c r="X47" s="635"/>
      <c r="Y47" s="635"/>
      <c r="Z47" s="635"/>
      <c r="AA47" s="635"/>
      <c r="AB47" s="635"/>
      <c r="AC47" s="635"/>
      <c r="AD47" s="635"/>
    </row>
    <row r="48" ht="16.5" customHeight="1">
      <c r="B48" s="680"/>
      <c r="C48" s="680"/>
      <c r="D48" s="680"/>
      <c r="E48" s="680"/>
      <c r="F48" s="680"/>
      <c r="G48" s="680"/>
      <c r="H48" s="635"/>
      <c r="I48" s="635"/>
      <c r="J48" s="635"/>
      <c r="K48" s="635"/>
      <c r="L48" s="635"/>
      <c r="M48" s="635"/>
      <c r="N48" s="635"/>
      <c r="O48" s="635"/>
      <c r="P48" s="635"/>
      <c r="Q48" s="635"/>
      <c r="R48" s="635"/>
      <c r="S48" s="635"/>
      <c r="T48" s="635"/>
      <c r="U48" s="635"/>
      <c r="V48" s="635"/>
      <c r="W48" s="635"/>
      <c r="X48" s="635"/>
      <c r="Y48" s="635"/>
      <c r="Z48" s="635"/>
      <c r="AA48" s="635"/>
      <c r="AB48" s="635"/>
      <c r="AC48" s="635"/>
      <c r="AD48" s="635"/>
      <c r="AG48" s="282">
        <v>33</v>
      </c>
      <c r="AI48" s="282">
        <v>35</v>
      </c>
      <c r="AL48" s="282">
        <v>37</v>
      </c>
      <c r="AO48" s="282">
        <v>39</v>
      </c>
      <c r="AP48" s="282">
        <v>40</v>
      </c>
      <c r="AQ48" s="282">
        <v>41</v>
      </c>
      <c r="AS48" s="282">
        <v>42</v>
      </c>
      <c r="AT48" s="282">
        <v>43</v>
      </c>
      <c r="AU48" s="282">
        <v>44</v>
      </c>
      <c r="AV48" s="282">
        <v>45</v>
      </c>
    </row>
    <row r="49" ht="18.75" customHeight="1">
      <c r="B49" s="635" t="str">
        <f>AG49</f>
        <v>CÔNG TY CỔ PHẦN VIỄN THÔNG DI ĐỘNG TOÀN CẦU</v>
      </c>
      <c r="C49" s="635"/>
      <c r="D49" s="635"/>
      <c r="E49" s="635"/>
      <c r="F49" s="635"/>
      <c r="G49" s="635"/>
      <c r="H49" s="636" t="str">
        <f>AI49</f>
        <v>TB1</v>
      </c>
      <c r="I49" s="636"/>
      <c r="J49" s="636"/>
      <c r="K49" s="636"/>
      <c r="L49" s="637">
        <v>2</v>
      </c>
      <c r="M49" s="637"/>
      <c r="N49" s="679" t="str">
        <f>AL49</f>
        <v>4/4/4</v>
      </c>
      <c r="O49" s="679"/>
      <c r="P49" s="679"/>
      <c r="Q49" s="635" t="str">
        <f>IF(L49=4,AO49&amp;"W/ "&amp;AP49&amp;"W/ "&amp;AQ49&amp;"W/ "&amp;AR49&amp;"W",IF(L49=3,AO49&amp;"W/ "&amp;AP49&amp;"W/ "&amp;AQ49&amp;"W",IF(L49=2,AO49&amp;"W/ "&amp;AP49&amp;"W",AO49&amp;"W")))</f>
        <v>20W/ 30W</v>
      </c>
      <c r="R49" s="635"/>
      <c r="S49" s="635"/>
      <c r="T49" s="635"/>
      <c r="U49" s="635"/>
      <c r="V49" s="635" t="str">
        <f>IF(AS49="900 &amp; 1800","900MHz &amp; 1800MHz",IF(AS49="900 &amp; 2100","900MHz &amp; 2100MHz",IF(AS49="1800 &amp; 2100","1800MHz &amp; 2100MHz",AS49&amp;"MHz")))</f>
        <v>900MHz</v>
      </c>
      <c r="W49" s="635"/>
      <c r="X49" s="635"/>
      <c r="Y49" s="635">
        <f>AT49</f>
        <v>15</v>
      </c>
      <c r="Z49" s="635"/>
      <c r="AA49" s="635"/>
      <c r="AB49" s="635"/>
      <c r="AC49" s="635"/>
      <c r="AD49" s="635"/>
      <c r="AG49" s="316" t="s">
        <v>99</v>
      </c>
      <c r="AI49" s="316" t="s">
        <v>141</v>
      </c>
      <c r="AJ49" s="316"/>
      <c r="AL49" s="326" t="s">
        <v>108</v>
      </c>
      <c r="AO49" s="282">
        <v>20</v>
      </c>
      <c r="AP49" s="282">
        <v>30</v>
      </c>
      <c r="AQ49" s="282">
        <v>40</v>
      </c>
      <c r="AS49" s="282">
        <v>900</v>
      </c>
      <c r="AT49" s="282">
        <v>15</v>
      </c>
      <c r="AU49" s="282">
        <v>16</v>
      </c>
      <c r="AV49" s="282">
        <v>17</v>
      </c>
    </row>
    <row r="50" ht="18.75" customHeight="1">
      <c r="B50" s="635"/>
      <c r="C50" s="635"/>
      <c r="D50" s="635"/>
      <c r="E50" s="635"/>
      <c r="F50" s="635"/>
      <c r="G50" s="635"/>
      <c r="H50" s="636"/>
      <c r="I50" s="636"/>
      <c r="J50" s="636"/>
      <c r="K50" s="636"/>
      <c r="L50" s="637"/>
      <c r="M50" s="637"/>
      <c r="N50" s="679"/>
      <c r="O50" s="679"/>
      <c r="P50" s="679"/>
      <c r="Q50" s="635"/>
      <c r="R50" s="635"/>
      <c r="S50" s="635"/>
      <c r="T50" s="635"/>
      <c r="U50" s="635"/>
      <c r="V50" s="635"/>
      <c r="W50" s="635"/>
      <c r="X50" s="635"/>
      <c r="Y50" s="635"/>
      <c r="Z50" s="635"/>
      <c r="AA50" s="635"/>
      <c r="AB50" s="635"/>
      <c r="AC50" s="635"/>
      <c r="AD50" s="635"/>
    </row>
    <row r="51" ht="18.75" customHeight="1">
      <c r="B51" s="635"/>
      <c r="C51" s="635"/>
      <c r="D51" s="635"/>
      <c r="E51" s="635"/>
      <c r="F51" s="635"/>
      <c r="G51" s="635"/>
      <c r="H51" s="636"/>
      <c r="I51" s="636"/>
      <c r="J51" s="636"/>
      <c r="K51" s="636"/>
      <c r="L51" s="637"/>
      <c r="M51" s="637"/>
      <c r="N51" s="679"/>
      <c r="O51" s="679"/>
      <c r="P51" s="679"/>
      <c r="Q51" s="635"/>
      <c r="R51" s="635"/>
      <c r="S51" s="635"/>
      <c r="T51" s="635"/>
      <c r="U51" s="635"/>
      <c r="V51" s="635"/>
      <c r="W51" s="635"/>
      <c r="X51" s="635"/>
      <c r="Y51" s="635"/>
      <c r="Z51" s="635"/>
      <c r="AA51" s="635"/>
      <c r="AB51" s="635"/>
      <c r="AC51" s="635"/>
      <c r="AD51" s="635"/>
    </row>
    <row r="52" ht="18.75" customHeight="1">
      <c r="B52" s="635"/>
      <c r="C52" s="635"/>
      <c r="D52" s="635"/>
      <c r="E52" s="635"/>
      <c r="F52" s="635"/>
      <c r="G52" s="635"/>
      <c r="H52" s="636"/>
      <c r="I52" s="636"/>
      <c r="J52" s="636"/>
      <c r="K52" s="636"/>
      <c r="L52" s="637"/>
      <c r="M52" s="637"/>
      <c r="N52" s="679"/>
      <c r="O52" s="679"/>
      <c r="P52" s="679"/>
      <c r="Q52" s="635"/>
      <c r="R52" s="635"/>
      <c r="S52" s="635"/>
      <c r="T52" s="635"/>
      <c r="U52" s="635"/>
      <c r="V52" s="635"/>
      <c r="W52" s="635"/>
      <c r="X52" s="635"/>
      <c r="Y52" s="635"/>
      <c r="Z52" s="635"/>
      <c r="AA52" s="635"/>
      <c r="AB52" s="635"/>
      <c r="AC52" s="635"/>
      <c r="AD52" s="635"/>
    </row>
    <row r="53" ht="18.75" customHeight="1">
      <c r="B53" s="635" t="str">
        <f>AG53</f>
        <v>CÔNG TY CỔ PHẦN VIỄN THÔNG DI ĐỘNG TOÀN CẦU</v>
      </c>
      <c r="C53" s="635"/>
      <c r="D53" s="635"/>
      <c r="E53" s="635"/>
      <c r="F53" s="635"/>
      <c r="G53" s="635"/>
      <c r="H53" s="636" t="str">
        <f>AI53</f>
        <v>TB1</v>
      </c>
      <c r="I53" s="636"/>
      <c r="J53" s="636"/>
      <c r="K53" s="636"/>
      <c r="L53" s="637">
        <v>4</v>
      </c>
      <c r="M53" s="637"/>
      <c r="N53" s="679" t="str">
        <f>AL53</f>
        <v>4/4/4</v>
      </c>
      <c r="O53" s="679"/>
      <c r="P53" s="679"/>
      <c r="Q53" s="635" t="str">
        <f>IF(L53=4,AO53&amp;"W/ "&amp;AP53&amp;"W/ "&amp;AQ53&amp;"W/ "&amp;AR53&amp;"W",IF(L53=3,AO53&amp;"W/ "&amp;AP53&amp;"W/ "&amp;AQ53&amp;"W",IF(L53=2,AO53&amp;"W/ "&amp;AP53&amp;"W",AO53&amp;"W")))</f>
        <v>20W/ 30W/ 40W/ W</v>
      </c>
      <c r="R53" s="635"/>
      <c r="S53" s="635"/>
      <c r="T53" s="635"/>
      <c r="U53" s="635"/>
      <c r="V53" s="635" t="str">
        <f>IF(AS53="900 &amp; 1800","900MHz &amp; 1800MHz",IF(AS53="900 &amp; 2100","900MHz &amp; 2100MHz",IF(AS53="1800 &amp; 2100","1800MHz &amp; 2100MHz",AS53&amp;"MHz")))</f>
        <v>1800MHz</v>
      </c>
      <c r="W53" s="635"/>
      <c r="X53" s="635"/>
      <c r="Y53" s="635">
        <f>AT53</f>
        <v>15</v>
      </c>
      <c r="Z53" s="635"/>
      <c r="AA53" s="635"/>
      <c r="AB53" s="635"/>
      <c r="AC53" s="635"/>
      <c r="AD53" s="635"/>
      <c r="AG53" s="316" t="s">
        <v>99</v>
      </c>
      <c r="AI53" s="316" t="s">
        <v>141</v>
      </c>
      <c r="AJ53" s="316"/>
      <c r="AL53" s="326" t="s">
        <v>108</v>
      </c>
      <c r="AO53" s="282">
        <v>20</v>
      </c>
      <c r="AP53" s="282">
        <v>30</v>
      </c>
      <c r="AQ53" s="282">
        <v>40</v>
      </c>
      <c r="AS53" s="282">
        <v>1800</v>
      </c>
      <c r="AT53" s="282">
        <v>15</v>
      </c>
      <c r="AU53" s="282">
        <v>16</v>
      </c>
      <c r="AV53" s="282">
        <v>17</v>
      </c>
    </row>
    <row r="54" ht="18.75" customHeight="1">
      <c r="B54" s="635"/>
      <c r="C54" s="635"/>
      <c r="D54" s="635"/>
      <c r="E54" s="635"/>
      <c r="F54" s="635"/>
      <c r="G54" s="635"/>
      <c r="H54" s="636"/>
      <c r="I54" s="636"/>
      <c r="J54" s="636"/>
      <c r="K54" s="636"/>
      <c r="L54" s="637"/>
      <c r="M54" s="637"/>
      <c r="N54" s="679"/>
      <c r="O54" s="679"/>
      <c r="P54" s="679"/>
      <c r="Q54" s="635"/>
      <c r="R54" s="635"/>
      <c r="S54" s="635"/>
      <c r="T54" s="635"/>
      <c r="U54" s="635"/>
      <c r="V54" s="635"/>
      <c r="W54" s="635"/>
      <c r="X54" s="635"/>
      <c r="Y54" s="635"/>
      <c r="Z54" s="635"/>
      <c r="AA54" s="635"/>
      <c r="AB54" s="635"/>
      <c r="AC54" s="635"/>
      <c r="AD54" s="635"/>
      <c r="AG54" s="316"/>
      <c r="AI54" s="316"/>
      <c r="AJ54" s="316"/>
      <c r="AL54" s="326"/>
    </row>
    <row r="55" ht="18.75" customHeight="1">
      <c r="B55" s="635"/>
      <c r="C55" s="635"/>
      <c r="D55" s="635"/>
      <c r="E55" s="635"/>
      <c r="F55" s="635"/>
      <c r="G55" s="635"/>
      <c r="H55" s="636"/>
      <c r="I55" s="636"/>
      <c r="J55" s="636"/>
      <c r="K55" s="636"/>
      <c r="L55" s="637"/>
      <c r="M55" s="637"/>
      <c r="N55" s="679"/>
      <c r="O55" s="679"/>
      <c r="P55" s="679"/>
      <c r="Q55" s="635"/>
      <c r="R55" s="635"/>
      <c r="S55" s="635"/>
      <c r="T55" s="635"/>
      <c r="U55" s="635"/>
      <c r="V55" s="635"/>
      <c r="W55" s="635"/>
      <c r="X55" s="635"/>
      <c r="Y55" s="635"/>
      <c r="Z55" s="635"/>
      <c r="AA55" s="635"/>
      <c r="AB55" s="635"/>
      <c r="AC55" s="635"/>
      <c r="AD55" s="635"/>
    </row>
    <row r="56" ht="18.75" customHeight="1">
      <c r="B56" s="635"/>
      <c r="C56" s="635"/>
      <c r="D56" s="635"/>
      <c r="E56" s="635"/>
      <c r="F56" s="635"/>
      <c r="G56" s="635"/>
      <c r="H56" s="636"/>
      <c r="I56" s="636"/>
      <c r="J56" s="636"/>
      <c r="K56" s="636"/>
      <c r="L56" s="637"/>
      <c r="M56" s="637"/>
      <c r="N56" s="679"/>
      <c r="O56" s="679"/>
      <c r="P56" s="679"/>
      <c r="Q56" s="635"/>
      <c r="R56" s="635"/>
      <c r="S56" s="635"/>
      <c r="T56" s="635"/>
      <c r="U56" s="635"/>
      <c r="V56" s="635"/>
      <c r="W56" s="635"/>
      <c r="X56" s="635"/>
      <c r="Y56" s="635"/>
      <c r="Z56" s="635"/>
      <c r="AA56" s="635"/>
      <c r="AB56" s="635"/>
      <c r="AC56" s="635"/>
      <c r="AD56" s="635"/>
    </row>
    <row r="57" ht="18.75" customHeight="1">
      <c r="B57" s="635" t="str">
        <f>AG57</f>
        <v>CÔNG TY CỔ PHẦN VIỄN THÔNG DI ĐỘNG TOÀN CẦU</v>
      </c>
      <c r="C57" s="635"/>
      <c r="D57" s="635"/>
      <c r="E57" s="635"/>
      <c r="F57" s="635"/>
      <c r="G57" s="635"/>
      <c r="H57" s="636" t="str">
        <f>AI57</f>
        <v>TB1</v>
      </c>
      <c r="I57" s="636"/>
      <c r="J57" s="636"/>
      <c r="K57" s="636"/>
      <c r="L57" s="637">
        <v>3</v>
      </c>
      <c r="M57" s="637"/>
      <c r="N57" s="679" t="str">
        <f>AL57</f>
        <v>4/4/4</v>
      </c>
      <c r="O57" s="679"/>
      <c r="P57" s="679"/>
      <c r="Q57" s="635" t="str">
        <f>IF(L57=4,AO57&amp;"W/ "&amp;AP57&amp;"W/ "&amp;AQ57&amp;"W/ "&amp;AR57&amp;"W",IF(L57=3,AO57&amp;"W/ "&amp;AP57&amp;"W/ "&amp;AQ57&amp;"W",IF(L57=2,AO57&amp;"W/ "&amp;AP57&amp;"W",AO57&amp;"W")))</f>
        <v>20W/ 30W/ 40W</v>
      </c>
      <c r="R57" s="635"/>
      <c r="S57" s="635"/>
      <c r="T57" s="635"/>
      <c r="U57" s="635"/>
      <c r="V57" s="635" t="str">
        <f>IF(AS57="900 &amp; 1800","900MHz &amp; 1800MHz",IF(AS57="900 &amp; 2100","900MHz &amp; 2100MHz",IF(AS57="1800 &amp; 2100","1800MHz &amp; 2100MHz",AS57&amp;"MHz")))</f>
        <v>900MHz &amp; 1800MHz</v>
      </c>
      <c r="W57" s="635"/>
      <c r="X57" s="635"/>
      <c r="Y57" s="635">
        <f>AT57</f>
        <v>15</v>
      </c>
      <c r="Z57" s="635"/>
      <c r="AA57" s="635"/>
      <c r="AB57" s="635"/>
      <c r="AC57" s="635"/>
      <c r="AD57" s="635"/>
      <c r="AG57" s="316" t="s">
        <v>99</v>
      </c>
      <c r="AI57" s="316" t="s">
        <v>141</v>
      </c>
      <c r="AJ57" s="316"/>
      <c r="AL57" s="326" t="s">
        <v>108</v>
      </c>
      <c r="AO57" s="282">
        <v>20</v>
      </c>
      <c r="AP57" s="282">
        <v>30</v>
      </c>
      <c r="AQ57" s="282">
        <v>40</v>
      </c>
      <c r="AS57" s="282" t="s">
        <v>739</v>
      </c>
      <c r="AT57" s="282">
        <v>15</v>
      </c>
      <c r="AU57" s="282">
        <v>16</v>
      </c>
      <c r="AV57" s="282">
        <v>17</v>
      </c>
    </row>
    <row r="58" ht="18.75" customHeight="1">
      <c r="B58" s="635"/>
      <c r="C58" s="635"/>
      <c r="D58" s="635"/>
      <c r="E58" s="635"/>
      <c r="F58" s="635"/>
      <c r="G58" s="635"/>
      <c r="H58" s="636"/>
      <c r="I58" s="636"/>
      <c r="J58" s="636"/>
      <c r="K58" s="636"/>
      <c r="L58" s="637"/>
      <c r="M58" s="637"/>
      <c r="N58" s="679"/>
      <c r="O58" s="679"/>
      <c r="P58" s="679"/>
      <c r="Q58" s="635"/>
      <c r="R58" s="635"/>
      <c r="S58" s="635"/>
      <c r="T58" s="635"/>
      <c r="U58" s="635"/>
      <c r="V58" s="635"/>
      <c r="W58" s="635"/>
      <c r="X58" s="635"/>
      <c r="Y58" s="635"/>
      <c r="Z58" s="635"/>
      <c r="AA58" s="635"/>
      <c r="AB58" s="635"/>
      <c r="AC58" s="635"/>
      <c r="AD58" s="635"/>
      <c r="AG58" s="316"/>
      <c r="AI58" s="316"/>
      <c r="AJ58" s="316"/>
      <c r="AL58" s="326"/>
    </row>
    <row r="59" ht="18.75" customHeight="1">
      <c r="B59" s="635"/>
      <c r="C59" s="635"/>
      <c r="D59" s="635"/>
      <c r="E59" s="635"/>
      <c r="F59" s="635"/>
      <c r="G59" s="635"/>
      <c r="H59" s="636"/>
      <c r="I59" s="636"/>
      <c r="J59" s="636"/>
      <c r="K59" s="636"/>
      <c r="L59" s="637"/>
      <c r="M59" s="637"/>
      <c r="N59" s="679"/>
      <c r="O59" s="679"/>
      <c r="P59" s="679"/>
      <c r="Q59" s="635"/>
      <c r="R59" s="635"/>
      <c r="S59" s="635"/>
      <c r="T59" s="635"/>
      <c r="U59" s="635"/>
      <c r="V59" s="635"/>
      <c r="W59" s="635"/>
      <c r="X59" s="635"/>
      <c r="Y59" s="635"/>
      <c r="Z59" s="635"/>
      <c r="AA59" s="635"/>
      <c r="AB59" s="635"/>
      <c r="AC59" s="635"/>
      <c r="AD59" s="635"/>
    </row>
    <row r="60" ht="18.75" customHeight="1">
      <c r="B60" s="635"/>
      <c r="C60" s="635"/>
      <c r="D60" s="635"/>
      <c r="E60" s="635"/>
      <c r="F60" s="635"/>
      <c r="G60" s="635"/>
      <c r="H60" s="636"/>
      <c r="I60" s="636"/>
      <c r="J60" s="636"/>
      <c r="K60" s="636"/>
      <c r="L60" s="637"/>
      <c r="M60" s="637"/>
      <c r="N60" s="679"/>
      <c r="O60" s="679"/>
      <c r="P60" s="679"/>
      <c r="Q60" s="635"/>
      <c r="R60" s="635"/>
      <c r="S60" s="635"/>
      <c r="T60" s="635"/>
      <c r="U60" s="635"/>
      <c r="V60" s="635"/>
      <c r="W60" s="635"/>
      <c r="X60" s="635"/>
      <c r="Y60" s="635"/>
      <c r="Z60" s="635"/>
      <c r="AA60" s="635"/>
      <c r="AB60" s="635"/>
      <c r="AC60" s="635"/>
      <c r="AD60" s="635"/>
    </row>
    <row r="61" ht="18.75" customHeight="1">
      <c r="B61" s="635" t="str">
        <f>AG61</f>
        <v>CÔNG TY CỔ PHẦN VIỄN THÔNG DI ĐỘNG TOÀN CẦU</v>
      </c>
      <c r="C61" s="635"/>
      <c r="D61" s="635"/>
      <c r="E61" s="635"/>
      <c r="F61" s="635"/>
      <c r="G61" s="635"/>
      <c r="H61" s="636" t="str">
        <f>AI61</f>
        <v>TB1</v>
      </c>
      <c r="I61" s="636"/>
      <c r="J61" s="636"/>
      <c r="K61" s="636"/>
      <c r="L61" s="637">
        <v>2</v>
      </c>
      <c r="M61" s="637"/>
      <c r="N61" s="679" t="str">
        <f>AL61</f>
        <v>4/4/4</v>
      </c>
      <c r="O61" s="679"/>
      <c r="P61" s="679"/>
      <c r="Q61" s="635" t="str">
        <f>IF(L61=4,AO61&amp;"W/ "&amp;AP61&amp;"W/ "&amp;AQ61&amp;"W/ "&amp;AR61&amp;"W",IF(L61=3,AO61&amp;"W/ "&amp;AP61&amp;"W/ "&amp;AQ61&amp;"W",IF(L61=2,AO61&amp;"W/ "&amp;AP61&amp;"W",AO61&amp;"W")))</f>
        <v>20W/ 30W</v>
      </c>
      <c r="R61" s="635"/>
      <c r="S61" s="635"/>
      <c r="T61" s="635"/>
      <c r="U61" s="635"/>
      <c r="V61" s="635" t="str">
        <f>IF(AS61="900 &amp; 1800","900MHz &amp; 1800MHz",IF(AS61="900 &amp; 2100","900MHz &amp; 2100MHz",IF(AS61="1800 &amp; 2100","1800MHz &amp; 2100MHz",AS61&amp;"MHz")))</f>
        <v>9000 &amp; 2100MHz</v>
      </c>
      <c r="W61" s="635"/>
      <c r="X61" s="635"/>
      <c r="Y61" s="635">
        <f>AT61</f>
        <v>15</v>
      </c>
      <c r="Z61" s="635"/>
      <c r="AA61" s="635"/>
      <c r="AB61" s="635"/>
      <c r="AC61" s="635"/>
      <c r="AD61" s="635"/>
      <c r="AG61" s="316" t="s">
        <v>99</v>
      </c>
      <c r="AI61" s="316" t="s">
        <v>141</v>
      </c>
      <c r="AJ61" s="316"/>
      <c r="AL61" s="326" t="s">
        <v>108</v>
      </c>
      <c r="AO61" s="282">
        <v>20</v>
      </c>
      <c r="AP61" s="282">
        <v>30</v>
      </c>
      <c r="AQ61" s="282">
        <v>40</v>
      </c>
      <c r="AS61" s="282" t="s">
        <v>143</v>
      </c>
      <c r="AT61" s="282">
        <v>15</v>
      </c>
      <c r="AU61" s="282">
        <v>16</v>
      </c>
      <c r="AV61" s="282">
        <v>17</v>
      </c>
    </row>
    <row r="62" ht="18.75" customHeight="1">
      <c r="B62" s="635"/>
      <c r="C62" s="635"/>
      <c r="D62" s="635"/>
      <c r="E62" s="635"/>
      <c r="F62" s="635"/>
      <c r="G62" s="635"/>
      <c r="H62" s="636"/>
      <c r="I62" s="636"/>
      <c r="J62" s="636"/>
      <c r="K62" s="636"/>
      <c r="L62" s="637"/>
      <c r="M62" s="637"/>
      <c r="N62" s="679"/>
      <c r="O62" s="679"/>
      <c r="P62" s="679"/>
      <c r="Q62" s="635"/>
      <c r="R62" s="635"/>
      <c r="S62" s="635"/>
      <c r="T62" s="635"/>
      <c r="U62" s="635"/>
      <c r="V62" s="635"/>
      <c r="W62" s="635"/>
      <c r="X62" s="635"/>
      <c r="Y62" s="635"/>
      <c r="Z62" s="635"/>
      <c r="AA62" s="635"/>
      <c r="AB62" s="635"/>
      <c r="AC62" s="635"/>
      <c r="AD62" s="635"/>
      <c r="AG62" s="316"/>
      <c r="AI62" s="316"/>
      <c r="AJ62" s="316"/>
      <c r="AL62" s="326"/>
    </row>
    <row r="63" ht="18.75" customHeight="1">
      <c r="B63" s="635"/>
      <c r="C63" s="635"/>
      <c r="D63" s="635"/>
      <c r="E63" s="635"/>
      <c r="F63" s="635"/>
      <c r="G63" s="635"/>
      <c r="H63" s="636"/>
      <c r="I63" s="636"/>
      <c r="J63" s="636"/>
      <c r="K63" s="636"/>
      <c r="L63" s="637"/>
      <c r="M63" s="637"/>
      <c r="N63" s="679"/>
      <c r="O63" s="679"/>
      <c r="P63" s="679"/>
      <c r="Q63" s="635"/>
      <c r="R63" s="635"/>
      <c r="S63" s="635"/>
      <c r="T63" s="635"/>
      <c r="U63" s="635"/>
      <c r="V63" s="635"/>
      <c r="W63" s="635"/>
      <c r="X63" s="635"/>
      <c r="Y63" s="635"/>
      <c r="Z63" s="635"/>
      <c r="AA63" s="635"/>
      <c r="AB63" s="635"/>
      <c r="AC63" s="635"/>
      <c r="AD63" s="635"/>
    </row>
    <row r="64" ht="18.75" customHeight="1">
      <c r="B64" s="635"/>
      <c r="C64" s="635"/>
      <c r="D64" s="635"/>
      <c r="E64" s="635"/>
      <c r="F64" s="635"/>
      <c r="G64" s="635"/>
      <c r="H64" s="636"/>
      <c r="I64" s="636"/>
      <c r="J64" s="636"/>
      <c r="K64" s="636"/>
      <c r="L64" s="637"/>
      <c r="M64" s="637"/>
      <c r="N64" s="679"/>
      <c r="O64" s="679"/>
      <c r="P64" s="679"/>
      <c r="Q64" s="635"/>
      <c r="R64" s="635"/>
      <c r="S64" s="635"/>
      <c r="T64" s="635"/>
      <c r="U64" s="635"/>
      <c r="V64" s="635"/>
      <c r="W64" s="635"/>
      <c r="X64" s="635"/>
      <c r="Y64" s="635"/>
      <c r="Z64" s="635"/>
      <c r="AA64" s="635"/>
      <c r="AB64" s="635"/>
      <c r="AC64" s="635"/>
      <c r="AD64" s="635"/>
    </row>
    <row r="65" ht="18.75" customHeight="1">
      <c r="B65" s="635" t="str">
        <f>AG65</f>
        <v>CÔNG TY CỔ PHẦN VIỄN THÔNG DI ĐỘNG TOÀN CẦU</v>
      </c>
      <c r="C65" s="635"/>
      <c r="D65" s="635"/>
      <c r="E65" s="635"/>
      <c r="F65" s="635"/>
      <c r="G65" s="635"/>
      <c r="H65" s="636" t="str">
        <f>AI65</f>
        <v>TB1</v>
      </c>
      <c r="I65" s="636"/>
      <c r="J65" s="636"/>
      <c r="K65" s="636"/>
      <c r="L65" s="637">
        <v>1</v>
      </c>
      <c r="M65" s="637"/>
      <c r="N65" s="679" t="str">
        <f>AL65</f>
        <v>4/4/4</v>
      </c>
      <c r="O65" s="679"/>
      <c r="P65" s="679"/>
      <c r="Q65" s="635" t="str">
        <f>IF(L65=4,AO65&amp;"W/ "&amp;AP65&amp;"W/ "&amp;AQ65&amp;"W/ "&amp;AR65&amp;"W",IF(L65=3,AO65&amp;"W/ "&amp;AP65&amp;"W/ "&amp;AQ65&amp;"W",IF(L65=2,AO65&amp;"W/ "&amp;AP65&amp;"W",AO65&amp;"W")))</f>
        <v>20W</v>
      </c>
      <c r="R65" s="635"/>
      <c r="S65" s="635"/>
      <c r="T65" s="635"/>
      <c r="U65" s="635"/>
      <c r="V65" s="635" t="str">
        <f>IF(AS65="900 &amp; 1800","900MHz &amp; 1800MHz",IF(AS65="900 &amp; 2100","900MHz &amp; 2100MHz",IF(AS65="1800 &amp; 2100","1800MHz &amp; 2100MHz",AS65&amp;"MHz")))</f>
        <v>1800MHz &amp; 2100MHz</v>
      </c>
      <c r="W65" s="635"/>
      <c r="X65" s="635"/>
      <c r="Y65" s="635">
        <f>AT65</f>
        <v>15</v>
      </c>
      <c r="Z65" s="635"/>
      <c r="AA65" s="635"/>
      <c r="AB65" s="635"/>
      <c r="AC65" s="635"/>
      <c r="AD65" s="635"/>
      <c r="AG65" s="316" t="s">
        <v>99</v>
      </c>
      <c r="AI65" s="316" t="s">
        <v>141</v>
      </c>
      <c r="AJ65" s="316"/>
      <c r="AL65" s="326" t="s">
        <v>108</v>
      </c>
      <c r="AO65" s="282">
        <v>20</v>
      </c>
      <c r="AP65" s="282">
        <v>30</v>
      </c>
      <c r="AQ65" s="282">
        <v>40</v>
      </c>
      <c r="AS65" s="282" t="s">
        <v>144</v>
      </c>
      <c r="AT65" s="282">
        <v>15</v>
      </c>
      <c r="AU65" s="282">
        <v>16</v>
      </c>
      <c r="AV65" s="282">
        <v>17</v>
      </c>
    </row>
    <row r="66" ht="18.75" customHeight="1">
      <c r="B66" s="635"/>
      <c r="C66" s="635"/>
      <c r="D66" s="635"/>
      <c r="E66" s="635"/>
      <c r="F66" s="635"/>
      <c r="G66" s="635"/>
      <c r="H66" s="636"/>
      <c r="I66" s="636"/>
      <c r="J66" s="636"/>
      <c r="K66" s="636"/>
      <c r="L66" s="637"/>
      <c r="M66" s="637"/>
      <c r="N66" s="679"/>
      <c r="O66" s="679"/>
      <c r="P66" s="679"/>
      <c r="Q66" s="635"/>
      <c r="R66" s="635"/>
      <c r="S66" s="635"/>
      <c r="T66" s="635"/>
      <c r="U66" s="635"/>
      <c r="V66" s="635"/>
      <c r="W66" s="635"/>
      <c r="X66" s="635"/>
      <c r="Y66" s="635"/>
      <c r="Z66" s="635"/>
      <c r="AA66" s="635"/>
      <c r="AB66" s="635"/>
      <c r="AC66" s="635"/>
      <c r="AD66" s="635"/>
    </row>
    <row r="67" ht="18.75" customHeight="1">
      <c r="B67" s="635"/>
      <c r="C67" s="635"/>
      <c r="D67" s="635"/>
      <c r="E67" s="635"/>
      <c r="F67" s="635"/>
      <c r="G67" s="635"/>
      <c r="H67" s="636"/>
      <c r="I67" s="636"/>
      <c r="J67" s="636"/>
      <c r="K67" s="636"/>
      <c r="L67" s="637"/>
      <c r="M67" s="637"/>
      <c r="N67" s="679"/>
      <c r="O67" s="679"/>
      <c r="P67" s="679"/>
      <c r="Q67" s="635"/>
      <c r="R67" s="635"/>
      <c r="S67" s="635"/>
      <c r="T67" s="635"/>
      <c r="U67" s="635"/>
      <c r="V67" s="635"/>
      <c r="W67" s="635"/>
      <c r="X67" s="635"/>
      <c r="Y67" s="635"/>
      <c r="Z67" s="635"/>
      <c r="AA67" s="635"/>
      <c r="AB67" s="635"/>
      <c r="AC67" s="635"/>
      <c r="AD67" s="635"/>
    </row>
    <row r="68" ht="18.75" customHeight="1">
      <c r="B68" s="635"/>
      <c r="C68" s="635"/>
      <c r="D68" s="635"/>
      <c r="E68" s="635"/>
      <c r="F68" s="635"/>
      <c r="G68" s="635"/>
      <c r="H68" s="636"/>
      <c r="I68" s="636"/>
      <c r="J68" s="636"/>
      <c r="K68" s="636"/>
      <c r="L68" s="637"/>
      <c r="M68" s="637"/>
      <c r="N68" s="679"/>
      <c r="O68" s="679"/>
      <c r="P68" s="679"/>
      <c r="Q68" s="635"/>
      <c r="R68" s="635"/>
      <c r="S68" s="635"/>
      <c r="T68" s="635"/>
      <c r="U68" s="635"/>
      <c r="V68" s="635"/>
      <c r="W68" s="635"/>
      <c r="X68" s="635"/>
      <c r="Y68" s="635"/>
      <c r="Z68" s="635"/>
      <c r="AA68" s="635"/>
      <c r="AB68" s="635"/>
      <c r="AC68" s="635"/>
      <c r="AD68" s="635"/>
    </row>
    <row r="69" ht="18.75" customHeight="1">
      <c r="C69" s="304"/>
      <c r="D69" s="304"/>
      <c r="E69" s="304"/>
      <c r="F69" s="304"/>
      <c r="G69" s="304"/>
      <c r="H69" s="304"/>
      <c r="I69" s="304"/>
      <c r="J69" s="304"/>
      <c r="K69" s="304"/>
      <c r="L69" s="304"/>
      <c r="M69" s="304"/>
      <c r="N69" s="304"/>
      <c r="O69" s="304"/>
      <c r="P69" s="304"/>
      <c r="Q69" s="304"/>
      <c r="R69" s="304"/>
      <c r="S69" s="304"/>
      <c r="T69" s="304"/>
      <c r="U69" s="304"/>
      <c r="V69" s="304"/>
      <c r="W69" s="304"/>
      <c r="X69" s="304"/>
      <c r="Y69" s="304"/>
      <c r="Z69" s="304"/>
      <c r="AA69" s="304"/>
      <c r="AB69" s="304"/>
      <c r="AC69" s="304"/>
      <c r="AD69" s="304"/>
    </row>
    <row r="70" ht="18.75" customHeight="1">
      <c r="C70" s="304"/>
      <c r="D70" s="304"/>
      <c r="E70" s="304"/>
      <c r="F70" s="304"/>
      <c r="G70" s="304"/>
      <c r="H70" s="304"/>
      <c r="I70" s="304"/>
      <c r="J70" s="304"/>
      <c r="K70" s="304"/>
      <c r="L70" s="304"/>
      <c r="M70" s="304"/>
      <c r="N70" s="304"/>
      <c r="O70" s="304"/>
      <c r="P70" s="304"/>
      <c r="Q70" s="304"/>
      <c r="R70" s="304"/>
      <c r="S70" s="304"/>
      <c r="T70" s="304"/>
      <c r="U70" s="304"/>
      <c r="V70" s="304"/>
      <c r="W70" s="304"/>
      <c r="X70" s="304"/>
      <c r="Y70" s="304"/>
      <c r="Z70" s="304"/>
      <c r="AA70" s="304"/>
      <c r="AB70" s="304"/>
      <c r="AC70" s="304"/>
      <c r="AD70" s="304"/>
    </row>
    <row r="71" ht="18.75" customHeight="1">
      <c r="C71" s="304"/>
      <c r="D71" s="304"/>
      <c r="E71" s="304"/>
      <c r="F71" s="304"/>
      <c r="G71" s="304"/>
      <c r="H71" s="304"/>
      <c r="I71" s="304"/>
      <c r="J71" s="304"/>
      <c r="K71" s="304"/>
      <c r="L71" s="304"/>
      <c r="M71" s="304"/>
      <c r="N71" s="304"/>
      <c r="O71" s="304"/>
      <c r="P71" s="304"/>
      <c r="Q71" s="304"/>
      <c r="R71" s="304"/>
      <c r="S71" s="304"/>
      <c r="T71" s="304"/>
      <c r="U71" s="304"/>
      <c r="V71" s="304"/>
      <c r="W71" s="304"/>
      <c r="X71" s="304"/>
      <c r="Y71" s="304"/>
      <c r="Z71" s="304"/>
      <c r="AA71" s="304"/>
      <c r="AB71" s="304"/>
      <c r="AC71" s="304"/>
      <c r="AD71" s="304"/>
    </row>
    <row r="72" ht="18.75" customHeight="1">
      <c r="C72" s="304"/>
      <c r="D72" s="304"/>
      <c r="E72" s="304"/>
      <c r="F72" s="304"/>
      <c r="G72" s="304"/>
      <c r="H72" s="304"/>
      <c r="I72" s="304"/>
      <c r="J72" s="304"/>
      <c r="K72" s="304"/>
      <c r="L72" s="304"/>
      <c r="M72" s="304"/>
      <c r="N72" s="304"/>
      <c r="O72" s="304"/>
      <c r="P72" s="304"/>
      <c r="Q72" s="304"/>
      <c r="R72" s="304"/>
      <c r="S72" s="304"/>
      <c r="T72" s="304"/>
      <c r="U72" s="304"/>
      <c r="V72" s="304"/>
      <c r="W72" s="304"/>
      <c r="X72" s="304"/>
      <c r="Y72" s="304"/>
      <c r="Z72" s="304"/>
      <c r="AA72" s="304"/>
      <c r="AB72" s="304"/>
      <c r="AC72" s="304"/>
      <c r="AD72" s="304"/>
    </row>
    <row r="73" ht="18.75" customHeight="1">
      <c r="C73" s="304"/>
      <c r="D73" s="304"/>
      <c r="E73" s="304"/>
      <c r="F73" s="304"/>
      <c r="G73" s="304"/>
      <c r="H73" s="304"/>
      <c r="I73" s="304"/>
      <c r="J73" s="304"/>
      <c r="K73" s="304"/>
      <c r="L73" s="304"/>
      <c r="M73" s="304"/>
      <c r="N73" s="304"/>
      <c r="O73" s="304"/>
      <c r="P73" s="304"/>
      <c r="Q73" s="304"/>
      <c r="R73" s="304"/>
      <c r="S73" s="304"/>
      <c r="T73" s="304"/>
      <c r="U73" s="304"/>
      <c r="V73" s="304"/>
      <c r="W73" s="304"/>
      <c r="X73" s="304"/>
      <c r="Y73" s="304"/>
      <c r="Z73" s="304"/>
      <c r="AA73" s="304"/>
      <c r="AB73" s="304"/>
      <c r="AC73" s="304"/>
      <c r="AD73" s="304"/>
    </row>
    <row r="74" ht="18.75" customHeight="1">
      <c r="C74" s="304"/>
      <c r="D74" s="304"/>
      <c r="E74" s="304"/>
      <c r="F74" s="304"/>
      <c r="G74" s="304"/>
      <c r="H74" s="304"/>
      <c r="I74" s="304"/>
      <c r="J74" s="304"/>
      <c r="K74" s="304"/>
      <c r="L74" s="304"/>
      <c r="M74" s="304"/>
      <c r="N74" s="304"/>
      <c r="O74" s="304"/>
      <c r="P74" s="304"/>
      <c r="Q74" s="304"/>
      <c r="R74" s="304"/>
      <c r="S74" s="304"/>
      <c r="T74" s="304"/>
      <c r="U74" s="304"/>
      <c r="V74" s="304"/>
      <c r="W74" s="304"/>
      <c r="X74" s="304"/>
      <c r="Y74" s="304"/>
      <c r="Z74" s="304"/>
      <c r="AA74" s="304"/>
      <c r="AB74" s="304"/>
      <c r="AC74" s="304"/>
      <c r="AD74" s="304"/>
    </row>
    <row r="75" ht="18.75" customHeight="1">
      <c r="C75" s="304"/>
      <c r="D75" s="304"/>
      <c r="E75" s="304"/>
      <c r="F75" s="304"/>
      <c r="G75" s="304"/>
      <c r="H75" s="304"/>
      <c r="I75" s="304"/>
      <c r="J75" s="304"/>
      <c r="K75" s="304"/>
      <c r="L75" s="304"/>
      <c r="M75" s="304"/>
      <c r="N75" s="304"/>
      <c r="O75" s="304"/>
      <c r="P75" s="304"/>
      <c r="Q75" s="304"/>
      <c r="R75" s="304"/>
      <c r="S75" s="304"/>
      <c r="T75" s="304"/>
      <c r="U75" s="304"/>
      <c r="V75" s="304"/>
      <c r="W75" s="304"/>
      <c r="X75" s="304"/>
      <c r="Y75" s="304"/>
      <c r="Z75" s="304"/>
      <c r="AA75" s="304"/>
      <c r="AB75" s="304"/>
      <c r="AC75" s="304"/>
      <c r="AD75" s="304"/>
    </row>
    <row r="76" ht="18.75" customHeight="1">
      <c r="C76" s="304"/>
      <c r="D76" s="304"/>
      <c r="E76" s="304"/>
      <c r="F76" s="304"/>
      <c r="G76" s="304"/>
      <c r="H76" s="304"/>
      <c r="I76" s="304"/>
      <c r="J76" s="304"/>
      <c r="K76" s="304"/>
      <c r="L76" s="304"/>
      <c r="M76" s="304"/>
      <c r="N76" s="304"/>
      <c r="O76" s="304"/>
      <c r="P76" s="304"/>
      <c r="Q76" s="304"/>
      <c r="R76" s="304"/>
      <c r="S76" s="304"/>
      <c r="T76" s="304"/>
      <c r="U76" s="304"/>
      <c r="V76" s="304"/>
      <c r="W76" s="304"/>
      <c r="X76" s="304"/>
      <c r="Y76" s="304"/>
      <c r="Z76" s="304"/>
      <c r="AA76" s="304"/>
      <c r="AB76" s="304"/>
      <c r="AC76" s="304"/>
      <c r="AD76" s="304"/>
    </row>
    <row r="77" ht="18.75" customHeight="1">
      <c r="C77" s="304"/>
      <c r="D77" s="304"/>
      <c r="E77" s="304"/>
      <c r="F77" s="304"/>
      <c r="G77" s="304"/>
      <c r="H77" s="304"/>
      <c r="I77" s="304"/>
      <c r="J77" s="304"/>
      <c r="K77" s="304"/>
      <c r="L77" s="304"/>
      <c r="M77" s="304"/>
      <c r="N77" s="304"/>
      <c r="O77" s="304"/>
      <c r="P77" s="304"/>
      <c r="Q77" s="304"/>
      <c r="R77" s="304"/>
      <c r="S77" s="304"/>
      <c r="T77" s="304"/>
      <c r="U77" s="304"/>
      <c r="V77" s="304"/>
      <c r="W77" s="304"/>
      <c r="X77" s="304"/>
      <c r="Y77" s="304"/>
      <c r="Z77" s="304"/>
      <c r="AA77" s="304"/>
      <c r="AB77" s="304"/>
      <c r="AC77" s="304"/>
      <c r="AD77" s="304"/>
    </row>
    <row r="78" ht="18.75" customHeight="1">
      <c r="C78" s="304"/>
      <c r="D78" s="304"/>
      <c r="E78" s="304"/>
      <c r="F78" s="304"/>
      <c r="G78" s="304"/>
      <c r="H78" s="304"/>
      <c r="I78" s="304"/>
      <c r="J78" s="304"/>
      <c r="K78" s="304"/>
      <c r="L78" s="304"/>
      <c r="M78" s="304"/>
      <c r="N78" s="304"/>
      <c r="O78" s="304"/>
      <c r="P78" s="304"/>
      <c r="Q78" s="304"/>
      <c r="R78" s="304"/>
      <c r="S78" s="304"/>
      <c r="T78" s="304"/>
      <c r="U78" s="304"/>
      <c r="V78" s="304"/>
      <c r="W78" s="304"/>
      <c r="X78" s="304"/>
      <c r="Y78" s="304"/>
      <c r="Z78" s="304"/>
      <c r="AA78" s="304"/>
      <c r="AB78" s="304"/>
      <c r="AC78" s="304"/>
      <c r="AD78" s="304"/>
    </row>
    <row r="79" ht="18.75" customHeight="1">
      <c r="C79" s="304"/>
      <c r="D79" s="304"/>
      <c r="E79" s="304"/>
      <c r="F79" s="304"/>
      <c r="G79" s="304"/>
      <c r="H79" s="304"/>
      <c r="I79" s="304"/>
      <c r="J79" s="304"/>
      <c r="K79" s="304"/>
      <c r="L79" s="304"/>
      <c r="M79" s="304"/>
      <c r="N79" s="304"/>
      <c r="O79" s="304"/>
      <c r="P79" s="304"/>
      <c r="Q79" s="304"/>
      <c r="R79" s="304"/>
      <c r="S79" s="304"/>
      <c r="T79" s="304"/>
      <c r="U79" s="304"/>
      <c r="V79" s="304"/>
      <c r="W79" s="304"/>
      <c r="X79" s="304"/>
      <c r="Y79" s="304"/>
      <c r="Z79" s="304"/>
      <c r="AA79" s="304"/>
      <c r="AB79" s="304"/>
      <c r="AC79" s="304"/>
      <c r="AD79" s="304"/>
    </row>
    <row r="80" ht="18.75" customHeight="1">
      <c r="C80" s="304"/>
      <c r="D80" s="304"/>
      <c r="E80" s="304"/>
      <c r="F80" s="304"/>
      <c r="G80" s="304"/>
      <c r="H80" s="304"/>
      <c r="I80" s="304"/>
      <c r="J80" s="304"/>
      <c r="K80" s="304"/>
      <c r="L80" s="304"/>
      <c r="M80" s="304"/>
      <c r="N80" s="304"/>
      <c r="O80" s="304"/>
      <c r="P80" s="304"/>
      <c r="Q80" s="304"/>
      <c r="R80" s="304"/>
      <c r="S80" s="304"/>
      <c r="T80" s="304"/>
      <c r="U80" s="304"/>
      <c r="V80" s="304"/>
      <c r="W80" s="304"/>
      <c r="X80" s="304"/>
      <c r="Y80" s="304"/>
      <c r="Z80" s="304"/>
      <c r="AA80" s="304"/>
      <c r="AB80" s="304"/>
      <c r="AC80" s="304"/>
      <c r="AD80" s="304"/>
    </row>
    <row r="81" ht="18.75" customHeight="1">
      <c r="C81" s="304"/>
      <c r="D81" s="304"/>
      <c r="E81" s="304"/>
      <c r="F81" s="304"/>
      <c r="G81" s="304"/>
      <c r="H81" s="304"/>
      <c r="I81" s="304"/>
      <c r="J81" s="304"/>
      <c r="K81" s="304"/>
      <c r="L81" s="304"/>
      <c r="M81" s="304"/>
      <c r="N81" s="304"/>
      <c r="O81" s="304"/>
      <c r="P81" s="304"/>
      <c r="Q81" s="304"/>
      <c r="R81" s="304"/>
      <c r="S81" s="304"/>
      <c r="T81" s="304"/>
      <c r="U81" s="304"/>
      <c r="V81" s="304"/>
      <c r="W81" s="304"/>
      <c r="X81" s="304"/>
      <c r="Y81" s="304"/>
      <c r="Z81" s="304"/>
      <c r="AA81" s="304"/>
      <c r="AB81" s="304"/>
      <c r="AC81" s="304"/>
      <c r="AD81" s="304"/>
    </row>
    <row r="82" ht="18.75" customHeight="1">
      <c r="C82" s="304"/>
      <c r="D82" s="304"/>
      <c r="E82" s="304"/>
      <c r="F82" s="304"/>
      <c r="G82" s="304"/>
      <c r="H82" s="304"/>
      <c r="I82" s="304"/>
      <c r="J82" s="304"/>
      <c r="K82" s="304"/>
      <c r="L82" s="304"/>
      <c r="M82" s="304"/>
      <c r="N82" s="304"/>
      <c r="O82" s="304"/>
      <c r="P82" s="304"/>
      <c r="Q82" s="304"/>
      <c r="R82" s="304"/>
      <c r="S82" s="304"/>
      <c r="T82" s="304"/>
      <c r="U82" s="304"/>
      <c r="V82" s="304"/>
      <c r="W82" s="304"/>
      <c r="X82" s="304"/>
      <c r="Y82" s="304"/>
      <c r="Z82" s="304"/>
      <c r="AA82" s="304"/>
      <c r="AB82" s="304"/>
      <c r="AC82" s="304"/>
      <c r="AD82" s="304"/>
    </row>
    <row r="83" ht="18.75" customHeight="1">
      <c r="C83" s="304"/>
      <c r="D83" s="304"/>
      <c r="E83" s="304"/>
      <c r="F83" s="304"/>
      <c r="G83" s="304"/>
      <c r="H83" s="304"/>
      <c r="I83" s="304"/>
      <c r="J83" s="304"/>
      <c r="K83" s="304"/>
      <c r="L83" s="304"/>
      <c r="M83" s="304"/>
      <c r="N83" s="304"/>
      <c r="O83" s="304"/>
      <c r="P83" s="304"/>
      <c r="Q83" s="304"/>
      <c r="R83" s="304"/>
      <c r="S83" s="304"/>
      <c r="T83" s="304"/>
      <c r="U83" s="304"/>
      <c r="V83" s="304"/>
      <c r="W83" s="304"/>
      <c r="X83" s="304"/>
      <c r="Y83" s="304"/>
      <c r="Z83" s="304"/>
      <c r="AA83" s="304"/>
      <c r="AB83" s="304"/>
      <c r="AC83" s="304"/>
      <c r="AD83" s="304"/>
    </row>
    <row r="84" ht="18.75" customHeight="1">
      <c r="C84" s="304"/>
      <c r="D84" s="304"/>
      <c r="E84" s="304"/>
      <c r="F84" s="304"/>
      <c r="G84" s="304"/>
      <c r="H84" s="304"/>
      <c r="I84" s="304"/>
      <c r="J84" s="304"/>
      <c r="K84" s="304"/>
      <c r="L84" s="304"/>
      <c r="M84" s="304"/>
      <c r="N84" s="304"/>
      <c r="O84" s="304"/>
      <c r="P84" s="304"/>
      <c r="Q84" s="304"/>
      <c r="R84" s="304"/>
      <c r="S84" s="304"/>
      <c r="T84" s="304"/>
      <c r="U84" s="304"/>
      <c r="V84" s="304"/>
      <c r="W84" s="304"/>
      <c r="X84" s="304"/>
      <c r="Y84" s="304"/>
      <c r="Z84" s="304"/>
      <c r="AA84" s="304"/>
      <c r="AB84" s="304"/>
      <c r="AC84" s="304"/>
      <c r="AD84" s="304"/>
    </row>
    <row r="85" ht="18.75" customHeight="1">
      <c r="C85" s="304"/>
      <c r="D85" s="304"/>
      <c r="E85" s="304"/>
      <c r="F85" s="304"/>
      <c r="G85" s="304"/>
      <c r="H85" s="304"/>
      <c r="I85" s="304"/>
      <c r="J85" s="304"/>
      <c r="K85" s="304"/>
      <c r="L85" s="304"/>
      <c r="M85" s="304"/>
      <c r="N85" s="304"/>
      <c r="O85" s="304"/>
      <c r="P85" s="304"/>
      <c r="Q85" s="304"/>
      <c r="R85" s="304"/>
      <c r="S85" s="304"/>
      <c r="T85" s="304"/>
      <c r="U85" s="304"/>
      <c r="V85" s="304"/>
      <c r="W85" s="304"/>
      <c r="X85" s="304"/>
      <c r="Y85" s="304"/>
      <c r="Z85" s="304"/>
      <c r="AA85" s="304"/>
      <c r="AB85" s="304"/>
      <c r="AC85" s="304"/>
      <c r="AD85" s="304"/>
    </row>
    <row r="86" ht="18.75" customHeight="1">
      <c r="C86" s="304"/>
      <c r="D86" s="304"/>
      <c r="E86" s="304"/>
      <c r="F86" s="304"/>
      <c r="G86" s="304"/>
      <c r="H86" s="304"/>
      <c r="I86" s="304"/>
      <c r="J86" s="304"/>
      <c r="K86" s="304"/>
      <c r="L86" s="304"/>
      <c r="M86" s="304"/>
      <c r="N86" s="304"/>
      <c r="O86" s="304"/>
      <c r="P86" s="304"/>
      <c r="Q86" s="304"/>
      <c r="R86" s="304"/>
      <c r="S86" s="304"/>
      <c r="T86" s="304"/>
      <c r="U86" s="304"/>
      <c r="V86" s="304"/>
      <c r="W86" s="304"/>
      <c r="X86" s="304"/>
      <c r="Y86" s="304"/>
      <c r="Z86" s="304"/>
      <c r="AA86" s="304"/>
      <c r="AB86" s="304"/>
      <c r="AC86" s="304"/>
      <c r="AD86" s="304"/>
    </row>
    <row r="87" ht="18.75" customHeight="1">
      <c r="C87" s="304"/>
      <c r="D87" s="304"/>
      <c r="E87" s="304"/>
      <c r="F87" s="304"/>
      <c r="G87" s="304"/>
      <c r="H87" s="304"/>
      <c r="I87" s="304"/>
      <c r="J87" s="304"/>
      <c r="K87" s="304"/>
      <c r="L87" s="304"/>
      <c r="M87" s="304"/>
      <c r="N87" s="304"/>
      <c r="O87" s="304"/>
      <c r="P87" s="304"/>
      <c r="Q87" s="304"/>
      <c r="R87" s="304"/>
      <c r="S87" s="304"/>
      <c r="T87" s="304"/>
      <c r="U87" s="304"/>
      <c r="V87" s="304"/>
      <c r="W87" s="304"/>
      <c r="X87" s="304"/>
      <c r="Y87" s="304"/>
      <c r="Z87" s="304"/>
      <c r="AA87" s="304"/>
      <c r="AB87" s="304"/>
      <c r="AC87" s="304"/>
      <c r="AD87" s="304"/>
    </row>
    <row r="88" ht="18.75" customHeight="1">
      <c r="C88" s="304"/>
      <c r="D88" s="304"/>
      <c r="E88" s="304"/>
      <c r="F88" s="304"/>
      <c r="G88" s="304"/>
      <c r="H88" s="304"/>
      <c r="I88" s="304"/>
      <c r="J88" s="304"/>
      <c r="K88" s="304"/>
      <c r="L88" s="304"/>
      <c r="M88" s="304"/>
      <c r="N88" s="304"/>
      <c r="O88" s="304"/>
      <c r="P88" s="304"/>
      <c r="Q88" s="304"/>
      <c r="R88" s="304"/>
      <c r="S88" s="304"/>
      <c r="T88" s="304"/>
      <c r="U88" s="304"/>
      <c r="V88" s="304"/>
      <c r="W88" s="304"/>
      <c r="X88" s="304"/>
      <c r="Y88" s="304"/>
      <c r="Z88" s="304"/>
      <c r="AA88" s="304"/>
      <c r="AB88" s="304"/>
      <c r="AC88" s="304"/>
      <c r="AD88" s="304"/>
    </row>
    <row r="89" ht="18.75" customHeight="1">
      <c r="C89" s="304"/>
      <c r="D89" s="304"/>
      <c r="E89" s="304"/>
      <c r="F89" s="304"/>
      <c r="G89" s="304"/>
      <c r="H89" s="304"/>
      <c r="I89" s="304"/>
      <c r="J89" s="304"/>
      <c r="K89" s="304"/>
      <c r="L89" s="304"/>
      <c r="M89" s="304"/>
      <c r="N89" s="304"/>
      <c r="O89" s="304"/>
      <c r="P89" s="304"/>
      <c r="Q89" s="304"/>
      <c r="R89" s="304"/>
      <c r="S89" s="304"/>
      <c r="T89" s="304"/>
      <c r="U89" s="304"/>
      <c r="V89" s="304"/>
      <c r="W89" s="304"/>
      <c r="X89" s="304"/>
      <c r="Y89" s="304"/>
      <c r="Z89" s="304"/>
      <c r="AA89" s="304"/>
      <c r="AB89" s="304"/>
      <c r="AC89" s="304"/>
      <c r="AD89" s="304"/>
    </row>
    <row r="90" ht="18.75" customHeight="1">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row>
    <row r="91" ht="18.75" customHeight="1">
      <c r="C91" s="304"/>
      <c r="D91" s="304"/>
      <c r="E91" s="304"/>
      <c r="F91" s="304"/>
      <c r="G91" s="304"/>
      <c r="H91" s="304"/>
      <c r="I91" s="304"/>
      <c r="J91" s="304"/>
      <c r="K91" s="304"/>
      <c r="L91" s="304"/>
      <c r="M91" s="304"/>
      <c r="N91" s="304"/>
      <c r="O91" s="304"/>
      <c r="P91" s="304"/>
      <c r="Q91" s="304"/>
      <c r="R91" s="304"/>
      <c r="S91" s="304"/>
      <c r="T91" s="304"/>
      <c r="U91" s="304"/>
      <c r="V91" s="304"/>
      <c r="W91" s="304"/>
      <c r="X91" s="304"/>
      <c r="Y91" s="304"/>
      <c r="Z91" s="304"/>
      <c r="AA91" s="304"/>
      <c r="AB91" s="304"/>
      <c r="AC91" s="304"/>
      <c r="AD91" s="304"/>
    </row>
    <row r="92">
      <c r="C92" s="304"/>
      <c r="D92" s="304"/>
      <c r="E92" s="304"/>
      <c r="F92" s="304"/>
      <c r="G92" s="304"/>
      <c r="H92" s="304"/>
      <c r="I92" s="304"/>
      <c r="J92" s="304"/>
      <c r="K92" s="304"/>
      <c r="L92" s="304"/>
      <c r="M92" s="304"/>
      <c r="N92" s="304"/>
      <c r="O92" s="304"/>
      <c r="P92" s="304"/>
      <c r="Q92" s="304"/>
      <c r="R92" s="304"/>
      <c r="S92" s="304"/>
      <c r="T92" s="304"/>
      <c r="U92" s="304"/>
      <c r="V92" s="304"/>
      <c r="W92" s="304"/>
      <c r="X92" s="304"/>
      <c r="Y92" s="304"/>
      <c r="Z92" s="304"/>
      <c r="AA92" s="304"/>
      <c r="AB92" s="304"/>
      <c r="AC92" s="304"/>
      <c r="AD92" s="304"/>
    </row>
    <row r="93">
      <c r="C93" s="304"/>
      <c r="D93" s="304"/>
      <c r="E93" s="304"/>
      <c r="F93" s="304"/>
      <c r="G93" s="304"/>
      <c r="H93" s="304"/>
      <c r="I93" s="304"/>
      <c r="J93" s="304"/>
      <c r="K93" s="304"/>
      <c r="L93" s="304"/>
      <c r="M93" s="304"/>
      <c r="N93" s="304"/>
      <c r="O93" s="304"/>
      <c r="P93" s="304"/>
      <c r="Q93" s="304"/>
      <c r="R93" s="304"/>
      <c r="S93" s="304"/>
      <c r="T93" s="304"/>
      <c r="U93" s="304"/>
      <c r="V93" s="304"/>
      <c r="W93" s="304"/>
      <c r="X93" s="304"/>
      <c r="Y93" s="304"/>
      <c r="Z93" s="304"/>
      <c r="AA93" s="304"/>
      <c r="AB93" s="304"/>
      <c r="AC93" s="304"/>
      <c r="AD93" s="304"/>
    </row>
    <row r="94">
      <c r="C94" s="304"/>
      <c r="D94" s="304"/>
      <c r="E94" s="304"/>
      <c r="F94" s="304"/>
      <c r="G94" s="304"/>
      <c r="H94" s="304"/>
      <c r="I94" s="304"/>
      <c r="J94" s="304"/>
      <c r="K94" s="304"/>
      <c r="L94" s="304"/>
      <c r="M94" s="304"/>
      <c r="N94" s="304"/>
      <c r="O94" s="304"/>
      <c r="P94" s="304"/>
      <c r="Q94" s="304"/>
      <c r="R94" s="304"/>
      <c r="S94" s="304"/>
      <c r="T94" s="304"/>
      <c r="U94" s="304"/>
      <c r="V94" s="304"/>
      <c r="W94" s="304"/>
      <c r="X94" s="304"/>
      <c r="Y94" s="304"/>
      <c r="Z94" s="304"/>
      <c r="AA94" s="304"/>
      <c r="AB94" s="304"/>
      <c r="AC94" s="304"/>
      <c r="AD94" s="304"/>
    </row>
    <row r="95">
      <c r="C95" s="304"/>
      <c r="D95" s="304"/>
      <c r="E95" s="304"/>
      <c r="F95" s="304"/>
      <c r="G95" s="304"/>
      <c r="H95" s="304"/>
      <c r="I95" s="304"/>
      <c r="J95" s="304"/>
      <c r="K95" s="304"/>
      <c r="L95" s="304"/>
      <c r="M95" s="304"/>
      <c r="N95" s="304"/>
      <c r="O95" s="304"/>
      <c r="P95" s="304"/>
      <c r="Q95" s="304"/>
      <c r="R95" s="304"/>
      <c r="S95" s="304"/>
      <c r="T95" s="304"/>
      <c r="U95" s="304"/>
      <c r="V95" s="304"/>
      <c r="W95" s="304"/>
      <c r="X95" s="304"/>
      <c r="Y95" s="304"/>
      <c r="Z95" s="304"/>
      <c r="AA95" s="304"/>
      <c r="AB95" s="304"/>
      <c r="AC95" s="304"/>
      <c r="AD95" s="304"/>
    </row>
    <row r="96">
      <c r="C96" s="304"/>
      <c r="D96" s="304"/>
      <c r="E96" s="304"/>
      <c r="F96" s="304"/>
      <c r="G96" s="304"/>
      <c r="H96" s="304"/>
      <c r="I96" s="304"/>
      <c r="J96" s="304"/>
      <c r="K96" s="304"/>
      <c r="L96" s="304"/>
      <c r="M96" s="304"/>
      <c r="N96" s="304"/>
      <c r="O96" s="304"/>
      <c r="P96" s="304"/>
      <c r="Q96" s="304"/>
      <c r="R96" s="304"/>
      <c r="S96" s="304"/>
      <c r="T96" s="304"/>
      <c r="U96" s="304"/>
      <c r="V96" s="304"/>
      <c r="W96" s="304"/>
      <c r="X96" s="304"/>
      <c r="Y96" s="304"/>
      <c r="Z96" s="304"/>
      <c r="AA96" s="304"/>
      <c r="AB96" s="304"/>
      <c r="AC96" s="304"/>
      <c r="AD96" s="304"/>
    </row>
    <row r="97">
      <c r="C97" s="304"/>
      <c r="D97" s="304"/>
      <c r="E97" s="304"/>
      <c r="F97" s="304"/>
      <c r="G97" s="304"/>
      <c r="H97" s="304"/>
      <c r="I97" s="304"/>
      <c r="J97" s="304"/>
      <c r="K97" s="304"/>
      <c r="L97" s="304"/>
      <c r="M97" s="304"/>
      <c r="N97" s="304"/>
      <c r="O97" s="304"/>
      <c r="P97" s="304"/>
      <c r="Q97" s="304"/>
      <c r="R97" s="304"/>
      <c r="S97" s="304"/>
      <c r="T97" s="304"/>
      <c r="U97" s="304"/>
      <c r="V97" s="304"/>
      <c r="W97" s="304"/>
      <c r="X97" s="304"/>
      <c r="Y97" s="304"/>
      <c r="Z97" s="304"/>
      <c r="AA97" s="304"/>
      <c r="AB97" s="304"/>
      <c r="AC97" s="304"/>
      <c r="AD97" s="304"/>
    </row>
    <row r="98">
      <c r="C98" s="304"/>
      <c r="D98" s="304"/>
      <c r="E98" s="304"/>
      <c r="F98" s="304"/>
      <c r="G98" s="304"/>
      <c r="H98" s="304"/>
      <c r="I98" s="304"/>
      <c r="J98" s="304"/>
      <c r="K98" s="304"/>
      <c r="L98" s="304"/>
      <c r="M98" s="304"/>
      <c r="N98" s="304"/>
      <c r="O98" s="304"/>
      <c r="P98" s="304"/>
      <c r="Q98" s="304"/>
      <c r="R98" s="304"/>
      <c r="S98" s="304"/>
      <c r="T98" s="304"/>
      <c r="U98" s="304"/>
      <c r="V98" s="304"/>
      <c r="W98" s="304"/>
      <c r="X98" s="304"/>
      <c r="Y98" s="304"/>
      <c r="Z98" s="304"/>
      <c r="AA98" s="304"/>
      <c r="AB98" s="304"/>
      <c r="AC98" s="304"/>
      <c r="AD98" s="304"/>
    </row>
  </sheetData>
  <sheetProtection sheet="1" objects="1" scenarios="1"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82"/>
    <col min="13" max="30" width="3.28515625" customWidth="1" style="282"/>
    <col min="31" max="31" width="3.140625" customWidth="1" style="304"/>
    <col min="32" max="117" width="3.140625" customWidth="1" style="282"/>
    <col min="118" max="16384" width="9.140625" customWidth="1" style="282"/>
  </cols>
  <sheetData>
    <row r="1" ht="19.7" customHeight="1">
      <c r="B1" s="657" t="s">
        <v>84</v>
      </c>
      <c r="C1" s="657"/>
      <c r="D1" s="657"/>
      <c r="E1" s="657"/>
      <c r="F1" s="657"/>
      <c r="G1" s="657"/>
      <c r="H1" s="657"/>
      <c r="I1" s="657"/>
      <c r="J1" s="657"/>
      <c r="K1" s="657"/>
      <c r="L1" s="657"/>
      <c r="M1" s="657"/>
      <c r="N1" s="315"/>
      <c r="O1" s="315"/>
      <c r="P1" s="638" t="s">
        <v>85</v>
      </c>
      <c r="Q1" s="638"/>
      <c r="R1" s="638"/>
      <c r="S1" s="638"/>
      <c r="T1" s="638"/>
      <c r="U1" s="638"/>
      <c r="V1" s="638"/>
      <c r="W1" s="638"/>
      <c r="X1" s="638"/>
      <c r="Y1" s="638"/>
      <c r="Z1" s="638"/>
      <c r="AA1" s="638"/>
      <c r="AB1" s="638"/>
      <c r="AC1" s="638"/>
      <c r="AD1" s="638"/>
      <c r="AE1" s="302"/>
    </row>
    <row r="2" ht="19.7" customHeight="1">
      <c r="C2" s="657" t="s">
        <v>86</v>
      </c>
      <c r="D2" s="657"/>
      <c r="E2" s="657"/>
      <c r="F2" s="657"/>
      <c r="G2" s="657"/>
      <c r="H2" s="657"/>
      <c r="I2" s="657"/>
      <c r="J2" s="657"/>
      <c r="K2" s="657"/>
      <c r="L2" s="657"/>
      <c r="M2" s="315"/>
      <c r="N2" s="338"/>
      <c r="O2" s="315"/>
      <c r="P2" s="658" t="s">
        <v>87</v>
      </c>
      <c r="Q2" s="658"/>
      <c r="R2" s="658"/>
      <c r="S2" s="658"/>
      <c r="T2" s="658"/>
      <c r="U2" s="658"/>
      <c r="V2" s="658"/>
      <c r="W2" s="658"/>
      <c r="X2" s="658"/>
      <c r="Y2" s="658"/>
      <c r="Z2" s="658"/>
      <c r="AA2" s="658"/>
      <c r="AB2" s="658"/>
      <c r="AC2" s="658"/>
      <c r="AD2" s="658"/>
    </row>
    <row r="3" ht="8.45" customHeight="1">
      <c r="C3" s="314"/>
      <c r="D3" s="314"/>
      <c r="E3" s="339"/>
      <c r="F3" s="339"/>
      <c r="G3" s="339"/>
      <c r="H3" s="339"/>
      <c r="I3" s="339"/>
      <c r="J3" s="339"/>
      <c r="K3" s="314"/>
      <c r="L3" s="313"/>
      <c r="M3" s="314"/>
      <c r="N3" s="314"/>
      <c r="O3" s="314"/>
      <c r="P3" s="314"/>
      <c r="Q3" s="310"/>
      <c r="R3" s="310"/>
      <c r="S3" s="339"/>
      <c r="T3" s="339"/>
      <c r="U3" s="339"/>
      <c r="V3" s="339"/>
      <c r="W3" s="339"/>
      <c r="X3" s="339"/>
      <c r="Y3" s="339"/>
      <c r="Z3" s="339"/>
      <c r="AA3" s="339"/>
      <c r="AB3" s="315"/>
      <c r="AC3" s="315"/>
      <c r="AD3" s="315"/>
    </row>
    <row r="4" ht="8.45" customHeight="1">
      <c r="C4" s="308"/>
      <c r="D4" s="308"/>
      <c r="E4" s="309"/>
      <c r="F4" s="309"/>
      <c r="G4" s="309"/>
      <c r="H4" s="309"/>
      <c r="I4" s="309"/>
      <c r="J4" s="309"/>
      <c r="K4" s="309"/>
      <c r="L4" s="310"/>
      <c r="M4" s="310"/>
      <c r="N4" s="310"/>
      <c r="O4" s="310"/>
      <c r="P4" s="309"/>
      <c r="Q4" s="338"/>
      <c r="R4" s="338"/>
      <c r="S4" s="338"/>
      <c r="T4" s="338"/>
      <c r="U4" s="338"/>
      <c r="V4" s="338"/>
      <c r="W4" s="338"/>
      <c r="X4" s="338"/>
      <c r="Y4" s="338"/>
      <c r="Z4" s="338"/>
      <c r="AA4" s="338"/>
      <c r="AB4" s="338"/>
      <c r="AC4" s="338"/>
      <c r="AD4" s="338"/>
    </row>
    <row r="5" ht="0.75" customHeight="1">
      <c r="C5" s="340"/>
      <c r="D5" s="340"/>
      <c r="E5" s="314"/>
      <c r="F5" s="314"/>
      <c r="G5" s="314"/>
      <c r="H5" s="314"/>
      <c r="I5" s="314"/>
      <c r="J5" s="314"/>
      <c r="K5" s="314"/>
      <c r="L5" s="314"/>
      <c r="M5" s="314"/>
      <c r="N5" s="314"/>
      <c r="O5" s="314"/>
      <c r="P5" s="314"/>
      <c r="Q5" s="314"/>
      <c r="R5" s="314"/>
      <c r="S5" s="314"/>
      <c r="T5" s="314"/>
      <c r="U5" s="314"/>
      <c r="V5" s="314"/>
      <c r="W5" s="314"/>
      <c r="X5" s="314"/>
      <c r="Y5" s="314"/>
      <c r="Z5" s="314"/>
      <c r="AA5" s="314"/>
      <c r="AB5" s="315"/>
      <c r="AC5" s="315"/>
      <c r="AD5" s="315"/>
    </row>
    <row r="6" ht="19.7" customHeight="1">
      <c r="C6" s="650" t="s">
        <v>88</v>
      </c>
      <c r="D6" s="650"/>
      <c r="E6" s="650"/>
      <c r="F6" s="650"/>
      <c r="G6" s="650"/>
      <c r="H6" s="650"/>
      <c r="I6" s="650"/>
      <c r="J6" s="650"/>
      <c r="K6" s="650"/>
      <c r="L6" s="650"/>
      <c r="M6" s="650"/>
      <c r="N6" s="650"/>
      <c r="O6" s="650"/>
      <c r="P6" s="650"/>
      <c r="Q6" s="650"/>
      <c r="R6" s="650"/>
      <c r="S6" s="650"/>
      <c r="T6" s="650"/>
      <c r="U6" s="650"/>
      <c r="V6" s="650"/>
      <c r="W6" s="650"/>
      <c r="X6" s="650"/>
      <c r="Y6" s="650"/>
      <c r="Z6" s="650"/>
      <c r="AA6" s="650"/>
      <c r="AB6" s="650"/>
      <c r="AC6" s="650"/>
      <c r="AD6" s="650"/>
    </row>
    <row r="7" ht="19.7" customHeight="1">
      <c r="C7" s="650" t="s">
        <v>89</v>
      </c>
      <c r="D7" s="650"/>
      <c r="E7" s="650"/>
      <c r="F7" s="650"/>
      <c r="G7" s="650"/>
      <c r="H7" s="650"/>
      <c r="I7" s="650"/>
      <c r="J7" s="650"/>
      <c r="K7" s="650"/>
      <c r="L7" s="650"/>
      <c r="M7" s="650"/>
      <c r="N7" s="650"/>
      <c r="O7" s="650"/>
      <c r="P7" s="650"/>
      <c r="Q7" s="650"/>
      <c r="R7" s="650"/>
      <c r="S7" s="650"/>
      <c r="T7" s="650"/>
      <c r="U7" s="650"/>
      <c r="V7" s="650"/>
      <c r="W7" s="650"/>
      <c r="X7" s="650"/>
      <c r="Y7" s="650"/>
      <c r="Z7" s="650"/>
      <c r="AA7" s="650"/>
      <c r="AB7" s="650"/>
      <c r="AC7" s="650"/>
      <c r="AD7" s="650"/>
    </row>
    <row r="8" ht="11.25" customHeight="1">
      <c r="C8" s="313"/>
      <c r="D8" s="314"/>
      <c r="E8" s="314"/>
      <c r="F8" s="314"/>
      <c r="G8" s="314"/>
      <c r="H8" s="314"/>
      <c r="I8" s="314"/>
      <c r="J8" s="314"/>
      <c r="K8" s="314"/>
      <c r="L8" s="314"/>
      <c r="M8" s="314"/>
      <c r="N8" s="314"/>
      <c r="O8" s="314"/>
      <c r="P8" s="314"/>
      <c r="Q8" s="314"/>
      <c r="R8" s="314"/>
      <c r="S8" s="314"/>
      <c r="T8" s="314"/>
      <c r="U8" s="314"/>
      <c r="V8" s="314"/>
      <c r="W8" s="314"/>
      <c r="X8" s="314"/>
      <c r="Y8" s="314"/>
      <c r="Z8" s="314"/>
      <c r="AA8" s="314"/>
      <c r="AB8" s="315"/>
      <c r="AC8" s="315"/>
      <c r="AD8" s="315"/>
    </row>
    <row r="9" ht="19.7" customHeight="1">
      <c r="C9" s="658" t="str">
        <f>"Số: "&amp;AG9</f>
        <v>Số: B08600120811TG05</v>
      </c>
      <c r="D9" s="658"/>
      <c r="E9" s="658"/>
      <c r="F9" s="658"/>
      <c r="G9" s="658"/>
      <c r="H9" s="658"/>
      <c r="I9" s="658"/>
      <c r="J9" s="658"/>
      <c r="K9" s="658"/>
      <c r="L9" s="658"/>
      <c r="M9" s="658"/>
      <c r="N9" s="658"/>
      <c r="O9" s="658"/>
      <c r="P9" s="658"/>
      <c r="Q9" s="658"/>
      <c r="R9" s="658"/>
      <c r="S9" s="658"/>
      <c r="T9" s="658"/>
      <c r="U9" s="658"/>
      <c r="V9" s="658"/>
      <c r="W9" s="658"/>
      <c r="X9" s="658"/>
      <c r="Y9" s="658"/>
      <c r="Z9" s="658"/>
      <c r="AA9" s="658"/>
      <c r="AB9" s="658"/>
      <c r="AC9" s="658"/>
      <c r="AD9" s="658"/>
      <c r="AG9" s="316" t="s">
        <v>90</v>
      </c>
    </row>
    <row r="10" ht="12" customHeight="1">
      <c r="C10" s="317"/>
      <c r="D10" s="314"/>
      <c r="E10" s="314"/>
      <c r="F10" s="314"/>
      <c r="G10" s="314"/>
      <c r="H10" s="314"/>
      <c r="I10" s="314"/>
      <c r="J10" s="314"/>
      <c r="K10" s="314"/>
      <c r="L10" s="314"/>
      <c r="M10" s="314"/>
      <c r="N10" s="314"/>
      <c r="O10" s="314"/>
      <c r="P10" s="314"/>
      <c r="Q10" s="314"/>
      <c r="R10" s="314"/>
      <c r="S10" s="314"/>
      <c r="T10" s="314"/>
      <c r="U10" s="314"/>
      <c r="V10" s="314"/>
      <c r="W10" s="314"/>
      <c r="X10" s="314"/>
      <c r="Y10" s="314"/>
      <c r="Z10" s="314"/>
      <c r="AA10" s="314"/>
      <c r="AB10" s="315"/>
      <c r="AC10" s="315"/>
      <c r="AD10" s="315"/>
    </row>
    <row r="11" ht="19.7" customHeight="1">
      <c r="C11" s="650" t="s">
        <v>91</v>
      </c>
      <c r="D11" s="650"/>
      <c r="E11" s="650"/>
      <c r="F11" s="650"/>
      <c r="G11" s="650"/>
      <c r="H11" s="650"/>
      <c r="I11" s="650"/>
      <c r="J11" s="650"/>
      <c r="K11" s="650"/>
      <c r="L11" s="650"/>
      <c r="M11" s="650"/>
      <c r="N11" s="650"/>
      <c r="O11" s="650"/>
      <c r="P11" s="650"/>
      <c r="Q11" s="650"/>
      <c r="R11" s="650"/>
      <c r="S11" s="650"/>
      <c r="T11" s="650"/>
      <c r="U11" s="650"/>
      <c r="V11" s="650"/>
      <c r="W11" s="650"/>
      <c r="X11" s="650"/>
      <c r="Y11" s="650"/>
      <c r="Z11" s="650"/>
      <c r="AA11" s="650"/>
      <c r="AB11" s="650"/>
      <c r="AC11" s="650"/>
      <c r="AD11" s="650"/>
    </row>
    <row r="12" ht="19.7" customHeight="1">
      <c r="C12" s="650" t="s">
        <v>92</v>
      </c>
      <c r="D12" s="650"/>
      <c r="E12" s="650"/>
      <c r="F12" s="650"/>
      <c r="G12" s="650"/>
      <c r="H12" s="650"/>
      <c r="I12" s="650"/>
      <c r="J12" s="650"/>
      <c r="K12" s="650"/>
      <c r="L12" s="650"/>
      <c r="M12" s="650"/>
      <c r="N12" s="650"/>
      <c r="O12" s="650"/>
      <c r="P12" s="650"/>
      <c r="Q12" s="650"/>
      <c r="R12" s="650"/>
      <c r="S12" s="650"/>
      <c r="T12" s="650"/>
      <c r="U12" s="650"/>
      <c r="V12" s="650"/>
      <c r="W12" s="650"/>
      <c r="X12" s="650"/>
      <c r="Y12" s="650"/>
      <c r="Z12" s="650"/>
      <c r="AA12" s="650"/>
      <c r="AB12" s="650"/>
      <c r="AC12" s="650"/>
      <c r="AD12" s="650"/>
    </row>
    <row r="13" ht="8.45" customHeight="1">
      <c r="C13" s="318"/>
      <c r="D13" s="305"/>
      <c r="E13" s="305"/>
      <c r="F13" s="305"/>
      <c r="G13" s="305"/>
      <c r="H13" s="305"/>
      <c r="I13" s="305"/>
      <c r="J13" s="305"/>
      <c r="K13" s="305"/>
      <c r="L13" s="305"/>
      <c r="M13" s="305"/>
      <c r="N13" s="305"/>
      <c r="O13" s="305"/>
      <c r="P13" s="305"/>
      <c r="Q13" s="305"/>
      <c r="R13" s="305"/>
      <c r="S13" s="305"/>
      <c r="T13" s="305"/>
      <c r="U13" s="305"/>
      <c r="V13" s="305"/>
      <c r="W13" s="305"/>
      <c r="X13" s="305"/>
      <c r="Y13" s="305"/>
      <c r="Z13" s="305"/>
      <c r="AA13" s="305"/>
    </row>
    <row r="14" ht="3.75" customHeight="1">
      <c r="C14" s="319"/>
      <c r="D14" s="305"/>
      <c r="E14" s="305"/>
      <c r="F14" s="305"/>
      <c r="G14" s="305"/>
      <c r="H14" s="305"/>
      <c r="I14" s="305"/>
      <c r="J14" s="305"/>
      <c r="K14" s="305"/>
      <c r="L14" s="305"/>
      <c r="M14" s="305"/>
      <c r="N14" s="305"/>
      <c r="O14" s="305"/>
      <c r="P14" s="305"/>
      <c r="Q14" s="305"/>
      <c r="R14" s="305"/>
      <c r="S14" s="305"/>
      <c r="T14" s="305"/>
      <c r="U14" s="305"/>
      <c r="V14" s="305"/>
      <c r="W14" s="305"/>
      <c r="X14" s="305"/>
      <c r="Y14" s="305"/>
      <c r="Z14" s="305"/>
      <c r="AA14" s="305"/>
    </row>
    <row r="15" ht="21.75" customHeight="1">
      <c r="C15" s="699" t="s">
        <v>89</v>
      </c>
      <c r="D15" s="700"/>
      <c r="E15" s="700"/>
      <c r="F15" s="700"/>
      <c r="G15" s="700"/>
      <c r="H15" s="700"/>
      <c r="I15" s="700"/>
      <c r="J15" s="700"/>
      <c r="K15" s="700"/>
      <c r="L15" s="700"/>
      <c r="M15" s="700"/>
      <c r="N15" s="700"/>
      <c r="O15" s="700"/>
      <c r="P15" s="700"/>
      <c r="Q15" s="700"/>
      <c r="R15" s="700"/>
      <c r="S15" s="700"/>
      <c r="T15" s="700"/>
      <c r="U15" s="700"/>
      <c r="V15" s="700"/>
      <c r="W15" s="700"/>
      <c r="X15" s="700"/>
      <c r="Y15" s="700"/>
      <c r="Z15" s="700"/>
      <c r="AA15" s="700"/>
      <c r="AB15" s="700"/>
      <c r="AC15" s="700"/>
      <c r="AD15" s="701"/>
      <c r="AE15" s="320"/>
      <c r="AG15" s="321">
        <v>1</v>
      </c>
      <c r="AH15" s="321"/>
      <c r="AI15" s="321"/>
      <c r="AJ15" s="321"/>
      <c r="AK15" s="321">
        <v>2</v>
      </c>
      <c r="AL15" s="321"/>
      <c r="AM15" s="321"/>
      <c r="AN15" s="321"/>
      <c r="AO15" s="321">
        <v>3</v>
      </c>
      <c r="AS15" s="282">
        <v>4</v>
      </c>
    </row>
    <row r="16" ht="36" customHeight="1">
      <c r="C16" s="693" t="s">
        <v>93</v>
      </c>
      <c r="D16" s="694"/>
      <c r="E16" s="694"/>
      <c r="F16" s="694"/>
      <c r="G16" s="694"/>
      <c r="H16" s="694"/>
      <c r="I16" s="694"/>
      <c r="J16" s="694"/>
      <c r="K16" s="694"/>
      <c r="L16" s="695"/>
      <c r="M16" s="696" t="str">
        <f>AG16</f>
        <v>Ấp Bàu Trâu, xã Phước Thạnh, huyện Củ Chi, thành phố Hồ Chí Minh.</v>
      </c>
      <c r="N16" s="697"/>
      <c r="O16" s="697"/>
      <c r="P16" s="697"/>
      <c r="Q16" s="697"/>
      <c r="R16" s="697"/>
      <c r="S16" s="697"/>
      <c r="T16" s="697"/>
      <c r="U16" s="697"/>
      <c r="V16" s="697"/>
      <c r="W16" s="697"/>
      <c r="X16" s="697"/>
      <c r="Y16" s="697"/>
      <c r="Z16" s="697"/>
      <c r="AA16" s="697"/>
      <c r="AB16" s="697"/>
      <c r="AC16" s="697"/>
      <c r="AD16" s="698"/>
      <c r="AE16" s="320"/>
      <c r="AG16" s="702" t="s">
        <v>94</v>
      </c>
      <c r="AH16" s="702"/>
      <c r="AI16" s="702"/>
      <c r="AJ16" s="702"/>
      <c r="AK16" s="702"/>
      <c r="AL16" s="702"/>
      <c r="AM16" s="702"/>
      <c r="AN16" s="702"/>
      <c r="AO16" s="702"/>
      <c r="AP16" s="702"/>
      <c r="AQ16" s="702"/>
      <c r="AR16" s="702"/>
      <c r="AS16" s="702"/>
      <c r="AT16" s="702"/>
      <c r="AU16" s="702"/>
      <c r="AV16" s="702"/>
      <c r="AW16" s="702"/>
    </row>
    <row r="17" ht="23.25" customHeight="1">
      <c r="C17" s="693" t="s">
        <v>95</v>
      </c>
      <c r="D17" s="694"/>
      <c r="E17" s="694"/>
      <c r="F17" s="694"/>
      <c r="G17" s="694"/>
      <c r="H17" s="694"/>
      <c r="I17" s="694"/>
      <c r="J17" s="694"/>
      <c r="K17" s="694"/>
      <c r="L17" s="695"/>
      <c r="M17" s="699" t="str">
        <f>IF(AG17="","",AG17)</f>
      </c>
      <c r="N17" s="700"/>
      <c r="O17" s="700"/>
      <c r="P17" s="700"/>
      <c r="Q17" s="700"/>
      <c r="R17" s="700"/>
      <c r="S17" s="700"/>
      <c r="T17" s="700"/>
      <c r="U17" s="700"/>
      <c r="V17" s="700"/>
      <c r="W17" s="700"/>
      <c r="X17" s="700"/>
      <c r="Y17" s="700"/>
      <c r="Z17" s="700"/>
      <c r="AA17" s="700"/>
      <c r="AB17" s="700"/>
      <c r="AC17" s="700"/>
      <c r="AD17" s="701"/>
      <c r="AE17" s="320"/>
    </row>
    <row r="18" ht="31.35" customHeight="1">
      <c r="C18" s="710" t="s">
        <v>96</v>
      </c>
      <c r="D18" s="711"/>
      <c r="E18" s="711"/>
      <c r="F18" s="711"/>
      <c r="G18" s="711"/>
      <c r="H18" s="711"/>
      <c r="I18" s="711"/>
      <c r="J18" s="711"/>
      <c r="K18" s="711"/>
      <c r="L18" s="712"/>
      <c r="M18" s="713" t="str">
        <f>AG18</f>
        <v>CÔNG TY CỔ PHẦN VIỄN THÔNG DI ĐỘNG TOÀN CẦU
GTEL</v>
      </c>
      <c r="N18" s="714"/>
      <c r="O18" s="714"/>
      <c r="P18" s="714"/>
      <c r="Q18" s="714"/>
      <c r="R18" s="714"/>
      <c r="S18" s="714"/>
      <c r="T18" s="714"/>
      <c r="U18" s="714"/>
      <c r="V18" s="714"/>
      <c r="W18" s="714"/>
      <c r="X18" s="714"/>
      <c r="Y18" s="714"/>
      <c r="Z18" s="714"/>
      <c r="AA18" s="714"/>
      <c r="AB18" s="714"/>
      <c r="AC18" s="714"/>
      <c r="AD18" s="715"/>
      <c r="AE18" s="320"/>
      <c r="AG18" s="342" t="s">
        <v>97</v>
      </c>
    </row>
    <row r="19" ht="31.35" customHeight="1">
      <c r="C19" s="710" t="s">
        <v>98</v>
      </c>
      <c r="D19" s="711"/>
      <c r="E19" s="711"/>
      <c r="F19" s="711"/>
      <c r="G19" s="711"/>
      <c r="H19" s="711"/>
      <c r="I19" s="711"/>
      <c r="J19" s="711"/>
      <c r="K19" s="711"/>
      <c r="L19" s="712"/>
      <c r="M19" s="713" t="str">
        <f>AG19</f>
        <v>CÔNG TY CỔ PHẦN VIỄN THÔNG DI ĐỘNG TOÀN CẦU</v>
      </c>
      <c r="N19" s="714"/>
      <c r="O19" s="714"/>
      <c r="P19" s="714"/>
      <c r="Q19" s="714"/>
      <c r="R19" s="714"/>
      <c r="S19" s="714"/>
      <c r="T19" s="714"/>
      <c r="U19" s="714"/>
      <c r="V19" s="714"/>
      <c r="W19" s="714"/>
      <c r="X19" s="714"/>
      <c r="Y19" s="714"/>
      <c r="Z19" s="714"/>
      <c r="AA19" s="714"/>
      <c r="AB19" s="714"/>
      <c r="AC19" s="714"/>
      <c r="AD19" s="715"/>
      <c r="AE19" s="323"/>
      <c r="AG19" s="316" t="s">
        <v>99</v>
      </c>
    </row>
    <row r="20" ht="20.25" customHeight="1">
      <c r="C20" s="690" t="s">
        <v>100</v>
      </c>
      <c r="D20" s="691"/>
      <c r="E20" s="691"/>
      <c r="F20" s="691"/>
      <c r="G20" s="691"/>
      <c r="H20" s="691"/>
      <c r="I20" s="691"/>
      <c r="J20" s="691"/>
      <c r="K20" s="691"/>
      <c r="L20" s="691"/>
      <c r="M20" s="691"/>
      <c r="N20" s="691"/>
      <c r="O20" s="691"/>
      <c r="P20" s="691"/>
      <c r="Q20" s="691"/>
      <c r="R20" s="691"/>
      <c r="S20" s="691"/>
      <c r="T20" s="691"/>
      <c r="U20" s="691"/>
      <c r="V20" s="691"/>
      <c r="W20" s="691"/>
      <c r="X20" s="691"/>
      <c r="Y20" s="691"/>
      <c r="Z20" s="691"/>
      <c r="AA20" s="691"/>
      <c r="AB20" s="691"/>
      <c r="AC20" s="691"/>
      <c r="AD20" s="692"/>
      <c r="AE20" s="324"/>
    </row>
    <row r="21" ht="31.5" customHeight="1">
      <c r="C21" s="707" t="s">
        <v>101</v>
      </c>
      <c r="D21" s="707"/>
      <c r="E21" s="707"/>
      <c r="F21" s="707"/>
      <c r="G21" s="707"/>
      <c r="H21" s="707"/>
      <c r="I21" s="707"/>
      <c r="J21" s="707"/>
      <c r="K21" s="707"/>
      <c r="L21" s="707"/>
      <c r="M21" s="703" t="str">
        <f>AG21</f>
        <v>MOTOROLA HORIZON II MACRO</v>
      </c>
      <c r="N21" s="703"/>
      <c r="O21" s="703"/>
      <c r="P21" s="703"/>
      <c r="Q21" s="703"/>
      <c r="R21" s="703"/>
      <c r="S21" s="703" t="str">
        <f>AK21</f>
        <v>B</v>
      </c>
      <c r="T21" s="703"/>
      <c r="U21" s="703"/>
      <c r="V21" s="703"/>
      <c r="W21" s="703"/>
      <c r="X21" s="703"/>
      <c r="Y21" s="703" t="str">
        <f>AO21</f>
        <v>C</v>
      </c>
      <c r="Z21" s="703"/>
      <c r="AA21" s="703"/>
      <c r="AB21" s="703"/>
      <c r="AC21" s="703"/>
      <c r="AD21" s="703"/>
      <c r="AE21" s="320"/>
      <c r="AG21" s="316" t="s">
        <v>102</v>
      </c>
      <c r="AK21" s="316" t="s">
        <v>103</v>
      </c>
      <c r="AO21" s="316" t="s">
        <v>104</v>
      </c>
      <c r="AS21" s="316" t="s">
        <v>105</v>
      </c>
    </row>
    <row r="22" ht="19.7" customHeight="1">
      <c r="C22" s="704" t="s">
        <v>106</v>
      </c>
      <c r="D22" s="705"/>
      <c r="E22" s="705"/>
      <c r="F22" s="705"/>
      <c r="G22" s="705"/>
      <c r="H22" s="705"/>
      <c r="I22" s="705"/>
      <c r="J22" s="705"/>
      <c r="K22" s="705"/>
      <c r="L22" s="706"/>
      <c r="M22" s="703">
        <f>AG22</f>
        <v>3</v>
      </c>
      <c r="N22" s="703"/>
      <c r="O22" s="703"/>
      <c r="P22" s="703"/>
      <c r="Q22" s="703"/>
      <c r="R22" s="703"/>
      <c r="S22" s="703">
        <f>AK22</f>
        <v>3</v>
      </c>
      <c r="T22" s="703"/>
      <c r="U22" s="703"/>
      <c r="V22" s="703"/>
      <c r="W22" s="703"/>
      <c r="X22" s="703"/>
      <c r="Y22" s="703">
        <f>AO22</f>
        <v>3</v>
      </c>
      <c r="Z22" s="703"/>
      <c r="AA22" s="703"/>
      <c r="AB22" s="703"/>
      <c r="AC22" s="703"/>
      <c r="AD22" s="703"/>
      <c r="AE22" s="320"/>
      <c r="AG22" s="321">
        <v>3</v>
      </c>
      <c r="AH22" s="321"/>
      <c r="AI22" s="321"/>
      <c r="AJ22" s="321"/>
      <c r="AK22" s="321">
        <v>3</v>
      </c>
      <c r="AL22" s="321"/>
      <c r="AM22" s="321"/>
      <c r="AN22" s="321"/>
      <c r="AO22" s="321">
        <v>3</v>
      </c>
      <c r="AS22" s="282">
        <v>1</v>
      </c>
    </row>
    <row r="23" ht="19.7" customHeight="1">
      <c r="C23" s="707" t="s">
        <v>107</v>
      </c>
      <c r="D23" s="707"/>
      <c r="E23" s="707"/>
      <c r="F23" s="707"/>
      <c r="G23" s="707"/>
      <c r="H23" s="707"/>
      <c r="I23" s="707"/>
      <c r="J23" s="707"/>
      <c r="K23" s="707"/>
      <c r="L23" s="707"/>
      <c r="M23" s="708" t="str">
        <f>AG23</f>
        <v>4/4/4</v>
      </c>
      <c r="N23" s="708"/>
      <c r="O23" s="708"/>
      <c r="P23" s="708"/>
      <c r="Q23" s="708"/>
      <c r="R23" s="708"/>
      <c r="S23" s="708" t="str">
        <f>AK23</f>
        <v>2/2/2</v>
      </c>
      <c r="T23" s="708"/>
      <c r="U23" s="708"/>
      <c r="V23" s="708"/>
      <c r="W23" s="708"/>
      <c r="X23" s="708"/>
      <c r="Y23" s="708" t="str">
        <f>AO23</f>
        <v>5/5/5</v>
      </c>
      <c r="Z23" s="703"/>
      <c r="AA23" s="703"/>
      <c r="AB23" s="703"/>
      <c r="AC23" s="703"/>
      <c r="AD23" s="703"/>
      <c r="AE23" s="325"/>
      <c r="AG23" s="326" t="s">
        <v>108</v>
      </c>
      <c r="AH23" s="327"/>
      <c r="AI23" s="327"/>
      <c r="AJ23" s="327"/>
      <c r="AK23" s="326" t="s">
        <v>109</v>
      </c>
      <c r="AL23" s="327"/>
      <c r="AM23" s="327"/>
      <c r="AN23" s="327"/>
      <c r="AO23" s="326" t="s">
        <v>110</v>
      </c>
      <c r="AP23" s="327"/>
      <c r="AQ23" s="327"/>
      <c r="AR23" s="327"/>
      <c r="AS23" s="326" t="s">
        <v>111</v>
      </c>
    </row>
    <row r="24" ht="31.35" customHeight="1">
      <c r="C24" s="704" t="s">
        <v>112</v>
      </c>
      <c r="D24" s="705"/>
      <c r="E24" s="705"/>
      <c r="F24" s="705"/>
      <c r="G24" s="705"/>
      <c r="H24" s="705"/>
      <c r="I24" s="705"/>
      <c r="J24" s="705"/>
      <c r="K24" s="705"/>
      <c r="L24" s="706"/>
      <c r="M24" s="709" t="str">
        <f>IF(M22=4,AG24&amp;"W/ "&amp;AH24&amp;"W/ "&amp;AI24&amp;"W/ "&amp;AK24&amp;"W",IF(M22=3,AG24&amp;"W/ "&amp;AH24&amp;"W/ "&amp;AI24&amp;"W",IF(M22=2,AG24&amp;"W/ "&amp;AH24&amp;"W",AG24&amp;"W")))</f>
        <v>20W/ 20W/ 20W</v>
      </c>
      <c r="N24" s="709"/>
      <c r="O24" s="709"/>
      <c r="P24" s="709"/>
      <c r="Q24" s="709"/>
      <c r="R24" s="709"/>
      <c r="S24" s="709" t="str">
        <f>IF(S22=4,AK24&amp;"W/ "&amp;AL24&amp;"W/ "&amp;AM24&amp;"W/ "&amp;AN24&amp;"W",IF(S22=3,AK24&amp;"W/ "&amp;AL24&amp;"W/ "&amp;AM24&amp;"W",IF(S22=2,AK24&amp;"W/ "&amp;AL24&amp;"W",AK24&amp;"W")))</f>
        <v>40W/ 40W/ 40W</v>
      </c>
      <c r="T24" s="709"/>
      <c r="U24" s="709"/>
      <c r="V24" s="709"/>
      <c r="W24" s="709"/>
      <c r="X24" s="709"/>
      <c r="Y24" s="709" t="str">
        <f>IF(Y22=4,AO24&amp;"W/ "&amp;AP24&amp;"W/ "&amp;AQ24&amp;"W/ "&amp;AR24&amp;"W",IF(Y22=3,AO24&amp;"W/ "&amp;AP24&amp;"W/ "&amp;AQ24&amp;"W",IF(Y22=2,AO24&amp;"W/ "&amp;AP24&amp;"W",AO24&amp;"W")))</f>
        <v>60W/ 60W/ 60W</v>
      </c>
      <c r="Z24" s="709"/>
      <c r="AA24" s="709"/>
      <c r="AB24" s="709"/>
      <c r="AC24" s="709"/>
      <c r="AD24" s="709"/>
      <c r="AE24" s="323"/>
      <c r="AG24" s="282">
        <v>20</v>
      </c>
      <c r="AH24" s="282">
        <v>20</v>
      </c>
      <c r="AI24" s="282">
        <v>20</v>
      </c>
      <c r="AK24" s="282">
        <v>40</v>
      </c>
      <c r="AL24" s="282">
        <v>40</v>
      </c>
      <c r="AM24" s="282">
        <v>40</v>
      </c>
      <c r="AO24" s="282">
        <v>60</v>
      </c>
      <c r="AP24" s="282">
        <v>60</v>
      </c>
      <c r="AQ24" s="282">
        <v>60</v>
      </c>
      <c r="AS24" s="282">
        <v>80</v>
      </c>
      <c r="AT24" s="282">
        <v>80</v>
      </c>
      <c r="AU24" s="282">
        <v>80</v>
      </c>
    </row>
    <row r="25" ht="19.7" customHeight="1">
      <c r="C25" s="707" t="s">
        <v>113</v>
      </c>
      <c r="D25" s="707"/>
      <c r="E25" s="707"/>
      <c r="F25" s="707"/>
      <c r="G25" s="707"/>
      <c r="H25" s="707"/>
      <c r="I25" s="707"/>
      <c r="J25" s="707"/>
      <c r="K25" s="707"/>
      <c r="L25" s="707"/>
      <c r="M25" s="703" t="str">
        <f>IF(AG25="900 &amp; 1800","900MHz &amp; 1800MHz",IF(AG25="900 &amp; 2100","900MHz &amp; 2100MHz",AG25&amp;"MHz"))</f>
        <v>900MHz</v>
      </c>
      <c r="N25" s="703"/>
      <c r="O25" s="703"/>
      <c r="P25" s="703"/>
      <c r="Q25" s="703"/>
      <c r="R25" s="703"/>
      <c r="S25" s="703" t="str">
        <f>IF(AK25="900 &amp; 1800","900MHz &amp; 1800MHz",IF(AK25="900 &amp; 2100","900MHz &amp; 2100MHz",AK25&amp;"MHz"))</f>
        <v>1800MHz</v>
      </c>
      <c r="T25" s="703"/>
      <c r="U25" s="703"/>
      <c r="V25" s="703"/>
      <c r="W25" s="703"/>
      <c r="X25" s="703"/>
      <c r="Y25" s="703" t="str">
        <f>IF(AO25="900 &amp; 1800","900MHz &amp; 1800MHz",IF(AO25="900 &amp; 2100","900MHz &amp; 2100MHz",AO25&amp;"MHz"))</f>
        <v>2100MHz</v>
      </c>
      <c r="Z25" s="703"/>
      <c r="AA25" s="703"/>
      <c r="AB25" s="703"/>
      <c r="AC25" s="703"/>
      <c r="AD25" s="703"/>
      <c r="AE25" s="320"/>
      <c r="AG25" s="282">
        <v>900</v>
      </c>
      <c r="AK25" s="282">
        <v>1800</v>
      </c>
      <c r="AO25" s="282">
        <v>2100</v>
      </c>
      <c r="AS25" s="316" t="s">
        <v>114</v>
      </c>
    </row>
    <row r="26" ht="31.35" customHeight="1">
      <c r="C26" s="707" t="s">
        <v>115</v>
      </c>
      <c r="D26" s="707"/>
      <c r="E26" s="707"/>
      <c r="F26" s="707"/>
      <c r="G26" s="707"/>
      <c r="H26" s="707"/>
      <c r="I26" s="707"/>
      <c r="J26" s="707"/>
      <c r="K26" s="707"/>
      <c r="L26" s="707"/>
      <c r="M26" s="703">
        <f>AG26</f>
        <v>15</v>
      </c>
      <c r="N26" s="703"/>
      <c r="O26" s="703"/>
      <c r="P26" s="703"/>
      <c r="Q26" s="703"/>
      <c r="R26" s="703"/>
      <c r="S26" s="703">
        <f>AK26</f>
        <v>16</v>
      </c>
      <c r="T26" s="703"/>
      <c r="U26" s="703"/>
      <c r="V26" s="703"/>
      <c r="W26" s="703"/>
      <c r="X26" s="703"/>
      <c r="Y26" s="703">
        <f>AO26</f>
        <v>17</v>
      </c>
      <c r="Z26" s="703"/>
      <c r="AA26" s="703"/>
      <c r="AB26" s="703"/>
      <c r="AC26" s="703"/>
      <c r="AD26" s="703"/>
      <c r="AE26" s="323"/>
      <c r="AG26" s="282">
        <v>15</v>
      </c>
      <c r="AK26" s="282">
        <v>16</v>
      </c>
      <c r="AO26" s="282">
        <v>17</v>
      </c>
      <c r="AS26" s="282">
        <v>18</v>
      </c>
    </row>
    <row r="27" ht="25.5" customHeight="1">
      <c r="C27" s="666" t="s">
        <v>116</v>
      </c>
      <c r="D27" s="666"/>
      <c r="E27" s="666"/>
      <c r="F27" s="666"/>
      <c r="G27" s="666"/>
      <c r="H27" s="666"/>
      <c r="I27" s="666"/>
      <c r="J27" s="666"/>
      <c r="K27" s="666"/>
      <c r="L27" s="666"/>
      <c r="M27" s="666"/>
      <c r="N27" s="666"/>
      <c r="O27" s="666"/>
      <c r="P27" s="666"/>
      <c r="Q27" s="666"/>
      <c r="R27" s="666"/>
      <c r="S27" s="666"/>
      <c r="T27" s="666"/>
      <c r="U27" s="666"/>
      <c r="V27" s="666"/>
      <c r="W27" s="666"/>
      <c r="X27" s="666"/>
      <c r="Y27" s="666"/>
      <c r="Z27" s="666"/>
      <c r="AA27" s="666"/>
      <c r="AB27" s="328"/>
      <c r="AC27" s="328"/>
      <c r="AD27" s="328"/>
    </row>
    <row r="28" ht="25.5" customHeight="1">
      <c r="C28" s="677"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77"/>
      <c r="E28" s="677"/>
      <c r="F28" s="677"/>
      <c r="G28" s="677"/>
      <c r="H28" s="677"/>
      <c r="I28" s="677"/>
      <c r="J28" s="677"/>
      <c r="K28" s="677"/>
      <c r="L28" s="677"/>
      <c r="M28" s="677"/>
      <c r="N28" s="677"/>
      <c r="O28" s="677"/>
      <c r="P28" s="677"/>
      <c r="Q28" s="677"/>
      <c r="R28" s="677"/>
      <c r="S28" s="677"/>
      <c r="T28" s="677"/>
      <c r="U28" s="677"/>
      <c r="V28" s="677"/>
      <c r="W28" s="677"/>
      <c r="X28" s="677"/>
      <c r="Y28" s="677"/>
      <c r="Z28" s="677"/>
      <c r="AA28" s="677"/>
      <c r="AB28" s="677"/>
      <c r="AC28" s="677"/>
      <c r="AD28" s="677"/>
      <c r="AG28" s="282">
        <v>30</v>
      </c>
      <c r="AO28" s="282" t="s">
        <v>117</v>
      </c>
    </row>
    <row r="29" ht="25.5" customHeight="1">
      <c r="C29" s="677"/>
      <c r="D29" s="677"/>
      <c r="E29" s="677"/>
      <c r="F29" s="677"/>
      <c r="G29" s="677"/>
      <c r="H29" s="677"/>
      <c r="I29" s="677"/>
      <c r="J29" s="677"/>
      <c r="K29" s="677"/>
      <c r="L29" s="677"/>
      <c r="M29" s="677"/>
      <c r="N29" s="677"/>
      <c r="O29" s="677"/>
      <c r="P29" s="677"/>
      <c r="Q29" s="677"/>
      <c r="R29" s="677"/>
      <c r="S29" s="677"/>
      <c r="T29" s="677"/>
      <c r="U29" s="677"/>
      <c r="V29" s="677"/>
      <c r="W29" s="677"/>
      <c r="X29" s="677"/>
      <c r="Y29" s="677"/>
      <c r="Z29" s="677"/>
      <c r="AA29" s="677"/>
      <c r="AB29" s="677"/>
      <c r="AC29" s="677"/>
      <c r="AD29" s="677"/>
      <c r="AG29" s="282">
        <v>1</v>
      </c>
      <c r="AO29" s="282"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82" t="s">
        <v>118</v>
      </c>
      <c r="AQ29" s="282" t="str">
        <f>IF(AG28&gt;=0," cao hơn "," thấp hơn ")</f>
        <v> cao hơn </v>
      </c>
      <c r="AR29" s="282" t="s">
        <v>119</v>
      </c>
    </row>
    <row r="30" ht="15.75" customHeight="1">
      <c r="C30" s="667" t="str">
        <f>IF(AG31=1,AO31,IF(AG31=2,AO30))</f>
        <v>Giới hạn an toàn: là khoảng chiều cao trên cột anten tính từ điểm có độ cao 20m so với mặt đất trở lên.</v>
      </c>
      <c r="D30" s="667"/>
      <c r="E30" s="667"/>
      <c r="F30" s="667"/>
      <c r="G30" s="667"/>
      <c r="H30" s="667"/>
      <c r="I30" s="667"/>
      <c r="J30" s="667"/>
      <c r="K30" s="667"/>
      <c r="L30" s="667"/>
      <c r="M30" s="667"/>
      <c r="N30" s="667"/>
      <c r="O30" s="667"/>
      <c r="P30" s="667"/>
      <c r="Q30" s="667"/>
      <c r="R30" s="667"/>
      <c r="S30" s="667"/>
      <c r="T30" s="667"/>
      <c r="U30" s="667"/>
      <c r="V30" s="667"/>
      <c r="W30" s="667"/>
      <c r="X30" s="667"/>
      <c r="Y30" s="667"/>
      <c r="Z30" s="667"/>
      <c r="AA30" s="667"/>
      <c r="AB30" s="667"/>
      <c r="AC30" s="667"/>
      <c r="AD30" s="667"/>
      <c r="AG30" s="282">
        <v>20</v>
      </c>
      <c r="AO30" s="282" t="s">
        <v>120</v>
      </c>
    </row>
    <row r="31" ht="15.75" customHeight="1">
      <c r="C31" s="667"/>
      <c r="D31" s="667"/>
      <c r="E31" s="667"/>
      <c r="F31" s="667"/>
      <c r="G31" s="667"/>
      <c r="H31" s="667"/>
      <c r="I31" s="667"/>
      <c r="J31" s="667"/>
      <c r="K31" s="667"/>
      <c r="L31" s="667"/>
      <c r="M31" s="667"/>
      <c r="N31" s="667"/>
      <c r="O31" s="667"/>
      <c r="P31" s="667"/>
      <c r="Q31" s="667"/>
      <c r="R31" s="667"/>
      <c r="S31" s="667"/>
      <c r="T31" s="667"/>
      <c r="U31" s="667"/>
      <c r="V31" s="667"/>
      <c r="W31" s="667"/>
      <c r="X31" s="667"/>
      <c r="Y31" s="667"/>
      <c r="Z31" s="667"/>
      <c r="AA31" s="667"/>
      <c r="AB31" s="667"/>
      <c r="AC31" s="667"/>
      <c r="AD31" s="667"/>
      <c r="AG31" s="282">
        <v>1</v>
      </c>
      <c r="AO31" s="32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78" t="s">
        <v>120</v>
      </c>
      <c r="D32" s="678"/>
      <c r="E32" s="678"/>
      <c r="F32" s="678"/>
      <c r="G32" s="678"/>
      <c r="H32" s="678"/>
      <c r="I32" s="678"/>
      <c r="J32" s="678"/>
      <c r="K32" s="678"/>
      <c r="L32" s="678"/>
      <c r="M32" s="678"/>
      <c r="N32" s="678"/>
      <c r="O32" s="678"/>
      <c r="P32" s="678"/>
      <c r="Q32" s="678"/>
      <c r="R32" s="678"/>
      <c r="S32" s="678"/>
      <c r="T32" s="678"/>
      <c r="U32" s="678"/>
      <c r="V32" s="678"/>
      <c r="W32" s="678"/>
      <c r="X32" s="678"/>
      <c r="Y32" s="678"/>
      <c r="Z32" s="678"/>
      <c r="AA32" s="678"/>
      <c r="AB32" s="678"/>
      <c r="AC32" s="678"/>
      <c r="AD32" s="678"/>
    </row>
    <row r="33" ht="17.1" customHeight="1">
      <c r="C33" s="678"/>
      <c r="D33" s="678"/>
      <c r="E33" s="678"/>
      <c r="F33" s="678"/>
      <c r="G33" s="678"/>
      <c r="H33" s="678"/>
      <c r="I33" s="678"/>
      <c r="J33" s="678"/>
      <c r="K33" s="678"/>
      <c r="L33" s="678"/>
      <c r="M33" s="678"/>
      <c r="N33" s="678"/>
      <c r="O33" s="678"/>
      <c r="P33" s="678"/>
      <c r="Q33" s="678"/>
      <c r="R33" s="678"/>
      <c r="S33" s="678"/>
      <c r="T33" s="678"/>
      <c r="U33" s="678"/>
      <c r="V33" s="678"/>
      <c r="W33" s="678"/>
      <c r="X33" s="678"/>
      <c r="Y33" s="678"/>
      <c r="Z33" s="678"/>
      <c r="AA33" s="678"/>
      <c r="AB33" s="678"/>
      <c r="AC33" s="678"/>
      <c r="AD33" s="678"/>
      <c r="AE33" s="330"/>
    </row>
    <row r="34" ht="17.1" customHeight="1">
      <c r="C34" s="644"/>
      <c r="D34" s="644"/>
      <c r="E34" s="644"/>
      <c r="F34" s="644"/>
      <c r="G34" s="644"/>
      <c r="H34" s="328"/>
      <c r="I34" s="645"/>
      <c r="J34" s="645"/>
      <c r="K34" s="645"/>
      <c r="L34" s="645"/>
      <c r="M34" s="645"/>
      <c r="N34" s="645"/>
      <c r="O34" s="328"/>
      <c r="P34" s="302"/>
      <c r="Q34" s="302"/>
      <c r="R34" s="302"/>
      <c r="S34" s="302"/>
      <c r="T34" s="639" t="str">
        <f>IF(AI41=0,AO34,IF(AI41=1,AK34,AS34))</f>
        <v>KT. GIÁM ĐỐC</v>
      </c>
      <c r="U34" s="639"/>
      <c r="V34" s="639"/>
      <c r="W34" s="639"/>
      <c r="X34" s="639"/>
      <c r="Y34" s="639"/>
      <c r="Z34" s="639"/>
      <c r="AA34" s="639"/>
      <c r="AB34" s="639"/>
      <c r="AC34" s="639"/>
      <c r="AD34" s="639"/>
      <c r="AE34" s="639"/>
      <c r="AK34" s="282" t="s">
        <v>121</v>
      </c>
      <c r="AO34" s="282" t="s">
        <v>122</v>
      </c>
      <c r="AS34" s="282" t="s">
        <v>123</v>
      </c>
    </row>
    <row r="35" ht="17.1" customHeight="1">
      <c r="C35" s="640" t="s">
        <v>124</v>
      </c>
      <c r="D35" s="640"/>
      <c r="E35" s="640"/>
      <c r="F35" s="640"/>
      <c r="G35" s="640"/>
      <c r="H35" s="343" t="s">
        <v>125</v>
      </c>
      <c r="I35" s="642" t="s">
        <v>126</v>
      </c>
      <c r="J35" s="642"/>
      <c r="K35" s="642"/>
      <c r="L35" s="642"/>
      <c r="M35" s="642"/>
      <c r="N35" s="642"/>
      <c r="O35" s="332"/>
      <c r="P35" s="332"/>
      <c r="Q35" s="328"/>
      <c r="R35" s="328"/>
      <c r="S35" s="328"/>
      <c r="T35" s="639" t="str">
        <f>IF(AI41=0,AO35,IF(AI41=1,"",AS35))</f>
        <v>PHÓ GIÁM ĐỐC</v>
      </c>
      <c r="U35" s="639"/>
      <c r="V35" s="639"/>
      <c r="W35" s="639"/>
      <c r="X35" s="639"/>
      <c r="Y35" s="639"/>
      <c r="Z35" s="639"/>
      <c r="AA35" s="639"/>
      <c r="AB35" s="639"/>
      <c r="AC35" s="639"/>
      <c r="AD35" s="639"/>
      <c r="AE35" s="639"/>
      <c r="AO35" s="282" t="s">
        <v>127</v>
      </c>
      <c r="AS35" s="282" t="s">
        <v>128</v>
      </c>
    </row>
    <row r="36" ht="17.1" customHeight="1">
      <c r="C36" s="640" t="s">
        <v>129</v>
      </c>
      <c r="D36" s="640"/>
      <c r="E36" s="640"/>
      <c r="F36" s="640"/>
      <c r="G36" s="640"/>
      <c r="H36" s="331" t="s">
        <v>125</v>
      </c>
      <c r="I36" s="641">
        <f>AG36</f>
        <v>40806</v>
      </c>
      <c r="J36" s="642"/>
      <c r="K36" s="642"/>
      <c r="L36" s="642"/>
      <c r="M36" s="642"/>
      <c r="N36" s="333"/>
      <c r="O36" s="333"/>
      <c r="P36" s="333"/>
      <c r="Q36" s="328"/>
      <c r="R36" s="328"/>
      <c r="S36" s="328"/>
      <c r="T36" s="328"/>
      <c r="U36" s="328"/>
      <c r="V36" s="328"/>
      <c r="W36" s="328"/>
      <c r="X36" s="328"/>
      <c r="Y36" s="328"/>
      <c r="Z36" s="328"/>
      <c r="AA36" s="328"/>
      <c r="AB36" s="328"/>
      <c r="AC36" s="328"/>
      <c r="AD36" s="328"/>
      <c r="AG36" s="334">
        <v>40806</v>
      </c>
    </row>
    <row r="37" ht="17.1" customHeight="1">
      <c r="C37" s="640" t="s">
        <v>130</v>
      </c>
      <c r="D37" s="640"/>
      <c r="E37" s="640"/>
      <c r="F37" s="640"/>
      <c r="G37" s="640"/>
      <c r="H37" s="331" t="s">
        <v>125</v>
      </c>
      <c r="I37" s="641">
        <f>AG37</f>
        <v>42633</v>
      </c>
      <c r="J37" s="642"/>
      <c r="K37" s="642"/>
      <c r="L37" s="642"/>
      <c r="M37" s="642"/>
      <c r="N37" s="333"/>
      <c r="O37" s="333"/>
      <c r="P37" s="333"/>
      <c r="Q37" s="328"/>
      <c r="R37" s="328"/>
      <c r="S37" s="328"/>
      <c r="T37" s="328"/>
      <c r="U37" s="328"/>
      <c r="V37" s="328"/>
      <c r="W37" s="328"/>
      <c r="X37" s="328"/>
      <c r="Y37" s="328"/>
      <c r="Z37" s="328"/>
      <c r="AA37" s="328"/>
      <c r="AB37" s="328"/>
      <c r="AC37" s="328"/>
      <c r="AD37" s="328"/>
      <c r="AG37" s="334">
        <v>42633</v>
      </c>
    </row>
    <row r="38" ht="19.5" customHeight="1">
      <c r="C38" s="335"/>
      <c r="D38" s="335"/>
      <c r="E38" s="335"/>
      <c r="F38" s="312"/>
      <c r="G38" s="305"/>
      <c r="H38" s="305"/>
      <c r="I38" s="305"/>
      <c r="J38" s="305"/>
      <c r="K38" s="305"/>
      <c r="L38" s="305"/>
      <c r="M38" s="305"/>
      <c r="N38" s="305"/>
      <c r="O38" s="305"/>
      <c r="P38" s="305"/>
      <c r="Q38" s="305"/>
      <c r="R38" s="305"/>
      <c r="S38" s="305"/>
      <c r="T38" s="305"/>
      <c r="U38" s="305"/>
      <c r="V38" s="305"/>
      <c r="W38" s="305"/>
      <c r="X38" s="305"/>
      <c r="Y38" s="305"/>
      <c r="Z38" s="305"/>
      <c r="AA38" s="305"/>
      <c r="AB38" s="328"/>
      <c r="AC38" s="328"/>
      <c r="AD38" s="328"/>
    </row>
    <row r="39" ht="17.1" customHeight="1">
      <c r="C39" s="335"/>
      <c r="D39" s="335"/>
      <c r="E39" s="335"/>
      <c r="F39" s="312"/>
      <c r="G39" s="305"/>
      <c r="H39" s="305"/>
      <c r="I39" s="305"/>
      <c r="J39" s="305"/>
      <c r="K39" s="305"/>
      <c r="L39" s="305"/>
      <c r="M39" s="305"/>
      <c r="N39" s="305"/>
      <c r="O39" s="305"/>
      <c r="P39" s="305"/>
      <c r="Q39" s="305"/>
      <c r="R39" s="305"/>
      <c r="S39" s="305"/>
      <c r="T39" s="643"/>
      <c r="U39" s="643"/>
      <c r="V39" s="643"/>
      <c r="W39" s="643"/>
      <c r="X39" s="643"/>
      <c r="Y39" s="643"/>
      <c r="Z39" s="643"/>
      <c r="AA39" s="643"/>
      <c r="AB39" s="643"/>
      <c r="AC39" s="643"/>
      <c r="AD39" s="643"/>
      <c r="AE39" s="643"/>
      <c r="AI39" s="282">
        <v>0</v>
      </c>
    </row>
    <row r="40" ht="17.1" customHeight="1">
      <c r="C40" s="335"/>
      <c r="D40" s="335"/>
      <c r="E40" s="335"/>
      <c r="F40" s="312"/>
      <c r="G40" s="305"/>
      <c r="H40" s="305"/>
      <c r="I40" s="305"/>
      <c r="J40" s="305"/>
      <c r="K40" s="305"/>
      <c r="L40" s="305"/>
      <c r="M40" s="305"/>
      <c r="N40" s="305"/>
      <c r="O40" s="305"/>
      <c r="P40" s="302"/>
      <c r="Q40" s="302"/>
      <c r="R40" s="302"/>
      <c r="S40" s="302"/>
      <c r="T40" s="638"/>
      <c r="U40" s="638"/>
      <c r="V40" s="638"/>
      <c r="W40" s="638"/>
      <c r="X40" s="638"/>
      <c r="Y40" s="638"/>
      <c r="Z40" s="638"/>
      <c r="AA40" s="638"/>
      <c r="AB40" s="638"/>
      <c r="AC40" s="638"/>
      <c r="AD40" s="638"/>
      <c r="AE40" s="638"/>
    </row>
    <row r="41" ht="17.1" customHeight="1">
      <c r="C41" s="335"/>
      <c r="D41" s="335"/>
      <c r="E41" s="335"/>
      <c r="F41" s="312"/>
      <c r="G41" s="305"/>
      <c r="H41" s="305"/>
      <c r="I41" s="305"/>
      <c r="J41" s="305"/>
      <c r="K41" s="305"/>
      <c r="L41" s="305"/>
      <c r="M41" s="305"/>
      <c r="N41" s="305"/>
      <c r="O41" s="305"/>
      <c r="P41" s="305"/>
      <c r="Q41" s="305"/>
      <c r="R41" s="305"/>
      <c r="S41" s="305"/>
      <c r="T41" s="638" t="str">
        <f>IF(AI41=0,AO41,IF(AI41=1,AK41,AT41))</f>
        <v>Trần Công Khanh</v>
      </c>
      <c r="U41" s="638"/>
      <c r="V41" s="638"/>
      <c r="W41" s="638"/>
      <c r="X41" s="638"/>
      <c r="Y41" s="638"/>
      <c r="Z41" s="638"/>
      <c r="AA41" s="638"/>
      <c r="AB41" s="638"/>
      <c r="AC41" s="638"/>
      <c r="AD41" s="638"/>
      <c r="AE41" s="638"/>
      <c r="AI41" s="282">
        <v>0</v>
      </c>
      <c r="AK41" s="282" t="s">
        <v>131</v>
      </c>
      <c r="AO41" s="282" t="s">
        <v>132</v>
      </c>
      <c r="AT41" s="282" t="s">
        <v>133</v>
      </c>
    </row>
    <row r="42" ht="16.5">
      <c r="C42" s="307"/>
      <c r="D42" s="307"/>
      <c r="E42" s="307"/>
      <c r="F42" s="307"/>
      <c r="G42" s="307"/>
      <c r="H42" s="307"/>
      <c r="I42" s="307"/>
      <c r="J42" s="307"/>
      <c r="K42" s="307"/>
      <c r="L42" s="307"/>
      <c r="M42" s="307"/>
      <c r="N42" s="307"/>
      <c r="O42" s="307"/>
      <c r="P42" s="307"/>
      <c r="Q42" s="307"/>
      <c r="R42" s="307"/>
      <c r="S42" s="307"/>
      <c r="T42" s="307"/>
      <c r="U42" s="307"/>
      <c r="V42" s="307"/>
      <c r="W42" s="307"/>
      <c r="X42" s="307"/>
      <c r="Y42" s="307"/>
      <c r="Z42" s="307"/>
      <c r="AA42" s="307"/>
      <c r="AB42" s="336"/>
      <c r="AC42" s="336"/>
      <c r="AD42" s="336"/>
    </row>
    <row r="43" ht="16.5" customHeight="1">
      <c r="B43" s="680" t="s">
        <v>134</v>
      </c>
      <c r="C43" s="680"/>
      <c r="D43" s="680"/>
      <c r="E43" s="680"/>
      <c r="F43" s="680"/>
      <c r="G43" s="680"/>
      <c r="H43" s="681" t="s">
        <v>100</v>
      </c>
      <c r="I43" s="681"/>
      <c r="J43" s="681"/>
      <c r="K43" s="681"/>
      <c r="L43" s="681"/>
      <c r="M43" s="681"/>
      <c r="N43" s="681"/>
      <c r="O43" s="681"/>
      <c r="P43" s="681"/>
      <c r="Q43" s="681"/>
      <c r="R43" s="681"/>
      <c r="S43" s="681"/>
      <c r="T43" s="681"/>
      <c r="U43" s="681"/>
      <c r="V43" s="681"/>
      <c r="W43" s="681"/>
      <c r="X43" s="681"/>
      <c r="Y43" s="681"/>
      <c r="Z43" s="681"/>
      <c r="AA43" s="681"/>
      <c r="AB43" s="681"/>
      <c r="AC43" s="681"/>
      <c r="AD43" s="681"/>
    </row>
    <row r="44" ht="16.5" customHeight="1">
      <c r="B44" s="680"/>
      <c r="C44" s="680"/>
      <c r="D44" s="680"/>
      <c r="E44" s="680"/>
      <c r="F44" s="680"/>
      <c r="G44" s="680"/>
      <c r="H44" s="681"/>
      <c r="I44" s="681"/>
      <c r="J44" s="681"/>
      <c r="K44" s="681"/>
      <c r="L44" s="681"/>
      <c r="M44" s="681"/>
      <c r="N44" s="681"/>
      <c r="O44" s="681"/>
      <c r="P44" s="681"/>
      <c r="Q44" s="681"/>
      <c r="R44" s="681"/>
      <c r="S44" s="681"/>
      <c r="T44" s="681"/>
      <c r="U44" s="681"/>
      <c r="V44" s="681"/>
      <c r="W44" s="681"/>
      <c r="X44" s="681"/>
      <c r="Y44" s="681"/>
      <c r="Z44" s="681"/>
      <c r="AA44" s="681"/>
      <c r="AB44" s="681"/>
      <c r="AC44" s="681"/>
      <c r="AD44" s="681"/>
    </row>
    <row r="45" ht="16.5" customHeight="1">
      <c r="B45" s="680"/>
      <c r="C45" s="680"/>
      <c r="D45" s="680"/>
      <c r="E45" s="680"/>
      <c r="F45" s="680"/>
      <c r="G45" s="680"/>
      <c r="H45" s="635" t="s">
        <v>135</v>
      </c>
      <c r="I45" s="635"/>
      <c r="J45" s="635"/>
      <c r="K45" s="635"/>
      <c r="L45" s="635" t="s">
        <v>136</v>
      </c>
      <c r="M45" s="635"/>
      <c r="N45" s="635" t="s">
        <v>137</v>
      </c>
      <c r="O45" s="635"/>
      <c r="P45" s="635"/>
      <c r="Q45" s="635" t="s">
        <v>138</v>
      </c>
      <c r="R45" s="635"/>
      <c r="S45" s="635"/>
      <c r="T45" s="635"/>
      <c r="U45" s="635"/>
      <c r="V45" s="635" t="s">
        <v>139</v>
      </c>
      <c r="W45" s="635"/>
      <c r="X45" s="635"/>
      <c r="Y45" s="635" t="s">
        <v>140</v>
      </c>
      <c r="Z45" s="635"/>
      <c r="AA45" s="635"/>
      <c r="AB45" s="635"/>
      <c r="AC45" s="635"/>
      <c r="AD45" s="635"/>
    </row>
    <row r="46" ht="16.5" customHeight="1">
      <c r="B46" s="680"/>
      <c r="C46" s="680"/>
      <c r="D46" s="680"/>
      <c r="E46" s="680"/>
      <c r="F46" s="680"/>
      <c r="G46" s="680"/>
      <c r="H46" s="635"/>
      <c r="I46" s="635"/>
      <c r="J46" s="635"/>
      <c r="K46" s="635"/>
      <c r="L46" s="635"/>
      <c r="M46" s="635"/>
      <c r="N46" s="635"/>
      <c r="O46" s="635"/>
      <c r="P46" s="635"/>
      <c r="Q46" s="635"/>
      <c r="R46" s="635"/>
      <c r="S46" s="635"/>
      <c r="T46" s="635"/>
      <c r="U46" s="635"/>
      <c r="V46" s="635"/>
      <c r="W46" s="635"/>
      <c r="X46" s="635"/>
      <c r="Y46" s="635"/>
      <c r="Z46" s="635"/>
      <c r="AA46" s="635"/>
      <c r="AB46" s="635"/>
      <c r="AC46" s="635"/>
      <c r="AD46" s="635"/>
    </row>
    <row r="47" ht="16.5" customHeight="1">
      <c r="B47" s="680"/>
      <c r="C47" s="680"/>
      <c r="D47" s="680"/>
      <c r="E47" s="680"/>
      <c r="F47" s="680"/>
      <c r="G47" s="680"/>
      <c r="H47" s="635"/>
      <c r="I47" s="635"/>
      <c r="J47" s="635"/>
      <c r="K47" s="635"/>
      <c r="L47" s="635"/>
      <c r="M47" s="635"/>
      <c r="N47" s="635"/>
      <c r="O47" s="635"/>
      <c r="P47" s="635"/>
      <c r="Q47" s="635"/>
      <c r="R47" s="635"/>
      <c r="S47" s="635"/>
      <c r="T47" s="635"/>
      <c r="U47" s="635"/>
      <c r="V47" s="635"/>
      <c r="W47" s="635"/>
      <c r="X47" s="635"/>
      <c r="Y47" s="635"/>
      <c r="Z47" s="635"/>
      <c r="AA47" s="635"/>
      <c r="AB47" s="635"/>
      <c r="AC47" s="635"/>
      <c r="AD47" s="635"/>
    </row>
    <row r="48" ht="16.5" customHeight="1">
      <c r="B48" s="680"/>
      <c r="C48" s="680"/>
      <c r="D48" s="680"/>
      <c r="E48" s="680"/>
      <c r="F48" s="680"/>
      <c r="G48" s="680"/>
      <c r="H48" s="635"/>
      <c r="I48" s="635"/>
      <c r="J48" s="635"/>
      <c r="K48" s="635"/>
      <c r="L48" s="635"/>
      <c r="M48" s="635"/>
      <c r="N48" s="635"/>
      <c r="O48" s="635"/>
      <c r="P48" s="635"/>
      <c r="Q48" s="635"/>
      <c r="R48" s="635"/>
      <c r="S48" s="635"/>
      <c r="T48" s="635"/>
      <c r="U48" s="635"/>
      <c r="V48" s="635"/>
      <c r="W48" s="635"/>
      <c r="X48" s="635"/>
      <c r="Y48" s="635"/>
      <c r="Z48" s="635"/>
      <c r="AA48" s="635"/>
      <c r="AB48" s="635"/>
      <c r="AC48" s="635"/>
      <c r="AD48" s="635"/>
      <c r="AG48" s="282">
        <v>33</v>
      </c>
      <c r="AI48" s="282">
        <v>35</v>
      </c>
      <c r="AL48" s="282">
        <v>37</v>
      </c>
      <c r="AO48" s="282">
        <v>39</v>
      </c>
      <c r="AP48" s="282">
        <v>40</v>
      </c>
      <c r="AQ48" s="282">
        <v>41</v>
      </c>
      <c r="AS48" s="282">
        <v>42</v>
      </c>
      <c r="AT48" s="282">
        <v>43</v>
      </c>
      <c r="AU48" s="282">
        <v>44</v>
      </c>
      <c r="AV48" s="282">
        <v>45</v>
      </c>
    </row>
    <row r="49" ht="18.75" customHeight="1">
      <c r="B49" s="635" t="str">
        <f>AG49</f>
        <v>CÔNG TY CỔ PHẦN VIỄN THÔNG DI ĐỘNG TOÀN CẦU</v>
      </c>
      <c r="C49" s="635"/>
      <c r="D49" s="635"/>
      <c r="E49" s="635"/>
      <c r="F49" s="635"/>
      <c r="G49" s="635"/>
      <c r="H49" s="636" t="str">
        <f>AI49</f>
        <v>TB1</v>
      </c>
      <c r="I49" s="636"/>
      <c r="J49" s="636"/>
      <c r="K49" s="636"/>
      <c r="L49" s="637">
        <v>3</v>
      </c>
      <c r="M49" s="637"/>
      <c r="N49" s="679" t="str">
        <f>AL49</f>
        <v>4/4/4</v>
      </c>
      <c r="O49" s="679"/>
      <c r="P49" s="679"/>
      <c r="Q49" s="635" t="str">
        <f>IF(L49=3,AO49&amp;"W/ "&amp;AP49&amp;"W/ "&amp;AQ49&amp;"W",IF(L49=2,AO49&amp;"W/ "&amp;AP49&amp;"W",AO49&amp;"W"))</f>
        <v>20W/ 30W/ 40W</v>
      </c>
      <c r="R49" s="635"/>
      <c r="S49" s="635"/>
      <c r="T49" s="635"/>
      <c r="U49" s="635"/>
      <c r="V49" s="635" t="str">
        <f>IF(AS49="900 &amp; 1800","900MHz &amp; 1800MHz",IF(AS49="900 &amp; 2100","900MHz &amp; 2100MHz",IF(AS49="1800 &amp; 2100","1800MHz &amp; 2100MHz",AS49&amp;"MHz")))</f>
        <v>900MHz</v>
      </c>
      <c r="W49" s="635"/>
      <c r="X49" s="635"/>
      <c r="Y49" s="635">
        <f>AT49</f>
        <v>15</v>
      </c>
      <c r="Z49" s="635"/>
      <c r="AA49" s="635"/>
      <c r="AB49" s="635"/>
      <c r="AC49" s="635"/>
      <c r="AD49" s="635"/>
      <c r="AG49" s="316" t="s">
        <v>99</v>
      </c>
      <c r="AI49" s="316" t="s">
        <v>141</v>
      </c>
      <c r="AJ49" s="316"/>
      <c r="AL49" s="326" t="s">
        <v>108</v>
      </c>
      <c r="AO49" s="282">
        <v>20</v>
      </c>
      <c r="AP49" s="282">
        <v>30</v>
      </c>
      <c r="AQ49" s="282">
        <v>40</v>
      </c>
      <c r="AS49" s="282">
        <v>900</v>
      </c>
      <c r="AT49" s="282">
        <v>15</v>
      </c>
      <c r="AU49" s="282">
        <v>16</v>
      </c>
      <c r="AV49" s="282">
        <v>17</v>
      </c>
    </row>
    <row r="50" ht="18.75" customHeight="1">
      <c r="B50" s="635"/>
      <c r="C50" s="635"/>
      <c r="D50" s="635"/>
      <c r="E50" s="635"/>
      <c r="F50" s="635"/>
      <c r="G50" s="635"/>
      <c r="H50" s="636"/>
      <c r="I50" s="636"/>
      <c r="J50" s="636"/>
      <c r="K50" s="636"/>
      <c r="L50" s="637"/>
      <c r="M50" s="637"/>
      <c r="N50" s="679"/>
      <c r="O50" s="679"/>
      <c r="P50" s="679"/>
      <c r="Q50" s="635"/>
      <c r="R50" s="635"/>
      <c r="S50" s="635"/>
      <c r="T50" s="635"/>
      <c r="U50" s="635"/>
      <c r="V50" s="635"/>
      <c r="W50" s="635"/>
      <c r="X50" s="635"/>
      <c r="Y50" s="635"/>
      <c r="Z50" s="635"/>
      <c r="AA50" s="635"/>
      <c r="AB50" s="635"/>
      <c r="AC50" s="635"/>
      <c r="AD50" s="635"/>
    </row>
    <row r="51" ht="18.75" customHeight="1">
      <c r="B51" s="635"/>
      <c r="C51" s="635"/>
      <c r="D51" s="635"/>
      <c r="E51" s="635"/>
      <c r="F51" s="635"/>
      <c r="G51" s="635"/>
      <c r="H51" s="636"/>
      <c r="I51" s="636"/>
      <c r="J51" s="636"/>
      <c r="K51" s="636"/>
      <c r="L51" s="637"/>
      <c r="M51" s="637"/>
      <c r="N51" s="679"/>
      <c r="O51" s="679"/>
      <c r="P51" s="679"/>
      <c r="Q51" s="635"/>
      <c r="R51" s="635"/>
      <c r="S51" s="635"/>
      <c r="T51" s="635"/>
      <c r="U51" s="635"/>
      <c r="V51" s="635"/>
      <c r="W51" s="635"/>
      <c r="X51" s="635"/>
      <c r="Y51" s="635"/>
      <c r="Z51" s="635"/>
      <c r="AA51" s="635"/>
      <c r="AB51" s="635"/>
      <c r="AC51" s="635"/>
      <c r="AD51" s="635"/>
    </row>
    <row r="52" ht="18.75" customHeight="1">
      <c r="B52" s="635"/>
      <c r="C52" s="635"/>
      <c r="D52" s="635"/>
      <c r="E52" s="635"/>
      <c r="F52" s="635"/>
      <c r="G52" s="635"/>
      <c r="H52" s="636"/>
      <c r="I52" s="636"/>
      <c r="J52" s="636"/>
      <c r="K52" s="636"/>
      <c r="L52" s="637"/>
      <c r="M52" s="637"/>
      <c r="N52" s="679"/>
      <c r="O52" s="679"/>
      <c r="P52" s="679"/>
      <c r="Q52" s="635"/>
      <c r="R52" s="635"/>
      <c r="S52" s="635"/>
      <c r="T52" s="635"/>
      <c r="U52" s="635"/>
      <c r="V52" s="635"/>
      <c r="W52" s="635"/>
      <c r="X52" s="635"/>
      <c r="Y52" s="635"/>
      <c r="Z52" s="635"/>
      <c r="AA52" s="635"/>
      <c r="AB52" s="635"/>
      <c r="AC52" s="635"/>
      <c r="AD52" s="635"/>
    </row>
    <row r="53" ht="18.75" customHeight="1">
      <c r="B53" s="635" t="str">
        <f>AG53</f>
        <v>CÔNG TY CỔ PHẦN VIỄN THÔNG DI ĐỘNG TOÀN CẦU</v>
      </c>
      <c r="C53" s="635"/>
      <c r="D53" s="635"/>
      <c r="E53" s="635"/>
      <c r="F53" s="635"/>
      <c r="G53" s="635"/>
      <c r="H53" s="636" t="str">
        <f>AI53</f>
        <v>TB1</v>
      </c>
      <c r="I53" s="636"/>
      <c r="J53" s="636"/>
      <c r="K53" s="636"/>
      <c r="L53" s="637">
        <v>2</v>
      </c>
      <c r="M53" s="637"/>
      <c r="N53" s="679" t="str">
        <f>AL53</f>
        <v>4/4/4</v>
      </c>
      <c r="O53" s="679"/>
      <c r="P53" s="679"/>
      <c r="Q53" s="635" t="str">
        <f>IF(L53=3,AO53&amp;"W/ "&amp;AP53&amp;"W/ "&amp;AQ53&amp;"W",IF(L53=2,AO53&amp;"W/ "&amp;AP53&amp;"W",AO53&amp;"W"))</f>
        <v>20W/ 30W</v>
      </c>
      <c r="R53" s="635"/>
      <c r="S53" s="635"/>
      <c r="T53" s="635"/>
      <c r="U53" s="635"/>
      <c r="V53" s="635" t="str">
        <f>IF(AS53="900 &amp; 1800","900MHz &amp; 1800MHz",IF(AS53="900 &amp; 2100","900MHz &amp; 2100MHz",IF(AS53="1800 &amp; 2100","1800MHz &amp; 2100MHz",AS53&amp;"MHz")))</f>
        <v>1800MHz</v>
      </c>
      <c r="W53" s="635"/>
      <c r="X53" s="635"/>
      <c r="Y53" s="635">
        <f>AT53</f>
        <v>15</v>
      </c>
      <c r="Z53" s="635"/>
      <c r="AA53" s="635"/>
      <c r="AB53" s="635"/>
      <c r="AC53" s="635"/>
      <c r="AD53" s="635"/>
      <c r="AG53" s="316" t="s">
        <v>99</v>
      </c>
      <c r="AI53" s="316" t="s">
        <v>141</v>
      </c>
      <c r="AJ53" s="316"/>
      <c r="AL53" s="326" t="s">
        <v>108</v>
      </c>
      <c r="AO53" s="282">
        <v>20</v>
      </c>
      <c r="AP53" s="282">
        <v>30</v>
      </c>
      <c r="AQ53" s="282">
        <v>40</v>
      </c>
      <c r="AS53" s="282">
        <v>1800</v>
      </c>
      <c r="AT53" s="282">
        <v>15</v>
      </c>
      <c r="AU53" s="282">
        <v>16</v>
      </c>
      <c r="AV53" s="282">
        <v>17</v>
      </c>
    </row>
    <row r="54" ht="18.75" customHeight="1">
      <c r="B54" s="635"/>
      <c r="C54" s="635"/>
      <c r="D54" s="635"/>
      <c r="E54" s="635"/>
      <c r="F54" s="635"/>
      <c r="G54" s="635"/>
      <c r="H54" s="636"/>
      <c r="I54" s="636"/>
      <c r="J54" s="636"/>
      <c r="K54" s="636"/>
      <c r="L54" s="637"/>
      <c r="M54" s="637"/>
      <c r="N54" s="679"/>
      <c r="O54" s="679"/>
      <c r="P54" s="679"/>
      <c r="Q54" s="635"/>
      <c r="R54" s="635"/>
      <c r="S54" s="635"/>
      <c r="T54" s="635"/>
      <c r="U54" s="635"/>
      <c r="V54" s="635"/>
      <c r="W54" s="635"/>
      <c r="X54" s="635"/>
      <c r="Y54" s="635"/>
      <c r="Z54" s="635"/>
      <c r="AA54" s="635"/>
      <c r="AB54" s="635"/>
      <c r="AC54" s="635"/>
      <c r="AD54" s="635"/>
      <c r="AG54" s="316"/>
      <c r="AI54" s="316"/>
      <c r="AJ54" s="316"/>
      <c r="AL54" s="326"/>
    </row>
    <row r="55" ht="18.75" customHeight="1">
      <c r="B55" s="635"/>
      <c r="C55" s="635"/>
      <c r="D55" s="635"/>
      <c r="E55" s="635"/>
      <c r="F55" s="635"/>
      <c r="G55" s="635"/>
      <c r="H55" s="636"/>
      <c r="I55" s="636"/>
      <c r="J55" s="636"/>
      <c r="K55" s="636"/>
      <c r="L55" s="637"/>
      <c r="M55" s="637"/>
      <c r="N55" s="679"/>
      <c r="O55" s="679"/>
      <c r="P55" s="679"/>
      <c r="Q55" s="635"/>
      <c r="R55" s="635"/>
      <c r="S55" s="635"/>
      <c r="T55" s="635"/>
      <c r="U55" s="635"/>
      <c r="V55" s="635"/>
      <c r="W55" s="635"/>
      <c r="X55" s="635"/>
      <c r="Y55" s="635"/>
      <c r="Z55" s="635"/>
      <c r="AA55" s="635"/>
      <c r="AB55" s="635"/>
      <c r="AC55" s="635"/>
      <c r="AD55" s="635"/>
    </row>
    <row r="56" ht="18.75" customHeight="1">
      <c r="B56" s="635"/>
      <c r="C56" s="635"/>
      <c r="D56" s="635"/>
      <c r="E56" s="635"/>
      <c r="F56" s="635"/>
      <c r="G56" s="635"/>
      <c r="H56" s="636"/>
      <c r="I56" s="636"/>
      <c r="J56" s="636"/>
      <c r="K56" s="636"/>
      <c r="L56" s="637"/>
      <c r="M56" s="637"/>
      <c r="N56" s="679"/>
      <c r="O56" s="679"/>
      <c r="P56" s="679"/>
      <c r="Q56" s="635"/>
      <c r="R56" s="635"/>
      <c r="S56" s="635"/>
      <c r="T56" s="635"/>
      <c r="U56" s="635"/>
      <c r="V56" s="635"/>
      <c r="W56" s="635"/>
      <c r="X56" s="635"/>
      <c r="Y56" s="635"/>
      <c r="Z56" s="635"/>
      <c r="AA56" s="635"/>
      <c r="AB56" s="635"/>
      <c r="AC56" s="635"/>
      <c r="AD56" s="635"/>
    </row>
    <row r="57" ht="18.75" customHeight="1">
      <c r="B57" s="635" t="str">
        <f>AG57</f>
        <v>CÔNG TY CỔ PHẦN VIỄN THÔNG DI ĐỘNG TOÀN CẦU</v>
      </c>
      <c r="C57" s="635"/>
      <c r="D57" s="635"/>
      <c r="E57" s="635"/>
      <c r="F57" s="635"/>
      <c r="G57" s="635"/>
      <c r="H57" s="636" t="str">
        <f>AI57</f>
        <v>TB1</v>
      </c>
      <c r="I57" s="636"/>
      <c r="J57" s="636"/>
      <c r="K57" s="636"/>
      <c r="L57" s="637">
        <v>2</v>
      </c>
      <c r="M57" s="637"/>
      <c r="N57" s="679" t="str">
        <f>AL57</f>
        <v>4/4/4</v>
      </c>
      <c r="O57" s="679"/>
      <c r="P57" s="679"/>
      <c r="Q57" s="635" t="str">
        <f>IF(L57=3,AO57&amp;"W/ "&amp;AP57&amp;"W/ "&amp;AQ57&amp;"W",IF(L57=2,AO57&amp;"W/ "&amp;AP57&amp;"W",AO57&amp;"W"))</f>
        <v>20W/ 30W</v>
      </c>
      <c r="R57" s="635"/>
      <c r="S57" s="635"/>
      <c r="T57" s="635"/>
      <c r="U57" s="635"/>
      <c r="V57" s="635" t="str">
        <f>IF(AS57="900 &amp; 1800","900MHz &amp; 1800MHz",IF(AS57="900 &amp; 2100","900MHz &amp; 2100MHz",IF(AS57="1800 &amp; 2100","1800MHz &amp; 2100MHz",AS57&amp;"MHz")))</f>
        <v>9000 &amp; 1800MHz</v>
      </c>
      <c r="W57" s="635"/>
      <c r="X57" s="635"/>
      <c r="Y57" s="635">
        <f>AT57</f>
        <v>15</v>
      </c>
      <c r="Z57" s="635"/>
      <c r="AA57" s="635"/>
      <c r="AB57" s="635"/>
      <c r="AC57" s="635"/>
      <c r="AD57" s="635"/>
      <c r="AG57" s="316" t="s">
        <v>99</v>
      </c>
      <c r="AI57" s="316" t="s">
        <v>141</v>
      </c>
      <c r="AJ57" s="316"/>
      <c r="AL57" s="326" t="s">
        <v>108</v>
      </c>
      <c r="AO57" s="282">
        <v>20</v>
      </c>
      <c r="AP57" s="282">
        <v>30</v>
      </c>
      <c r="AQ57" s="282">
        <v>40</v>
      </c>
      <c r="AS57" s="282" t="s">
        <v>142</v>
      </c>
      <c r="AT57" s="282">
        <v>15</v>
      </c>
      <c r="AU57" s="282">
        <v>16</v>
      </c>
      <c r="AV57" s="282">
        <v>17</v>
      </c>
    </row>
    <row r="58" ht="18.75" customHeight="1">
      <c r="B58" s="635"/>
      <c r="C58" s="635"/>
      <c r="D58" s="635"/>
      <c r="E58" s="635"/>
      <c r="F58" s="635"/>
      <c r="G58" s="635"/>
      <c r="H58" s="636"/>
      <c r="I58" s="636"/>
      <c r="J58" s="636"/>
      <c r="K58" s="636"/>
      <c r="L58" s="637"/>
      <c r="M58" s="637"/>
      <c r="N58" s="679"/>
      <c r="O58" s="679"/>
      <c r="P58" s="679"/>
      <c r="Q58" s="635"/>
      <c r="R58" s="635"/>
      <c r="S58" s="635"/>
      <c r="T58" s="635"/>
      <c r="U58" s="635"/>
      <c r="V58" s="635"/>
      <c r="W58" s="635"/>
      <c r="X58" s="635"/>
      <c r="Y58" s="635"/>
      <c r="Z58" s="635"/>
      <c r="AA58" s="635"/>
      <c r="AB58" s="635"/>
      <c r="AC58" s="635"/>
      <c r="AD58" s="635"/>
      <c r="AG58" s="316"/>
      <c r="AI58" s="316"/>
      <c r="AJ58" s="316"/>
      <c r="AL58" s="326"/>
    </row>
    <row r="59" ht="18.75" customHeight="1">
      <c r="B59" s="635"/>
      <c r="C59" s="635"/>
      <c r="D59" s="635"/>
      <c r="E59" s="635"/>
      <c r="F59" s="635"/>
      <c r="G59" s="635"/>
      <c r="H59" s="636"/>
      <c r="I59" s="636"/>
      <c r="J59" s="636"/>
      <c r="K59" s="636"/>
      <c r="L59" s="637"/>
      <c r="M59" s="637"/>
      <c r="N59" s="679"/>
      <c r="O59" s="679"/>
      <c r="P59" s="679"/>
      <c r="Q59" s="635"/>
      <c r="R59" s="635"/>
      <c r="S59" s="635"/>
      <c r="T59" s="635"/>
      <c r="U59" s="635"/>
      <c r="V59" s="635"/>
      <c r="W59" s="635"/>
      <c r="X59" s="635"/>
      <c r="Y59" s="635"/>
      <c r="Z59" s="635"/>
      <c r="AA59" s="635"/>
      <c r="AB59" s="635"/>
      <c r="AC59" s="635"/>
      <c r="AD59" s="635"/>
    </row>
    <row r="60" ht="18.75" customHeight="1">
      <c r="B60" s="635"/>
      <c r="C60" s="635"/>
      <c r="D60" s="635"/>
      <c r="E60" s="635"/>
      <c r="F60" s="635"/>
      <c r="G60" s="635"/>
      <c r="H60" s="636"/>
      <c r="I60" s="636"/>
      <c r="J60" s="636"/>
      <c r="K60" s="636"/>
      <c r="L60" s="637"/>
      <c r="M60" s="637"/>
      <c r="N60" s="679"/>
      <c r="O60" s="679"/>
      <c r="P60" s="679"/>
      <c r="Q60" s="635"/>
      <c r="R60" s="635"/>
      <c r="S60" s="635"/>
      <c r="T60" s="635"/>
      <c r="U60" s="635"/>
      <c r="V60" s="635"/>
      <c r="W60" s="635"/>
      <c r="X60" s="635"/>
      <c r="Y60" s="635"/>
      <c r="Z60" s="635"/>
      <c r="AA60" s="635"/>
      <c r="AB60" s="635"/>
      <c r="AC60" s="635"/>
      <c r="AD60" s="635"/>
    </row>
    <row r="61" ht="18.75" customHeight="1">
      <c r="B61" s="635" t="str">
        <f>AG61</f>
        <v>CÔNG TY CỔ PHẦN VIỄN THÔNG DI ĐỘNG TOÀN CẦU</v>
      </c>
      <c r="C61" s="635"/>
      <c r="D61" s="635"/>
      <c r="E61" s="635"/>
      <c r="F61" s="635"/>
      <c r="G61" s="635"/>
      <c r="H61" s="636" t="str">
        <f>AI61</f>
        <v>TB1</v>
      </c>
      <c r="I61" s="636"/>
      <c r="J61" s="636"/>
      <c r="K61" s="636"/>
      <c r="L61" s="637">
        <v>3</v>
      </c>
      <c r="M61" s="637"/>
      <c r="N61" s="679" t="str">
        <f>AL61</f>
        <v>4/4/4</v>
      </c>
      <c r="O61" s="679"/>
      <c r="P61" s="679"/>
      <c r="Q61" s="635" t="str">
        <f>IF(L61=3,AO61&amp;"W/ "&amp;AP61&amp;"W/ "&amp;AQ61&amp;"W",IF(L61=2,AO61&amp;"W/ "&amp;AP61&amp;"W",AO61&amp;"W"))</f>
        <v>20W/ 30W/ 40W</v>
      </c>
      <c r="R61" s="635"/>
      <c r="S61" s="635"/>
      <c r="T61" s="635"/>
      <c r="U61" s="635"/>
      <c r="V61" s="635" t="str">
        <f>IF(AS61="900 &amp; 1800","900MHz &amp; 1800MHz",IF(AS61="900 &amp; 2100","900MHz &amp; 2100MHz",IF(AS61="1800 &amp; 2100","1800MHz &amp; 2100MHz",AS61&amp;"MHz")))</f>
        <v>9000 &amp; 2100MHz</v>
      </c>
      <c r="W61" s="635"/>
      <c r="X61" s="635"/>
      <c r="Y61" s="635">
        <f>AT61</f>
        <v>15</v>
      </c>
      <c r="Z61" s="635"/>
      <c r="AA61" s="635"/>
      <c r="AB61" s="635"/>
      <c r="AC61" s="635"/>
      <c r="AD61" s="635"/>
      <c r="AG61" s="316" t="s">
        <v>99</v>
      </c>
      <c r="AI61" s="316" t="s">
        <v>141</v>
      </c>
      <c r="AJ61" s="316"/>
      <c r="AL61" s="326" t="s">
        <v>108</v>
      </c>
      <c r="AO61" s="282">
        <v>20</v>
      </c>
      <c r="AP61" s="282">
        <v>30</v>
      </c>
      <c r="AQ61" s="282">
        <v>40</v>
      </c>
      <c r="AS61" s="282" t="s">
        <v>143</v>
      </c>
      <c r="AT61" s="282">
        <v>15</v>
      </c>
      <c r="AU61" s="282">
        <v>16</v>
      </c>
      <c r="AV61" s="282">
        <v>17</v>
      </c>
    </row>
    <row r="62" ht="18.75" customHeight="1">
      <c r="B62" s="635"/>
      <c r="C62" s="635"/>
      <c r="D62" s="635"/>
      <c r="E62" s="635"/>
      <c r="F62" s="635"/>
      <c r="G62" s="635"/>
      <c r="H62" s="636"/>
      <c r="I62" s="636"/>
      <c r="J62" s="636"/>
      <c r="K62" s="636"/>
      <c r="L62" s="637"/>
      <c r="M62" s="637"/>
      <c r="N62" s="679"/>
      <c r="O62" s="679"/>
      <c r="P62" s="679"/>
      <c r="Q62" s="635"/>
      <c r="R62" s="635"/>
      <c r="S62" s="635"/>
      <c r="T62" s="635"/>
      <c r="U62" s="635"/>
      <c r="V62" s="635"/>
      <c r="W62" s="635"/>
      <c r="X62" s="635"/>
      <c r="Y62" s="635"/>
      <c r="Z62" s="635"/>
      <c r="AA62" s="635"/>
      <c r="AB62" s="635"/>
      <c r="AC62" s="635"/>
      <c r="AD62" s="635"/>
      <c r="AG62" s="316"/>
      <c r="AI62" s="316"/>
      <c r="AJ62" s="316"/>
      <c r="AL62" s="326"/>
    </row>
    <row r="63" ht="18.75" customHeight="1">
      <c r="B63" s="635"/>
      <c r="C63" s="635"/>
      <c r="D63" s="635"/>
      <c r="E63" s="635"/>
      <c r="F63" s="635"/>
      <c r="G63" s="635"/>
      <c r="H63" s="636"/>
      <c r="I63" s="636"/>
      <c r="J63" s="636"/>
      <c r="K63" s="636"/>
      <c r="L63" s="637"/>
      <c r="M63" s="637"/>
      <c r="N63" s="679"/>
      <c r="O63" s="679"/>
      <c r="P63" s="679"/>
      <c r="Q63" s="635"/>
      <c r="R63" s="635"/>
      <c r="S63" s="635"/>
      <c r="T63" s="635"/>
      <c r="U63" s="635"/>
      <c r="V63" s="635"/>
      <c r="W63" s="635"/>
      <c r="X63" s="635"/>
      <c r="Y63" s="635"/>
      <c r="Z63" s="635"/>
      <c r="AA63" s="635"/>
      <c r="AB63" s="635"/>
      <c r="AC63" s="635"/>
      <c r="AD63" s="635"/>
    </row>
    <row r="64" ht="18.75" customHeight="1">
      <c r="B64" s="635"/>
      <c r="C64" s="635"/>
      <c r="D64" s="635"/>
      <c r="E64" s="635"/>
      <c r="F64" s="635"/>
      <c r="G64" s="635"/>
      <c r="H64" s="636"/>
      <c r="I64" s="636"/>
      <c r="J64" s="636"/>
      <c r="K64" s="636"/>
      <c r="L64" s="637"/>
      <c r="M64" s="637"/>
      <c r="N64" s="679"/>
      <c r="O64" s="679"/>
      <c r="P64" s="679"/>
      <c r="Q64" s="635"/>
      <c r="R64" s="635"/>
      <c r="S64" s="635"/>
      <c r="T64" s="635"/>
      <c r="U64" s="635"/>
      <c r="V64" s="635"/>
      <c r="W64" s="635"/>
      <c r="X64" s="635"/>
      <c r="Y64" s="635"/>
      <c r="Z64" s="635"/>
      <c r="AA64" s="635"/>
      <c r="AB64" s="635"/>
      <c r="AC64" s="635"/>
      <c r="AD64" s="635"/>
    </row>
    <row r="65" ht="18.75" customHeight="1">
      <c r="B65" s="635" t="str">
        <f>AG65</f>
        <v>CÔNG TY CỔ PHẦN VIỄN THÔNG DI ĐỘNG TOÀN CẦU</v>
      </c>
      <c r="C65" s="635"/>
      <c r="D65" s="635"/>
      <c r="E65" s="635"/>
      <c r="F65" s="635"/>
      <c r="G65" s="635"/>
      <c r="H65" s="636" t="str">
        <f>AI65</f>
        <v>TB1</v>
      </c>
      <c r="I65" s="636"/>
      <c r="J65" s="636"/>
      <c r="K65" s="636"/>
      <c r="L65" s="637">
        <v>1</v>
      </c>
      <c r="M65" s="637"/>
      <c r="N65" s="679" t="str">
        <f>AL65</f>
        <v>4/4/4</v>
      </c>
      <c r="O65" s="679"/>
      <c r="P65" s="679"/>
      <c r="Q65" s="635" t="str">
        <f>IF(L65=3,AO65&amp;"W/ "&amp;AP65&amp;"W/ "&amp;AQ65&amp;"W",IF(L65=2,AO65&amp;"W/ "&amp;AP65&amp;"W",AO65&amp;"W"))</f>
        <v>20W</v>
      </c>
      <c r="R65" s="635"/>
      <c r="S65" s="635"/>
      <c r="T65" s="635"/>
      <c r="U65" s="635"/>
      <c r="V65" s="635" t="str">
        <f>IF(AS65="900 &amp; 1800","900MHz &amp; 1800MHz",IF(AS65="900 &amp; 2100","900MHz &amp; 2100MHz",IF(AS65="1800 &amp; 2100","1800MHz &amp; 2100MHz",AS65&amp;"MHz")))</f>
        <v>1800MHz &amp; 2100MHz</v>
      </c>
      <c r="W65" s="635"/>
      <c r="X65" s="635"/>
      <c r="Y65" s="635">
        <f>AT65</f>
        <v>15</v>
      </c>
      <c r="Z65" s="635"/>
      <c r="AA65" s="635"/>
      <c r="AB65" s="635"/>
      <c r="AC65" s="635"/>
      <c r="AD65" s="635"/>
      <c r="AG65" s="316" t="s">
        <v>99</v>
      </c>
      <c r="AI65" s="316" t="s">
        <v>141</v>
      </c>
      <c r="AJ65" s="316"/>
      <c r="AL65" s="326" t="s">
        <v>108</v>
      </c>
      <c r="AO65" s="282">
        <v>20</v>
      </c>
      <c r="AP65" s="282">
        <v>30</v>
      </c>
      <c r="AQ65" s="282">
        <v>40</v>
      </c>
      <c r="AS65" s="282" t="s">
        <v>144</v>
      </c>
      <c r="AT65" s="282">
        <v>15</v>
      </c>
      <c r="AU65" s="282">
        <v>16</v>
      </c>
      <c r="AV65" s="282">
        <v>17</v>
      </c>
    </row>
    <row r="66" ht="18.75" customHeight="1">
      <c r="B66" s="635"/>
      <c r="C66" s="635"/>
      <c r="D66" s="635"/>
      <c r="E66" s="635"/>
      <c r="F66" s="635"/>
      <c r="G66" s="635"/>
      <c r="H66" s="636"/>
      <c r="I66" s="636"/>
      <c r="J66" s="636"/>
      <c r="K66" s="636"/>
      <c r="L66" s="637"/>
      <c r="M66" s="637"/>
      <c r="N66" s="679"/>
      <c r="O66" s="679"/>
      <c r="P66" s="679"/>
      <c r="Q66" s="635"/>
      <c r="R66" s="635"/>
      <c r="S66" s="635"/>
      <c r="T66" s="635"/>
      <c r="U66" s="635"/>
      <c r="V66" s="635"/>
      <c r="W66" s="635"/>
      <c r="X66" s="635"/>
      <c r="Y66" s="635"/>
      <c r="Z66" s="635"/>
      <c r="AA66" s="635"/>
      <c r="AB66" s="635"/>
      <c r="AC66" s="635"/>
      <c r="AD66" s="635"/>
    </row>
    <row r="67" ht="18.75" customHeight="1">
      <c r="B67" s="635"/>
      <c r="C67" s="635"/>
      <c r="D67" s="635"/>
      <c r="E67" s="635"/>
      <c r="F67" s="635"/>
      <c r="G67" s="635"/>
      <c r="H67" s="636"/>
      <c r="I67" s="636"/>
      <c r="J67" s="636"/>
      <c r="K67" s="636"/>
      <c r="L67" s="637"/>
      <c r="M67" s="637"/>
      <c r="N67" s="679"/>
      <c r="O67" s="679"/>
      <c r="P67" s="679"/>
      <c r="Q67" s="635"/>
      <c r="R67" s="635"/>
      <c r="S67" s="635"/>
      <c r="T67" s="635"/>
      <c r="U67" s="635"/>
      <c r="V67" s="635"/>
      <c r="W67" s="635"/>
      <c r="X67" s="635"/>
      <c r="Y67" s="635"/>
      <c r="Z67" s="635"/>
      <c r="AA67" s="635"/>
      <c r="AB67" s="635"/>
      <c r="AC67" s="635"/>
      <c r="AD67" s="635"/>
    </row>
    <row r="68" ht="18.75" customHeight="1">
      <c r="B68" s="635"/>
      <c r="C68" s="635"/>
      <c r="D68" s="635"/>
      <c r="E68" s="635"/>
      <c r="F68" s="635"/>
      <c r="G68" s="635"/>
      <c r="H68" s="636"/>
      <c r="I68" s="636"/>
      <c r="J68" s="636"/>
      <c r="K68" s="636"/>
      <c r="L68" s="637"/>
      <c r="M68" s="637"/>
      <c r="N68" s="679"/>
      <c r="O68" s="679"/>
      <c r="P68" s="679"/>
      <c r="Q68" s="635"/>
      <c r="R68" s="635"/>
      <c r="S68" s="635"/>
      <c r="T68" s="635"/>
      <c r="U68" s="635"/>
      <c r="V68" s="635"/>
      <c r="W68" s="635"/>
      <c r="X68" s="635"/>
      <c r="Y68" s="635"/>
      <c r="Z68" s="635"/>
      <c r="AA68" s="635"/>
      <c r="AB68" s="635"/>
      <c r="AC68" s="635"/>
      <c r="AD68" s="635"/>
    </row>
    <row r="69" ht="18.75" customHeight="1">
      <c r="C69" s="304"/>
      <c r="D69" s="304"/>
      <c r="E69" s="304"/>
      <c r="F69" s="304"/>
      <c r="G69" s="304"/>
      <c r="H69" s="304"/>
      <c r="I69" s="304"/>
      <c r="J69" s="304"/>
      <c r="K69" s="304"/>
      <c r="L69" s="304"/>
      <c r="M69" s="304"/>
      <c r="N69" s="304"/>
      <c r="O69" s="304"/>
      <c r="P69" s="304"/>
      <c r="Q69" s="304"/>
      <c r="R69" s="304"/>
      <c r="S69" s="304"/>
      <c r="T69" s="304"/>
      <c r="U69" s="304"/>
      <c r="V69" s="304"/>
      <c r="W69" s="304"/>
      <c r="X69" s="304"/>
      <c r="Y69" s="304"/>
      <c r="Z69" s="304"/>
      <c r="AA69" s="304"/>
      <c r="AB69" s="304"/>
      <c r="AC69" s="304"/>
      <c r="AD69" s="304"/>
    </row>
    <row r="70" ht="18.75" customHeight="1">
      <c r="C70" s="304"/>
      <c r="D70" s="304"/>
      <c r="E70" s="304"/>
      <c r="F70" s="304"/>
      <c r="G70" s="304"/>
      <c r="H70" s="304"/>
      <c r="I70" s="304"/>
      <c r="J70" s="304"/>
      <c r="K70" s="304"/>
      <c r="L70" s="304"/>
      <c r="M70" s="304"/>
      <c r="N70" s="304"/>
      <c r="O70" s="304"/>
      <c r="P70" s="304"/>
      <c r="Q70" s="304"/>
      <c r="R70" s="304"/>
      <c r="S70" s="304"/>
      <c r="T70" s="304"/>
      <c r="U70" s="304"/>
      <c r="V70" s="304"/>
      <c r="W70" s="304"/>
      <c r="X70" s="304"/>
      <c r="Y70" s="304"/>
      <c r="Z70" s="304"/>
      <c r="AA70" s="304"/>
      <c r="AB70" s="304"/>
      <c r="AC70" s="304"/>
      <c r="AD70" s="304"/>
    </row>
    <row r="71" ht="18.75" customHeight="1">
      <c r="C71" s="304"/>
      <c r="D71" s="304"/>
      <c r="E71" s="304"/>
      <c r="F71" s="304"/>
      <c r="G71" s="304"/>
      <c r="H71" s="304"/>
      <c r="I71" s="304"/>
      <c r="J71" s="304"/>
      <c r="K71" s="304"/>
      <c r="L71" s="304"/>
      <c r="M71" s="304"/>
      <c r="N71" s="304"/>
      <c r="O71" s="304"/>
      <c r="P71" s="304"/>
      <c r="Q71" s="304"/>
      <c r="R71" s="304"/>
      <c r="S71" s="304"/>
      <c r="T71" s="304"/>
      <c r="U71" s="304"/>
      <c r="V71" s="304"/>
      <c r="W71" s="304"/>
      <c r="X71" s="304"/>
      <c r="Y71" s="304"/>
      <c r="Z71" s="304"/>
      <c r="AA71" s="304"/>
      <c r="AB71" s="304"/>
      <c r="AC71" s="304"/>
      <c r="AD71" s="304"/>
    </row>
    <row r="72" ht="18.75" customHeight="1">
      <c r="C72" s="304"/>
      <c r="D72" s="304"/>
      <c r="E72" s="304"/>
      <c r="F72" s="304"/>
      <c r="G72" s="304"/>
      <c r="H72" s="304"/>
      <c r="I72" s="304"/>
      <c r="J72" s="304"/>
      <c r="K72" s="304"/>
      <c r="L72" s="304"/>
      <c r="M72" s="304"/>
      <c r="N72" s="304"/>
      <c r="O72" s="304"/>
      <c r="P72" s="304"/>
      <c r="Q72" s="304"/>
      <c r="R72" s="304"/>
      <c r="S72" s="304"/>
      <c r="T72" s="304"/>
      <c r="U72" s="304"/>
      <c r="V72" s="304"/>
      <c r="W72" s="304"/>
      <c r="X72" s="304"/>
      <c r="Y72" s="304"/>
      <c r="Z72" s="304"/>
      <c r="AA72" s="304"/>
      <c r="AB72" s="304"/>
      <c r="AC72" s="304"/>
      <c r="AD72" s="304"/>
    </row>
    <row r="73" ht="18.75" customHeight="1">
      <c r="C73" s="304"/>
      <c r="D73" s="304"/>
      <c r="E73" s="304"/>
      <c r="F73" s="304"/>
      <c r="G73" s="304"/>
      <c r="H73" s="304"/>
      <c r="I73" s="304"/>
      <c r="J73" s="304"/>
      <c r="K73" s="304"/>
      <c r="L73" s="304"/>
      <c r="M73" s="304"/>
      <c r="N73" s="304"/>
      <c r="O73" s="304"/>
      <c r="P73" s="304"/>
      <c r="Q73" s="304"/>
      <c r="R73" s="304"/>
      <c r="S73" s="304"/>
      <c r="T73" s="304"/>
      <c r="U73" s="304"/>
      <c r="V73" s="304"/>
      <c r="W73" s="304"/>
      <c r="X73" s="304"/>
      <c r="Y73" s="304"/>
      <c r="Z73" s="304"/>
      <c r="AA73" s="304"/>
      <c r="AB73" s="304"/>
      <c r="AC73" s="304"/>
      <c r="AD73" s="304"/>
    </row>
    <row r="74" ht="18.75" customHeight="1">
      <c r="C74" s="304"/>
      <c r="D74" s="304"/>
      <c r="E74" s="304"/>
      <c r="F74" s="304"/>
      <c r="G74" s="304"/>
      <c r="H74" s="304"/>
      <c r="I74" s="304"/>
      <c r="J74" s="304"/>
      <c r="K74" s="304"/>
      <c r="L74" s="304"/>
      <c r="M74" s="304"/>
      <c r="N74" s="304"/>
      <c r="O74" s="304"/>
      <c r="P74" s="304"/>
      <c r="Q74" s="304"/>
      <c r="R74" s="304"/>
      <c r="S74" s="304"/>
      <c r="T74" s="304"/>
      <c r="U74" s="304"/>
      <c r="V74" s="304"/>
      <c r="W74" s="304"/>
      <c r="X74" s="304"/>
      <c r="Y74" s="304"/>
      <c r="Z74" s="304"/>
      <c r="AA74" s="304"/>
      <c r="AB74" s="304"/>
      <c r="AC74" s="304"/>
      <c r="AD74" s="304"/>
    </row>
    <row r="75" ht="18.75" customHeight="1">
      <c r="C75" s="304"/>
      <c r="D75" s="304"/>
      <c r="E75" s="304"/>
      <c r="F75" s="304"/>
      <c r="G75" s="304"/>
      <c r="H75" s="304"/>
      <c r="I75" s="304"/>
      <c r="J75" s="304"/>
      <c r="K75" s="304"/>
      <c r="L75" s="304"/>
      <c r="M75" s="304"/>
      <c r="N75" s="304"/>
      <c r="O75" s="304"/>
      <c r="P75" s="304"/>
      <c r="Q75" s="304"/>
      <c r="R75" s="304"/>
      <c r="S75" s="304"/>
      <c r="T75" s="304"/>
      <c r="U75" s="304"/>
      <c r="V75" s="304"/>
      <c r="W75" s="304"/>
      <c r="X75" s="304"/>
      <c r="Y75" s="304"/>
      <c r="Z75" s="304"/>
      <c r="AA75" s="304"/>
      <c r="AB75" s="304"/>
      <c r="AC75" s="304"/>
      <c r="AD75" s="304"/>
    </row>
    <row r="76" ht="18.75" customHeight="1">
      <c r="C76" s="304"/>
      <c r="D76" s="304"/>
      <c r="E76" s="304"/>
      <c r="F76" s="304"/>
      <c r="G76" s="304"/>
      <c r="H76" s="304"/>
      <c r="I76" s="304"/>
      <c r="J76" s="304"/>
      <c r="K76" s="304"/>
      <c r="L76" s="304"/>
      <c r="M76" s="304"/>
      <c r="N76" s="304"/>
      <c r="O76" s="304"/>
      <c r="P76" s="304"/>
      <c r="Q76" s="304"/>
      <c r="R76" s="304"/>
      <c r="S76" s="304"/>
      <c r="T76" s="304"/>
      <c r="U76" s="304"/>
      <c r="V76" s="304"/>
      <c r="W76" s="304"/>
      <c r="X76" s="304"/>
      <c r="Y76" s="304"/>
      <c r="Z76" s="304"/>
      <c r="AA76" s="304"/>
      <c r="AB76" s="304"/>
      <c r="AC76" s="304"/>
      <c r="AD76" s="304"/>
    </row>
    <row r="77" ht="18.75" customHeight="1">
      <c r="C77" s="304"/>
      <c r="D77" s="304"/>
      <c r="E77" s="304"/>
      <c r="F77" s="304"/>
      <c r="G77" s="304"/>
      <c r="H77" s="304"/>
      <c r="I77" s="304"/>
      <c r="J77" s="304"/>
      <c r="K77" s="304"/>
      <c r="L77" s="304"/>
      <c r="M77" s="304"/>
      <c r="N77" s="304"/>
      <c r="O77" s="304"/>
      <c r="P77" s="304"/>
      <c r="Q77" s="304"/>
      <c r="R77" s="304"/>
      <c r="S77" s="304"/>
      <c r="T77" s="304"/>
      <c r="U77" s="304"/>
      <c r="V77" s="304"/>
      <c r="W77" s="304"/>
      <c r="X77" s="304"/>
      <c r="Y77" s="304"/>
      <c r="Z77" s="304"/>
      <c r="AA77" s="304"/>
      <c r="AB77" s="304"/>
      <c r="AC77" s="304"/>
      <c r="AD77" s="304"/>
    </row>
    <row r="78" ht="18.75" customHeight="1">
      <c r="C78" s="304"/>
      <c r="D78" s="304"/>
      <c r="E78" s="304"/>
      <c r="F78" s="304"/>
      <c r="G78" s="304"/>
      <c r="H78" s="304"/>
      <c r="I78" s="304"/>
      <c r="J78" s="304"/>
      <c r="K78" s="304"/>
      <c r="L78" s="304"/>
      <c r="M78" s="304"/>
      <c r="N78" s="304"/>
      <c r="O78" s="304"/>
      <c r="P78" s="304"/>
      <c r="Q78" s="304"/>
      <c r="R78" s="304"/>
      <c r="S78" s="304"/>
      <c r="T78" s="304"/>
      <c r="U78" s="304"/>
      <c r="V78" s="304"/>
      <c r="W78" s="304"/>
      <c r="X78" s="304"/>
      <c r="Y78" s="304"/>
      <c r="Z78" s="304"/>
      <c r="AA78" s="304"/>
      <c r="AB78" s="304"/>
      <c r="AC78" s="304"/>
      <c r="AD78" s="304"/>
    </row>
    <row r="79" ht="18.75" customHeight="1">
      <c r="C79" s="304"/>
      <c r="D79" s="304"/>
      <c r="E79" s="304"/>
      <c r="F79" s="304"/>
      <c r="G79" s="304"/>
      <c r="H79" s="304"/>
      <c r="I79" s="304"/>
      <c r="J79" s="304"/>
      <c r="K79" s="304"/>
      <c r="L79" s="304"/>
      <c r="M79" s="304"/>
      <c r="N79" s="304"/>
      <c r="O79" s="304"/>
      <c r="P79" s="304"/>
      <c r="Q79" s="304"/>
      <c r="R79" s="304"/>
      <c r="S79" s="304"/>
      <c r="T79" s="304"/>
      <c r="U79" s="304"/>
      <c r="V79" s="304"/>
      <c r="W79" s="304"/>
      <c r="X79" s="304"/>
      <c r="Y79" s="304"/>
      <c r="Z79" s="304"/>
      <c r="AA79" s="304"/>
      <c r="AB79" s="304"/>
      <c r="AC79" s="304"/>
      <c r="AD79" s="304"/>
    </row>
    <row r="80" ht="18.75" customHeight="1">
      <c r="C80" s="304"/>
      <c r="D80" s="304"/>
      <c r="E80" s="304"/>
      <c r="F80" s="304"/>
      <c r="G80" s="304"/>
      <c r="H80" s="304"/>
      <c r="I80" s="304"/>
      <c r="J80" s="304"/>
      <c r="K80" s="304"/>
      <c r="L80" s="304"/>
      <c r="M80" s="304"/>
      <c r="N80" s="304"/>
      <c r="O80" s="304"/>
      <c r="P80" s="304"/>
      <c r="Q80" s="304"/>
      <c r="R80" s="304"/>
      <c r="S80" s="304"/>
      <c r="T80" s="304"/>
      <c r="U80" s="304"/>
      <c r="V80" s="304"/>
      <c r="W80" s="304"/>
      <c r="X80" s="304"/>
      <c r="Y80" s="304"/>
      <c r="Z80" s="304"/>
      <c r="AA80" s="304"/>
      <c r="AB80" s="304"/>
      <c r="AC80" s="304"/>
      <c r="AD80" s="304"/>
    </row>
    <row r="81" ht="18.75" customHeight="1">
      <c r="C81" s="304"/>
      <c r="D81" s="304"/>
      <c r="E81" s="304"/>
      <c r="F81" s="304"/>
      <c r="G81" s="304"/>
      <c r="H81" s="304"/>
      <c r="I81" s="304"/>
      <c r="J81" s="304"/>
      <c r="K81" s="304"/>
      <c r="L81" s="304"/>
      <c r="M81" s="304"/>
      <c r="N81" s="304"/>
      <c r="O81" s="304"/>
      <c r="P81" s="304"/>
      <c r="Q81" s="304"/>
      <c r="R81" s="304"/>
      <c r="S81" s="304"/>
      <c r="T81" s="304"/>
      <c r="U81" s="304"/>
      <c r="V81" s="304"/>
      <c r="W81" s="304"/>
      <c r="X81" s="304"/>
      <c r="Y81" s="304"/>
      <c r="Z81" s="304"/>
      <c r="AA81" s="304"/>
      <c r="AB81" s="304"/>
      <c r="AC81" s="304"/>
      <c r="AD81" s="304"/>
    </row>
    <row r="82" ht="18.75" customHeight="1">
      <c r="C82" s="304"/>
      <c r="D82" s="304"/>
      <c r="E82" s="304"/>
      <c r="F82" s="304"/>
      <c r="G82" s="304"/>
      <c r="H82" s="304"/>
      <c r="I82" s="304"/>
      <c r="J82" s="304"/>
      <c r="K82" s="304"/>
      <c r="L82" s="304"/>
      <c r="M82" s="304"/>
      <c r="N82" s="304"/>
      <c r="O82" s="304"/>
      <c r="P82" s="304"/>
      <c r="Q82" s="304"/>
      <c r="R82" s="304"/>
      <c r="S82" s="304"/>
      <c r="T82" s="304"/>
      <c r="U82" s="304"/>
      <c r="V82" s="304"/>
      <c r="W82" s="304"/>
      <c r="X82" s="304"/>
      <c r="Y82" s="304"/>
      <c r="Z82" s="304"/>
      <c r="AA82" s="304"/>
      <c r="AB82" s="304"/>
      <c r="AC82" s="304"/>
      <c r="AD82" s="304"/>
    </row>
    <row r="83" ht="18.75" customHeight="1">
      <c r="C83" s="304"/>
      <c r="D83" s="304"/>
      <c r="E83" s="304"/>
      <c r="F83" s="304"/>
      <c r="G83" s="304"/>
      <c r="H83" s="304"/>
      <c r="I83" s="304"/>
      <c r="J83" s="304"/>
      <c r="K83" s="304"/>
      <c r="L83" s="304"/>
      <c r="M83" s="304"/>
      <c r="N83" s="304"/>
      <c r="O83" s="304"/>
      <c r="P83" s="304"/>
      <c r="Q83" s="304"/>
      <c r="R83" s="304"/>
      <c r="S83" s="304"/>
      <c r="T83" s="304"/>
      <c r="U83" s="304"/>
      <c r="V83" s="304"/>
      <c r="W83" s="304"/>
      <c r="X83" s="304"/>
      <c r="Y83" s="304"/>
      <c r="Z83" s="304"/>
      <c r="AA83" s="304"/>
      <c r="AB83" s="304"/>
      <c r="AC83" s="304"/>
      <c r="AD83" s="304"/>
    </row>
    <row r="84" ht="18.75" customHeight="1">
      <c r="C84" s="304"/>
      <c r="D84" s="304"/>
      <c r="E84" s="304"/>
      <c r="F84" s="304"/>
      <c r="G84" s="304"/>
      <c r="H84" s="304"/>
      <c r="I84" s="304"/>
      <c r="J84" s="304"/>
      <c r="K84" s="304"/>
      <c r="L84" s="304"/>
      <c r="M84" s="304"/>
      <c r="N84" s="304"/>
      <c r="O84" s="304"/>
      <c r="P84" s="304"/>
      <c r="Q84" s="304"/>
      <c r="R84" s="304"/>
      <c r="S84" s="304"/>
      <c r="T84" s="304"/>
      <c r="U84" s="304"/>
      <c r="V84" s="304"/>
      <c r="W84" s="304"/>
      <c r="X84" s="304"/>
      <c r="Y84" s="304"/>
      <c r="Z84" s="304"/>
      <c r="AA84" s="304"/>
      <c r="AB84" s="304"/>
      <c r="AC84" s="304"/>
      <c r="AD84" s="304"/>
    </row>
    <row r="85" ht="18.75" customHeight="1">
      <c r="C85" s="304"/>
      <c r="D85" s="304"/>
      <c r="E85" s="304"/>
      <c r="F85" s="304"/>
      <c r="G85" s="304"/>
      <c r="H85" s="304"/>
      <c r="I85" s="304"/>
      <c r="J85" s="304"/>
      <c r="K85" s="304"/>
      <c r="L85" s="304"/>
      <c r="M85" s="304"/>
      <c r="N85" s="304"/>
      <c r="O85" s="304"/>
      <c r="P85" s="304"/>
      <c r="Q85" s="304"/>
      <c r="R85" s="304"/>
      <c r="S85" s="304"/>
      <c r="T85" s="304"/>
      <c r="U85" s="304"/>
      <c r="V85" s="304"/>
      <c r="W85" s="304"/>
      <c r="X85" s="304"/>
      <c r="Y85" s="304"/>
      <c r="Z85" s="304"/>
      <c r="AA85" s="304"/>
      <c r="AB85" s="304"/>
      <c r="AC85" s="304"/>
      <c r="AD85" s="304"/>
    </row>
    <row r="86" ht="18.75" customHeight="1">
      <c r="C86" s="304"/>
      <c r="D86" s="304"/>
      <c r="E86" s="304"/>
      <c r="F86" s="304"/>
      <c r="G86" s="304"/>
      <c r="H86" s="304"/>
      <c r="I86" s="304"/>
      <c r="J86" s="304"/>
      <c r="K86" s="304"/>
      <c r="L86" s="304"/>
      <c r="M86" s="304"/>
      <c r="N86" s="304"/>
      <c r="O86" s="304"/>
      <c r="P86" s="304"/>
      <c r="Q86" s="304"/>
      <c r="R86" s="304"/>
      <c r="S86" s="304"/>
      <c r="T86" s="304"/>
      <c r="U86" s="304"/>
      <c r="V86" s="304"/>
      <c r="W86" s="304"/>
      <c r="X86" s="304"/>
      <c r="Y86" s="304"/>
      <c r="Z86" s="304"/>
      <c r="AA86" s="304"/>
      <c r="AB86" s="304"/>
      <c r="AC86" s="304"/>
      <c r="AD86" s="304"/>
    </row>
    <row r="87" ht="18.75" customHeight="1">
      <c r="C87" s="304"/>
      <c r="D87" s="304"/>
      <c r="E87" s="304"/>
      <c r="F87" s="304"/>
      <c r="G87" s="304"/>
      <c r="H87" s="304"/>
      <c r="I87" s="304"/>
      <c r="J87" s="304"/>
      <c r="K87" s="304"/>
      <c r="L87" s="304"/>
      <c r="M87" s="304"/>
      <c r="N87" s="304"/>
      <c r="O87" s="304"/>
      <c r="P87" s="304"/>
      <c r="Q87" s="304"/>
      <c r="R87" s="304"/>
      <c r="S87" s="304"/>
      <c r="T87" s="304"/>
      <c r="U87" s="304"/>
      <c r="V87" s="304"/>
      <c r="W87" s="304"/>
      <c r="X87" s="304"/>
      <c r="Y87" s="304"/>
      <c r="Z87" s="304"/>
      <c r="AA87" s="304"/>
      <c r="AB87" s="304"/>
      <c r="AC87" s="304"/>
      <c r="AD87" s="304"/>
    </row>
    <row r="88" ht="18.75" customHeight="1">
      <c r="C88" s="304"/>
      <c r="D88" s="304"/>
      <c r="E88" s="304"/>
      <c r="F88" s="304"/>
      <c r="G88" s="304"/>
      <c r="H88" s="304"/>
      <c r="I88" s="304"/>
      <c r="J88" s="304"/>
      <c r="K88" s="304"/>
      <c r="L88" s="304"/>
      <c r="M88" s="304"/>
      <c r="N88" s="304"/>
      <c r="O88" s="304"/>
      <c r="P88" s="304"/>
      <c r="Q88" s="304"/>
      <c r="R88" s="304"/>
      <c r="S88" s="304"/>
      <c r="T88" s="304"/>
      <c r="U88" s="304"/>
      <c r="V88" s="304"/>
      <c r="W88" s="304"/>
      <c r="X88" s="304"/>
      <c r="Y88" s="304"/>
      <c r="Z88" s="304"/>
      <c r="AA88" s="304"/>
      <c r="AB88" s="304"/>
      <c r="AC88" s="304"/>
      <c r="AD88" s="304"/>
    </row>
    <row r="89" ht="18.75" customHeight="1">
      <c r="C89" s="304"/>
      <c r="D89" s="304"/>
      <c r="E89" s="304"/>
      <c r="F89" s="304"/>
      <c r="G89" s="304"/>
      <c r="H89" s="304"/>
      <c r="I89" s="304"/>
      <c r="J89" s="304"/>
      <c r="K89" s="304"/>
      <c r="L89" s="304"/>
      <c r="M89" s="304"/>
      <c r="N89" s="304"/>
      <c r="O89" s="304"/>
      <c r="P89" s="304"/>
      <c r="Q89" s="304"/>
      <c r="R89" s="304"/>
      <c r="S89" s="304"/>
      <c r="T89" s="304"/>
      <c r="U89" s="304"/>
      <c r="V89" s="304"/>
      <c r="W89" s="304"/>
      <c r="X89" s="304"/>
      <c r="Y89" s="304"/>
      <c r="Z89" s="304"/>
      <c r="AA89" s="304"/>
      <c r="AB89" s="304"/>
      <c r="AC89" s="304"/>
      <c r="AD89" s="304"/>
    </row>
    <row r="90" ht="18.75" customHeight="1">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row>
    <row r="91" ht="18.75" customHeight="1">
      <c r="C91" s="304"/>
      <c r="D91" s="304"/>
      <c r="E91" s="304"/>
      <c r="F91" s="304"/>
      <c r="G91" s="304"/>
      <c r="H91" s="304"/>
      <c r="I91" s="304"/>
      <c r="J91" s="304"/>
      <c r="K91" s="304"/>
      <c r="L91" s="304"/>
      <c r="M91" s="304"/>
      <c r="N91" s="304"/>
      <c r="O91" s="304"/>
      <c r="P91" s="304"/>
      <c r="Q91" s="304"/>
      <c r="R91" s="304"/>
      <c r="S91" s="304"/>
      <c r="T91" s="304"/>
      <c r="U91" s="304"/>
      <c r="V91" s="304"/>
      <c r="W91" s="304"/>
      <c r="X91" s="304"/>
      <c r="Y91" s="304"/>
      <c r="Z91" s="304"/>
      <c r="AA91" s="304"/>
      <c r="AB91" s="304"/>
      <c r="AC91" s="304"/>
      <c r="AD91" s="304"/>
    </row>
    <row r="92">
      <c r="C92" s="304"/>
      <c r="D92" s="304"/>
      <c r="E92" s="304"/>
      <c r="F92" s="304"/>
      <c r="G92" s="304"/>
      <c r="H92" s="304"/>
      <c r="I92" s="304"/>
      <c r="J92" s="304"/>
      <c r="K92" s="304"/>
      <c r="L92" s="304"/>
      <c r="M92" s="304"/>
      <c r="N92" s="304"/>
      <c r="O92" s="304"/>
      <c r="P92" s="304"/>
      <c r="Q92" s="304"/>
      <c r="R92" s="304"/>
      <c r="S92" s="304"/>
      <c r="T92" s="304"/>
      <c r="U92" s="304"/>
      <c r="V92" s="304"/>
      <c r="W92" s="304"/>
      <c r="X92" s="304"/>
      <c r="Y92" s="304"/>
      <c r="Z92" s="304"/>
      <c r="AA92" s="304"/>
      <c r="AB92" s="304"/>
      <c r="AC92" s="304"/>
      <c r="AD92" s="304"/>
    </row>
    <row r="93">
      <c r="C93" s="304"/>
      <c r="D93" s="304"/>
      <c r="E93" s="304"/>
      <c r="F93" s="304"/>
      <c r="G93" s="304"/>
      <c r="H93" s="304"/>
      <c r="I93" s="304"/>
      <c r="J93" s="304"/>
      <c r="K93" s="304"/>
      <c r="L93" s="304"/>
      <c r="M93" s="304"/>
      <c r="N93" s="304"/>
      <c r="O93" s="304"/>
      <c r="P93" s="304"/>
      <c r="Q93" s="304"/>
      <c r="R93" s="304"/>
      <c r="S93" s="304"/>
      <c r="T93" s="304"/>
      <c r="U93" s="304"/>
      <c r="V93" s="304"/>
      <c r="W93" s="304"/>
      <c r="X93" s="304"/>
      <c r="Y93" s="304"/>
      <c r="Z93" s="304"/>
      <c r="AA93" s="304"/>
      <c r="AB93" s="304"/>
      <c r="AC93" s="304"/>
      <c r="AD93" s="304"/>
    </row>
    <row r="94">
      <c r="C94" s="304"/>
      <c r="D94" s="304"/>
      <c r="E94" s="304"/>
      <c r="F94" s="304"/>
      <c r="G94" s="304"/>
      <c r="H94" s="304"/>
      <c r="I94" s="304"/>
      <c r="J94" s="304"/>
      <c r="K94" s="304"/>
      <c r="L94" s="304"/>
      <c r="M94" s="304"/>
      <c r="N94" s="304"/>
      <c r="O94" s="304"/>
      <c r="P94" s="304"/>
      <c r="Q94" s="304"/>
      <c r="R94" s="304"/>
      <c r="S94" s="304"/>
      <c r="T94" s="304"/>
      <c r="U94" s="304"/>
      <c r="V94" s="304"/>
      <c r="W94" s="304"/>
      <c r="X94" s="304"/>
      <c r="Y94" s="304"/>
      <c r="Z94" s="304"/>
      <c r="AA94" s="304"/>
      <c r="AB94" s="304"/>
      <c r="AC94" s="304"/>
      <c r="AD94" s="304"/>
    </row>
    <row r="95">
      <c r="C95" s="304"/>
      <c r="D95" s="304"/>
      <c r="E95" s="304"/>
      <c r="F95" s="304"/>
      <c r="G95" s="304"/>
      <c r="H95" s="304"/>
      <c r="I95" s="304"/>
      <c r="J95" s="304"/>
      <c r="K95" s="304"/>
      <c r="L95" s="304"/>
      <c r="M95" s="304"/>
      <c r="N95" s="304"/>
      <c r="O95" s="304"/>
      <c r="P95" s="304"/>
      <c r="Q95" s="304"/>
      <c r="R95" s="304"/>
      <c r="S95" s="304"/>
      <c r="T95" s="304"/>
      <c r="U95" s="304"/>
      <c r="V95" s="304"/>
      <c r="W95" s="304"/>
      <c r="X95" s="304"/>
      <c r="Y95" s="304"/>
      <c r="Z95" s="304"/>
      <c r="AA95" s="304"/>
      <c r="AB95" s="304"/>
      <c r="AC95" s="304"/>
      <c r="AD95" s="304"/>
    </row>
    <row r="96">
      <c r="C96" s="304"/>
      <c r="D96" s="304"/>
      <c r="E96" s="304"/>
      <c r="F96" s="304"/>
      <c r="G96" s="304"/>
      <c r="H96" s="304"/>
      <c r="I96" s="304"/>
      <c r="J96" s="304"/>
      <c r="K96" s="304"/>
      <c r="L96" s="304"/>
      <c r="M96" s="304"/>
      <c r="N96" s="304"/>
      <c r="O96" s="304"/>
      <c r="P96" s="304"/>
      <c r="Q96" s="304"/>
      <c r="R96" s="304"/>
      <c r="S96" s="304"/>
      <c r="T96" s="304"/>
      <c r="U96" s="304"/>
      <c r="V96" s="304"/>
      <c r="W96" s="304"/>
      <c r="X96" s="304"/>
      <c r="Y96" s="304"/>
      <c r="Z96" s="304"/>
      <c r="AA96" s="304"/>
      <c r="AB96" s="304"/>
      <c r="AC96" s="304"/>
      <c r="AD96" s="304"/>
    </row>
    <row r="97">
      <c r="C97" s="304"/>
      <c r="D97" s="304"/>
      <c r="E97" s="304"/>
      <c r="F97" s="304"/>
      <c r="G97" s="304"/>
      <c r="H97" s="304"/>
      <c r="I97" s="304"/>
      <c r="J97" s="304"/>
      <c r="K97" s="304"/>
      <c r="L97" s="304"/>
      <c r="M97" s="304"/>
      <c r="N97" s="304"/>
      <c r="O97" s="304"/>
      <c r="P97" s="304"/>
      <c r="Q97" s="304"/>
      <c r="R97" s="304"/>
      <c r="S97" s="304"/>
      <c r="T97" s="304"/>
      <c r="U97" s="304"/>
      <c r="V97" s="304"/>
      <c r="W97" s="304"/>
      <c r="X97" s="304"/>
      <c r="Y97" s="304"/>
      <c r="Z97" s="304"/>
      <c r="AA97" s="304"/>
      <c r="AB97" s="304"/>
      <c r="AC97" s="304"/>
      <c r="AD97" s="304"/>
    </row>
    <row r="98">
      <c r="C98" s="304"/>
      <c r="D98" s="304"/>
      <c r="E98" s="304"/>
      <c r="F98" s="304"/>
      <c r="G98" s="304"/>
      <c r="H98" s="304"/>
      <c r="I98" s="304"/>
      <c r="J98" s="304"/>
      <c r="K98" s="304"/>
      <c r="L98" s="304"/>
      <c r="M98" s="304"/>
      <c r="N98" s="304"/>
      <c r="O98" s="304"/>
      <c r="P98" s="304"/>
      <c r="Q98" s="304"/>
      <c r="R98" s="304"/>
      <c r="S98" s="304"/>
      <c r="T98" s="304"/>
      <c r="U98" s="304"/>
      <c r="V98" s="304"/>
      <c r="W98" s="304"/>
      <c r="X98" s="304"/>
      <c r="Y98" s="304"/>
      <c r="Z98" s="304"/>
      <c r="AA98" s="304"/>
      <c r="AB98" s="304"/>
      <c r="AC98" s="304"/>
      <c r="AD98" s="304"/>
    </row>
  </sheetData>
  <sheetProtection sheet="1" objects="1" scenarios="1" formatCells="0" formatColumns="0" formatRows="0" sort="0" autoFilter="0" pivotTables="0"/>
  <mergeCells>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82"/>
    <col min="2" max="2" width="3" customWidth="1" style="282"/>
    <col min="3" max="3" width="3" customWidth="1" style="282"/>
    <col min="4" max="4" width="3" customWidth="1" style="282"/>
    <col min="5" max="5" width="3" customWidth="1" style="282"/>
    <col min="6" max="6" width="3" customWidth="1" style="282"/>
    <col min="7" max="7" width="3" customWidth="1" style="282"/>
    <col min="8" max="8" width="3" customWidth="1" style="282"/>
    <col min="9" max="9" width="3" customWidth="1" style="282"/>
    <col min="10" max="10" width="3" customWidth="1" style="282"/>
    <col min="11" max="30" width="3" customWidth="1" style="282"/>
    <col min="31" max="31" width="3" customWidth="1" style="304"/>
    <col min="32" max="33" width="3" customWidth="1" style="282"/>
    <col min="34" max="123" width="3.140625" customWidth="1" style="282"/>
    <col min="124" max="16384" width="9.140625" customWidth="1" style="282"/>
  </cols>
  <sheetData>
    <row r="1" ht="19.7" customHeight="1">
      <c r="B1" s="657" t="s">
        <v>84</v>
      </c>
      <c r="C1" s="657"/>
      <c r="D1" s="657"/>
      <c r="E1" s="657"/>
      <c r="F1" s="657"/>
      <c r="G1" s="657"/>
      <c r="H1" s="657"/>
      <c r="I1" s="657"/>
      <c r="J1" s="657"/>
      <c r="K1" s="657"/>
      <c r="L1" s="657"/>
      <c r="M1" s="657"/>
      <c r="N1" s="657"/>
      <c r="O1" s="315"/>
      <c r="P1" s="638" t="s">
        <v>843</v>
      </c>
      <c r="Q1" s="638"/>
      <c r="R1" s="638"/>
      <c r="S1" s="638"/>
      <c r="T1" s="638"/>
      <c r="U1" s="638"/>
      <c r="V1" s="638"/>
      <c r="W1" s="638"/>
      <c r="X1" s="638"/>
      <c r="Y1" s="638"/>
      <c r="Z1" s="638"/>
      <c r="AA1" s="638"/>
      <c r="AB1" s="638"/>
      <c r="AC1" s="638"/>
      <c r="AD1" s="638"/>
      <c r="AE1" s="638"/>
    </row>
    <row r="2" ht="19.7" customHeight="1">
      <c r="C2" s="657" t="s">
        <v>86</v>
      </c>
      <c r="D2" s="657"/>
      <c r="E2" s="657"/>
      <c r="F2" s="657"/>
      <c r="G2" s="657"/>
      <c r="H2" s="657"/>
      <c r="I2" s="657"/>
      <c r="J2" s="657"/>
      <c r="K2" s="657"/>
      <c r="L2" s="657"/>
      <c r="M2" s="657"/>
      <c r="N2" s="338"/>
      <c r="O2" s="315"/>
      <c r="P2" s="658" t="s">
        <v>844</v>
      </c>
      <c r="Q2" s="658"/>
      <c r="R2" s="658"/>
      <c r="S2" s="658"/>
      <c r="T2" s="658"/>
      <c r="U2" s="658"/>
      <c r="V2" s="658"/>
      <c r="W2" s="658"/>
      <c r="X2" s="658"/>
      <c r="Y2" s="658"/>
      <c r="Z2" s="658"/>
      <c r="AA2" s="658"/>
      <c r="AB2" s="658"/>
      <c r="AC2" s="658"/>
      <c r="AD2" s="658"/>
      <c r="AE2" s="658"/>
    </row>
    <row r="3" ht="8.45" customHeight="1">
      <c r="C3" s="314"/>
      <c r="D3" s="314"/>
      <c r="E3" s="310"/>
      <c r="F3" s="310"/>
      <c r="G3" s="310"/>
      <c r="H3" s="310"/>
      <c r="I3" s="310"/>
      <c r="J3" s="310"/>
      <c r="K3" s="314"/>
      <c r="L3" s="313"/>
      <c r="M3" s="314"/>
      <c r="N3" s="314"/>
      <c r="O3" s="314"/>
      <c r="P3" s="314"/>
      <c r="Q3" s="310"/>
      <c r="R3" s="310"/>
      <c r="S3" s="339"/>
      <c r="T3" s="339"/>
      <c r="U3" s="339"/>
      <c r="V3" s="339"/>
      <c r="W3" s="339"/>
      <c r="X3" s="339"/>
      <c r="Y3" s="339"/>
      <c r="Z3" s="339"/>
      <c r="AA3" s="339"/>
      <c r="AB3" s="344"/>
      <c r="AC3" s="315"/>
      <c r="AD3" s="315"/>
      <c r="AE3" s="345"/>
    </row>
    <row r="4" ht="2.25" customHeight="1">
      <c r="C4" s="308"/>
      <c r="D4" s="308"/>
      <c r="E4" s="309"/>
      <c r="F4" s="309"/>
      <c r="G4" s="309"/>
      <c r="H4" s="309"/>
      <c r="I4" s="309"/>
      <c r="J4" s="309"/>
      <c r="K4" s="309"/>
      <c r="L4" s="310"/>
      <c r="M4" s="310"/>
      <c r="N4" s="310"/>
      <c r="O4" s="310"/>
      <c r="P4" s="309"/>
      <c r="Q4" s="338"/>
      <c r="R4" s="338"/>
      <c r="S4" s="338"/>
      <c r="T4" s="338"/>
      <c r="U4" s="338"/>
      <c r="V4" s="338"/>
      <c r="W4" s="338"/>
      <c r="X4" s="338"/>
      <c r="Y4" s="338"/>
      <c r="Z4" s="338"/>
      <c r="AA4" s="338"/>
      <c r="AB4" s="338"/>
      <c r="AC4" s="338"/>
      <c r="AD4" s="338"/>
      <c r="AE4" s="345"/>
    </row>
    <row r="5" hidden="1" ht="1.5" customHeight="1">
      <c r="C5" s="340"/>
      <c r="D5" s="340"/>
      <c r="E5" s="314"/>
      <c r="F5" s="314"/>
      <c r="G5" s="314"/>
      <c r="H5" s="314"/>
      <c r="I5" s="314"/>
      <c r="J5" s="314"/>
      <c r="K5" s="314"/>
      <c r="L5" s="314"/>
      <c r="M5" s="314"/>
      <c r="N5" s="314"/>
      <c r="O5" s="314"/>
      <c r="P5" s="314"/>
      <c r="Q5" s="314"/>
      <c r="R5" s="314"/>
      <c r="S5" s="314"/>
      <c r="T5" s="314"/>
      <c r="U5" s="314"/>
      <c r="V5" s="314"/>
      <c r="W5" s="314"/>
      <c r="X5" s="314"/>
      <c r="Y5" s="314"/>
      <c r="Z5" s="314"/>
      <c r="AA5" s="314"/>
      <c r="AB5" s="315"/>
      <c r="AC5" s="315"/>
      <c r="AD5" s="315"/>
      <c r="AE5" s="345"/>
    </row>
    <row r="6" ht="19.7" customHeight="1">
      <c r="C6" s="650" t="s">
        <v>88</v>
      </c>
      <c r="D6" s="650"/>
      <c r="E6" s="650"/>
      <c r="F6" s="650"/>
      <c r="G6" s="650"/>
      <c r="H6" s="650"/>
      <c r="I6" s="650"/>
      <c r="J6" s="650"/>
      <c r="K6" s="650"/>
      <c r="L6" s="650"/>
      <c r="M6" s="650"/>
      <c r="N6" s="650"/>
      <c r="O6" s="650"/>
      <c r="P6" s="650"/>
      <c r="Q6" s="650"/>
      <c r="R6" s="650"/>
      <c r="S6" s="650"/>
      <c r="T6" s="650"/>
      <c r="U6" s="650"/>
      <c r="V6" s="650"/>
      <c r="W6" s="650"/>
      <c r="X6" s="650"/>
      <c r="Y6" s="650"/>
      <c r="Z6" s="650"/>
      <c r="AA6" s="650"/>
      <c r="AB6" s="650"/>
      <c r="AC6" s="650"/>
      <c r="AD6" s="650"/>
      <c r="AE6" s="650"/>
    </row>
    <row r="7" ht="19.7" customHeight="1">
      <c r="C7" s="650" t="s">
        <v>89</v>
      </c>
      <c r="D7" s="650"/>
      <c r="E7" s="650"/>
      <c r="F7" s="650"/>
      <c r="G7" s="650"/>
      <c r="H7" s="650"/>
      <c r="I7" s="650"/>
      <c r="J7" s="650"/>
      <c r="K7" s="650"/>
      <c r="L7" s="650"/>
      <c r="M7" s="650"/>
      <c r="N7" s="650"/>
      <c r="O7" s="650"/>
      <c r="P7" s="650"/>
      <c r="Q7" s="650"/>
      <c r="R7" s="650"/>
      <c r="S7" s="650"/>
      <c r="T7" s="650"/>
      <c r="U7" s="650"/>
      <c r="V7" s="650"/>
      <c r="W7" s="650"/>
      <c r="X7" s="650"/>
      <c r="Y7" s="650"/>
      <c r="Z7" s="650"/>
      <c r="AA7" s="650"/>
      <c r="AB7" s="650"/>
      <c r="AC7" s="650"/>
      <c r="AD7" s="650"/>
      <c r="AE7" s="650"/>
    </row>
    <row r="8" ht="9" customHeight="1">
      <c r="C8" s="313"/>
      <c r="D8" s="314"/>
      <c r="E8" s="314"/>
      <c r="F8" s="314"/>
      <c r="G8" s="314"/>
      <c r="H8" s="314"/>
      <c r="I8" s="314"/>
      <c r="J8" s="314"/>
      <c r="K8" s="314"/>
      <c r="L8" s="314"/>
      <c r="M8" s="314"/>
      <c r="N8" s="314"/>
      <c r="O8" s="314"/>
      <c r="P8" s="314"/>
      <c r="Q8" s="314"/>
      <c r="R8" s="314"/>
      <c r="S8" s="314"/>
      <c r="T8" s="314"/>
      <c r="U8" s="314"/>
      <c r="V8" s="314"/>
      <c r="W8" s="314"/>
      <c r="X8" s="314"/>
      <c r="Y8" s="314"/>
      <c r="Z8" s="314"/>
      <c r="AA8" s="314"/>
      <c r="AB8" s="315"/>
      <c r="AC8" s="315"/>
      <c r="AD8" s="315"/>
      <c r="AE8" s="345"/>
    </row>
    <row r="9" ht="19.7" customHeight="1">
      <c r="C9" s="658" t="str">
        <f>"Số: "&amp;AI9</f>
        <v>Số: B08600120811TG05</v>
      </c>
      <c r="D9" s="658"/>
      <c r="E9" s="658"/>
      <c r="F9" s="658"/>
      <c r="G9" s="658"/>
      <c r="H9" s="658"/>
      <c r="I9" s="658"/>
      <c r="J9" s="658"/>
      <c r="K9" s="658"/>
      <c r="L9" s="658"/>
      <c r="M9" s="658"/>
      <c r="N9" s="658"/>
      <c r="O9" s="658"/>
      <c r="P9" s="658"/>
      <c r="Q9" s="658"/>
      <c r="R9" s="658"/>
      <c r="S9" s="658"/>
      <c r="T9" s="658"/>
      <c r="U9" s="658"/>
      <c r="V9" s="658"/>
      <c r="W9" s="658"/>
      <c r="X9" s="658"/>
      <c r="Y9" s="658"/>
      <c r="Z9" s="658"/>
      <c r="AA9" s="658"/>
      <c r="AB9" s="658"/>
      <c r="AC9" s="658"/>
      <c r="AD9" s="658"/>
      <c r="AE9" s="658"/>
      <c r="AI9" s="316" t="s">
        <v>90</v>
      </c>
    </row>
    <row r="10" ht="6" customHeight="1">
      <c r="C10" s="317"/>
      <c r="D10" s="314"/>
      <c r="E10" s="314"/>
      <c r="F10" s="314"/>
      <c r="G10" s="314"/>
      <c r="H10" s="314"/>
      <c r="I10" s="314"/>
      <c r="J10" s="314"/>
      <c r="K10" s="314"/>
      <c r="L10" s="314"/>
      <c r="M10" s="314"/>
      <c r="N10" s="314"/>
      <c r="O10" s="314"/>
      <c r="P10" s="314"/>
      <c r="Q10" s="314"/>
      <c r="R10" s="314"/>
      <c r="S10" s="314"/>
      <c r="T10" s="314"/>
      <c r="U10" s="314"/>
      <c r="V10" s="314"/>
      <c r="W10" s="314"/>
      <c r="X10" s="314"/>
      <c r="Y10" s="314"/>
      <c r="Z10" s="314"/>
      <c r="AA10" s="314"/>
      <c r="AB10" s="315"/>
      <c r="AC10" s="315"/>
      <c r="AD10" s="315"/>
      <c r="AE10" s="345"/>
    </row>
    <row r="11" ht="19.7" customHeight="1">
      <c r="C11" s="650" t="s">
        <v>91</v>
      </c>
      <c r="D11" s="650"/>
      <c r="E11" s="650"/>
      <c r="F11" s="650"/>
      <c r="G11" s="650"/>
      <c r="H11" s="650"/>
      <c r="I11" s="650"/>
      <c r="J11" s="650"/>
      <c r="K11" s="650"/>
      <c r="L11" s="650"/>
      <c r="M11" s="650"/>
      <c r="N11" s="650"/>
      <c r="O11" s="650"/>
      <c r="P11" s="650"/>
      <c r="Q11" s="650"/>
      <c r="R11" s="650"/>
      <c r="S11" s="650"/>
      <c r="T11" s="650"/>
      <c r="U11" s="650"/>
      <c r="V11" s="650"/>
      <c r="W11" s="650"/>
      <c r="X11" s="650"/>
      <c r="Y11" s="650"/>
      <c r="Z11" s="650"/>
      <c r="AA11" s="650"/>
      <c r="AB11" s="650"/>
      <c r="AC11" s="650"/>
      <c r="AD11" s="650"/>
      <c r="AE11" s="650"/>
    </row>
    <row r="12" ht="19.7" customHeight="1">
      <c r="C12" s="650" t="s">
        <v>92</v>
      </c>
      <c r="D12" s="650"/>
      <c r="E12" s="650"/>
      <c r="F12" s="650"/>
      <c r="G12" s="650"/>
      <c r="H12" s="650"/>
      <c r="I12" s="650"/>
      <c r="J12" s="650"/>
      <c r="K12" s="650"/>
      <c r="L12" s="650"/>
      <c r="M12" s="650"/>
      <c r="N12" s="650"/>
      <c r="O12" s="650"/>
      <c r="P12" s="650"/>
      <c r="Q12" s="650"/>
      <c r="R12" s="650"/>
      <c r="S12" s="650"/>
      <c r="T12" s="650"/>
      <c r="U12" s="650"/>
      <c r="V12" s="650"/>
      <c r="W12" s="650"/>
      <c r="X12" s="650"/>
      <c r="Y12" s="650"/>
      <c r="Z12" s="650"/>
      <c r="AA12" s="650"/>
      <c r="AB12" s="650"/>
      <c r="AC12" s="650"/>
      <c r="AD12" s="650"/>
      <c r="AE12" s="650"/>
    </row>
    <row r="13" ht="6.75" customHeight="1">
      <c r="C13" s="318"/>
      <c r="D13" s="305"/>
      <c r="E13" s="305"/>
      <c r="F13" s="305"/>
      <c r="G13" s="305"/>
      <c r="H13" s="305"/>
      <c r="I13" s="305"/>
      <c r="J13" s="305"/>
      <c r="K13" s="305"/>
      <c r="L13" s="305"/>
      <c r="M13" s="305"/>
      <c r="N13" s="305"/>
      <c r="O13" s="305"/>
      <c r="P13" s="305"/>
      <c r="Q13" s="305"/>
      <c r="R13" s="305"/>
      <c r="S13" s="305"/>
      <c r="T13" s="305"/>
      <c r="U13" s="305"/>
      <c r="V13" s="305"/>
      <c r="W13" s="305"/>
      <c r="X13" s="305"/>
      <c r="Y13" s="305"/>
      <c r="Z13" s="305"/>
      <c r="AA13" s="305"/>
    </row>
    <row r="14" hidden="1" ht="2.25" customHeight="1">
      <c r="C14" s="319"/>
      <c r="D14" s="305"/>
      <c r="E14" s="305"/>
      <c r="F14" s="305"/>
      <c r="G14" s="305"/>
      <c r="H14" s="305"/>
      <c r="I14" s="305"/>
      <c r="J14" s="305"/>
      <c r="K14" s="305"/>
      <c r="L14" s="305"/>
      <c r="M14" s="305"/>
      <c r="N14" s="305"/>
      <c r="O14" s="305"/>
      <c r="P14" s="305"/>
      <c r="Q14" s="305"/>
      <c r="R14" s="305"/>
      <c r="S14" s="305"/>
      <c r="T14" s="305"/>
      <c r="U14" s="305"/>
      <c r="V14" s="305"/>
      <c r="W14" s="305"/>
      <c r="X14" s="305"/>
      <c r="Y14" s="305"/>
      <c r="Z14" s="305"/>
      <c r="AA14" s="305"/>
    </row>
    <row r="15" ht="22.5" customHeight="1">
      <c r="C15" s="709" t="s">
        <v>89</v>
      </c>
      <c r="D15" s="709"/>
      <c r="E15" s="709"/>
      <c r="F15" s="709"/>
      <c r="G15" s="709"/>
      <c r="H15" s="709"/>
      <c r="I15" s="709"/>
      <c r="J15" s="709"/>
      <c r="K15" s="709"/>
      <c r="L15" s="709"/>
      <c r="M15" s="709"/>
      <c r="N15" s="709"/>
      <c r="O15" s="709"/>
      <c r="P15" s="709"/>
      <c r="Q15" s="709"/>
      <c r="R15" s="709"/>
      <c r="S15" s="709"/>
      <c r="T15" s="709"/>
      <c r="U15" s="709"/>
      <c r="V15" s="709"/>
      <c r="W15" s="709"/>
      <c r="X15" s="709"/>
      <c r="Y15" s="709"/>
      <c r="Z15" s="709"/>
      <c r="AA15" s="709"/>
      <c r="AB15" s="709"/>
      <c r="AC15" s="709"/>
      <c r="AD15" s="709"/>
      <c r="AE15" s="709"/>
      <c r="AF15" s="709"/>
      <c r="AG15" s="346"/>
      <c r="AH15" s="346"/>
      <c r="AI15" s="321">
        <v>1</v>
      </c>
      <c r="AJ15" s="321"/>
      <c r="AK15" s="321"/>
      <c r="AL15" s="321"/>
      <c r="AM15" s="321">
        <v>2</v>
      </c>
      <c r="AN15" s="321"/>
      <c r="AO15" s="321"/>
      <c r="AP15" s="321"/>
      <c r="AQ15" s="321">
        <v>3</v>
      </c>
      <c r="AU15" s="282">
        <v>4</v>
      </c>
    </row>
    <row r="16" ht="38.25" customHeight="1">
      <c r="C16" s="693" t="s">
        <v>93</v>
      </c>
      <c r="D16" s="694"/>
      <c r="E16" s="694"/>
      <c r="F16" s="694"/>
      <c r="G16" s="694"/>
      <c r="H16" s="694"/>
      <c r="I16" s="694"/>
      <c r="J16" s="694"/>
      <c r="K16" s="694"/>
      <c r="L16" s="695"/>
      <c r="M16" s="696" t="str">
        <f>AI16</f>
        <v>Ấp Bàu Trâu, xã Phước Thạnh, huyện Củ Chi, thành phố Hồ Chí Minh.</v>
      </c>
      <c r="N16" s="697"/>
      <c r="O16" s="697"/>
      <c r="P16" s="697"/>
      <c r="Q16" s="697"/>
      <c r="R16" s="697"/>
      <c r="S16" s="697"/>
      <c r="T16" s="697"/>
      <c r="U16" s="697"/>
      <c r="V16" s="697"/>
      <c r="W16" s="697"/>
      <c r="X16" s="697"/>
      <c r="Y16" s="697"/>
      <c r="Z16" s="697"/>
      <c r="AA16" s="697"/>
      <c r="AB16" s="697"/>
      <c r="AC16" s="697"/>
      <c r="AD16" s="697"/>
      <c r="AE16" s="697"/>
      <c r="AF16" s="698"/>
      <c r="AG16" s="347"/>
      <c r="AH16" s="347"/>
      <c r="AI16" s="341" t="s">
        <v>94</v>
      </c>
    </row>
    <row r="17" ht="22.5" customHeight="1">
      <c r="C17" s="716" t="s">
        <v>95</v>
      </c>
      <c r="D17" s="717"/>
      <c r="E17" s="717"/>
      <c r="F17" s="717"/>
      <c r="G17" s="717"/>
      <c r="H17" s="717"/>
      <c r="I17" s="717"/>
      <c r="J17" s="717"/>
      <c r="K17" s="717"/>
      <c r="L17" s="718"/>
      <c r="M17" s="713" t="str">
        <f>IF(AG17="","",AG17)</f>
      </c>
      <c r="N17" s="714"/>
      <c r="O17" s="714"/>
      <c r="P17" s="714"/>
      <c r="Q17" s="714"/>
      <c r="R17" s="714"/>
      <c r="S17" s="714"/>
      <c r="T17" s="714"/>
      <c r="U17" s="714"/>
      <c r="V17" s="714"/>
      <c r="W17" s="714"/>
      <c r="X17" s="714"/>
      <c r="Y17" s="714"/>
      <c r="Z17" s="714"/>
      <c r="AA17" s="714"/>
      <c r="AB17" s="714"/>
      <c r="AC17" s="714"/>
      <c r="AD17" s="714"/>
      <c r="AE17" s="714"/>
      <c r="AF17" s="715"/>
      <c r="AG17" s="347"/>
      <c r="AH17" s="347"/>
    </row>
    <row r="18" ht="31.35" customHeight="1">
      <c r="C18" s="723" t="s">
        <v>96</v>
      </c>
      <c r="D18" s="724"/>
      <c r="E18" s="724"/>
      <c r="F18" s="724"/>
      <c r="G18" s="724"/>
      <c r="H18" s="724"/>
      <c r="I18" s="724"/>
      <c r="J18" s="724"/>
      <c r="K18" s="724"/>
      <c r="L18" s="724"/>
      <c r="M18" s="703" t="str">
        <f>AI18</f>
        <v>CÔNG TY CỔ PHẦN VIỄN THÔNG DI ĐỘNG TOÀN CẦU</v>
      </c>
      <c r="N18" s="703"/>
      <c r="O18" s="703"/>
      <c r="P18" s="703"/>
      <c r="Q18" s="703"/>
      <c r="R18" s="703"/>
      <c r="S18" s="703"/>
      <c r="T18" s="703"/>
      <c r="U18" s="703"/>
      <c r="V18" s="703"/>
      <c r="W18" s="703"/>
      <c r="X18" s="703"/>
      <c r="Y18" s="703"/>
      <c r="Z18" s="703"/>
      <c r="AA18" s="703"/>
      <c r="AB18" s="703"/>
      <c r="AC18" s="703"/>
      <c r="AD18" s="703"/>
      <c r="AE18" s="703"/>
      <c r="AF18" s="703"/>
      <c r="AG18" s="347"/>
      <c r="AH18" s="347"/>
      <c r="AI18" s="316" t="s">
        <v>99</v>
      </c>
    </row>
    <row r="19" ht="31.35" customHeight="1">
      <c r="C19" s="723" t="s">
        <v>98</v>
      </c>
      <c r="D19" s="724"/>
      <c r="E19" s="724"/>
      <c r="F19" s="724"/>
      <c r="G19" s="724"/>
      <c r="H19" s="724"/>
      <c r="I19" s="724"/>
      <c r="J19" s="724"/>
      <c r="K19" s="724"/>
      <c r="L19" s="724"/>
      <c r="M19" s="703" t="str">
        <f>AI19</f>
        <v>CÔNG TY CỔ PHẦN VIỄN THÔNG DI ĐỘNG TOÀN CẦU</v>
      </c>
      <c r="N19" s="703"/>
      <c r="O19" s="703"/>
      <c r="P19" s="703"/>
      <c r="Q19" s="703"/>
      <c r="R19" s="703"/>
      <c r="S19" s="703"/>
      <c r="T19" s="703"/>
      <c r="U19" s="703"/>
      <c r="V19" s="703"/>
      <c r="W19" s="703"/>
      <c r="X19" s="703"/>
      <c r="Y19" s="703"/>
      <c r="Z19" s="703"/>
      <c r="AA19" s="703"/>
      <c r="AB19" s="703"/>
      <c r="AC19" s="703"/>
      <c r="AD19" s="703"/>
      <c r="AE19" s="703"/>
      <c r="AF19" s="703"/>
      <c r="AG19" s="347"/>
      <c r="AH19" s="347"/>
      <c r="AI19" s="316" t="s">
        <v>99</v>
      </c>
    </row>
    <row r="20" ht="18.75" customHeight="1">
      <c r="C20" s="690" t="s">
        <v>100</v>
      </c>
      <c r="D20" s="691"/>
      <c r="E20" s="691"/>
      <c r="F20" s="691"/>
      <c r="G20" s="691"/>
      <c r="H20" s="691"/>
      <c r="I20" s="691"/>
      <c r="J20" s="691"/>
      <c r="K20" s="691"/>
      <c r="L20" s="691"/>
      <c r="M20" s="691"/>
      <c r="N20" s="691"/>
      <c r="O20" s="691"/>
      <c r="P20" s="691"/>
      <c r="Q20" s="691"/>
      <c r="R20" s="691"/>
      <c r="S20" s="691"/>
      <c r="T20" s="691"/>
      <c r="U20" s="691"/>
      <c r="V20" s="691"/>
      <c r="W20" s="691"/>
      <c r="X20" s="691"/>
      <c r="Y20" s="691"/>
      <c r="Z20" s="691"/>
      <c r="AA20" s="691"/>
      <c r="AB20" s="691"/>
      <c r="AC20" s="691"/>
      <c r="AD20" s="691"/>
      <c r="AE20" s="691"/>
      <c r="AF20" s="692"/>
      <c r="AG20" s="348"/>
      <c r="AH20" s="348"/>
    </row>
    <row r="21" ht="45.2" customHeight="1">
      <c r="C21" s="707" t="s">
        <v>101</v>
      </c>
      <c r="D21" s="707"/>
      <c r="E21" s="707"/>
      <c r="F21" s="707"/>
      <c r="G21" s="707"/>
      <c r="H21" s="707"/>
      <c r="I21" s="707"/>
      <c r="J21" s="707"/>
      <c r="K21" s="707"/>
      <c r="L21" s="707"/>
      <c r="M21" s="703" t="str">
        <f ref="M21:M23" t="shared" si="0">AI21</f>
        <v>A</v>
      </c>
      <c r="N21" s="703"/>
      <c r="O21" s="703"/>
      <c r="P21" s="703"/>
      <c r="Q21" s="703"/>
      <c r="R21" s="703" t="str">
        <f ref="R21:R23" t="shared" si="1">AM21</f>
        <v>B</v>
      </c>
      <c r="S21" s="703"/>
      <c r="T21" s="703"/>
      <c r="U21" s="703"/>
      <c r="V21" s="703"/>
      <c r="W21" s="703" t="str">
        <f>AQ21</f>
        <v>C</v>
      </c>
      <c r="X21" s="703"/>
      <c r="Y21" s="703"/>
      <c r="Z21" s="703"/>
      <c r="AA21" s="703"/>
      <c r="AB21" s="703" t="str">
        <f>AU21</f>
        <v>D</v>
      </c>
      <c r="AC21" s="703"/>
      <c r="AD21" s="703"/>
      <c r="AE21" s="703"/>
      <c r="AF21" s="703"/>
      <c r="AG21" s="346"/>
      <c r="AH21" s="346"/>
      <c r="AI21" s="316" t="s">
        <v>740</v>
      </c>
      <c r="AM21" s="316" t="s">
        <v>103</v>
      </c>
      <c r="AQ21" s="316" t="s">
        <v>104</v>
      </c>
      <c r="AU21" s="316" t="s">
        <v>105</v>
      </c>
    </row>
    <row r="22" ht="17.1" customHeight="1">
      <c r="C22" s="707" t="s">
        <v>106</v>
      </c>
      <c r="D22" s="707"/>
      <c r="E22" s="707"/>
      <c r="F22" s="707"/>
      <c r="G22" s="707"/>
      <c r="H22" s="707"/>
      <c r="I22" s="707"/>
      <c r="J22" s="707"/>
      <c r="K22" s="707"/>
      <c r="L22" s="707"/>
      <c r="M22" s="703">
        <f>AI22</f>
        <v>3</v>
      </c>
      <c r="N22" s="703"/>
      <c r="O22" s="703"/>
      <c r="P22" s="703"/>
      <c r="Q22" s="703"/>
      <c r="R22" s="703">
        <f>AM22</f>
        <v>3</v>
      </c>
      <c r="S22" s="703"/>
      <c r="T22" s="703"/>
      <c r="U22" s="703"/>
      <c r="V22" s="703"/>
      <c r="W22" s="703">
        <f>AQ22</f>
        <v>3</v>
      </c>
      <c r="X22" s="703"/>
      <c r="Y22" s="703"/>
      <c r="Z22" s="703"/>
      <c r="AA22" s="703"/>
      <c r="AB22" s="703">
        <f>AU22</f>
        <v>1</v>
      </c>
      <c r="AC22" s="703"/>
      <c r="AD22" s="703"/>
      <c r="AE22" s="703"/>
      <c r="AF22" s="703"/>
      <c r="AG22" s="346"/>
      <c r="AH22" s="346"/>
      <c r="AI22" s="321">
        <v>3</v>
      </c>
      <c r="AJ22" s="321"/>
      <c r="AK22" s="321"/>
      <c r="AL22" s="321"/>
      <c r="AM22" s="321">
        <v>3</v>
      </c>
      <c r="AN22" s="321"/>
      <c r="AO22" s="321"/>
      <c r="AP22" s="321"/>
      <c r="AQ22" s="321">
        <v>3</v>
      </c>
      <c r="AU22" s="282">
        <v>1</v>
      </c>
    </row>
    <row r="23" ht="17.1" customHeight="1">
      <c r="C23" s="707" t="s">
        <v>107</v>
      </c>
      <c r="D23" s="707"/>
      <c r="E23" s="707"/>
      <c r="F23" s="707"/>
      <c r="G23" s="707"/>
      <c r="H23" s="707"/>
      <c r="I23" s="707"/>
      <c r="J23" s="707"/>
      <c r="K23" s="707"/>
      <c r="L23" s="707"/>
      <c r="M23" s="719" t="str">
        <f t="shared" si="0"/>
        <v>4/4/4</v>
      </c>
      <c r="N23" s="719"/>
      <c r="O23" s="719"/>
      <c r="P23" s="719"/>
      <c r="Q23" s="719"/>
      <c r="R23" s="719" t="str">
        <f t="shared" si="1"/>
        <v>2/2/2</v>
      </c>
      <c r="S23" s="719"/>
      <c r="T23" s="719"/>
      <c r="U23" s="719"/>
      <c r="V23" s="719"/>
      <c r="W23" s="721" t="str">
        <f>AQ23</f>
        <v>5/5/5</v>
      </c>
      <c r="X23" s="719"/>
      <c r="Y23" s="719"/>
      <c r="Z23" s="719"/>
      <c r="AA23" s="719"/>
      <c r="AB23" s="721" t="str">
        <f>AU23</f>
        <v>4/2/4</v>
      </c>
      <c r="AC23" s="719"/>
      <c r="AD23" s="719"/>
      <c r="AE23" s="719"/>
      <c r="AF23" s="719"/>
      <c r="AI23" s="326" t="s">
        <v>108</v>
      </c>
      <c r="AJ23" s="327"/>
      <c r="AK23" s="327"/>
      <c r="AL23" s="327"/>
      <c r="AM23" s="326" t="s">
        <v>109</v>
      </c>
      <c r="AN23" s="327"/>
      <c r="AO23" s="327"/>
      <c r="AP23" s="327"/>
      <c r="AQ23" s="326" t="s">
        <v>110</v>
      </c>
      <c r="AR23" s="327"/>
      <c r="AS23" s="327"/>
      <c r="AT23" s="327"/>
      <c r="AU23" s="326" t="s">
        <v>111</v>
      </c>
    </row>
    <row r="24" ht="31.35" customHeight="1">
      <c r="C24" s="707" t="s">
        <v>112</v>
      </c>
      <c r="D24" s="707"/>
      <c r="E24" s="707"/>
      <c r="F24" s="707"/>
      <c r="G24" s="707"/>
      <c r="H24" s="707"/>
      <c r="I24" s="707"/>
      <c r="J24" s="707"/>
      <c r="K24" s="707"/>
      <c r="L24" s="707"/>
      <c r="M24" s="719" t="str">
        <f>IF(M22=4,AI24&amp;"W/ "&amp;AJ24&amp;"W/ "&amp;AK24&amp;"W/ "&amp;AL24&amp;"W",IF(M22=3,AI24&amp;"W/ "&amp;AJ24&amp;"W/ "&amp;AK24&amp;"W",IF(M22=2,AI24&amp;"W/ "&amp;AJ24&amp;"W",AI24&amp;"W")))</f>
        <v>100,45W/ 100,69W/ 100,69W</v>
      </c>
      <c r="N24" s="719"/>
      <c r="O24" s="719"/>
      <c r="P24" s="719"/>
      <c r="Q24" s="719"/>
      <c r="R24" s="719" t="str">
        <f>IF(R22=4,AM24&amp;"W/ "&amp;AN24&amp;"W/ "&amp;AO24&amp;"W/ "&amp;AP24&amp;"W",IF(R22=3,AM24&amp;"W/ "&amp;AN24&amp;"W/ "&amp;AO24&amp;"W",IF(R22=2,AM24&amp;"W/ "&amp;AN24&amp;"W",AM24&amp;"W")))</f>
        <v>40W/ 40W/ 40W</v>
      </c>
      <c r="S24" s="719"/>
      <c r="T24" s="719"/>
      <c r="U24" s="719"/>
      <c r="V24" s="719"/>
      <c r="W24" s="719" t="str">
        <f>IF(W22=4,AQ24&amp;"W/ "&amp;AR24&amp;"W/ "&amp;AS24&amp;"W/ "&amp;AT24&amp;"W",IF(W22=3,AQ24&amp;"W/ "&amp;AR24&amp;"W/ "&amp;AS24&amp;"W",IF(W22=2,AQ24&amp;"W/ "&amp;AR24&amp;"W",AQ24&amp;"W")))</f>
        <v>60W/ 60W/ 60W</v>
      </c>
      <c r="X24" s="719"/>
      <c r="Y24" s="719"/>
      <c r="Z24" s="719"/>
      <c r="AA24" s="719"/>
      <c r="AB24" s="719" t="str">
        <f>IF(AB22=3,AU24&amp;"W/ "&amp;AV24&amp;"W/ "&amp;AW24&amp;"W",IF(AB22=2,AU24&amp;"W/ "&amp;AV24&amp;"W",AW24&amp;"W"))</f>
        <v>80W</v>
      </c>
      <c r="AC24" s="719"/>
      <c r="AD24" s="719"/>
      <c r="AE24" s="719"/>
      <c r="AF24" s="719"/>
      <c r="AI24" s="282" t="s">
        <v>737</v>
      </c>
      <c r="AJ24" s="282" t="s">
        <v>845</v>
      </c>
      <c r="AK24" s="282">
        <v>100.69</v>
      </c>
      <c r="AM24" s="282">
        <v>40</v>
      </c>
      <c r="AN24" s="282">
        <v>40</v>
      </c>
      <c r="AO24" s="282">
        <v>40</v>
      </c>
      <c r="AQ24" s="282">
        <v>60</v>
      </c>
      <c r="AR24" s="282">
        <v>60</v>
      </c>
      <c r="AS24" s="282">
        <v>60</v>
      </c>
      <c r="AU24" s="282">
        <v>80</v>
      </c>
      <c r="AV24" s="282">
        <v>80</v>
      </c>
      <c r="AW24" s="282">
        <v>80</v>
      </c>
    </row>
    <row r="25" ht="31.35" customHeight="1">
      <c r="C25" s="707" t="s">
        <v>113</v>
      </c>
      <c r="D25" s="707"/>
      <c r="E25" s="707"/>
      <c r="F25" s="707"/>
      <c r="G25" s="707"/>
      <c r="H25" s="707"/>
      <c r="I25" s="707"/>
      <c r="J25" s="707"/>
      <c r="K25" s="707"/>
      <c r="L25" s="707"/>
      <c r="M25" s="719" t="str">
        <f>IF(AI25="900 &amp; 1800","900MHz &amp; 1800MHz",IF(AI25="900 &amp; 2100","900MHz &amp; 2100MHz",AI25&amp;"MHz"))</f>
        <v>900MHz</v>
      </c>
      <c r="N25" s="719"/>
      <c r="O25" s="719"/>
      <c r="P25" s="719"/>
      <c r="Q25" s="719"/>
      <c r="R25" s="719" t="str">
        <f>IF(AM25="900 &amp; 1800","900MHz &amp; 1800MHz",IF(AM25="900 &amp; 2100","900MHz &amp; 2100MHz",AM25&amp;"MHz"))</f>
        <v>1800MHz</v>
      </c>
      <c r="S25" s="719"/>
      <c r="T25" s="719"/>
      <c r="U25" s="719"/>
      <c r="V25" s="719"/>
      <c r="W25" s="719" t="str">
        <f>IF(AQ25="900 &amp; 1800","900MHz &amp; 1800MHz",IF(AQ25="900 &amp; 2100","900MHz &amp; 2100MHz",AQ25&amp;"MHz"))</f>
        <v>2100MHz</v>
      </c>
      <c r="X25" s="719"/>
      <c r="Y25" s="719"/>
      <c r="Z25" s="719"/>
      <c r="AA25" s="719"/>
      <c r="AB25" s="719" t="str">
        <f>IF(AU25="900 &amp; 1800","900MHz &amp; 1800MHz",IF(AU25="900 &amp; 2100","900MHz &amp; 2100MHz",AU25&amp;"MHz"))</f>
        <v>900;1800MHz</v>
      </c>
      <c r="AC25" s="719"/>
      <c r="AD25" s="719"/>
      <c r="AE25" s="719"/>
      <c r="AF25" s="719"/>
      <c r="AI25" s="282">
        <v>900</v>
      </c>
      <c r="AM25" s="282">
        <v>1800</v>
      </c>
      <c r="AQ25" s="282">
        <v>2100</v>
      </c>
      <c r="AU25" s="316" t="s">
        <v>114</v>
      </c>
    </row>
    <row r="26" ht="31.35" customHeight="1">
      <c r="C26" s="707" t="s">
        <v>741</v>
      </c>
      <c r="D26" s="707"/>
      <c r="E26" s="707"/>
      <c r="F26" s="707"/>
      <c r="G26" s="707"/>
      <c r="H26" s="707"/>
      <c r="I26" s="707"/>
      <c r="J26" s="707"/>
      <c r="K26" s="707"/>
      <c r="L26" s="707"/>
      <c r="M26" s="719">
        <f>AI26</f>
        <v>15</v>
      </c>
      <c r="N26" s="719"/>
      <c r="O26" s="719"/>
      <c r="P26" s="719"/>
      <c r="Q26" s="719"/>
      <c r="R26" s="719">
        <f>AM26</f>
        <v>16</v>
      </c>
      <c r="S26" s="719"/>
      <c r="T26" s="719"/>
      <c r="U26" s="719"/>
      <c r="V26" s="719"/>
      <c r="W26" s="719">
        <f>AQ26</f>
        <v>17</v>
      </c>
      <c r="X26" s="719"/>
      <c r="Y26" s="719"/>
      <c r="Z26" s="719"/>
      <c r="AA26" s="719"/>
      <c r="AB26" s="719">
        <f>AU26</f>
        <v>18</v>
      </c>
      <c r="AC26" s="719"/>
      <c r="AD26" s="719"/>
      <c r="AE26" s="719"/>
      <c r="AF26" s="719"/>
      <c r="AI26" s="282">
        <v>15</v>
      </c>
      <c r="AJ26" s="282">
        <v>15</v>
      </c>
      <c r="AK26" s="282">
        <v>15</v>
      </c>
      <c r="AM26" s="282">
        <v>16</v>
      </c>
      <c r="AN26" s="282">
        <v>16</v>
      </c>
      <c r="AO26" s="282">
        <v>16</v>
      </c>
      <c r="AQ26" s="282">
        <v>17</v>
      </c>
      <c r="AR26" s="282">
        <v>17</v>
      </c>
      <c r="AS26" s="282">
        <v>17</v>
      </c>
      <c r="AU26" s="282">
        <v>18</v>
      </c>
      <c r="AV26" s="282">
        <v>18</v>
      </c>
      <c r="AW26" s="282">
        <v>18</v>
      </c>
    </row>
    <row r="27" ht="21.75" customHeight="1">
      <c r="C27" s="722" t="s">
        <v>116</v>
      </c>
      <c r="D27" s="722"/>
      <c r="E27" s="722"/>
      <c r="F27" s="722"/>
      <c r="G27" s="722"/>
      <c r="H27" s="722"/>
      <c r="I27" s="722"/>
      <c r="J27" s="722"/>
      <c r="K27" s="722"/>
      <c r="L27" s="722"/>
      <c r="M27" s="722"/>
      <c r="N27" s="722"/>
      <c r="O27" s="722"/>
      <c r="P27" s="722"/>
      <c r="Q27" s="722"/>
      <c r="R27" s="722"/>
      <c r="S27" s="722"/>
      <c r="T27" s="722"/>
      <c r="U27" s="722"/>
      <c r="V27" s="722"/>
      <c r="W27" s="722"/>
      <c r="X27" s="722"/>
      <c r="Y27" s="722"/>
      <c r="Z27" s="722"/>
      <c r="AA27" s="722"/>
      <c r="AB27" s="328"/>
      <c r="AC27" s="328"/>
      <c r="AD27" s="328"/>
    </row>
    <row r="28" ht="27" customHeight="1">
      <c r="C28" s="677"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77"/>
      <c r="E28" s="677"/>
      <c r="F28" s="677"/>
      <c r="G28" s="677"/>
      <c r="H28" s="677"/>
      <c r="I28" s="677"/>
      <c r="J28" s="677"/>
      <c r="K28" s="677"/>
      <c r="L28" s="677"/>
      <c r="M28" s="677"/>
      <c r="N28" s="677"/>
      <c r="O28" s="677"/>
      <c r="P28" s="677"/>
      <c r="Q28" s="677"/>
      <c r="R28" s="677"/>
      <c r="S28" s="677"/>
      <c r="T28" s="677"/>
      <c r="U28" s="677"/>
      <c r="V28" s="677"/>
      <c r="W28" s="677"/>
      <c r="X28" s="677"/>
      <c r="Y28" s="677"/>
      <c r="Z28" s="677"/>
      <c r="AA28" s="677"/>
      <c r="AB28" s="677"/>
      <c r="AC28" s="677"/>
      <c r="AD28" s="677"/>
      <c r="AE28" s="677"/>
      <c r="AF28" s="677"/>
      <c r="AI28" s="282">
        <v>20</v>
      </c>
      <c r="AQ28" s="282" t="s">
        <v>117</v>
      </c>
    </row>
    <row r="29" ht="27" customHeight="1">
      <c r="C29" s="677"/>
      <c r="D29" s="677"/>
      <c r="E29" s="677"/>
      <c r="F29" s="677"/>
      <c r="G29" s="677"/>
      <c r="H29" s="677"/>
      <c r="I29" s="677"/>
      <c r="J29" s="677"/>
      <c r="K29" s="677"/>
      <c r="L29" s="677"/>
      <c r="M29" s="677"/>
      <c r="N29" s="677"/>
      <c r="O29" s="677"/>
      <c r="P29" s="677"/>
      <c r="Q29" s="677"/>
      <c r="R29" s="677"/>
      <c r="S29" s="677"/>
      <c r="T29" s="677"/>
      <c r="U29" s="677"/>
      <c r="V29" s="677"/>
      <c r="W29" s="677"/>
      <c r="X29" s="677"/>
      <c r="Y29" s="677"/>
      <c r="Z29" s="677"/>
      <c r="AA29" s="677"/>
      <c r="AB29" s="677"/>
      <c r="AC29" s="677"/>
      <c r="AD29" s="677"/>
      <c r="AE29" s="677"/>
      <c r="AF29" s="677"/>
      <c r="AI29" s="282">
        <v>1</v>
      </c>
      <c r="AQ29" s="282"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82" t="s">
        <v>118</v>
      </c>
      <c r="AS29" s="282" t="str">
        <f>IF(AI28&gt;=0," cao hơn "," thấp hơn ")</f>
        <v> cao hơn </v>
      </c>
      <c r="AT29" s="282" t="s">
        <v>119</v>
      </c>
    </row>
    <row r="30" ht="16.5" customHeight="1">
      <c r="C30" s="667" t="str">
        <f>IF(AI31=1,AQ31,AQ30)</f>
        <v>Trạm gốc điện thoại di động mặt đất công cộng này có mức an toàn phơi nhiễm trường điện từ tuân thủ quy chuẩn kỹ thuật trên.</v>
      </c>
      <c r="D30" s="667"/>
      <c r="E30" s="667"/>
      <c r="F30" s="667"/>
      <c r="G30" s="667"/>
      <c r="H30" s="667"/>
      <c r="I30" s="667"/>
      <c r="J30" s="667"/>
      <c r="K30" s="667"/>
      <c r="L30" s="667"/>
      <c r="M30" s="667"/>
      <c r="N30" s="667"/>
      <c r="O30" s="667"/>
      <c r="P30" s="667"/>
      <c r="Q30" s="667"/>
      <c r="R30" s="667"/>
      <c r="S30" s="667"/>
      <c r="T30" s="667"/>
      <c r="U30" s="667"/>
      <c r="V30" s="667"/>
      <c r="W30" s="667"/>
      <c r="X30" s="667"/>
      <c r="Y30" s="667"/>
      <c r="Z30" s="667"/>
      <c r="AA30" s="667"/>
      <c r="AB30" s="667"/>
      <c r="AC30" s="667"/>
      <c r="AD30" s="667"/>
      <c r="AE30" s="667"/>
      <c r="AF30" s="667"/>
      <c r="AI30" s="282">
        <v>20</v>
      </c>
      <c r="AQ30" s="282" t="s">
        <v>120</v>
      </c>
    </row>
    <row r="31" ht="16.5" customHeight="1">
      <c r="C31" s="667"/>
      <c r="D31" s="667"/>
      <c r="E31" s="667"/>
      <c r="F31" s="667"/>
      <c r="G31" s="667"/>
      <c r="H31" s="667"/>
      <c r="I31" s="667"/>
      <c r="J31" s="667"/>
      <c r="K31" s="667"/>
      <c r="L31" s="667"/>
      <c r="M31" s="667"/>
      <c r="N31" s="667"/>
      <c r="O31" s="667"/>
      <c r="P31" s="667"/>
      <c r="Q31" s="667"/>
      <c r="R31" s="667"/>
      <c r="S31" s="667"/>
      <c r="T31" s="667"/>
      <c r="U31" s="667"/>
      <c r="V31" s="667"/>
      <c r="W31" s="667"/>
      <c r="X31" s="667"/>
      <c r="Y31" s="667"/>
      <c r="Z31" s="667"/>
      <c r="AA31" s="667"/>
      <c r="AB31" s="667"/>
      <c r="AC31" s="667"/>
      <c r="AD31" s="667"/>
      <c r="AE31" s="667"/>
      <c r="AF31" s="667"/>
      <c r="AI31" s="282">
        <v>2</v>
      </c>
      <c r="AQ31" s="329"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78" t="s">
        <v>120</v>
      </c>
      <c r="D32" s="678"/>
      <c r="E32" s="678"/>
      <c r="F32" s="678"/>
      <c r="G32" s="678"/>
      <c r="H32" s="678"/>
      <c r="I32" s="678"/>
      <c r="J32" s="678"/>
      <c r="K32" s="678"/>
      <c r="L32" s="678"/>
      <c r="M32" s="678"/>
      <c r="N32" s="678"/>
      <c r="O32" s="678"/>
      <c r="P32" s="678"/>
      <c r="Q32" s="678"/>
      <c r="R32" s="678"/>
      <c r="S32" s="678"/>
      <c r="T32" s="678"/>
      <c r="U32" s="678"/>
      <c r="V32" s="678"/>
      <c r="W32" s="678"/>
      <c r="X32" s="678"/>
      <c r="Y32" s="678"/>
      <c r="Z32" s="678"/>
      <c r="AA32" s="678"/>
      <c r="AB32" s="678"/>
      <c r="AC32" s="678"/>
      <c r="AD32" s="678"/>
      <c r="AE32" s="678"/>
      <c r="AF32" s="678"/>
    </row>
    <row r="33" ht="17.1" customHeight="1">
      <c r="C33" s="678"/>
      <c r="D33" s="678"/>
      <c r="E33" s="678"/>
      <c r="F33" s="678"/>
      <c r="G33" s="678"/>
      <c r="H33" s="678"/>
      <c r="I33" s="678"/>
      <c r="J33" s="678"/>
      <c r="K33" s="678"/>
      <c r="L33" s="678"/>
      <c r="M33" s="678"/>
      <c r="N33" s="678"/>
      <c r="O33" s="678"/>
      <c r="P33" s="678"/>
      <c r="Q33" s="678"/>
      <c r="R33" s="678"/>
      <c r="S33" s="678"/>
      <c r="T33" s="678"/>
      <c r="U33" s="678"/>
      <c r="V33" s="678"/>
      <c r="W33" s="678"/>
      <c r="X33" s="678"/>
      <c r="Y33" s="678"/>
      <c r="Z33" s="678"/>
      <c r="AA33" s="678"/>
      <c r="AB33" s="678"/>
      <c r="AC33" s="678"/>
      <c r="AD33" s="678"/>
      <c r="AE33" s="678"/>
      <c r="AF33" s="678"/>
    </row>
    <row r="34" ht="17.1" customHeight="1">
      <c r="C34" s="644"/>
      <c r="D34" s="644"/>
      <c r="E34" s="644"/>
      <c r="F34" s="644"/>
      <c r="G34" s="644"/>
      <c r="H34" s="328"/>
      <c r="I34" s="645"/>
      <c r="J34" s="645"/>
      <c r="K34" s="645"/>
      <c r="L34" s="645"/>
      <c r="M34" s="645"/>
      <c r="N34" s="645"/>
      <c r="O34" s="645"/>
      <c r="P34" s="302"/>
      <c r="Q34" s="302"/>
      <c r="R34" s="302"/>
      <c r="S34" s="302"/>
      <c r="T34" s="639" t="str">
        <f>IF(AI41=0,AO34,IF(AI41=1,AK34,AS34))</f>
        <v>KT. GIÁM ĐỐC</v>
      </c>
      <c r="U34" s="639"/>
      <c r="V34" s="639"/>
      <c r="W34" s="639"/>
      <c r="X34" s="639"/>
      <c r="Y34" s="639"/>
      <c r="Z34" s="639"/>
      <c r="AA34" s="639"/>
      <c r="AB34" s="639"/>
      <c r="AC34" s="639"/>
      <c r="AD34" s="639"/>
      <c r="AE34" s="639"/>
      <c r="AF34" s="639"/>
      <c r="AK34" s="282" t="s">
        <v>121</v>
      </c>
      <c r="AO34" s="282" t="s">
        <v>122</v>
      </c>
      <c r="AS34" s="282" t="s">
        <v>123</v>
      </c>
    </row>
    <row r="35" ht="17.1" customHeight="1">
      <c r="C35" s="640" t="s">
        <v>124</v>
      </c>
      <c r="D35" s="640"/>
      <c r="E35" s="640"/>
      <c r="F35" s="640"/>
      <c r="G35" s="640"/>
      <c r="H35" s="331" t="s">
        <v>125</v>
      </c>
      <c r="I35" s="642" t="s">
        <v>126</v>
      </c>
      <c r="J35" s="642"/>
      <c r="K35" s="642"/>
      <c r="L35" s="642"/>
      <c r="M35" s="642"/>
      <c r="N35" s="642"/>
      <c r="O35" s="642"/>
      <c r="P35" s="332"/>
      <c r="Q35" s="328"/>
      <c r="R35" s="328"/>
      <c r="S35" s="328"/>
      <c r="T35" s="639" t="str">
        <f>IF(AI41=0,AO35,IF(AI41=1,"",AS35))</f>
        <v>PHÓ GIÁM ĐỐC</v>
      </c>
      <c r="U35" s="639"/>
      <c r="V35" s="639"/>
      <c r="W35" s="639"/>
      <c r="X35" s="639"/>
      <c r="Y35" s="639"/>
      <c r="Z35" s="639"/>
      <c r="AA35" s="639"/>
      <c r="AB35" s="639"/>
      <c r="AC35" s="639"/>
      <c r="AD35" s="639"/>
      <c r="AE35" s="639"/>
      <c r="AF35" s="639"/>
      <c r="AO35" s="282" t="s">
        <v>127</v>
      </c>
      <c r="AS35" s="282" t="s">
        <v>128</v>
      </c>
    </row>
    <row r="36" ht="17.1" customHeight="1">
      <c r="C36" s="640" t="s">
        <v>129</v>
      </c>
      <c r="D36" s="640"/>
      <c r="E36" s="640"/>
      <c r="F36" s="640"/>
      <c r="G36" s="640"/>
      <c r="H36" s="331" t="s">
        <v>125</v>
      </c>
      <c r="I36" s="641">
        <f>AI36</f>
        <v>40806</v>
      </c>
      <c r="J36" s="642"/>
      <c r="K36" s="642"/>
      <c r="L36" s="642"/>
      <c r="M36" s="642"/>
      <c r="N36" s="333"/>
      <c r="O36" s="333"/>
      <c r="P36" s="333"/>
      <c r="Q36" s="328"/>
      <c r="R36" s="328"/>
      <c r="S36" s="328"/>
      <c r="T36" s="328"/>
      <c r="U36" s="328"/>
      <c r="V36" s="328"/>
      <c r="W36" s="328"/>
      <c r="X36" s="328"/>
      <c r="Y36" s="328"/>
      <c r="Z36" s="328"/>
      <c r="AA36" s="328"/>
      <c r="AB36" s="328"/>
      <c r="AC36" s="328"/>
      <c r="AD36" s="328"/>
      <c r="AG36" s="334"/>
      <c r="AI36" s="334">
        <v>40806</v>
      </c>
    </row>
    <row r="37" ht="17.1" customHeight="1">
      <c r="C37" s="640" t="s">
        <v>130</v>
      </c>
      <c r="D37" s="640"/>
      <c r="E37" s="640"/>
      <c r="F37" s="640"/>
      <c r="G37" s="640"/>
      <c r="H37" s="331" t="s">
        <v>125</v>
      </c>
      <c r="I37" s="641">
        <f>AI37</f>
        <v>42633</v>
      </c>
      <c r="J37" s="642"/>
      <c r="K37" s="642"/>
      <c r="L37" s="642"/>
      <c r="M37" s="642"/>
      <c r="N37" s="333"/>
      <c r="O37" s="333"/>
      <c r="P37" s="333"/>
      <c r="Q37" s="328"/>
      <c r="R37" s="328"/>
      <c r="S37" s="328"/>
      <c r="T37" s="328"/>
      <c r="U37" s="328"/>
      <c r="V37" s="328"/>
      <c r="W37" s="328"/>
      <c r="X37" s="328"/>
      <c r="Y37" s="328"/>
      <c r="Z37" s="328"/>
      <c r="AA37" s="328"/>
      <c r="AB37" s="328"/>
      <c r="AC37" s="328"/>
      <c r="AD37" s="328"/>
      <c r="AG37" s="334"/>
      <c r="AI37" s="334">
        <v>42633</v>
      </c>
    </row>
    <row r="38" ht="17.1" customHeight="1">
      <c r="C38" s="335"/>
      <c r="D38" s="335"/>
      <c r="E38" s="335"/>
      <c r="F38" s="312"/>
      <c r="G38" s="305"/>
      <c r="H38" s="305"/>
      <c r="I38" s="305"/>
      <c r="J38" s="305"/>
      <c r="K38" s="305"/>
      <c r="L38" s="305"/>
      <c r="M38" s="305"/>
      <c r="N38" s="305"/>
      <c r="O38" s="305"/>
      <c r="P38" s="305"/>
      <c r="Q38" s="305"/>
      <c r="R38" s="305"/>
      <c r="S38" s="305"/>
      <c r="T38" s="305"/>
      <c r="U38" s="305"/>
      <c r="V38" s="305"/>
      <c r="W38" s="305"/>
      <c r="X38" s="305"/>
      <c r="Y38" s="305"/>
      <c r="Z38" s="305"/>
      <c r="AA38" s="305"/>
      <c r="AB38" s="328"/>
      <c r="AC38" s="328"/>
      <c r="AD38" s="328"/>
    </row>
    <row r="39" ht="17.1" customHeight="1">
      <c r="C39" s="335"/>
      <c r="D39" s="335"/>
      <c r="E39" s="335"/>
      <c r="F39" s="312"/>
      <c r="G39" s="305"/>
      <c r="H39" s="305"/>
      <c r="I39" s="305"/>
      <c r="J39" s="305"/>
      <c r="K39" s="305"/>
      <c r="L39" s="305"/>
      <c r="M39" s="305"/>
      <c r="N39" s="305"/>
      <c r="O39" s="305"/>
      <c r="P39" s="305"/>
      <c r="Q39" s="305"/>
      <c r="R39" s="305"/>
      <c r="S39" s="305"/>
      <c r="T39" s="305"/>
      <c r="U39" s="305"/>
      <c r="V39" s="305"/>
      <c r="W39" s="305"/>
      <c r="X39" s="305"/>
      <c r="Y39" s="305"/>
      <c r="Z39" s="305"/>
      <c r="AA39" s="305"/>
      <c r="AB39" s="328"/>
      <c r="AC39" s="328"/>
      <c r="AD39" s="328"/>
      <c r="AI39" s="282">
        <v>0</v>
      </c>
    </row>
    <row r="40" ht="17.1" customHeight="1">
      <c r="C40" s="335"/>
      <c r="D40" s="335"/>
      <c r="E40" s="335"/>
      <c r="F40" s="312"/>
      <c r="G40" s="305"/>
      <c r="H40" s="305"/>
      <c r="I40" s="305"/>
      <c r="J40" s="305"/>
      <c r="K40" s="305"/>
      <c r="L40" s="305"/>
      <c r="M40" s="305"/>
      <c r="N40" s="305"/>
      <c r="O40" s="305"/>
      <c r="P40" s="302"/>
      <c r="Q40" s="302"/>
      <c r="R40" s="302"/>
      <c r="S40" s="302"/>
      <c r="T40" s="638"/>
      <c r="U40" s="638"/>
      <c r="V40" s="638"/>
      <c r="W40" s="638"/>
      <c r="X40" s="638"/>
      <c r="Y40" s="638"/>
      <c r="Z40" s="638"/>
      <c r="AA40" s="638"/>
      <c r="AB40" s="638"/>
      <c r="AC40" s="638"/>
      <c r="AD40" s="638"/>
      <c r="AE40" s="638"/>
    </row>
    <row r="41" ht="17.1" customHeight="1">
      <c r="C41" s="335"/>
      <c r="D41" s="335"/>
      <c r="E41" s="335"/>
      <c r="F41" s="312"/>
      <c r="G41" s="305"/>
      <c r="H41" s="305"/>
      <c r="I41" s="305"/>
      <c r="J41" s="305"/>
      <c r="K41" s="305"/>
      <c r="L41" s="305"/>
      <c r="M41" s="305"/>
      <c r="N41" s="305"/>
      <c r="O41" s="305"/>
      <c r="P41" s="305"/>
      <c r="Q41" s="305"/>
      <c r="R41" s="305"/>
      <c r="S41" s="305"/>
      <c r="T41" s="638" t="str">
        <f>IF(AI41=0,AO41,IF(AI41=1,AK41,AT41))</f>
        <v>Trần Công Khanh</v>
      </c>
      <c r="U41" s="638"/>
      <c r="V41" s="638"/>
      <c r="W41" s="638"/>
      <c r="X41" s="638"/>
      <c r="Y41" s="638"/>
      <c r="Z41" s="638"/>
      <c r="AA41" s="638"/>
      <c r="AB41" s="638"/>
      <c r="AC41" s="638"/>
      <c r="AD41" s="638"/>
      <c r="AE41" s="638"/>
      <c r="AF41" s="638"/>
      <c r="AI41" s="282">
        <v>0</v>
      </c>
      <c r="AK41" s="282" t="s">
        <v>131</v>
      </c>
      <c r="AO41" s="282" t="s">
        <v>132</v>
      </c>
      <c r="AT41" s="282" t="s">
        <v>133</v>
      </c>
    </row>
    <row r="42" ht="17.25" customHeight="1">
      <c r="C42" s="307"/>
      <c r="D42" s="307"/>
      <c r="E42" s="307"/>
      <c r="F42" s="307"/>
      <c r="G42" s="307"/>
      <c r="H42" s="307"/>
      <c r="I42" s="307"/>
      <c r="J42" s="307"/>
      <c r="K42" s="307"/>
      <c r="L42" s="307"/>
      <c r="M42" s="307"/>
      <c r="N42" s="307"/>
      <c r="O42" s="307"/>
      <c r="P42" s="307"/>
      <c r="Q42" s="307"/>
      <c r="R42" s="307"/>
      <c r="S42" s="307"/>
      <c r="T42" s="307"/>
      <c r="U42" s="307"/>
      <c r="V42" s="307"/>
      <c r="W42" s="307"/>
      <c r="X42" s="307"/>
      <c r="Y42" s="307"/>
      <c r="Z42" s="307"/>
      <c r="AA42" s="307"/>
      <c r="AB42" s="336"/>
      <c r="AC42" s="336"/>
      <c r="AD42" s="336"/>
    </row>
    <row r="43" ht="16.5" customHeight="1">
      <c r="B43" s="680" t="s">
        <v>134</v>
      </c>
      <c r="C43" s="680"/>
      <c r="D43" s="680"/>
      <c r="E43" s="680"/>
      <c r="F43" s="680"/>
      <c r="G43" s="680"/>
      <c r="H43" s="681" t="s">
        <v>100</v>
      </c>
      <c r="I43" s="681"/>
      <c r="J43" s="681"/>
      <c r="K43" s="681"/>
      <c r="L43" s="681"/>
      <c r="M43" s="681"/>
      <c r="N43" s="681"/>
      <c r="O43" s="681"/>
      <c r="P43" s="681"/>
      <c r="Q43" s="681"/>
      <c r="R43" s="681"/>
      <c r="S43" s="681"/>
      <c r="T43" s="681"/>
      <c r="U43" s="681"/>
      <c r="V43" s="681"/>
      <c r="W43" s="681"/>
      <c r="X43" s="681"/>
      <c r="Y43" s="681"/>
      <c r="Z43" s="681"/>
      <c r="AA43" s="681"/>
      <c r="AB43" s="681"/>
      <c r="AC43" s="681"/>
      <c r="AD43" s="681"/>
      <c r="AE43" s="681"/>
      <c r="AF43" s="681"/>
    </row>
    <row r="44" ht="16.5" customHeight="1">
      <c r="B44" s="680"/>
      <c r="C44" s="680"/>
      <c r="D44" s="680"/>
      <c r="E44" s="680"/>
      <c r="F44" s="680"/>
      <c r="G44" s="680"/>
      <c r="H44" s="681"/>
      <c r="I44" s="681"/>
      <c r="J44" s="681"/>
      <c r="K44" s="681"/>
      <c r="L44" s="681"/>
      <c r="M44" s="681"/>
      <c r="N44" s="681"/>
      <c r="O44" s="681"/>
      <c r="P44" s="681"/>
      <c r="Q44" s="681"/>
      <c r="R44" s="681"/>
      <c r="S44" s="681"/>
      <c r="T44" s="681"/>
      <c r="U44" s="681"/>
      <c r="V44" s="681"/>
      <c r="W44" s="681"/>
      <c r="X44" s="681"/>
      <c r="Y44" s="681"/>
      <c r="Z44" s="681"/>
      <c r="AA44" s="681"/>
      <c r="AB44" s="681"/>
      <c r="AC44" s="681"/>
      <c r="AD44" s="681"/>
      <c r="AE44" s="681"/>
      <c r="AF44" s="681"/>
    </row>
    <row r="45" ht="16.5" customHeight="1">
      <c r="B45" s="680"/>
      <c r="C45" s="680"/>
      <c r="D45" s="680"/>
      <c r="E45" s="680"/>
      <c r="F45" s="680"/>
      <c r="G45" s="680"/>
      <c r="H45" s="635" t="s">
        <v>135</v>
      </c>
      <c r="I45" s="635"/>
      <c r="J45" s="635"/>
      <c r="K45" s="635"/>
      <c r="L45" s="635" t="s">
        <v>136</v>
      </c>
      <c r="M45" s="635"/>
      <c r="N45" s="635"/>
      <c r="O45" s="635" t="s">
        <v>137</v>
      </c>
      <c r="P45" s="635"/>
      <c r="Q45" s="635"/>
      <c r="R45" s="635" t="s">
        <v>138</v>
      </c>
      <c r="S45" s="635"/>
      <c r="T45" s="635"/>
      <c r="U45" s="635"/>
      <c r="V45" s="635"/>
      <c r="W45" s="635" t="s">
        <v>139</v>
      </c>
      <c r="X45" s="635"/>
      <c r="Y45" s="635"/>
      <c r="Z45" s="635"/>
      <c r="AA45" s="635" t="s">
        <v>140</v>
      </c>
      <c r="AB45" s="635"/>
      <c r="AC45" s="635"/>
      <c r="AD45" s="635"/>
      <c r="AE45" s="635"/>
      <c r="AF45" s="635"/>
    </row>
    <row r="46" ht="16.5" customHeight="1">
      <c r="B46" s="680"/>
      <c r="C46" s="680"/>
      <c r="D46" s="680"/>
      <c r="E46" s="680"/>
      <c r="F46" s="680"/>
      <c r="G46" s="680"/>
      <c r="H46" s="635"/>
      <c r="I46" s="635"/>
      <c r="J46" s="635"/>
      <c r="K46" s="635"/>
      <c r="L46" s="635"/>
      <c r="M46" s="635"/>
      <c r="N46" s="635"/>
      <c r="O46" s="635"/>
      <c r="P46" s="635"/>
      <c r="Q46" s="635"/>
      <c r="R46" s="635"/>
      <c r="S46" s="635"/>
      <c r="T46" s="635"/>
      <c r="U46" s="635"/>
      <c r="V46" s="635"/>
      <c r="W46" s="635"/>
      <c r="X46" s="635"/>
      <c r="Y46" s="635"/>
      <c r="Z46" s="635"/>
      <c r="AA46" s="635"/>
      <c r="AB46" s="635"/>
      <c r="AC46" s="635"/>
      <c r="AD46" s="635"/>
      <c r="AE46" s="635"/>
      <c r="AF46" s="635"/>
    </row>
    <row r="47" ht="16.5" customHeight="1">
      <c r="B47" s="680"/>
      <c r="C47" s="680"/>
      <c r="D47" s="680"/>
      <c r="E47" s="680"/>
      <c r="F47" s="680"/>
      <c r="G47" s="680"/>
      <c r="H47" s="635"/>
      <c r="I47" s="635"/>
      <c r="J47" s="635"/>
      <c r="K47" s="635"/>
      <c r="L47" s="635"/>
      <c r="M47" s="635"/>
      <c r="N47" s="635"/>
      <c r="O47" s="635"/>
      <c r="P47" s="635"/>
      <c r="Q47" s="635"/>
      <c r="R47" s="635"/>
      <c r="S47" s="635"/>
      <c r="T47" s="635"/>
      <c r="U47" s="635"/>
      <c r="V47" s="635"/>
      <c r="W47" s="635"/>
      <c r="X47" s="635"/>
      <c r="Y47" s="635"/>
      <c r="Z47" s="635"/>
      <c r="AA47" s="635"/>
      <c r="AB47" s="635"/>
      <c r="AC47" s="635"/>
      <c r="AD47" s="635"/>
      <c r="AE47" s="635"/>
      <c r="AF47" s="635"/>
    </row>
    <row r="48" ht="16.5" customHeight="1">
      <c r="B48" s="680"/>
      <c r="C48" s="680"/>
      <c r="D48" s="680"/>
      <c r="E48" s="680"/>
      <c r="F48" s="680"/>
      <c r="G48" s="680"/>
      <c r="H48" s="635"/>
      <c r="I48" s="635"/>
      <c r="J48" s="635"/>
      <c r="K48" s="635"/>
      <c r="L48" s="635"/>
      <c r="M48" s="635"/>
      <c r="N48" s="635"/>
      <c r="O48" s="635"/>
      <c r="P48" s="635"/>
      <c r="Q48" s="635"/>
      <c r="R48" s="635"/>
      <c r="S48" s="635"/>
      <c r="T48" s="635"/>
      <c r="U48" s="635"/>
      <c r="V48" s="635"/>
      <c r="W48" s="635"/>
      <c r="X48" s="635"/>
      <c r="Y48" s="635"/>
      <c r="Z48" s="635"/>
      <c r="AA48" s="635"/>
      <c r="AB48" s="635"/>
      <c r="AC48" s="635"/>
      <c r="AD48" s="635"/>
      <c r="AE48" s="635"/>
      <c r="AF48" s="635"/>
      <c r="AI48" s="282">
        <v>35</v>
      </c>
      <c r="AK48" s="282">
        <v>37</v>
      </c>
      <c r="AN48" s="282">
        <v>40</v>
      </c>
      <c r="AQ48" s="282">
        <v>43</v>
      </c>
      <c r="AR48" s="282">
        <v>44</v>
      </c>
      <c r="AS48" s="282">
        <v>45</v>
      </c>
      <c r="AT48" s="282">
        <v>46</v>
      </c>
      <c r="AU48" s="282">
        <v>47</v>
      </c>
      <c r="AV48" s="282">
        <v>48</v>
      </c>
      <c r="AW48" s="282">
        <v>49</v>
      </c>
      <c r="AX48" s="282">
        <v>50</v>
      </c>
    </row>
    <row r="49" ht="18.75" customHeight="1">
      <c r="B49" s="635" t="str">
        <f>AI49</f>
        <v>CÔNG TY CỔ PHẦN VIỄN THÔNG DI ĐỘNG TOÀN CẦU</v>
      </c>
      <c r="C49" s="635"/>
      <c r="D49" s="635"/>
      <c r="E49" s="635"/>
      <c r="F49" s="635"/>
      <c r="G49" s="635"/>
      <c r="H49" s="636" t="str">
        <f>AK49</f>
        <v>TB1</v>
      </c>
      <c r="I49" s="636"/>
      <c r="J49" s="636"/>
      <c r="K49" s="636"/>
      <c r="L49" s="637">
        <v>1</v>
      </c>
      <c r="M49" s="637"/>
      <c r="N49" s="637"/>
      <c r="O49" s="679" t="str">
        <f>AN49</f>
        <v>4/4/4</v>
      </c>
      <c r="P49" s="720"/>
      <c r="Q49" s="720"/>
      <c r="R49" s="635" t="str">
        <f>IF(L49=3,AQ49&amp;"W/ "&amp;AR49&amp;"W/ "&amp;AS49&amp;"W",IF(L49=2,AQ49&amp;"W/ "&amp;AR49&amp;"W",AQ49&amp;"W"))</f>
        <v>20W</v>
      </c>
      <c r="S49" s="635"/>
      <c r="T49" s="635"/>
      <c r="U49" s="635"/>
      <c r="V49" s="635"/>
      <c r="W49" s="635" t="str">
        <f>IF(AU49="900 &amp; 1800","900MHz &amp; 1800MHz",IF(AU49="900 &amp; 2100","900MHz &amp; 2100MHz",IF(AU49="1800 &amp; 2100","1800MHz &amp; 2100MHz",AU49&amp;"MHz")))</f>
        <v>900MHz</v>
      </c>
      <c r="X49" s="635"/>
      <c r="Y49" s="635"/>
      <c r="Z49" s="635"/>
      <c r="AA49" s="635">
        <f>AV49</f>
        <v>15</v>
      </c>
      <c r="AB49" s="635"/>
      <c r="AC49" s="635"/>
      <c r="AD49" s="635"/>
      <c r="AE49" s="635"/>
      <c r="AF49" s="635"/>
      <c r="AI49" s="316" t="s">
        <v>99</v>
      </c>
      <c r="AK49" s="316" t="s">
        <v>141</v>
      </c>
      <c r="AL49" s="316"/>
      <c r="AN49" s="326" t="s">
        <v>108</v>
      </c>
      <c r="AQ49" s="282">
        <v>20</v>
      </c>
      <c r="AR49" s="282">
        <v>30</v>
      </c>
      <c r="AS49" s="282">
        <v>40</v>
      </c>
      <c r="AU49" s="282">
        <v>900</v>
      </c>
      <c r="AV49" s="282">
        <v>15</v>
      </c>
    </row>
    <row r="50" ht="18.75" customHeight="1">
      <c r="B50" s="635"/>
      <c r="C50" s="635"/>
      <c r="D50" s="635"/>
      <c r="E50" s="635"/>
      <c r="F50" s="635"/>
      <c r="G50" s="635"/>
      <c r="H50" s="636"/>
      <c r="I50" s="636"/>
      <c r="J50" s="636"/>
      <c r="K50" s="636"/>
      <c r="L50" s="637"/>
      <c r="M50" s="637"/>
      <c r="N50" s="637"/>
      <c r="O50" s="720"/>
      <c r="P50" s="720"/>
      <c r="Q50" s="720"/>
      <c r="R50" s="635"/>
      <c r="S50" s="635"/>
      <c r="T50" s="635"/>
      <c r="U50" s="635"/>
      <c r="V50" s="635"/>
      <c r="W50" s="635"/>
      <c r="X50" s="635"/>
      <c r="Y50" s="635"/>
      <c r="Z50" s="635"/>
      <c r="AA50" s="635"/>
      <c r="AB50" s="635"/>
      <c r="AC50" s="635"/>
      <c r="AD50" s="635"/>
      <c r="AE50" s="635"/>
      <c r="AF50" s="635"/>
    </row>
    <row r="51" ht="18.75" customHeight="1">
      <c r="B51" s="635"/>
      <c r="C51" s="635"/>
      <c r="D51" s="635"/>
      <c r="E51" s="635"/>
      <c r="F51" s="635"/>
      <c r="G51" s="635"/>
      <c r="H51" s="636"/>
      <c r="I51" s="636"/>
      <c r="J51" s="636"/>
      <c r="K51" s="636"/>
      <c r="L51" s="637"/>
      <c r="M51" s="637"/>
      <c r="N51" s="637"/>
      <c r="O51" s="720"/>
      <c r="P51" s="720"/>
      <c r="Q51" s="720"/>
      <c r="R51" s="635"/>
      <c r="S51" s="635"/>
      <c r="T51" s="635"/>
      <c r="U51" s="635"/>
      <c r="V51" s="635"/>
      <c r="W51" s="635"/>
      <c r="X51" s="635"/>
      <c r="Y51" s="635"/>
      <c r="Z51" s="635"/>
      <c r="AA51" s="635"/>
      <c r="AB51" s="635"/>
      <c r="AC51" s="635"/>
      <c r="AD51" s="635"/>
      <c r="AE51" s="635"/>
      <c r="AF51" s="635"/>
    </row>
    <row r="52" ht="18.75" customHeight="1">
      <c r="B52" s="635"/>
      <c r="C52" s="635"/>
      <c r="D52" s="635"/>
      <c r="E52" s="635"/>
      <c r="F52" s="635"/>
      <c r="G52" s="635"/>
      <c r="H52" s="636"/>
      <c r="I52" s="636"/>
      <c r="J52" s="636"/>
      <c r="K52" s="636"/>
      <c r="L52" s="637"/>
      <c r="M52" s="637"/>
      <c r="N52" s="637"/>
      <c r="O52" s="720"/>
      <c r="P52" s="720"/>
      <c r="Q52" s="720"/>
      <c r="R52" s="635"/>
      <c r="S52" s="635"/>
      <c r="T52" s="635"/>
      <c r="U52" s="635"/>
      <c r="V52" s="635"/>
      <c r="W52" s="635"/>
      <c r="X52" s="635"/>
      <c r="Y52" s="635"/>
      <c r="Z52" s="635"/>
      <c r="AA52" s="635"/>
      <c r="AB52" s="635"/>
      <c r="AC52" s="635"/>
      <c r="AD52" s="635"/>
      <c r="AE52" s="635"/>
      <c r="AF52" s="635"/>
    </row>
    <row r="53" ht="18.75" customHeight="1">
      <c r="B53" s="635" t="str">
        <f>AI53</f>
        <v>CÔNG TY CỔ PHẦN VIỄN THÔNG DI ĐỘNG TOÀN CẦU</v>
      </c>
      <c r="C53" s="635"/>
      <c r="D53" s="635"/>
      <c r="E53" s="635"/>
      <c r="F53" s="635"/>
      <c r="G53" s="635"/>
      <c r="H53" s="636" t="str">
        <f>AK53</f>
        <v>TB2</v>
      </c>
      <c r="I53" s="636"/>
      <c r="J53" s="636"/>
      <c r="K53" s="636"/>
      <c r="L53" s="637">
        <v>2</v>
      </c>
      <c r="M53" s="637"/>
      <c r="N53" s="637"/>
      <c r="O53" s="679" t="str">
        <f>AN53</f>
        <v>4/4/4</v>
      </c>
      <c r="P53" s="720"/>
      <c r="Q53" s="720"/>
      <c r="R53" s="635" t="str">
        <f>IF(L53=3,AQ53&amp;"W/ "&amp;AR53&amp;"W/ "&amp;AS53&amp;"W",IF(L53=2,AQ53&amp;"W/ "&amp;AR53&amp;"W",AQ53&amp;"W"))</f>
        <v>30W/ 40W</v>
      </c>
      <c r="S53" s="635"/>
      <c r="T53" s="635"/>
      <c r="U53" s="635"/>
      <c r="V53" s="635"/>
      <c r="W53" s="635" t="str">
        <f>IF(AU53="900 &amp; 1800","900MHz &amp; 1800MHz",IF(AU53="900 &amp; 2100","900MHz &amp; 2100MHz",IF(AU53="1800 &amp; 2100","1800MHz &amp; 2100MHz",AU53&amp;"MHz")))</f>
        <v>1800MHz</v>
      </c>
      <c r="X53" s="635"/>
      <c r="Y53" s="635"/>
      <c r="Z53" s="635"/>
      <c r="AA53" s="635">
        <f>AV53</f>
        <v>15</v>
      </c>
      <c r="AB53" s="635"/>
      <c r="AC53" s="635"/>
      <c r="AD53" s="635"/>
      <c r="AE53" s="635"/>
      <c r="AF53" s="635"/>
      <c r="AI53" s="316" t="s">
        <v>99</v>
      </c>
      <c r="AK53" s="316" t="s">
        <v>846</v>
      </c>
      <c r="AL53" s="316"/>
      <c r="AN53" s="326" t="s">
        <v>108</v>
      </c>
      <c r="AQ53" s="282">
        <v>30</v>
      </c>
      <c r="AR53" s="282">
        <v>40</v>
      </c>
      <c r="AS53" s="282">
        <v>40</v>
      </c>
      <c r="AU53" s="282">
        <v>1800</v>
      </c>
      <c r="AV53" s="282">
        <v>15</v>
      </c>
    </row>
    <row r="54" ht="18.75" customHeight="1">
      <c r="B54" s="635"/>
      <c r="C54" s="635"/>
      <c r="D54" s="635"/>
      <c r="E54" s="635"/>
      <c r="F54" s="635"/>
      <c r="G54" s="635"/>
      <c r="H54" s="636"/>
      <c r="I54" s="636"/>
      <c r="J54" s="636"/>
      <c r="K54" s="636"/>
      <c r="L54" s="637"/>
      <c r="M54" s="637"/>
      <c r="N54" s="637"/>
      <c r="O54" s="720"/>
      <c r="P54" s="720"/>
      <c r="Q54" s="720"/>
      <c r="R54" s="635"/>
      <c r="S54" s="635"/>
      <c r="T54" s="635"/>
      <c r="U54" s="635"/>
      <c r="V54" s="635"/>
      <c r="W54" s="635"/>
      <c r="X54" s="635"/>
      <c r="Y54" s="635"/>
      <c r="Z54" s="635"/>
      <c r="AA54" s="635"/>
      <c r="AB54" s="635"/>
      <c r="AC54" s="635"/>
      <c r="AD54" s="635"/>
      <c r="AE54" s="635"/>
      <c r="AF54" s="635"/>
    </row>
    <row r="55" ht="18.75" customHeight="1">
      <c r="B55" s="635"/>
      <c r="C55" s="635"/>
      <c r="D55" s="635"/>
      <c r="E55" s="635"/>
      <c r="F55" s="635"/>
      <c r="G55" s="635"/>
      <c r="H55" s="636"/>
      <c r="I55" s="636"/>
      <c r="J55" s="636"/>
      <c r="K55" s="636"/>
      <c r="L55" s="637"/>
      <c r="M55" s="637"/>
      <c r="N55" s="637"/>
      <c r="O55" s="720"/>
      <c r="P55" s="720"/>
      <c r="Q55" s="720"/>
      <c r="R55" s="635"/>
      <c r="S55" s="635"/>
      <c r="T55" s="635"/>
      <c r="U55" s="635"/>
      <c r="V55" s="635"/>
      <c r="W55" s="635"/>
      <c r="X55" s="635"/>
      <c r="Y55" s="635"/>
      <c r="Z55" s="635"/>
      <c r="AA55" s="635"/>
      <c r="AB55" s="635"/>
      <c r="AC55" s="635"/>
      <c r="AD55" s="635"/>
      <c r="AE55" s="635"/>
      <c r="AF55" s="635"/>
    </row>
    <row r="56" ht="18.75" customHeight="1">
      <c r="B56" s="635"/>
      <c r="C56" s="635"/>
      <c r="D56" s="635"/>
      <c r="E56" s="635"/>
      <c r="F56" s="635"/>
      <c r="G56" s="635"/>
      <c r="H56" s="636"/>
      <c r="I56" s="636"/>
      <c r="J56" s="636"/>
      <c r="K56" s="636"/>
      <c r="L56" s="637"/>
      <c r="M56" s="637"/>
      <c r="N56" s="637"/>
      <c r="O56" s="720"/>
      <c r="P56" s="720"/>
      <c r="Q56" s="720"/>
      <c r="R56" s="635"/>
      <c r="S56" s="635"/>
      <c r="T56" s="635"/>
      <c r="U56" s="635"/>
      <c r="V56" s="635"/>
      <c r="W56" s="635"/>
      <c r="X56" s="635"/>
      <c r="Y56" s="635"/>
      <c r="Z56" s="635"/>
      <c r="AA56" s="635"/>
      <c r="AB56" s="635"/>
      <c r="AC56" s="635"/>
      <c r="AD56" s="635"/>
      <c r="AE56" s="635"/>
      <c r="AF56" s="635"/>
    </row>
    <row r="57" ht="18.75" customHeight="1">
      <c r="B57" s="635" t="str">
        <f>AI57</f>
        <v>CÔNG TY CỔ PHẦN VIỄN THÔNG DI ĐỘNG TOÀN CẦU</v>
      </c>
      <c r="C57" s="635"/>
      <c r="D57" s="635"/>
      <c r="E57" s="635"/>
      <c r="F57" s="635"/>
      <c r="G57" s="635"/>
      <c r="H57" s="636" t="str">
        <f>AK57</f>
        <v>TB2</v>
      </c>
      <c r="I57" s="636"/>
      <c r="J57" s="636"/>
      <c r="K57" s="636"/>
      <c r="L57" s="637">
        <v>3</v>
      </c>
      <c r="M57" s="637"/>
      <c r="N57" s="637"/>
      <c r="O57" s="679" t="str">
        <f>AN57</f>
        <v>4/4/4</v>
      </c>
      <c r="P57" s="720"/>
      <c r="Q57" s="720"/>
      <c r="R57" s="635" t="str">
        <f>IF(L57=3,AQ57&amp;"W/ "&amp;AR57&amp;"W/ "&amp;AS57&amp;"W",IF(L57=2,AQ57&amp;"W/ "&amp;AR57&amp;"W",AQ57&amp;"W"))</f>
        <v>30W/ 40W/ 40W</v>
      </c>
      <c r="S57" s="635"/>
      <c r="T57" s="635"/>
      <c r="U57" s="635"/>
      <c r="V57" s="635"/>
      <c r="W57" s="635" t="str">
        <f>IF(AU57="900 &amp; 1800","900MHz &amp; 1800MHz",IF(AU57="900 &amp; 2100","900MHz &amp; 2100MHz",IF(AU57="1800 &amp; 2100","1800MHz &amp; 2100MHz",AU57&amp;"MHz")))</f>
        <v>9000 &amp; 1800MHz</v>
      </c>
      <c r="X57" s="635"/>
      <c r="Y57" s="635"/>
      <c r="Z57" s="635"/>
      <c r="AA57" s="635">
        <f>AV57</f>
        <v>15</v>
      </c>
      <c r="AB57" s="635"/>
      <c r="AC57" s="635"/>
      <c r="AD57" s="635"/>
      <c r="AE57" s="635"/>
      <c r="AF57" s="635"/>
      <c r="AI57" s="316" t="s">
        <v>99</v>
      </c>
      <c r="AK57" s="316" t="s">
        <v>846</v>
      </c>
      <c r="AL57" s="316"/>
      <c r="AN57" s="326" t="s">
        <v>108</v>
      </c>
      <c r="AQ57" s="282">
        <v>30</v>
      </c>
      <c r="AR57" s="282">
        <v>40</v>
      </c>
      <c r="AS57" s="282">
        <v>40</v>
      </c>
      <c r="AU57" s="282" t="s">
        <v>142</v>
      </c>
      <c r="AV57" s="282">
        <v>15</v>
      </c>
    </row>
    <row r="58" ht="18.75" customHeight="1">
      <c r="B58" s="635"/>
      <c r="C58" s="635"/>
      <c r="D58" s="635"/>
      <c r="E58" s="635"/>
      <c r="F58" s="635"/>
      <c r="G58" s="635"/>
      <c r="H58" s="636"/>
      <c r="I58" s="636"/>
      <c r="J58" s="636"/>
      <c r="K58" s="636"/>
      <c r="L58" s="637"/>
      <c r="M58" s="637"/>
      <c r="N58" s="637"/>
      <c r="O58" s="720"/>
      <c r="P58" s="720"/>
      <c r="Q58" s="720"/>
      <c r="R58" s="635"/>
      <c r="S58" s="635"/>
      <c r="T58" s="635"/>
      <c r="U58" s="635"/>
      <c r="V58" s="635"/>
      <c r="W58" s="635"/>
      <c r="X58" s="635"/>
      <c r="Y58" s="635"/>
      <c r="Z58" s="635"/>
      <c r="AA58" s="635"/>
      <c r="AB58" s="635"/>
      <c r="AC58" s="635"/>
      <c r="AD58" s="635"/>
      <c r="AE58" s="635"/>
      <c r="AF58" s="635"/>
    </row>
    <row r="59" ht="18.75" customHeight="1">
      <c r="B59" s="635"/>
      <c r="C59" s="635"/>
      <c r="D59" s="635"/>
      <c r="E59" s="635"/>
      <c r="F59" s="635"/>
      <c r="G59" s="635"/>
      <c r="H59" s="636"/>
      <c r="I59" s="636"/>
      <c r="J59" s="636"/>
      <c r="K59" s="636"/>
      <c r="L59" s="637"/>
      <c r="M59" s="637"/>
      <c r="N59" s="637"/>
      <c r="O59" s="720"/>
      <c r="P59" s="720"/>
      <c r="Q59" s="720"/>
      <c r="R59" s="635"/>
      <c r="S59" s="635"/>
      <c r="T59" s="635"/>
      <c r="U59" s="635"/>
      <c r="V59" s="635"/>
      <c r="W59" s="635"/>
      <c r="X59" s="635"/>
      <c r="Y59" s="635"/>
      <c r="Z59" s="635"/>
      <c r="AA59" s="635"/>
      <c r="AB59" s="635"/>
      <c r="AC59" s="635"/>
      <c r="AD59" s="635"/>
      <c r="AE59" s="635"/>
      <c r="AF59" s="635"/>
    </row>
    <row r="60" ht="18.75" customHeight="1">
      <c r="B60" s="635"/>
      <c r="C60" s="635"/>
      <c r="D60" s="635"/>
      <c r="E60" s="635"/>
      <c r="F60" s="635"/>
      <c r="G60" s="635"/>
      <c r="H60" s="636"/>
      <c r="I60" s="636"/>
      <c r="J60" s="636"/>
      <c r="K60" s="636"/>
      <c r="L60" s="637"/>
      <c r="M60" s="637"/>
      <c r="N60" s="637"/>
      <c r="O60" s="720"/>
      <c r="P60" s="720"/>
      <c r="Q60" s="720"/>
      <c r="R60" s="635"/>
      <c r="S60" s="635"/>
      <c r="T60" s="635"/>
      <c r="U60" s="635"/>
      <c r="V60" s="635"/>
      <c r="W60" s="635"/>
      <c r="X60" s="635"/>
      <c r="Y60" s="635"/>
      <c r="Z60" s="635"/>
      <c r="AA60" s="635"/>
      <c r="AB60" s="635"/>
      <c r="AC60" s="635"/>
      <c r="AD60" s="635"/>
      <c r="AE60" s="635"/>
      <c r="AF60" s="635"/>
    </row>
    <row r="61" ht="18.75" customHeight="1">
      <c r="B61" s="635" t="str">
        <f>AI61</f>
        <v>CÔNG TY CỔ PHẦN VIỄN THÔNG DI ĐỘNG TOÀN CẦU</v>
      </c>
      <c r="C61" s="635"/>
      <c r="D61" s="635"/>
      <c r="E61" s="635"/>
      <c r="F61" s="635"/>
      <c r="G61" s="635"/>
      <c r="H61" s="636" t="str">
        <f>AK61</f>
        <v>TB2</v>
      </c>
      <c r="I61" s="636"/>
      <c r="J61" s="636"/>
      <c r="K61" s="636"/>
      <c r="L61" s="637">
        <v>2</v>
      </c>
      <c r="M61" s="637"/>
      <c r="N61" s="637"/>
      <c r="O61" s="679" t="str">
        <f>AN61</f>
        <v>4/4/4</v>
      </c>
      <c r="P61" s="720"/>
      <c r="Q61" s="720"/>
      <c r="R61" s="635" t="str">
        <f>IF(L61=3,AQ61&amp;"W/ "&amp;AR61&amp;"W/ "&amp;AS61&amp;"W",IF(L61=2,AQ61&amp;"W/ "&amp;AR61&amp;"W",AQ61&amp;"W"))</f>
        <v>30W/ 40W</v>
      </c>
      <c r="S61" s="635"/>
      <c r="T61" s="635"/>
      <c r="U61" s="635"/>
      <c r="V61" s="635"/>
      <c r="W61" s="635" t="str">
        <f>IF(AU61="900 &amp; 1800","900MHz &amp; 1800MHz",IF(AU61="900 &amp; 2100","900MHz &amp; 2100MHz",IF(AU61="1800 &amp; 2100","1800MHz &amp; 2100MHz",AU61&amp;"MHz")))</f>
        <v>9000 &amp; 2100MHz</v>
      </c>
      <c r="X61" s="635"/>
      <c r="Y61" s="635"/>
      <c r="Z61" s="635"/>
      <c r="AA61" s="635">
        <f>AV61</f>
        <v>15</v>
      </c>
      <c r="AB61" s="635"/>
      <c r="AC61" s="635"/>
      <c r="AD61" s="635"/>
      <c r="AE61" s="635"/>
      <c r="AF61" s="635"/>
      <c r="AI61" s="316" t="s">
        <v>99</v>
      </c>
      <c r="AK61" s="316" t="s">
        <v>846</v>
      </c>
      <c r="AL61" s="316"/>
      <c r="AN61" s="326" t="s">
        <v>108</v>
      </c>
      <c r="AQ61" s="282">
        <v>30</v>
      </c>
      <c r="AR61" s="282">
        <v>40</v>
      </c>
      <c r="AS61" s="282">
        <v>40</v>
      </c>
      <c r="AU61" s="282" t="s">
        <v>143</v>
      </c>
      <c r="AV61" s="282">
        <v>15</v>
      </c>
    </row>
    <row r="62" ht="18.75" customHeight="1">
      <c r="B62" s="635"/>
      <c r="C62" s="635"/>
      <c r="D62" s="635"/>
      <c r="E62" s="635"/>
      <c r="F62" s="635"/>
      <c r="G62" s="635"/>
      <c r="H62" s="636"/>
      <c r="I62" s="636"/>
      <c r="J62" s="636"/>
      <c r="K62" s="636"/>
      <c r="L62" s="637"/>
      <c r="M62" s="637"/>
      <c r="N62" s="637"/>
      <c r="O62" s="720"/>
      <c r="P62" s="720"/>
      <c r="Q62" s="720"/>
      <c r="R62" s="635"/>
      <c r="S62" s="635"/>
      <c r="T62" s="635"/>
      <c r="U62" s="635"/>
      <c r="V62" s="635"/>
      <c r="W62" s="635"/>
      <c r="X62" s="635"/>
      <c r="Y62" s="635"/>
      <c r="Z62" s="635"/>
      <c r="AA62" s="635"/>
      <c r="AB62" s="635"/>
      <c r="AC62" s="635"/>
      <c r="AD62" s="635"/>
      <c r="AE62" s="635"/>
      <c r="AF62" s="635"/>
    </row>
    <row r="63" ht="18.75" customHeight="1">
      <c r="B63" s="635"/>
      <c r="C63" s="635"/>
      <c r="D63" s="635"/>
      <c r="E63" s="635"/>
      <c r="F63" s="635"/>
      <c r="G63" s="635"/>
      <c r="H63" s="636"/>
      <c r="I63" s="636"/>
      <c r="J63" s="636"/>
      <c r="K63" s="636"/>
      <c r="L63" s="637"/>
      <c r="M63" s="637"/>
      <c r="N63" s="637"/>
      <c r="O63" s="720"/>
      <c r="P63" s="720"/>
      <c r="Q63" s="720"/>
      <c r="R63" s="635"/>
      <c r="S63" s="635"/>
      <c r="T63" s="635"/>
      <c r="U63" s="635"/>
      <c r="V63" s="635"/>
      <c r="W63" s="635"/>
      <c r="X63" s="635"/>
      <c r="Y63" s="635"/>
      <c r="Z63" s="635"/>
      <c r="AA63" s="635"/>
      <c r="AB63" s="635"/>
      <c r="AC63" s="635"/>
      <c r="AD63" s="635"/>
      <c r="AE63" s="635"/>
      <c r="AF63" s="635"/>
    </row>
    <row r="64" ht="18.75" customHeight="1">
      <c r="B64" s="635"/>
      <c r="C64" s="635"/>
      <c r="D64" s="635"/>
      <c r="E64" s="635"/>
      <c r="F64" s="635"/>
      <c r="G64" s="635"/>
      <c r="H64" s="636"/>
      <c r="I64" s="636"/>
      <c r="J64" s="636"/>
      <c r="K64" s="636"/>
      <c r="L64" s="637"/>
      <c r="M64" s="637"/>
      <c r="N64" s="637"/>
      <c r="O64" s="720"/>
      <c r="P64" s="720"/>
      <c r="Q64" s="720"/>
      <c r="R64" s="635"/>
      <c r="S64" s="635"/>
      <c r="T64" s="635"/>
      <c r="U64" s="635"/>
      <c r="V64" s="635"/>
      <c r="W64" s="635"/>
      <c r="X64" s="635"/>
      <c r="Y64" s="635"/>
      <c r="Z64" s="635"/>
      <c r="AA64" s="635"/>
      <c r="AB64" s="635"/>
      <c r="AC64" s="635"/>
      <c r="AD64" s="635"/>
      <c r="AE64" s="635"/>
      <c r="AF64" s="635"/>
    </row>
    <row r="65" ht="18.75" customHeight="1">
      <c r="B65" s="635" t="str">
        <f>AI65</f>
        <v>CÔNG TY CỔ PHẦN VIỄN THÔNG DI ĐỘNG TOÀN CẦU</v>
      </c>
      <c r="C65" s="635"/>
      <c r="D65" s="635"/>
      <c r="E65" s="635"/>
      <c r="F65" s="635"/>
      <c r="G65" s="635"/>
      <c r="H65" s="636" t="str">
        <f>AK65</f>
        <v>TB2</v>
      </c>
      <c r="I65" s="636"/>
      <c r="J65" s="636"/>
      <c r="K65" s="636"/>
      <c r="L65" s="637">
        <v>1</v>
      </c>
      <c r="M65" s="637"/>
      <c r="N65" s="637"/>
      <c r="O65" s="679" t="str">
        <f>AN65</f>
        <v>4/4/4</v>
      </c>
      <c r="P65" s="720"/>
      <c r="Q65" s="720"/>
      <c r="R65" s="635" t="str">
        <f>IF(L65=3,AQ65&amp;"W/ "&amp;AR65&amp;"W/ "&amp;AS65&amp;"W",IF(L65=2,AQ65&amp;"W/ "&amp;AR65&amp;"W",AQ65&amp;"W"))</f>
        <v>30W</v>
      </c>
      <c r="S65" s="635"/>
      <c r="T65" s="635"/>
      <c r="U65" s="635"/>
      <c r="V65" s="635"/>
      <c r="W65" s="635" t="str">
        <f>IF(AU65="900 &amp; 1800","900MHz &amp; 1800MHz",IF(AU65="900 &amp; 2100","900MHz &amp; 2100MHz",IF(AU65="1800 &amp; 2100","1800MHz &amp; 2100MHz",AU65&amp;"MHz")))</f>
        <v>1800MHz &amp; 2100MHz</v>
      </c>
      <c r="X65" s="635"/>
      <c r="Y65" s="635"/>
      <c r="Z65" s="635"/>
      <c r="AA65" s="635">
        <f>AV65</f>
        <v>15</v>
      </c>
      <c r="AB65" s="635"/>
      <c r="AC65" s="635"/>
      <c r="AD65" s="635"/>
      <c r="AE65" s="635"/>
      <c r="AF65" s="635"/>
      <c r="AI65" s="316" t="s">
        <v>99</v>
      </c>
      <c r="AK65" s="316" t="s">
        <v>846</v>
      </c>
      <c r="AL65" s="316"/>
      <c r="AN65" s="326" t="s">
        <v>108</v>
      </c>
      <c r="AQ65" s="282">
        <v>30</v>
      </c>
      <c r="AR65" s="282">
        <v>40</v>
      </c>
      <c r="AS65" s="282">
        <v>40</v>
      </c>
      <c r="AU65" s="282" t="s">
        <v>144</v>
      </c>
      <c r="AV65" s="282">
        <v>15</v>
      </c>
      <c r="AW65" s="282">
        <v>16</v>
      </c>
      <c r="AX65" s="282">
        <v>17</v>
      </c>
    </row>
    <row r="66" ht="18.75" customHeight="1">
      <c r="B66" s="635"/>
      <c r="C66" s="635"/>
      <c r="D66" s="635"/>
      <c r="E66" s="635"/>
      <c r="F66" s="635"/>
      <c r="G66" s="635"/>
      <c r="H66" s="636"/>
      <c r="I66" s="636"/>
      <c r="J66" s="636"/>
      <c r="K66" s="636"/>
      <c r="L66" s="637"/>
      <c r="M66" s="637"/>
      <c r="N66" s="637"/>
      <c r="O66" s="720"/>
      <c r="P66" s="720"/>
      <c r="Q66" s="720"/>
      <c r="R66" s="635"/>
      <c r="S66" s="635"/>
      <c r="T66" s="635"/>
      <c r="U66" s="635"/>
      <c r="V66" s="635"/>
      <c r="W66" s="635"/>
      <c r="X66" s="635"/>
      <c r="Y66" s="635"/>
      <c r="Z66" s="635"/>
      <c r="AA66" s="635"/>
      <c r="AB66" s="635"/>
      <c r="AC66" s="635"/>
      <c r="AD66" s="635"/>
      <c r="AE66" s="635"/>
      <c r="AF66" s="635"/>
    </row>
    <row r="67" ht="18.75" customHeight="1">
      <c r="B67" s="635"/>
      <c r="C67" s="635"/>
      <c r="D67" s="635"/>
      <c r="E67" s="635"/>
      <c r="F67" s="635"/>
      <c r="G67" s="635"/>
      <c r="H67" s="636"/>
      <c r="I67" s="636"/>
      <c r="J67" s="636"/>
      <c r="K67" s="636"/>
      <c r="L67" s="637"/>
      <c r="M67" s="637"/>
      <c r="N67" s="637"/>
      <c r="O67" s="720"/>
      <c r="P67" s="720"/>
      <c r="Q67" s="720"/>
      <c r="R67" s="635"/>
      <c r="S67" s="635"/>
      <c r="T67" s="635"/>
      <c r="U67" s="635"/>
      <c r="V67" s="635"/>
      <c r="W67" s="635"/>
      <c r="X67" s="635"/>
      <c r="Y67" s="635"/>
      <c r="Z67" s="635"/>
      <c r="AA67" s="635"/>
      <c r="AB67" s="635"/>
      <c r="AC67" s="635"/>
      <c r="AD67" s="635"/>
      <c r="AE67" s="635"/>
      <c r="AF67" s="635"/>
    </row>
    <row r="68" ht="18.75" customHeight="1">
      <c r="B68" s="635"/>
      <c r="C68" s="635"/>
      <c r="D68" s="635"/>
      <c r="E68" s="635"/>
      <c r="F68" s="635"/>
      <c r="G68" s="635"/>
      <c r="H68" s="636"/>
      <c r="I68" s="636"/>
      <c r="J68" s="636"/>
      <c r="K68" s="636"/>
      <c r="L68" s="637"/>
      <c r="M68" s="637"/>
      <c r="N68" s="637"/>
      <c r="O68" s="720"/>
      <c r="P68" s="720"/>
      <c r="Q68" s="720"/>
      <c r="R68" s="635"/>
      <c r="S68" s="635"/>
      <c r="T68" s="635"/>
      <c r="U68" s="635"/>
      <c r="V68" s="635"/>
      <c r="W68" s="635"/>
      <c r="X68" s="635"/>
      <c r="Y68" s="635"/>
      <c r="Z68" s="635"/>
      <c r="AA68" s="635"/>
      <c r="AB68" s="635"/>
      <c r="AC68" s="635"/>
      <c r="AD68" s="635"/>
      <c r="AE68" s="635"/>
      <c r="AF68" s="635"/>
    </row>
    <row r="69" ht="18.75" customHeight="1">
      <c r="C69" s="304"/>
      <c r="D69" s="304"/>
      <c r="E69" s="304"/>
      <c r="F69" s="304"/>
      <c r="G69" s="304"/>
      <c r="H69" s="304"/>
      <c r="I69" s="304"/>
      <c r="J69" s="304"/>
      <c r="K69" s="304"/>
      <c r="L69" s="304"/>
      <c r="M69" s="304"/>
      <c r="N69" s="304"/>
      <c r="O69" s="304"/>
      <c r="P69" s="304"/>
      <c r="Q69" s="304"/>
      <c r="R69" s="304"/>
      <c r="S69" s="304"/>
      <c r="T69" s="304"/>
      <c r="U69" s="304"/>
      <c r="V69" s="304"/>
      <c r="W69" s="304"/>
      <c r="X69" s="304"/>
      <c r="Y69" s="304"/>
      <c r="Z69" s="304"/>
      <c r="AA69" s="304"/>
      <c r="AB69" s="304"/>
      <c r="AC69" s="304"/>
      <c r="AD69" s="304"/>
    </row>
    <row r="70" ht="18.75" customHeight="1">
      <c r="C70" s="304"/>
      <c r="D70" s="304"/>
      <c r="E70" s="304"/>
      <c r="F70" s="304"/>
      <c r="G70" s="304"/>
      <c r="H70" s="304"/>
      <c r="I70" s="304"/>
      <c r="J70" s="304"/>
      <c r="K70" s="304"/>
      <c r="L70" s="304"/>
      <c r="M70" s="304"/>
      <c r="N70" s="304"/>
      <c r="O70" s="304"/>
      <c r="P70" s="304"/>
      <c r="Q70" s="304"/>
      <c r="R70" s="304"/>
      <c r="S70" s="304"/>
      <c r="T70" s="304"/>
      <c r="U70" s="304"/>
      <c r="V70" s="304"/>
      <c r="W70" s="304"/>
      <c r="X70" s="304"/>
      <c r="Y70" s="304"/>
      <c r="Z70" s="304"/>
      <c r="AA70" s="304"/>
      <c r="AB70" s="304"/>
      <c r="AC70" s="304"/>
      <c r="AD70" s="304"/>
    </row>
    <row r="71" ht="18.75" customHeight="1">
      <c r="C71" s="304"/>
      <c r="D71" s="304"/>
      <c r="E71" s="304"/>
      <c r="F71" s="304"/>
      <c r="G71" s="304"/>
      <c r="H71" s="304"/>
      <c r="I71" s="304"/>
      <c r="J71" s="304"/>
      <c r="K71" s="304"/>
      <c r="L71" s="304"/>
      <c r="M71" s="304"/>
      <c r="N71" s="304"/>
      <c r="O71" s="304"/>
      <c r="P71" s="304"/>
      <c r="Q71" s="304"/>
      <c r="R71" s="304"/>
      <c r="S71" s="304"/>
      <c r="T71" s="304"/>
      <c r="U71" s="304"/>
      <c r="V71" s="304"/>
      <c r="W71" s="304"/>
      <c r="X71" s="304"/>
      <c r="Y71" s="304"/>
      <c r="Z71" s="304"/>
      <c r="AA71" s="304"/>
      <c r="AB71" s="304"/>
      <c r="AC71" s="304"/>
      <c r="AD71" s="304"/>
    </row>
    <row r="72" ht="18.75" customHeight="1">
      <c r="C72" s="304"/>
      <c r="D72" s="304"/>
      <c r="E72" s="304"/>
      <c r="F72" s="304"/>
      <c r="G72" s="304"/>
      <c r="H72" s="304"/>
      <c r="I72" s="304"/>
      <c r="J72" s="304"/>
      <c r="K72" s="304"/>
      <c r="L72" s="304"/>
      <c r="M72" s="304"/>
      <c r="N72" s="304"/>
      <c r="O72" s="304"/>
      <c r="P72" s="304"/>
      <c r="Q72" s="304"/>
      <c r="R72" s="304"/>
      <c r="S72" s="304"/>
      <c r="T72" s="304"/>
      <c r="U72" s="304"/>
      <c r="V72" s="304"/>
      <c r="W72" s="304"/>
      <c r="X72" s="304"/>
      <c r="Y72" s="304"/>
      <c r="Z72" s="304"/>
      <c r="AA72" s="304"/>
      <c r="AB72" s="304"/>
      <c r="AC72" s="304"/>
      <c r="AD72" s="304"/>
    </row>
    <row r="73" ht="18.75" customHeight="1">
      <c r="C73" s="304"/>
      <c r="D73" s="304"/>
      <c r="E73" s="304"/>
      <c r="F73" s="304"/>
      <c r="G73" s="304"/>
      <c r="H73" s="304"/>
      <c r="I73" s="304"/>
      <c r="J73" s="304"/>
      <c r="K73" s="304"/>
      <c r="L73" s="304"/>
      <c r="M73" s="304"/>
      <c r="N73" s="304"/>
      <c r="O73" s="304"/>
      <c r="P73" s="304"/>
      <c r="Q73" s="304"/>
      <c r="R73" s="304"/>
      <c r="S73" s="304"/>
      <c r="T73" s="304"/>
      <c r="U73" s="304"/>
      <c r="V73" s="304"/>
      <c r="W73" s="304"/>
      <c r="X73" s="304"/>
      <c r="Y73" s="304"/>
      <c r="Z73" s="304"/>
      <c r="AA73" s="304"/>
      <c r="AB73" s="304"/>
      <c r="AC73" s="304"/>
      <c r="AD73" s="304"/>
    </row>
    <row r="74" ht="18.75" customHeight="1">
      <c r="C74" s="304"/>
      <c r="D74" s="304"/>
      <c r="E74" s="304"/>
      <c r="F74" s="304"/>
      <c r="G74" s="304"/>
      <c r="H74" s="304"/>
      <c r="I74" s="304"/>
      <c r="J74" s="304"/>
      <c r="K74" s="304"/>
      <c r="L74" s="304"/>
      <c r="M74" s="304"/>
      <c r="N74" s="304"/>
      <c r="O74" s="304"/>
      <c r="P74" s="304"/>
      <c r="Q74" s="304"/>
      <c r="R74" s="304"/>
      <c r="S74" s="304"/>
      <c r="T74" s="304"/>
      <c r="U74" s="304"/>
      <c r="V74" s="304"/>
      <c r="W74" s="304"/>
      <c r="X74" s="304"/>
      <c r="Y74" s="304"/>
      <c r="Z74" s="304"/>
      <c r="AA74" s="304"/>
      <c r="AB74" s="304"/>
      <c r="AC74" s="304"/>
      <c r="AD74" s="304"/>
    </row>
    <row r="75" ht="18.75" customHeight="1">
      <c r="C75" s="304"/>
      <c r="D75" s="304"/>
      <c r="E75" s="304"/>
      <c r="F75" s="304"/>
      <c r="G75" s="304"/>
      <c r="H75" s="304"/>
      <c r="I75" s="304"/>
      <c r="J75" s="304"/>
      <c r="K75" s="304"/>
      <c r="L75" s="304"/>
      <c r="M75" s="304"/>
      <c r="N75" s="304"/>
      <c r="O75" s="304"/>
      <c r="P75" s="304"/>
      <c r="Q75" s="304"/>
      <c r="R75" s="304"/>
      <c r="S75" s="304"/>
      <c r="T75" s="304"/>
      <c r="U75" s="304"/>
      <c r="V75" s="304"/>
      <c r="W75" s="304"/>
      <c r="X75" s="304"/>
      <c r="Y75" s="304"/>
      <c r="Z75" s="304"/>
      <c r="AA75" s="304"/>
      <c r="AB75" s="304"/>
      <c r="AC75" s="304"/>
      <c r="AD75" s="304"/>
    </row>
    <row r="76" ht="18.75" customHeight="1">
      <c r="C76" s="304"/>
      <c r="D76" s="304"/>
      <c r="E76" s="304"/>
      <c r="F76" s="304"/>
      <c r="G76" s="304"/>
      <c r="H76" s="304"/>
      <c r="I76" s="304"/>
      <c r="J76" s="304"/>
      <c r="K76" s="304"/>
      <c r="L76" s="304"/>
      <c r="M76" s="304"/>
      <c r="N76" s="304"/>
      <c r="O76" s="304"/>
      <c r="P76" s="304"/>
      <c r="Q76" s="304"/>
      <c r="R76" s="304"/>
      <c r="S76" s="304"/>
      <c r="T76" s="304"/>
      <c r="U76" s="304"/>
      <c r="V76" s="304"/>
      <c r="W76" s="304"/>
      <c r="X76" s="304"/>
      <c r="Y76" s="304"/>
      <c r="Z76" s="304"/>
      <c r="AA76" s="304"/>
      <c r="AB76" s="304"/>
      <c r="AC76" s="304"/>
      <c r="AD76" s="304"/>
    </row>
    <row r="77" ht="18.75" customHeight="1">
      <c r="C77" s="304"/>
      <c r="D77" s="304"/>
      <c r="E77" s="304"/>
      <c r="F77" s="304"/>
      <c r="G77" s="304"/>
      <c r="H77" s="304"/>
      <c r="I77" s="304"/>
      <c r="J77" s="304"/>
      <c r="K77" s="304"/>
      <c r="L77" s="304"/>
      <c r="M77" s="304"/>
      <c r="N77" s="304"/>
      <c r="O77" s="304"/>
      <c r="P77" s="304"/>
      <c r="Q77" s="304"/>
      <c r="R77" s="304"/>
      <c r="S77" s="304"/>
      <c r="T77" s="304"/>
      <c r="U77" s="304"/>
      <c r="V77" s="304"/>
      <c r="W77" s="304"/>
      <c r="X77" s="304"/>
      <c r="Y77" s="304"/>
      <c r="Z77" s="304"/>
      <c r="AA77" s="304"/>
      <c r="AB77" s="304"/>
      <c r="AC77" s="304"/>
      <c r="AD77" s="304"/>
    </row>
    <row r="78" ht="18.75" customHeight="1">
      <c r="C78" s="304"/>
      <c r="D78" s="304"/>
      <c r="E78" s="304"/>
      <c r="F78" s="304"/>
      <c r="G78" s="304"/>
      <c r="H78" s="304"/>
      <c r="I78" s="304"/>
      <c r="J78" s="304"/>
      <c r="K78" s="304"/>
      <c r="L78" s="304"/>
      <c r="M78" s="304"/>
      <c r="N78" s="304"/>
      <c r="O78" s="304"/>
      <c r="P78" s="304"/>
      <c r="Q78" s="304"/>
      <c r="R78" s="304"/>
      <c r="S78" s="304"/>
      <c r="T78" s="304"/>
      <c r="U78" s="304"/>
      <c r="V78" s="304"/>
      <c r="W78" s="304"/>
      <c r="X78" s="304"/>
      <c r="Y78" s="304"/>
      <c r="Z78" s="304"/>
      <c r="AA78" s="304"/>
      <c r="AB78" s="304"/>
      <c r="AC78" s="304"/>
      <c r="AD78" s="304"/>
    </row>
    <row r="79" ht="18.75" customHeight="1">
      <c r="C79" s="304"/>
      <c r="D79" s="304"/>
      <c r="E79" s="304"/>
      <c r="F79" s="304"/>
      <c r="G79" s="304"/>
      <c r="H79" s="304"/>
      <c r="I79" s="304"/>
      <c r="J79" s="304"/>
      <c r="K79" s="304"/>
      <c r="L79" s="304"/>
      <c r="M79" s="304"/>
      <c r="N79" s="304"/>
      <c r="O79" s="304"/>
      <c r="P79" s="304"/>
      <c r="Q79" s="304"/>
      <c r="R79" s="304"/>
      <c r="S79" s="304"/>
      <c r="T79" s="304"/>
      <c r="U79" s="304"/>
      <c r="V79" s="304"/>
      <c r="W79" s="304"/>
      <c r="X79" s="304"/>
      <c r="Y79" s="304"/>
      <c r="Z79" s="304"/>
      <c r="AA79" s="304"/>
      <c r="AB79" s="304"/>
      <c r="AC79" s="304"/>
      <c r="AD79" s="304"/>
    </row>
    <row r="80" ht="18.75" customHeight="1">
      <c r="C80" s="304"/>
      <c r="D80" s="304"/>
      <c r="E80" s="304"/>
      <c r="F80" s="304"/>
      <c r="G80" s="304"/>
      <c r="H80" s="304"/>
      <c r="I80" s="304"/>
      <c r="J80" s="304"/>
      <c r="K80" s="304"/>
      <c r="L80" s="304"/>
      <c r="M80" s="304"/>
      <c r="N80" s="304"/>
      <c r="O80" s="304"/>
      <c r="P80" s="304"/>
      <c r="Q80" s="304"/>
      <c r="R80" s="304"/>
      <c r="S80" s="304"/>
      <c r="T80" s="304"/>
      <c r="U80" s="304"/>
      <c r="V80" s="304"/>
      <c r="W80" s="304"/>
      <c r="X80" s="304"/>
      <c r="Y80" s="304"/>
      <c r="Z80" s="304"/>
      <c r="AA80" s="304"/>
      <c r="AB80" s="304"/>
      <c r="AC80" s="304"/>
      <c r="AD80" s="304"/>
    </row>
    <row r="81" ht="18.75" customHeight="1">
      <c r="C81" s="304"/>
      <c r="D81" s="304"/>
      <c r="E81" s="304"/>
      <c r="F81" s="304"/>
      <c r="G81" s="304"/>
      <c r="H81" s="304"/>
      <c r="I81" s="304"/>
      <c r="J81" s="304"/>
      <c r="K81" s="304"/>
      <c r="L81" s="304"/>
      <c r="M81" s="304"/>
      <c r="N81" s="304"/>
      <c r="O81" s="304"/>
      <c r="P81" s="304"/>
      <c r="Q81" s="304"/>
      <c r="R81" s="304"/>
      <c r="S81" s="304"/>
      <c r="T81" s="304"/>
      <c r="U81" s="304"/>
      <c r="V81" s="304"/>
      <c r="W81" s="304"/>
      <c r="X81" s="304"/>
      <c r="Y81" s="304"/>
      <c r="Z81" s="304"/>
      <c r="AA81" s="304"/>
      <c r="AB81" s="304"/>
      <c r="AC81" s="304"/>
      <c r="AD81" s="304"/>
    </row>
    <row r="82" ht="18.75" customHeight="1">
      <c r="C82" s="304"/>
      <c r="D82" s="304"/>
      <c r="E82" s="304"/>
      <c r="F82" s="304"/>
      <c r="G82" s="304"/>
      <c r="H82" s="304"/>
      <c r="I82" s="304"/>
      <c r="J82" s="304"/>
      <c r="K82" s="304"/>
      <c r="L82" s="304"/>
      <c r="M82" s="304"/>
      <c r="N82" s="304"/>
      <c r="O82" s="304"/>
      <c r="P82" s="304"/>
      <c r="Q82" s="304"/>
      <c r="R82" s="304"/>
      <c r="S82" s="304"/>
      <c r="T82" s="304"/>
      <c r="U82" s="304"/>
      <c r="V82" s="304"/>
      <c r="W82" s="304"/>
      <c r="X82" s="304"/>
      <c r="Y82" s="304"/>
      <c r="Z82" s="304"/>
      <c r="AA82" s="304"/>
      <c r="AB82" s="304"/>
      <c r="AC82" s="304"/>
      <c r="AD82" s="304"/>
    </row>
    <row r="83" ht="18.75" customHeight="1">
      <c r="C83" s="304"/>
      <c r="D83" s="304"/>
      <c r="E83" s="304"/>
      <c r="F83" s="304"/>
      <c r="G83" s="304"/>
      <c r="H83" s="304"/>
      <c r="I83" s="304"/>
      <c r="J83" s="304"/>
      <c r="K83" s="304"/>
      <c r="L83" s="304"/>
      <c r="M83" s="304"/>
      <c r="N83" s="304"/>
      <c r="O83" s="304"/>
      <c r="P83" s="304"/>
      <c r="Q83" s="304"/>
      <c r="R83" s="304"/>
      <c r="S83" s="304"/>
      <c r="T83" s="304"/>
      <c r="U83" s="304"/>
      <c r="V83" s="304"/>
      <c r="W83" s="304"/>
      <c r="X83" s="304"/>
      <c r="Y83" s="304"/>
      <c r="Z83" s="304"/>
      <c r="AA83" s="304"/>
      <c r="AB83" s="304"/>
      <c r="AC83" s="304"/>
      <c r="AD83" s="304"/>
    </row>
    <row r="84" ht="18.75" customHeight="1">
      <c r="C84" s="304"/>
      <c r="D84" s="304"/>
      <c r="E84" s="304"/>
      <c r="F84" s="304"/>
      <c r="G84" s="304"/>
      <c r="H84" s="304"/>
      <c r="I84" s="304"/>
      <c r="J84" s="304"/>
      <c r="K84" s="304"/>
      <c r="L84" s="304"/>
      <c r="M84" s="304"/>
      <c r="N84" s="304"/>
      <c r="O84" s="304"/>
      <c r="P84" s="304"/>
      <c r="Q84" s="304"/>
      <c r="R84" s="304"/>
      <c r="S84" s="304"/>
      <c r="T84" s="304"/>
      <c r="U84" s="304"/>
      <c r="V84" s="304"/>
      <c r="W84" s="304"/>
      <c r="X84" s="304"/>
      <c r="Y84" s="304"/>
      <c r="Z84" s="304"/>
      <c r="AA84" s="304"/>
      <c r="AB84" s="304"/>
      <c r="AC84" s="304"/>
      <c r="AD84" s="304"/>
    </row>
    <row r="85" ht="18.75" customHeight="1">
      <c r="C85" s="304"/>
      <c r="D85" s="304"/>
      <c r="E85" s="304"/>
      <c r="F85" s="304"/>
      <c r="G85" s="304"/>
      <c r="H85" s="304"/>
      <c r="I85" s="304"/>
      <c r="J85" s="304"/>
      <c r="K85" s="304"/>
      <c r="L85" s="304"/>
      <c r="M85" s="304"/>
      <c r="N85" s="304"/>
      <c r="O85" s="304"/>
      <c r="P85" s="304"/>
      <c r="Q85" s="304"/>
      <c r="R85" s="304"/>
      <c r="S85" s="304"/>
      <c r="T85" s="304"/>
      <c r="U85" s="304"/>
      <c r="V85" s="304"/>
      <c r="W85" s="304"/>
      <c r="X85" s="304"/>
      <c r="Y85" s="304"/>
      <c r="Z85" s="304"/>
      <c r="AA85" s="304"/>
      <c r="AB85" s="304"/>
      <c r="AC85" s="304"/>
      <c r="AD85" s="304"/>
    </row>
    <row r="86" ht="18.75" customHeight="1">
      <c r="C86" s="304"/>
      <c r="D86" s="304"/>
      <c r="E86" s="304"/>
      <c r="F86" s="304"/>
      <c r="G86" s="304"/>
      <c r="H86" s="304"/>
      <c r="I86" s="304"/>
      <c r="J86" s="304"/>
      <c r="K86" s="304"/>
      <c r="L86" s="304"/>
      <c r="M86" s="304"/>
      <c r="N86" s="304"/>
      <c r="O86" s="304"/>
      <c r="P86" s="304"/>
      <c r="Q86" s="304"/>
      <c r="R86" s="304"/>
      <c r="S86" s="304"/>
      <c r="T86" s="304"/>
      <c r="U86" s="304"/>
      <c r="V86" s="304"/>
      <c r="W86" s="304"/>
      <c r="X86" s="304"/>
      <c r="Y86" s="304"/>
      <c r="Z86" s="304"/>
      <c r="AA86" s="304"/>
      <c r="AB86" s="304"/>
      <c r="AC86" s="304"/>
      <c r="AD86" s="304"/>
    </row>
    <row r="87" ht="18.75" customHeight="1">
      <c r="C87" s="304"/>
      <c r="D87" s="304"/>
      <c r="E87" s="304"/>
      <c r="F87" s="304"/>
      <c r="G87" s="304"/>
      <c r="H87" s="304"/>
      <c r="I87" s="304"/>
      <c r="J87" s="304"/>
      <c r="K87" s="304"/>
      <c r="L87" s="304"/>
      <c r="M87" s="304"/>
      <c r="N87" s="304"/>
      <c r="O87" s="304"/>
      <c r="P87" s="304"/>
      <c r="Q87" s="304"/>
      <c r="R87" s="304"/>
      <c r="S87" s="304"/>
      <c r="T87" s="304"/>
      <c r="U87" s="304"/>
      <c r="V87" s="304"/>
      <c r="W87" s="304"/>
      <c r="X87" s="304"/>
      <c r="Y87" s="304"/>
      <c r="Z87" s="304"/>
      <c r="AA87" s="304"/>
      <c r="AB87" s="304"/>
      <c r="AC87" s="304"/>
      <c r="AD87" s="304"/>
    </row>
    <row r="88" ht="18.75" customHeight="1">
      <c r="C88" s="304"/>
      <c r="D88" s="304"/>
      <c r="E88" s="304"/>
      <c r="F88" s="304"/>
      <c r="G88" s="304"/>
      <c r="H88" s="304"/>
      <c r="I88" s="304"/>
      <c r="J88" s="304"/>
      <c r="K88" s="304"/>
      <c r="L88" s="304"/>
      <c r="M88" s="304"/>
      <c r="N88" s="304"/>
      <c r="O88" s="304"/>
      <c r="P88" s="304"/>
      <c r="Q88" s="304"/>
      <c r="R88" s="304"/>
      <c r="S88" s="304"/>
      <c r="T88" s="304"/>
      <c r="U88" s="304"/>
      <c r="V88" s="304"/>
      <c r="W88" s="304"/>
      <c r="X88" s="304"/>
      <c r="Y88" s="304"/>
      <c r="Z88" s="304"/>
      <c r="AA88" s="304"/>
      <c r="AB88" s="304"/>
      <c r="AC88" s="304"/>
      <c r="AD88" s="304"/>
    </row>
    <row r="89" ht="18.75" customHeight="1">
      <c r="C89" s="304"/>
      <c r="D89" s="304"/>
      <c r="E89" s="304"/>
      <c r="F89" s="304"/>
      <c r="G89" s="304"/>
      <c r="H89" s="304"/>
      <c r="I89" s="304"/>
      <c r="J89" s="304"/>
      <c r="K89" s="304"/>
      <c r="L89" s="304"/>
      <c r="M89" s="304"/>
      <c r="N89" s="304"/>
      <c r="O89" s="304"/>
      <c r="P89" s="304"/>
      <c r="Q89" s="304"/>
      <c r="R89" s="304"/>
      <c r="S89" s="304"/>
      <c r="T89" s="304"/>
      <c r="U89" s="304"/>
      <c r="V89" s="304"/>
      <c r="W89" s="304"/>
      <c r="X89" s="304"/>
      <c r="Y89" s="304"/>
      <c r="Z89" s="304"/>
      <c r="AA89" s="304"/>
      <c r="AB89" s="304"/>
      <c r="AC89" s="304"/>
      <c r="AD89" s="304"/>
    </row>
    <row r="90" ht="18.75" customHeight="1">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row>
    <row r="91" ht="18.75" customHeight="1">
      <c r="C91" s="304"/>
      <c r="D91" s="304"/>
      <c r="E91" s="304"/>
      <c r="F91" s="304"/>
      <c r="G91" s="304"/>
      <c r="H91" s="304"/>
      <c r="I91" s="304"/>
      <c r="J91" s="304"/>
      <c r="K91" s="304"/>
      <c r="L91" s="304"/>
      <c r="M91" s="304"/>
      <c r="N91" s="304"/>
      <c r="O91" s="304"/>
      <c r="P91" s="304"/>
      <c r="Q91" s="304"/>
      <c r="R91" s="304"/>
      <c r="S91" s="304"/>
      <c r="T91" s="304"/>
      <c r="U91" s="304"/>
      <c r="V91" s="304"/>
      <c r="W91" s="304"/>
      <c r="X91" s="304"/>
      <c r="Y91" s="304"/>
      <c r="Z91" s="304"/>
      <c r="AA91" s="304"/>
      <c r="AB91" s="304"/>
      <c r="AC91" s="304"/>
      <c r="AD91" s="304"/>
    </row>
    <row r="92">
      <c r="C92" s="304"/>
      <c r="D92" s="304"/>
      <c r="E92" s="304"/>
      <c r="F92" s="304"/>
      <c r="G92" s="304"/>
      <c r="H92" s="304"/>
      <c r="I92" s="304"/>
      <c r="J92" s="304"/>
      <c r="K92" s="304"/>
      <c r="L92" s="304"/>
      <c r="M92" s="304"/>
      <c r="N92" s="304"/>
      <c r="O92" s="304"/>
      <c r="P92" s="304"/>
      <c r="Q92" s="304"/>
      <c r="R92" s="304"/>
      <c r="S92" s="304"/>
      <c r="T92" s="304"/>
      <c r="U92" s="304"/>
      <c r="V92" s="304"/>
      <c r="W92" s="304"/>
      <c r="X92" s="304"/>
      <c r="Y92" s="304"/>
      <c r="Z92" s="304"/>
      <c r="AA92" s="304"/>
      <c r="AB92" s="304"/>
      <c r="AC92" s="304"/>
      <c r="AD92" s="304"/>
    </row>
    <row r="93">
      <c r="C93" s="304"/>
      <c r="D93" s="304"/>
      <c r="E93" s="304"/>
      <c r="F93" s="304"/>
      <c r="G93" s="304"/>
      <c r="H93" s="304"/>
      <c r="I93" s="304"/>
      <c r="J93" s="304"/>
      <c r="K93" s="304"/>
      <c r="L93" s="304"/>
      <c r="M93" s="304"/>
      <c r="N93" s="304"/>
      <c r="O93" s="304"/>
      <c r="P93" s="304"/>
      <c r="Q93" s="304"/>
      <c r="R93" s="304"/>
      <c r="S93" s="304"/>
      <c r="T93" s="304"/>
      <c r="U93" s="304"/>
      <c r="V93" s="304"/>
      <c r="W93" s="304"/>
      <c r="X93" s="304"/>
      <c r="Y93" s="304"/>
      <c r="Z93" s="304"/>
      <c r="AA93" s="304"/>
      <c r="AB93" s="304"/>
      <c r="AC93" s="304"/>
      <c r="AD93" s="304"/>
    </row>
    <row r="94">
      <c r="C94" s="304"/>
      <c r="D94" s="304"/>
      <c r="E94" s="304"/>
      <c r="F94" s="304"/>
      <c r="G94" s="304"/>
      <c r="H94" s="304"/>
      <c r="I94" s="304"/>
      <c r="J94" s="304"/>
      <c r="K94" s="304"/>
      <c r="L94" s="304"/>
      <c r="M94" s="304"/>
      <c r="N94" s="304"/>
      <c r="O94" s="304"/>
      <c r="P94" s="304"/>
      <c r="Q94" s="304"/>
      <c r="R94" s="304"/>
      <c r="S94" s="304"/>
      <c r="T94" s="304"/>
      <c r="U94" s="304"/>
      <c r="V94" s="304"/>
      <c r="W94" s="304"/>
      <c r="X94" s="304"/>
      <c r="Y94" s="304"/>
      <c r="Z94" s="304"/>
      <c r="AA94" s="304"/>
      <c r="AB94" s="304"/>
      <c r="AC94" s="304"/>
      <c r="AD94" s="304"/>
    </row>
    <row r="95">
      <c r="C95" s="304"/>
      <c r="D95" s="304"/>
      <c r="E95" s="304"/>
      <c r="F95" s="304"/>
      <c r="G95" s="304"/>
      <c r="H95" s="304"/>
      <c r="I95" s="304"/>
      <c r="J95" s="304"/>
      <c r="K95" s="304"/>
      <c r="L95" s="304"/>
      <c r="M95" s="304"/>
      <c r="N95" s="304"/>
      <c r="O95" s="304"/>
      <c r="P95" s="304"/>
      <c r="Q95" s="304"/>
      <c r="R95" s="304"/>
      <c r="S95" s="304"/>
      <c r="T95" s="304"/>
      <c r="U95" s="304"/>
      <c r="V95" s="304"/>
      <c r="W95" s="304"/>
      <c r="X95" s="304"/>
      <c r="Y95" s="304"/>
      <c r="Z95" s="304"/>
      <c r="AA95" s="304"/>
      <c r="AB95" s="304"/>
      <c r="AC95" s="304"/>
      <c r="AD95" s="304"/>
    </row>
    <row r="96">
      <c r="C96" s="304"/>
      <c r="D96" s="304"/>
      <c r="E96" s="304"/>
      <c r="F96" s="304"/>
      <c r="G96" s="304"/>
      <c r="H96" s="304"/>
      <c r="I96" s="304"/>
      <c r="J96" s="304"/>
      <c r="K96" s="304"/>
      <c r="L96" s="304"/>
      <c r="M96" s="304"/>
      <c r="N96" s="304"/>
      <c r="O96" s="304"/>
      <c r="P96" s="304"/>
      <c r="Q96" s="304"/>
      <c r="R96" s="304"/>
      <c r="S96" s="304"/>
      <c r="T96" s="304"/>
      <c r="U96" s="304"/>
      <c r="V96" s="304"/>
      <c r="W96" s="304"/>
      <c r="X96" s="304"/>
      <c r="Y96" s="304"/>
      <c r="Z96" s="304"/>
      <c r="AA96" s="304"/>
      <c r="AB96" s="304"/>
      <c r="AC96" s="304"/>
      <c r="AD96" s="304"/>
    </row>
    <row r="97">
      <c r="C97" s="304"/>
      <c r="D97" s="304"/>
      <c r="E97" s="304"/>
      <c r="F97" s="304"/>
      <c r="G97" s="304"/>
      <c r="H97" s="304"/>
      <c r="I97" s="304"/>
      <c r="J97" s="304"/>
      <c r="K97" s="304"/>
      <c r="L97" s="304"/>
      <c r="M97" s="304"/>
      <c r="N97" s="304"/>
      <c r="O97" s="304"/>
      <c r="P97" s="304"/>
      <c r="Q97" s="304"/>
      <c r="R97" s="304"/>
      <c r="S97" s="304"/>
      <c r="T97" s="304"/>
      <c r="U97" s="304"/>
      <c r="V97" s="304"/>
      <c r="W97" s="304"/>
      <c r="X97" s="304"/>
      <c r="Y97" s="304"/>
      <c r="Z97" s="304"/>
      <c r="AA97" s="304"/>
      <c r="AB97" s="304"/>
      <c r="AC97" s="304"/>
      <c r="AD97" s="304"/>
    </row>
    <row r="98">
      <c r="C98" s="304"/>
      <c r="D98" s="304"/>
      <c r="E98" s="304"/>
      <c r="F98" s="304"/>
      <c r="G98" s="304"/>
      <c r="H98" s="304"/>
      <c r="I98" s="304"/>
      <c r="J98" s="304"/>
      <c r="K98" s="304"/>
      <c r="L98" s="304"/>
      <c r="M98" s="304"/>
      <c r="N98" s="304"/>
      <c r="O98" s="304"/>
      <c r="P98" s="304"/>
      <c r="Q98" s="304"/>
      <c r="R98" s="304"/>
      <c r="S98" s="304"/>
      <c r="T98" s="304"/>
      <c r="U98" s="304"/>
      <c r="V98" s="304"/>
      <c r="W98" s="304"/>
      <c r="X98" s="304"/>
      <c r="Y98" s="304"/>
      <c r="Z98" s="304"/>
      <c r="AA98" s="304"/>
      <c r="AB98" s="304"/>
      <c r="AC98" s="304"/>
      <c r="AD98" s="304"/>
    </row>
  </sheetData>
  <sheetProtection sheet="1" objects="1" scenarios="1"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Hướng dẫn</vt:lpstr>
      <vt:lpstr>InCaseOf</vt:lpstr>
      <vt:lpstr>Lab</vt:lpstr>
      <vt:lpstr>City</vt:lpstr>
      <vt:lpstr>Operator</vt:lpstr>
      <vt:lpstr>Applicant</vt:lpstr>
      <vt:lpstr>Profile</vt:lpstr>
      <vt:lpstr>BTS</vt:lpstr>
      <vt:lpstr>Input</vt:lpstr>
      <vt:lpstr>Check</vt:lpstr>
      <vt:lpstr>Certificate</vt:lpstr>
      <vt:lpstr>NoCertificate</vt:lpstr>
      <vt:lpstr>MauGCN</vt:lpstr>
      <vt:lpstr>Sheet1</vt:lpstr>
      <vt:lpstr>Equipment</vt:lpstr>
      <vt:lpstr>LP</vt:lpstr>
      <vt:lpstr>DS1</vt:lpstr>
      <vt:lpstr>DS2</vt:lpstr>
      <vt:lpstr>GCN1</vt:lpstr>
      <vt:lpstr>GCN2</vt:lpstr>
      <vt:lpstr>GCN3</vt:lpstr>
      <vt:lpstr>GCN4</vt:lpstr>
      <vt:lpstr>Equipment!CH</vt:lpstr>
      <vt:lpstr>Operators</vt:lpstr>
      <vt:lpstr>Equipment!Print_Area</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Dell</cp:lastModifiedBy>
  <cp:lastPrinted>2019-03-04T03:16:48Z</cp:lastPrinted>
  <dcterms:created xsi:type="dcterms:W3CDTF">2006-09-16T00:00:00Z</dcterms:created>
  <dcterms:modified xsi:type="dcterms:W3CDTF">2019-04-10T02:25:28Z</dcterms:modified>
  <dc:title>VCC2</dc:title>
</cp:coreProperties>
</file>

<file path=docProps/custom.xml><?xml version="1.0" encoding="utf-8"?>
<Properties xmlns:vt="http://schemas.openxmlformats.org/officeDocument/2006/docPropsVTypes" xmlns="http://schemas.openxmlformats.org/officeDocument/2006/custom-properties"/>
</file>