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0" activeTab="5"/>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Input" sheetId="52" r:id="rId9"/>
    <sheet name="Check" sheetId="53" r:id="rId10"/>
    <sheet name="Certificate" sheetId="50" r:id="rId11"/>
    <sheet name="NoCertificate" sheetId="54" r:id="rId12"/>
    <sheet name="MauGCN" sheetId="51" state="hidden" r:id="rId13"/>
    <sheet name="LP" sheetId="1" r:id="rId14"/>
    <sheet name="DS1" sheetId="3" r:id="rId15"/>
    <sheet name="DS2" sheetId="6" r:id="rId16"/>
    <sheet name="GCN1" sheetId="27" r:id="rId17"/>
    <sheet name="GCN2" sheetId="8" r:id="rId18"/>
    <sheet name="GCN3" sheetId="28" r:id="rId19"/>
    <sheet name="GCN4" sheetId="29" r:id="rId20"/>
  </sheets>
  <functionGroups builtInGroupCount="18"/>
  <externalReferences>
    <externalReference r:id="rId21"/>
    <externalReference r:id="rId22"/>
    <externalReference r:id="rId23"/>
    <externalReference r:id="rId24"/>
    <externalReference r:id="rId25"/>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[file:///W:\2018\Phong%20Kiem%20dinh\1.%20Kiem%20dinh\Soft\V11\BBKD_71%20(140)_DDMMYY_Doan%20Loc%20(2014).xlsm]Data!$BB$3:$BB$23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[file:///W:\2018\Phong%20Kiem%20dinh\1.%20Kiem%20dinh\Soft\V11\BBKD_71%20(140)_DDMMYY_Doan%20Loc%20(2014).xlsm]Drawing!$ED$1:$EL$1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CH" localSheetId="7">[BBKD_71%20(140)_DDMMYY_Doan%20Loc%20(2014).xlsm]Data!$BB$3:$BB$23</definedName>
    <definedName name="NV" localSheetId="7">[BBKD_71%20(140)_DDMMYY_Doan%20Loc%20(2014).xlsm]Drawing!$ED$1:$EL$1</definedName>
    <definedName name="_xlnm._FilterDatabase" localSheetId="8" hidden="1">'Input'!$A$1:$AI$11</definedName>
    <definedName name="_xlnm._FilterDatabase" localSheetId="9" hidden="1">'Check'!$AI$1:$GN$2</definedName>
    <definedName name="_xlnm._FilterDatabase" localSheetId="10" hidden="1">'Certificate'!$A$1:$AG$2</definedName>
    <definedName name="_xlnm._FilterDatabase" localSheetId="11" hidden="1">'NoCertificate'!$A$1:$AG$2</definedName>
    <definedName name="_xlnm.Print_Area" localSheetId="13">'LP'!$A$1:$Z$34</definedName>
    <definedName name="_xlnm.Print_Area" localSheetId="16">'GCN1'!$A$1:$AE$82</definedName>
    <definedName name="_xlnm.Print_Area" localSheetId="17">'GCN2'!$A$1:$AE$82</definedName>
    <definedName name="_xlnm.Print_Area" localSheetId="18">'GCN3'!$A$1:$AE$82</definedName>
    <definedName name="_xlnm.Print_Area" localSheetId="19">'GCN4'!$A$1:$AG$82</definedName>
  </definedNames>
  <calcPr calcId="162913" fullCalcOnLoad="1"/>
</workbook>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R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R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<sst xmlns="http://schemas.openxmlformats.org/spreadsheetml/2006/main" count="622" uniqueCount="622">
  <si>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</si>
  <si>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</si>
  <si>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</si>
  <si>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</si>
  <si>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</si>
  <si>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</si>
  <si>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</si>
  <si>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</si>
  <si>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</si>
  <si>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</si>
  <si>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</si>
  <si>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</si>
  <si>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</si>
  <si>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</si>
  <si>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</si>
  <si>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</si>
  <si>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</si>
  <si>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</si>
  <si>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</si>
  <si>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</si>
  <si>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</si>
  <si>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</si>
  <si>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</si>
  <si>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</si>
  <si>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</si>
  <si>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</si>
  <si>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</si>
  <si>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</si>
  <si>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</si>
  <si>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</si>
  <si>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</si>
  <si>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</si>
  <si>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</si>
  <si>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</si>
  <si>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</si>
  <si>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</si>
  <si>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</si>
  <si>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</si>
  <si>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</si>
  <si>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</si>
  <si>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</si>
  <si>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</si>
  <si>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</si>
  <si>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</si>
  <si>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</si>
  <si>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</si>
  <si>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</si>
  <si>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</si>
  <si>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</si>
  <si>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</si>
  <si>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</si>
  <si>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</si>
  <si>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</si>
  <si>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</si>
  <si>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</si>
  <si>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</si>
  <si>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</si>
  <si>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</si>
  <si>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</si>
  <si>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</si>
  <si>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</si>
  <si>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</si>
  <si>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</si>
  <si>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</si>
  <si>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</si>
  <si>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</si>
  <si>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</si>
  <si>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</si>
  <si>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</si>
  <si>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</si>
  <si>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</si>
  <si>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</si>
  <si>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</si>
  <si>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</si>
  <si>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</si>
  <si>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</si>
  <si>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</si>
  <si>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</si>
  <si>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</si>
  <si>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</si>
  <si>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</si>
  <si>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</si>
  <si>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</si>
  <si>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</si>
  <si>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DANH SÁCH TRẠM GỐC ĐIỆN THOẠI DI ĐỘNG MẶT ĐẤT CÔNG CỘNG </t>
  </si>
  <si>
    <t>Thông tin gửi kèm Công văn gửi doanh nghiệp</t>
  </si>
  <si>
    <t>Thông tin gửi kèm Báo cáo</t>
  </si>
  <si>
    <t>STT</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</si>
  <si>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</si>
  <si>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</si>
  <si>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</si>
  <si>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</si>
  <si>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</si>
  <si>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</si>
  <si>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</si>
  <si>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</si>
  <si>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</si>
  <si>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</si>
  <si>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</si>
  <si>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</si>
  <si>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</si>
  <si>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</si>
  <si>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</si>
  <si>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</si>
  <si>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</si>
  <si>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</si>
  <si>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</si>
  <si>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</si>
  <si>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</si>
  <si>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</si>
  <si>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</si>
  <si>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</si>
  <si>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</si>
  <si>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</si>
  <si>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</si>
  <si>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</si>
  <si>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</si>
  <si>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</si>
  <si>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</si>
  <si>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</si>
  <si>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</si>
  <si>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</si>
  <si>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</si>
  <si>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</si>
  <si>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</si>
  <si>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</si>
  <si>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</si>
  <si>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</si>
  <si>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</si>
  <si>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</si>
  <si>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</si>
  <si>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</si>
  <si>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</si>
  <si>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</si>
  <si>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</si>
  <si>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</si>
  <si>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</si>
  <si>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</si>
  <si>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</si>
  <si>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</si>
  <si>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</si>
  <si>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</si>
  <si>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</si>
  <si>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</si>
  <si>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</si>
  <si>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</si>
  <si>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</si>
  <si>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</si>
  <si>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</si>
  <si>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</si>
  <si>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</si>
  <si>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</si>
  <si>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</si>
  <si>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</si>
  <si>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</si>
  <si>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</si>
  <si>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</si>
  <si>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</si>
  <si>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</si>
  <si>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</si>
  <si>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</si>
  <si>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</si>
  <si>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</si>
  <si>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</si>
  <si>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</si>
  <si>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</si>
  <si>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</si>
  <si>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</si>
  <si>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</si>
  <si>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</si>
  <si>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</si>
  <si>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</si>
  <si>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</si>
  <si>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</si>
  <si>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</si>
  <si>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</si>
  <si>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</si>
  <si>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</si>
  <si>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</si>
  <si>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</si>
  <si>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</si>
  <si>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</si>
  <si>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</si>
  <si>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</si>
  <si>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</si>
  <si>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</si>
  <si>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</si>
  <si>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</si>
  <si>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</si>
  <si>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</si>
  <si>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</si>
  <si>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</si>
  <si>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</si>
  <si>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</si>
  <si>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</si>
  <si>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</si>
  <si>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</si>
  <si>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</si>
  <si>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</si>
  <si>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</si>
  <si>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</si>
  <si>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</si>
  <si>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</si>
  <si>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</si>
  <si>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</si>
  <si>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MOTOROLA HORIZON II MACRO</t>
  </si>
  <si>
    <t>100,45</t>
  </si>
  <si>
    <t>900;1800</t>
  </si>
  <si>
    <t xml:space="preserve">  Độ cao từng anten (tính từ mặt  
  đất đến mép thấp nhất của anten)</t>
  </si>
  <si>
    <t xml:space="preserve">CÔNG TY CỔ PHẦN VIỄN THÔNG DI ĐỘNG TOÀN CẦU
GTEL</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</si>
  <si>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</si>
  <si>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</si>
  <si>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</si>
  <si>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</si>
  <si>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</si>
  <si>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</si>
  <si>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</si>
  <si>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</si>
  <si>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</si>
  <si>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</si>
  <si>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</si>
  <si>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</si>
  <si>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</si>
  <si>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</si>
  <si>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</si>
  <si>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</si>
  <si>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</si>
  <si>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</si>
  <si>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</si>
  <si>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</si>
  <si>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</si>
  <si>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</si>
  <si>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</si>
  <si>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</si>
  <si>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</si>
  <si>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</si>
  <si>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</si>
  <si>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</si>
  <si>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</si>
  <si>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</si>
  <si>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</si>
  <si>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</si>
  <si>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</si>
  <si>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</si>
  <si>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</si>
  <si>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</si>
  <si>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</si>
  <si>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</si>
  <si>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</si>
  <si>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</si>
  <si>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</si>
  <si>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</si>
  <si>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</si>
  <si>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</si>
  <si>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</si>
  <si>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</si>
  <si>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</si>
  <si>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</si>
  <si>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</si>
  <si>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</si>
  <si>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</si>
  <si>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</si>
  <si>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</si>
  <si>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</si>
  <si>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</si>
  <si>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</si>
  <si>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</si>
  <si>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</si>
  <si>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</si>
  <si>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</si>
  <si>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</si>
  <si>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</si>
  <si>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</si>
  <si>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</si>
  <si>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</si>
  <si>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</si>
  <si>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</si>
  <si>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</si>
  <si>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</si>
  <si>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</si>
  <si>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</si>
  <si>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</si>
  <si>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</si>
  <si>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</si>
  <si>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</si>
  <si>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ApplicantName</t>
  </si>
  <si>
    <t>OperatorName</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</si>
  <si>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</si>
  <si>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</si>
  <si>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</si>
  <si>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</si>
  <si>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</si>
  <si>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</si>
  <si>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</si>
  <si>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</si>
  <si>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</si>
  <si>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</si>
  <si>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</si>
  <si>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</si>
  <si>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</si>
  <si>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</si>
  <si>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</si>
  <si>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</si>
  <si>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</si>
  <si>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</si>
  <si>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</si>
  <si>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</si>
  <si>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</si>
  <si>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</si>
  <si>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</si>
  <si>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</si>
  <si>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</si>
  <si>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</si>
  <si>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</si>
  <si>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</si>
  <si>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</si>
  <si>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</si>
  <si>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</si>
  <si>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</si>
  <si>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</si>
  <si>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</si>
  <si>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</si>
  <si>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</si>
  <si>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</si>
  <si>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SubBtsConfiguration_2</t>
  </si>
  <si>
    <t>SubBtsConfiguration_2.1</t>
  </si>
  <si>
    <t>SubBtsConfiguration_2.2</t>
  </si>
  <si>
    <t>SubBtsConfiguration_2.3</t>
  </si>
  <si>
    <t>SubBtsConfiguration_2.4</t>
  </si>
  <si>
    <t>SubBtsConfiguration_3</t>
  </si>
  <si>
    <t>SubBtsConfiguration_3.1</t>
  </si>
  <si>
    <t>SubBtsConfiguration_3.2</t>
  </si>
  <si>
    <t>SubBtsConfiguration_3.3</t>
  </si>
  <si>
    <t>SubBtsConfiguration_3.4</t>
  </si>
  <si>
    <t>SubBtsConfiguration_4</t>
  </si>
  <si>
    <t>SubBtsConfiguration_4.1</t>
  </si>
  <si>
    <t>SubBtsConfiguration_4.2</t>
  </si>
  <si>
    <t>SubBtsConfiguration_4.3</t>
  </si>
  <si>
    <t>SubBtsConfiguration_4.4</t>
  </si>
  <si>
    <t>SubBtsConfiguration_5</t>
  </si>
  <si>
    <t>SubBtsConfiguration_5.1</t>
  </si>
  <si>
    <t>SubBtsConfiguration_5.2</t>
  </si>
  <si>
    <t>SubBtsConfiguration_5.3</t>
  </si>
  <si>
    <t>SubBtsConfiguration_5.4</t>
  </si>
  <si>
    <t>SubBtsConfiguration_6</t>
  </si>
  <si>
    <t>SubBtsConfiguration_6.1</t>
  </si>
  <si>
    <t>SubBtsConfiguration_6.2</t>
  </si>
  <si>
    <t>SubBtsConfiguration_6.3</t>
  </si>
  <si>
    <t>SubBtsConfiguration_6.4</t>
  </si>
  <si>
    <t>SubBtsPowerSum_1_</t>
  </si>
  <si>
    <t>SubBtsPowerSum_1.1</t>
  </si>
  <si>
    <t>SubBtsPowerSum_1.2</t>
  </si>
  <si>
    <t>SubBtsPowerSum_1.3</t>
  </si>
  <si>
    <t>SubBtsPowerSum_1.4</t>
  </si>
  <si>
    <t>SubBtsPowerSum_1</t>
  </si>
  <si>
    <t>MaxPowerSum_1</t>
  </si>
  <si>
    <t>SubBtsPowerSum_2_</t>
  </si>
  <si>
    <t>SubBtsPowerSum_2.1</t>
  </si>
  <si>
    <t>SubBtsPowerSum_2.2</t>
  </si>
  <si>
    <t>SubBtsPowerSum_2.3</t>
  </si>
  <si>
    <t>SubBtsPowerSum_2.4</t>
  </si>
  <si>
    <t>SubBtsPowerSum_2</t>
  </si>
  <si>
    <t>MaxPowerSum_2</t>
  </si>
  <si>
    <t>SubBtsPowerSum_3_</t>
  </si>
  <si>
    <t>SubBtsPowerSum_3.1</t>
  </si>
  <si>
    <t>SubBtsPowerSum_3.2</t>
  </si>
  <si>
    <t>SubBtsPowerSum_3.3</t>
  </si>
  <si>
    <t>SubBtsPowerSum_3.4</t>
  </si>
  <si>
    <t>SubBtsPowerSum_3</t>
  </si>
  <si>
    <t>MaxPowerSum_3</t>
  </si>
  <si>
    <t>SubBtsPowerSum_4_</t>
  </si>
  <si>
    <t>SubBtsPowerSum_4.1</t>
  </si>
  <si>
    <t>SubBtsPowerSum_4.2</t>
  </si>
  <si>
    <t>SubBtsPowerSum_4.3</t>
  </si>
  <si>
    <t>SubBtsPowerSum_4.4</t>
  </si>
  <si>
    <t>SubBtsPowerSum_4</t>
  </si>
  <si>
    <t>MaxPowerSum_4</t>
  </si>
  <si>
    <t>SubBtsPowerSum_5_</t>
  </si>
  <si>
    <t>SubBtsPowerSum_5.1</t>
  </si>
  <si>
    <t>SubBtsPowerSum_5.2</t>
  </si>
  <si>
    <t>SubBtsPowerSum_5.3</t>
  </si>
  <si>
    <t>SubBtsPowerSum_5.4</t>
  </si>
  <si>
    <t>SubBtsPowerSum_5</t>
  </si>
  <si>
    <t>MaxPowerSum_5</t>
  </si>
  <si>
    <t>SubBtsPowerSum_6_</t>
  </si>
  <si>
    <t>SubBtsPowerSum_6.1</t>
  </si>
  <si>
    <t>SubBtsPowerSum_6.2</t>
  </si>
  <si>
    <t>SubBtsPowerSum_6.3</t>
  </si>
  <si>
    <t>SubBtsPowerSum_6.4</t>
  </si>
  <si>
    <t>SubBtsPowerSum_6</t>
  </si>
  <si>
    <t>MaxPowerSum_6</t>
  </si>
  <si>
    <t>MaxPowerSum</t>
  </si>
  <si>
    <t>SubBtsBand_1</t>
  </si>
  <si>
    <t>SubBtsBand_2</t>
  </si>
  <si>
    <t>SubBtsBand_3</t>
  </si>
  <si>
    <t>SubBtsBand_4</t>
  </si>
  <si>
    <t>SubBtsBand_5</t>
  </si>
  <si>
    <t>SubBtsBand_6</t>
  </si>
  <si>
    <t>SubBtsAntenHeight_1_</t>
  </si>
  <si>
    <t>SubBtsAntenHeight_1.1</t>
  </si>
  <si>
    <t>SubBtsAntenHeight_1.2</t>
  </si>
  <si>
    <t>SubBtsAntenHeight_1.3</t>
  </si>
  <si>
    <t>SubBtsAntenHeight_1.4</t>
  </si>
  <si>
    <t>SubBtsAntenHeight_1</t>
  </si>
  <si>
    <t>SubBtsAntenHeight_2_</t>
  </si>
  <si>
    <t>SubBtsAntenHeight_2.1</t>
  </si>
  <si>
    <t>SubBtsAntenHeight_2.2</t>
  </si>
  <si>
    <t>SubBtsAntenHeight_2.3</t>
  </si>
  <si>
    <t>SubBtsAntenHeight_2.4</t>
  </si>
  <si>
    <t>SubBtsAntenHeight_2</t>
  </si>
  <si>
    <t>SubBtsAntenHeight_3_</t>
  </si>
  <si>
    <t>SubBtsAntenHeight_3.1</t>
  </si>
  <si>
    <t>SubBtsAntenHeight_3.2</t>
  </si>
  <si>
    <t>SubBtsAntenHeight_3.3</t>
  </si>
  <si>
    <t>SubBtsAntenHeight_3.4</t>
  </si>
  <si>
    <t>SubBtsAntenHeight_3</t>
  </si>
  <si>
    <t>SubBtsAntenHeight_4_</t>
  </si>
  <si>
    <t>SubBtsAntenHeight_4.1</t>
  </si>
  <si>
    <t>SubBtsAntenHeight_4.2</t>
  </si>
  <si>
    <t>SubBtsAntenHeight_4.3</t>
  </si>
  <si>
    <t>SubBtsAntenHeight_4.4</t>
  </si>
  <si>
    <t>SubBtsAntenHeight_4</t>
  </si>
  <si>
    <t>SubBtsAntenHeight_5_</t>
  </si>
  <si>
    <t>SubBtsAntenHeight_5.1</t>
  </si>
  <si>
    <t>SubBtsAntenHeight_5.2</t>
  </si>
  <si>
    <t>SubBtsAntenHeight_5.3</t>
  </si>
  <si>
    <t>SubBtsAntenHeight_5.4</t>
  </si>
  <si>
    <t>SubBtsAntenHeight_5</t>
  </si>
  <si>
    <t>SubBtsAntenHeight_6_</t>
  </si>
  <si>
    <t>SubBtsAntenHeight_6.1</t>
  </si>
  <si>
    <t>SubBtsAntenHeight_6.2</t>
  </si>
  <si>
    <t>SubBtsAntenHeight_6.3</t>
  </si>
  <si>
    <t>SubBtsAntenHeight_6.4</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</si>
  <si>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</si>
  <si>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</si>
  <si>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</si>
  <si>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</si>
  <si>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</si>
  <si>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</si>
  <si>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</si>
  <si>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</si>
  <si>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</si>
  <si>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</si>
  <si>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</si>
  <si>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</si>
  <si>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</si>
  <si>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</si>
  <si>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</si>
  <si>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</si>
  <si>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</si>
  <si>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</si>
  <si>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</si>
  <si>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</si>
  <si>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</si>
  <si>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</si>
  <si>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Kiểm tra tỉnh</t>
  </si>
  <si>
    <t>Kiểm tra ngày cấp BBKĐ</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</si>
  <si>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</si>
  <si>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</si>
  <si>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</si>
  <si>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</si>
  <si>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</si>
  <si>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</si>
  <si>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</si>
  <si>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</si>
  <si>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</si>
  <si>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</si>
  <si>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</si>
  <si>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VNMOBILE-HCM</t>
  </si>
  <si>
    <t>MOBIFONE</t>
  </si>
  <si>
    <t>106,647723</t>
  </si>
  <si>
    <t>10,991285</t>
  </si>
  <si>
    <t>19/11/2018</t>
  </si>
  <si>
    <t>22/10/2018</t>
  </si>
  <si>
    <t>TỔNG CÔNG TY HẠ TẦNG MẠNG;TỔNG CÔNG TY HẠ TẦNG MẠNG;TỔNG CÔNG TY HẠ TẦNG MẠNG</t>
  </si>
  <si>
    <t>BDGTDM002;BDGTDM002;BDGTDM002</t>
  </si>
  <si>
    <t>MOTOROLA HORIZON II MACRO;ERICSSON RBS 6601;NSN FLEXI MULTIRADIO 10 (FHED)</t>
  </si>
  <si>
    <t>3;3;3</t>
  </si>
  <si>
    <t>4/4/4;2/2/2;1/1/1</t>
  </si>
  <si>
    <t>20W/20W/20W;60W/60W/60W;160W/160W/160W</t>
  </si>
  <si>
    <t>G900;U2100;L1800</t>
  </si>
  <si>
    <t>36m/ 36m/ 36m;36m/ 36m/ 36m;36m/ 36m/ 36m</t>
  </si>
  <si>
    <t>FX-X-CG-00T-900;S-Wave EW/EW/EW-65-18DV2/12I-F-64K-VN;S-Wave EW/EW/EW-65-18DV2/12I-F-64K-VN</t>
  </si>
  <si>
    <t>CHI NHÁNH VNMOBILE TẠI TPHCM</t>
  </si>
  <si>
    <t>TỔNG CÔNG TY VIỄN THÔNG MOBIFONE</t>
  </si>
  <si>
    <t>TỔNG CÔNG TY HẠ TẦNG MẠNG</t>
  </si>
  <si>
    <t/>
  </si>
  <si>
    <t>VINAPHONE</t>
  </si>
  <si>
    <t>VINAPHONE;VINAPHONE;VINAPHONE</t>
  </si>
  <si>
    <t>ERICSSON RBS 6601</t>
  </si>
  <si>
    <t>NSN FLEXI MULTIRADIO 10 (FHED)</t>
  </si>
  <si>
    <t>1/1/1</t>
  </si>
  <si>
    <t>20W/20W/20W</t>
  </si>
  <si>
    <t>60W/60W/60W</t>
  </si>
  <si>
    <t>160W/160W/160W</t>
  </si>
  <si>
    <t>G900</t>
  </si>
  <si>
    <t>U2100</t>
  </si>
  <si>
    <t>L1800</t>
  </si>
  <si>
    <t>36m/ 36m/ 36m</t>
  </si>
  <si>
    <t>36m/36m/36m</t>
  </si>
  <si>
    <t>TG05</t>
  </si>
  <si>
    <t>03/03/2019</t>
  </si>
  <si>
    <t>106,651585</t>
  </si>
  <si>
    <t>10,979697</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</si>
  <si>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</si>
  <si>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</si>
  <si>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</si>
  <si>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3;3;3;3</t>
  </si>
  <si>
    <t>2/2/4;2/4/2;2/2/2;1/1/1</t>
  </si>
  <si>
    <t>20W/20W/20W;16W/16W/16W;60W/60W/60W;160W/160W/160W</t>
  </si>
  <si>
    <t>G900;G1800;U2100;L1800</t>
  </si>
  <si>
    <t>45m/ 45m/ 45m;45m/ 45m/ 45m;34m/ 34m/ 34m;34m/ 34m/ 34m</t>
  </si>
  <si>
    <t>FX-X-CG-00T-900;FX-X-CDG-06T-DB-1800;S-Wave EW/EW/EW-65-18DV2/12I-F-64K-VN;S-Wave EW/EW/EW-65-18DV2/12I-F-64K-VN</t>
  </si>
  <si>
    <t>VINAPHONE;VINAPHONE;VINAPHONE;VINAPHONE</t>
  </si>
  <si>
    <t>ERICSSON RBS 3418</t>
  </si>
  <si>
    <t>2/2/4</t>
  </si>
  <si>
    <t>2/4/2</t>
  </si>
  <si>
    <t>16W/16W/16W</t>
  </si>
  <si>
    <t>G1800</t>
  </si>
  <si>
    <t>45m/ 45m/ 45m</t>
  </si>
  <si>
    <t>45m/45m/45m</t>
  </si>
  <si>
    <t>34m/ 34m/ 34m</t>
  </si>
  <si>
    <t>34m/34m/34m</t>
  </si>
  <si>
    <t>106,660063</t>
  </si>
  <si>
    <t>10,97715</t>
  </si>
  <si>
    <t>BDGTDM004;BDGTDM004;BDGTDM004</t>
  </si>
  <si>
    <t>MOTOROLA HORIZON II MACRO;ERICSSON RBS 3418;NSN FLEXI MULTIRADIO 10 (FHED)</t>
  </si>
  <si>
    <t>35m/ 35m/ 35m;28m/ 28m/ 28m;28m/ 28m/ 28m</t>
  </si>
  <si>
    <t>35m/ 35m/ 35m</t>
  </si>
  <si>
    <t>35m/35m/35m</t>
  </si>
  <si>
    <t>28m/ 28m/ 28m</t>
  </si>
  <si>
    <t>28m/28m/28m</t>
  </si>
  <si>
    <t>106,663203</t>
  </si>
  <si>
    <t>10,99383</t>
  </si>
  <si>
    <t>23/10/2018</t>
  </si>
  <si>
    <t>BDGTDM025;BDGTDM025;BDGTDM025;BDGTDM025</t>
  </si>
  <si>
    <t>2/2/2;2/2/2;2/2/2;1/1/1</t>
  </si>
  <si>
    <t>37m/ 37m/ 37m;34m/ 34m/ 34m;34m/ 34m/ 34m;34m/ 34m/ 34m</t>
  </si>
  <si>
    <t>37m/ 37m/ 37m</t>
  </si>
  <si>
    <t>37m/37m/37m</t>
  </si>
  <si>
    <t>GTEL</t>
  </si>
  <si>
    <t>VIETTEL</t>
  </si>
  <si>
    <t>TỔNG CÔNG TY MẠNG LƯỚI VIETTEL</t>
  </si>
  <si>
    <t>VNMOBILE</t>
  </si>
  <si>
    <t>CÔNG TY CỔ PHẦN VIỄN THÔNG HÀ NỘI</t>
  </si>
  <si>
    <t>ContactName</t>
  </si>
  <si>
    <t>VNMOBILE Tp. Hồ Chí Minh</t>
  </si>
  <si>
    <t xml:space="preserve">024 32123440 </t>
  </si>
  <si>
    <t>024 32123441</t>
  </si>
  <si>
    <t>Ông A</t>
  </si>
  <si>
    <t>VNMOB</t>
  </si>
  <si>
    <t>ProfileNum</t>
  </si>
  <si>
    <t>ProfileDate</t>
  </si>
  <si>
    <t>BtsQuantity</t>
  </si>
  <si>
    <t>AcceptedBtsQuantity</t>
  </si>
  <si>
    <t>ApplyDate</t>
  </si>
  <si>
    <t>Fee</t>
  </si>
  <si>
    <t>FeeAnnounceNum</t>
  </si>
  <si>
    <t>FeeAnnounceDate</t>
  </si>
  <si>
    <t>FeeReceiptDate</t>
  </si>
  <si>
    <t>798/VNM</t>
  </si>
  <si>
    <t>3/PKĐ-TT2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</si>
  <si>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</si>
  <si>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</si>
  <si>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</si>
  <si>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</si>
  <si>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106,665231</t>
  </si>
  <si>
    <t>10,975973</t>
  </si>
  <si>
    <t>BDGTDM007;BDGTDM007;BDGTDM007</t>
  </si>
  <si>
    <t>3/3/3;2/2/2;1/1/1</t>
  </si>
  <si>
    <t>16W/16W/16W;60W/60W/60W;160W/160W/160W</t>
  </si>
  <si>
    <t>G1800;U2100;L1800</t>
  </si>
  <si>
    <t>27m/ 27m/ 27m;25m/ 25m/ 25m;25m/ 25m/ 25m</t>
  </si>
  <si>
    <t>FX-X-CDG-06T-DB-1800;S-Wave EW/EW/EW-65-18DV2/12I-F-64K-VN;S-Wave EW/EW/EW-65-18DV2/12I-F-64K-VN</t>
  </si>
  <si>
    <t>106,66202</t>
  </si>
  <si>
    <t>10,9625</t>
  </si>
  <si>
    <t>BDGTDM013;BDGTDM013;BDGTDM013</t>
  </si>
  <si>
    <t>MOTOROLA HORIZON II MACRO;ERICSSON RBS 3206;NSN FLEXI MULTIRADIO 10 (FHED)</t>
  </si>
  <si>
    <t>2/2/2;2/2/2;1/1/1</t>
  </si>
  <si>
    <t>20W/20W/20W;40W/40W/40W;160W/160W/160W</t>
  </si>
  <si>
    <t>47m/ 47m/ 47m;35m/ 35m/ 35m;35m/ 35m/ 35m</t>
  </si>
  <si>
    <t>106,656244</t>
  </si>
  <si>
    <t>10,973269</t>
  </si>
  <si>
    <t>BDGTDM014;BDGTDM014;BDGTDM014</t>
  </si>
  <si>
    <t>33m/ 33m/ 33m;26m/ 26m/ 26m;26m/ 26m/ 26m</t>
  </si>
  <si>
    <t>106,658003</t>
  </si>
  <si>
    <t>10,981745</t>
  </si>
  <si>
    <t>BDGTDM017;BDGTDM017;BDGTDM017</t>
  </si>
  <si>
    <t>27m/ 27m/ 27m;24m/ 24m/ 24m;24m/ 24m/ 24m</t>
  </si>
  <si>
    <t>106,67883</t>
  </si>
  <si>
    <t>10,97394</t>
  </si>
  <si>
    <t>BDGTDM022;BDGTDM022;BDGTDM022</t>
  </si>
  <si>
    <t>28m/ 28m/ 28m;30m/ 30m/ 30m;30m/ 30m/ 30m</t>
  </si>
  <si>
    <t>106,671208</t>
  </si>
  <si>
    <t>10,97728</t>
  </si>
  <si>
    <t>BDGTDM036;BDGTDM036;BDGTDM036</t>
  </si>
  <si>
    <t>2/4/4;2/2/2;1/1/1</t>
  </si>
  <si>
    <t>23m/ 23m/ 23m;28,5m/ 28,5m/ 28,5m;28m/ 28m/ 28m</t>
  </si>
  <si>
    <t>3/3/3</t>
  </si>
  <si>
    <t>27m/ 27m/ 27m</t>
  </si>
  <si>
    <t>27m/27m/27m</t>
  </si>
  <si>
    <t>25m/ 25m/ 25m</t>
  </si>
  <si>
    <t>25m/25m/25m</t>
  </si>
  <si>
    <t>07/03/2019</t>
  </si>
  <si>
    <t>ERICSSON RBS 3206</t>
  </si>
  <si>
    <t>40W/40W/40W</t>
  </si>
  <si>
    <t>47m/ 47m/ 47m</t>
  </si>
  <si>
    <t>47m/47m/47m</t>
  </si>
  <si>
    <t>33m/ 33m/ 33m</t>
  </si>
  <si>
    <t>33m/33m/33m</t>
  </si>
  <si>
    <t>26m/ 26m/ 26m</t>
  </si>
  <si>
    <t>26m/26m/26m</t>
  </si>
  <si>
    <t>24m/ 24m/ 24m</t>
  </si>
  <si>
    <t>24m/24m/24m</t>
  </si>
  <si>
    <t>30m/ 30m/ 30m</t>
  </si>
  <si>
    <t>30m/30m/30m</t>
  </si>
  <si>
    <t>24/10/2018</t>
  </si>
  <si>
    <t>2/4/4</t>
  </si>
  <si>
    <t>23m/ 23m/ 23m</t>
  </si>
  <si>
    <t>23m/23m/23m</t>
  </si>
  <si>
    <t>28,5m/ 28,5m/ 28,5m</t>
  </si>
  <si>
    <t>28,5m/28,5m/28,5m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</si>
</sst>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03">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42">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0" fontId="11" fillId="0" borderId="0"/>
    <xf numFmtId="169"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70" fontId="23" fillId="0" borderId="0"/>
    <xf numFmtId="0" fontId="24" fillId="0" borderId="0"/>
    <xf numFmtId="171" fontId="1" fillId="0" borderId="0"/>
    <xf numFmtId="172" fontId="23" fillId="0" borderId="0"/>
    <xf numFmtId="0" fontId="24" fillId="0" borderId="0"/>
    <xf numFmtId="173" fontId="1" fillId="0" borderId="0"/>
    <xf numFmtId="0" fontId="25" fillId="0" borderId="0">
      <alignment horizontal="center" wrapText="1"/>
      <protection locked="0"/>
    </xf>
    <xf numFmtId="174" fontId="23" fillId="0" borderId="0"/>
    <xf numFmtId="0" fontId="24" fillId="0" borderId="0"/>
    <xf numFmtId="175" fontId="1" fillId="0" borderId="0"/>
    <xf numFmtId="176" fontId="23" fillId="0" borderId="0"/>
    <xf numFmtId="0" fontId="24" fillId="0" borderId="0"/>
    <xf numFmtId="177" fontId="1" fillId="0" borderId="0"/>
    <xf numFmtId="0" fontId="26" fillId="0" borderId="0"/>
    <xf numFmtId="0" fontId="24" fillId="0" borderId="0"/>
    <xf numFmtId="0" fontId="27" fillId="0" borderId="0"/>
    <xf numFmtId="0" fontId="24" fillId="0" borderId="0"/>
    <xf numFmtId="0" fontId="28" fillId="0" borderId="0"/>
    <xf numFmtId="178" fontId="29" fillId="0" borderId="0"/>
    <xf numFmtId="179" fontId="30" fillId="0" borderId="0"/>
    <xf numFmtId="180" fontId="30" fillId="0" borderId="0"/>
    <xf numFmtId="181" fontId="30" fillId="0" borderId="0"/>
    <xf numFmtId="182" fontId="1" fillId="0" borderId="0"/>
    <xf numFmtId="165" fontId="30" fillId="0" borderId="0"/>
    <xf numFmtId="183" fontId="30" fillId="0" borderId="0"/>
    <xf numFmtId="179" fontId="30"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xf numFmtId="43" fontId="1" fillId="0" borderId="0"/>
    <xf numFmtId="43" fontId="1" fillId="0" borderId="0"/>
    <xf numFmtId="43" fontId="1" fillId="0" borderId="0"/>
    <xf numFmtId="185" fontId="32" fillId="0" borderId="0"/>
    <xf numFmtId="3" fontId="1" fillId="0" borderId="0"/>
    <xf numFmtId="0" fontId="33" fillId="0" borderId="0">
      <alignment horizontal="left"/>
    </xf>
    <xf numFmtId="179" fontId="30" fillId="0" borderId="0"/>
    <xf numFmtId="44" fontId="1" fillId="0" borderId="0"/>
    <xf numFmtId="186" fontId="34" fillId="0" borderId="0"/>
    <xf numFmtId="187" fontId="32" fillId="0" borderId="0"/>
    <xf numFmtId="0" fontId="1" fillId="0" borderId="0"/>
    <xf numFmtId="14" fontId="35" fillId="0" borderId="0"/>
    <xf numFmtId="41" fontId="1" fillId="0" borderId="0"/>
    <xf numFmtId="43" fontId="1" fillId="0" borderId="0"/>
    <xf numFmtId="188" fontId="32" fillId="0" borderId="0"/>
    <xf numFmtId="0" fontId="36" fillId="19" borderId="0"/>
    <xf numFmtId="0" fontId="36" fillId="20" borderId="0"/>
    <xf numFmtId="0" fontId="36" fillId="21" borderId="0"/>
    <xf numFmtId="165" fontId="30" fillId="0" borderId="0"/>
    <xf numFmtId="179" fontId="30" fillId="0" borderId="0"/>
    <xf numFmtId="165" fontId="30" fillId="0" borderId="0"/>
    <xf numFmtId="183" fontId="30" fillId="0" borderId="0"/>
    <xf numFmtId="179"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9" fontId="30" fillId="0" borderId="0"/>
    <xf numFmtId="165" fontId="30" fillId="0" borderId="0"/>
    <xf numFmtId="183" fontId="30" fillId="0" borderId="0"/>
    <xf numFmtId="179" fontId="30" fillId="0" borderId="0"/>
    <xf numFmtId="38" fontId="29" fillId="0" borderId="0"/>
    <xf numFmtId="40" fontId="29" fillId="0" borderId="0"/>
    <xf numFmtId="41" fontId="1" fillId="0" borderId="0"/>
    <xf numFmtId="43" fontId="1" fillId="0" borderId="0"/>
    <xf numFmtId="189" fontId="29" fillId="0" borderId="0"/>
    <xf numFmtId="190" fontId="29" fillId="0" borderId="0"/>
    <xf numFmtId="191" fontId="1" fillId="0" borderId="0"/>
    <xf numFmtId="192" fontId="1" fillId="0" borderId="0"/>
    <xf numFmtId="0" fontId="44" fillId="0" borderId="0"/>
    <xf numFmtId="0" fontId="10" fillId="4" borderId="0"/>
    <xf numFmtId="37" fontId="45" fillId="0" borderId="0"/>
    <xf numFmtId="193" fontId="46" fillId="0" borderId="0"/>
    <xf numFmtId="0" fontId="47" fillId="0" borderId="0"/>
    <xf numFmtId="0" fontId="3" fillId="0" borderId="0"/>
    <xf numFmtId="0" fontId="1" fillId="0" borderId="0"/>
    <xf numFmtId="0" fontId="90" fillId="0" borderId="0"/>
    <xf numFmtId="0" fontId="1" fillId="0" borderId="0"/>
    <xf numFmtId="0" fontId="48" fillId="0" borderId="0"/>
    <xf numFmtId="14" fontId="25" fillId="0" borderId="0">
      <alignment horizontal="center" wrapText="1"/>
      <protection locked="0"/>
    </xf>
    <xf numFmtId="182" fontId="1" fillId="0" borderId="0"/>
    <xf numFmtId="194" fontId="1" fillId="0" borderId="0"/>
    <xf numFmtId="10" fontId="1" fillId="0" borderId="0"/>
    <xf numFmtId="9" fontId="29" fillId="0" borderId="7"/>
    <xf numFmtId="165" fontId="30" fillId="0" borderId="0"/>
    <xf numFmtId="179" fontId="30" fillId="0" borderId="0"/>
    <xf numFmtId="165" fontId="30" fillId="0" borderId="0"/>
    <xf numFmtId="183" fontId="30" fillId="0" borderId="0"/>
    <xf numFmtId="179"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5" fontId="1" fillId="0" borderId="0"/>
    <xf numFmtId="196"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7" fontId="71" fillId="0" borderId="0"/>
    <xf numFmtId="198"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34">
    <xf numFmtId="0" applyNumberFormat="1" fontId="0" applyFont="1" fillId="0" applyFill="1" borderId="0" applyBorder="1" xfId="0"/>
    <xf numFmtId="0" applyNumberFormat="1" fontId="1" applyFont="1" fillId="0" applyFill="1" borderId="0" applyBorder="1" xfId="1"/>
    <xf numFmtId="0" applyNumberFormat="1" fontId="11" applyFont="1" fillId="0" applyFill="1" borderId="0" applyBorder="1" xfId="2"/>
    <xf numFmtId="169" applyNumberFormat="1" fontId="12" applyFont="1" fillId="0" applyFill="1" borderId="0" applyBorder="1" xfId="3"/>
    <xf numFmtId="40" applyNumberFormat="1" fontId="11" applyFont="1" fillId="0" applyFill="1" borderId="0" applyBorder="1" xfId="4"/>
    <xf numFmtId="38" applyNumberFormat="1" fontId="11" applyFont="1" fillId="0" applyFill="1" borderId="0" applyBorder="1" xfId="5"/>
    <xf numFmtId="41" applyNumberFormat="1" fontId="13" applyFont="1" fillId="0" applyFill="1" borderId="0" applyBorder="1" xfId="6"/>
    <xf numFmtId="9" applyNumberFormat="1" fontId="14" applyFont="1" fillId="0" applyFill="1" borderId="0" applyBorder="1" xfId="7"/>
    <xf numFmtId="0" applyNumberFormat="1" fontId="15" applyFont="1" fillId="0" applyFill="1" borderId="0" applyBorder="1" xfId="8"/>
    <xf numFmtId="0" applyNumberFormat="1" fontId="3" applyFont="1" fillId="0" applyFill="1" borderId="0" applyBorder="1" xfId="9"/>
    <xf numFmtId="0" applyNumberFormat="1" fontId="1" applyFont="1" fillId="0" applyFill="1" borderId="0" applyBorder="1" xfId="10"/>
    <xf numFmtId="0" applyNumberFormat="1" fontId="16" applyFont="1" fillId="9" applyFill="1" borderId="0" applyBorder="1" xfId="11"/>
    <xf numFmtId="0" applyNumberFormat="1" fontId="16" applyFont="1" fillId="10" applyFill="1" borderId="0" applyBorder="1" xfId="12"/>
    <xf numFmtId="0" applyNumberFormat="1" fontId="17" applyFont="1" fillId="0" applyFill="1" borderId="3" applyBorder="1" xfId="13"/>
    <xf numFmtId="9" applyNumberFormat="1" fontId="18" applyFont="1" fillId="0" applyFill="1" borderId="0" applyBorder="1" xfId="14"/>
    <xf numFmtId="0" applyNumberFormat="1" fontId="19" applyFont="1" fillId="9" applyFill="1" borderId="0" applyBorder="1" xfId="15"/>
    <xf numFmtId="0" applyNumberFormat="1" fontId="19" applyFont="1" fillId="10" applyFill="1" borderId="0" applyBorder="1" xfId="16"/>
    <xf numFmtId="0" applyNumberFormat="1" fontId="20" applyFont="1" fillId="9" applyFill="1" borderId="0" applyBorder="1" xfId="17"/>
    <xf numFmtId="0" applyNumberFormat="1" fontId="20" applyFont="1" fillId="10" applyFill="1" borderId="0" applyBorder="1" xfId="18"/>
    <xf numFmtId="0" applyNumberFormat="1" fontId="21" applyFont="1" fillId="0" applyFill="1" borderId="0" applyBorder="1" xfId="19">
      <alignment wrapText="1"/>
    </xf>
    <xf numFmtId="0" applyNumberFormat="1" fontId="3" applyFont="1" fillId="11" applyFill="1" borderId="0" applyBorder="1" xfId="20"/>
    <xf numFmtId="0" applyNumberFormat="1" fontId="3" applyFont="1" fillId="11" applyFill="1" borderId="0" applyBorder="1" xfId="21"/>
    <xf numFmtId="0" applyNumberFormat="1" fontId="22" applyFont="1" fillId="12" applyFill="1" borderId="0" applyBorder="1" xfId="22"/>
    <xf numFmtId="0" applyNumberFormat="1" fontId="3" applyFont="1" fillId="13" applyFill="1" borderId="0" applyBorder="1" xfId="23"/>
    <xf numFmtId="0" applyNumberFormat="1" fontId="3" applyFont="1" fillId="14" applyFill="1" borderId="0" applyBorder="1" xfId="24"/>
    <xf numFmtId="0" applyNumberFormat="1" fontId="22" applyFont="1" fillId="15" applyFill="1" borderId="0" applyBorder="1" xfId="25"/>
    <xf numFmtId="0" applyNumberFormat="1" fontId="3" applyFont="1" fillId="13" applyFill="1" borderId="0" applyBorder="1" xfId="26"/>
    <xf numFmtId="0" applyNumberFormat="1" fontId="3" applyFont="1" fillId="16" applyFill="1" borderId="0" applyBorder="1" xfId="27"/>
    <xf numFmtId="0" applyNumberFormat="1" fontId="22" applyFont="1" fillId="14" applyFill="1" borderId="0" applyBorder="1" xfId="28"/>
    <xf numFmtId="0" applyNumberFormat="1" fontId="3" applyFont="1" fillId="11" applyFill="1" borderId="0" applyBorder="1" xfId="29"/>
    <xf numFmtId="0" applyNumberFormat="1" fontId="3" applyFont="1" fillId="14" applyFill="1" borderId="0" applyBorder="1" xfId="30"/>
    <xf numFmtId="0" applyNumberFormat="1" fontId="22" applyFont="1" fillId="14" applyFill="1" borderId="0" applyBorder="1" xfId="31"/>
    <xf numFmtId="0" applyNumberFormat="1" fontId="3" applyFont="1" fillId="17" applyFill="1" borderId="0" applyBorder="1" xfId="32"/>
    <xf numFmtId="0" applyNumberFormat="1" fontId="3" applyFont="1" fillId="11" applyFill="1" borderId="0" applyBorder="1" xfId="33"/>
    <xf numFmtId="0" applyNumberFormat="1" fontId="22" applyFont="1" fillId="12" applyFill="1" borderId="0" applyBorder="1" xfId="34"/>
    <xf numFmtId="0" applyNumberFormat="1" fontId="3" applyFont="1" fillId="13" applyFill="1" borderId="0" applyBorder="1" xfId="35"/>
    <xf numFmtId="0" applyNumberFormat="1" fontId="3" applyFont="1" fillId="18" applyFill="1" borderId="0" applyBorder="1" xfId="36"/>
    <xf numFmtId="0" applyNumberFormat="1" fontId="22" applyFont="1" fillId="18" applyFill="1" borderId="0" applyBorder="1" xfId="37"/>
    <xf numFmtId="170" applyNumberFormat="1" fontId="23" applyFont="1" fillId="0" applyFill="1" borderId="0" applyBorder="1" xfId="38"/>
    <xf numFmtId="0" applyNumberFormat="1" fontId="24" applyFont="1" fillId="0" applyFill="1" borderId="0" applyBorder="1" xfId="39"/>
    <xf numFmtId="171" applyNumberFormat="1" fontId="1" applyFont="1" fillId="0" applyFill="1" borderId="0" applyBorder="1" xfId="40"/>
    <xf numFmtId="172" applyNumberFormat="1" fontId="23" applyFont="1" fillId="0" applyFill="1" borderId="0" applyBorder="1" xfId="41"/>
    <xf numFmtId="0" applyNumberFormat="1" fontId="24" applyFont="1" fillId="0" applyFill="1" borderId="0" applyBorder="1" xfId="42"/>
    <xf numFmtId="173" applyNumberFormat="1" fontId="1" applyFont="1" fillId="0" applyFill="1" borderId="0" applyBorder="1" xfId="43"/>
    <xf numFmtId="0" applyNumberFormat="1" fontId="25" applyFont="1" fillId="0" applyFill="1" borderId="0" applyBorder="1" xfId="44">
      <alignment horizontal="center" wrapText="1"/>
      <protection locked="0"/>
    </xf>
    <xf numFmtId="174" applyNumberFormat="1" fontId="23" applyFont="1" fillId="0" applyFill="1" borderId="0" applyBorder="1" xfId="45"/>
    <xf numFmtId="0" applyNumberFormat="1" fontId="24" applyFont="1" fillId="0" applyFill="1" borderId="0" applyBorder="1" xfId="46"/>
    <xf numFmtId="175" applyNumberFormat="1" fontId="1" applyFont="1" fillId="0" applyFill="1" borderId="0" applyBorder="1" xfId="47"/>
    <xf numFmtId="176" applyNumberFormat="1" fontId="23" applyFont="1" fillId="0" applyFill="1" borderId="0" applyBorder="1" xfId="48"/>
    <xf numFmtId="0" applyNumberFormat="1" fontId="24" applyFont="1" fillId="0" applyFill="1" borderId="0" applyBorder="1" xfId="49"/>
    <xf numFmtId="177" applyNumberFormat="1" fontId="1" applyFont="1" fillId="0" applyFill="1" borderId="0" applyBorder="1" xfId="50"/>
    <xf numFmtId="0" applyNumberFormat="1" fontId="26" applyFont="1" fillId="0" applyFill="1" borderId="0" applyBorder="1" xfId="51"/>
    <xf numFmtId="0" applyNumberFormat="1" fontId="24" applyFont="1" fillId="0" applyFill="1" borderId="0" applyBorder="1" xfId="52"/>
    <xf numFmtId="0" applyNumberFormat="1" fontId="27" applyFont="1" fillId="0" applyFill="1" borderId="0" applyBorder="1" xfId="53"/>
    <xf numFmtId="0" applyNumberFormat="1" fontId="24" applyFont="1" fillId="0" applyFill="1" borderId="0" applyBorder="1" xfId="54"/>
    <xf numFmtId="0" applyNumberFormat="1" fontId="28" applyFont="1" fillId="0" applyFill="1" borderId="0" applyBorder="1" xfId="55"/>
    <xf numFmtId="178" applyNumberFormat="1" fontId="29" applyFont="1" fillId="0" applyFill="1" borderId="0" applyBorder="1" xfId="56"/>
    <xf numFmtId="179" applyNumberFormat="1" fontId="30" applyFont="1" fillId="0" applyFill="1" borderId="0" applyBorder="1" xfId="57"/>
    <xf numFmtId="180" applyNumberFormat="1" fontId="30" applyFont="1" fillId="0" applyFill="1" borderId="0" applyBorder="1" xfId="58"/>
    <xf numFmtId="181" applyNumberFormat="1" fontId="30" applyFont="1" fillId="0" applyFill="1" borderId="0" applyBorder="1" xfId="59"/>
    <xf numFmtId="182" applyNumberFormat="1" fontId="1" applyFont="1" fillId="0" applyFill="1" borderId="0" applyBorder="1" xfId="60"/>
    <xf numFmtId="165" applyNumberFormat="1" fontId="30" applyFont="1" fillId="0" applyFill="1" borderId="0" applyBorder="1" xfId="61"/>
    <xf numFmtId="183" applyNumberFormat="1" fontId="30" applyFont="1" fillId="0" applyFill="1" borderId="0" applyBorder="1" xfId="62"/>
    <xf numFmtId="179" applyNumberFormat="1" fontId="30" applyFont="1" fillId="0" applyFill="1" borderId="0" applyBorder="1" xfId="63"/>
    <xf numFmtId="184" applyNumberFormat="1" fontId="31" applyFont="1" fillId="0" applyFill="1" borderId="0" applyBorder="1" xfId="64"/>
    <xf numFmtId="184" applyNumberFormat="1" fontId="31" applyFont="1" fillId="0" applyFill="1" borderId="0" applyBorder="1" xfId="65"/>
    <xf numFmtId="184" applyNumberFormat="1" fontId="31" applyFont="1" fillId="0" applyFill="1" borderId="0" applyBorder="1" xfId="66"/>
    <xf numFmtId="184" applyNumberFormat="1" fontId="31" applyFont="1" fillId="0" applyFill="1" borderId="0" applyBorder="1" xfId="67"/>
    <xf numFmtId="184" applyNumberFormat="1" fontId="31" applyFont="1" fillId="0" applyFill="1" borderId="0" applyBorder="1" xfId="68"/>
    <xf numFmtId="184" applyNumberFormat="1" fontId="31" applyFont="1" fillId="0" applyFill="1" borderId="0" applyBorder="1" xfId="69"/>
    <xf numFmtId="184" applyNumberFormat="1" fontId="31" applyFont="1" fillId="0" applyFill="1" borderId="0" applyBorder="1" xfId="70"/>
    <xf numFmtId="184" applyNumberFormat="1" fontId="31" applyFont="1" fillId="0" applyFill="1" borderId="0" applyBorder="1" xfId="71"/>
    <xf numFmtId="165" applyNumberFormat="1" fontId="30" applyFont="1" fillId="0" applyFill="1" borderId="0" applyBorder="1" xfId="72"/>
    <xf numFmtId="43" applyNumberFormat="1" fontId="1" applyFont="1" fillId="0" applyFill="1" borderId="0" applyBorder="1" xfId="73"/>
    <xf numFmtId="43" applyNumberFormat="1" fontId="1" applyFont="1" fillId="0" applyFill="1" borderId="0" applyBorder="1" xfId="74"/>
    <xf numFmtId="43" applyNumberFormat="1" fontId="1" applyFont="1" fillId="0" applyFill="1" borderId="0" applyBorder="1" xfId="75"/>
    <xf numFmtId="185" applyNumberFormat="1" fontId="32" applyFont="1" fillId="0" applyFill="1" borderId="0" applyBorder="1" xfId="76"/>
    <xf numFmtId="3" applyNumberFormat="1" fontId="1" applyFont="1" fillId="0" applyFill="1" borderId="0" applyBorder="1" xfId="77"/>
    <xf numFmtId="0" applyNumberFormat="1" fontId="33" applyFont="1" fillId="0" applyFill="1" borderId="0" applyBorder="1" xfId="78">
      <alignment horizontal="left"/>
    </xf>
    <xf numFmtId="179" applyNumberFormat="1" fontId="30" applyFont="1" fillId="0" applyFill="1" borderId="0" applyBorder="1" xfId="79"/>
    <xf numFmtId="44" applyNumberFormat="1" fontId="1" applyFont="1" fillId="0" applyFill="1" borderId="0" applyBorder="1" xfId="80"/>
    <xf numFmtId="186" applyNumberFormat="1" fontId="34" applyFont="1" fillId="0" applyFill="1" borderId="0" applyBorder="1" xfId="81"/>
    <xf numFmtId="187" applyNumberFormat="1" fontId="32" applyFont="1" fillId="0" applyFill="1" borderId="0" applyBorder="1" xfId="82"/>
    <xf numFmtId="0" applyNumberFormat="1" fontId="1" applyFont="1" fillId="0" applyFill="1" borderId="0" applyBorder="1" xfId="83"/>
    <xf numFmtId="14" applyNumberFormat="1" fontId="35" applyFont="1" fillId="0" applyFill="1" borderId="0" applyBorder="1" xfId="84"/>
    <xf numFmtId="41" applyNumberFormat="1" fontId="1" applyFont="1" fillId="0" applyFill="1" borderId="0" applyBorder="1" xfId="85"/>
    <xf numFmtId="43" applyNumberFormat="1" fontId="1" applyFont="1" fillId="0" applyFill="1" borderId="0" applyBorder="1" xfId="86"/>
    <xf numFmtId="188" applyNumberFormat="1" fontId="32" applyFont="1" fillId="0" applyFill="1" borderId="0" applyBorder="1" xfId="87"/>
    <xf numFmtId="0" applyNumberFormat="1" fontId="36" applyFont="1" fillId="19" applyFill="1" borderId="0" applyBorder="1" xfId="88"/>
    <xf numFmtId="0" applyNumberFormat="1" fontId="36" applyFont="1" fillId="20" applyFill="1" borderId="0" applyBorder="1" xfId="89"/>
    <xf numFmtId="0" applyNumberFormat="1" fontId="36" applyFont="1" fillId="21" applyFill="1" borderId="0" applyBorder="1" xfId="90"/>
    <xf numFmtId="165" applyNumberFormat="1" fontId="30" applyFont="1" fillId="0" applyFill="1" borderId="0" applyBorder="1" xfId="91"/>
    <xf numFmtId="179" applyNumberFormat="1" fontId="30" applyFont="1" fillId="0" applyFill="1" borderId="0" applyBorder="1" xfId="92"/>
    <xf numFmtId="165" applyNumberFormat="1" fontId="30" applyFont="1" fillId="0" applyFill="1" borderId="0" applyBorder="1" xfId="93"/>
    <xf numFmtId="183" applyNumberFormat="1" fontId="30" applyFont="1" fillId="0" applyFill="1" borderId="0" applyBorder="1" xfId="94"/>
    <xf numFmtId="179" applyNumberFormat="1" fontId="30" applyFont="1" fillId="0" applyFill="1" borderId="0" applyBorder="1" xfId="95"/>
    <xf numFmtId="0" applyNumberFormat="1" fontId="37" applyFont="1" fillId="0" applyFill="1" borderId="0" applyBorder="1" xfId="96">
      <alignment horizontal="left"/>
    </xf>
    <xf numFmtId="2" applyNumberFormat="1" fontId="1" applyFont="1" fillId="0" applyFill="1" borderId="0" applyBorder="1" xfId="97"/>
    <xf numFmtId="38" applyNumberFormat="1" fontId="38" applyFont="1" fillId="9" applyFill="1" borderId="0" applyBorder="1" xfId="98"/>
    <xf numFmtId="0" applyNumberFormat="1" fontId="39" applyFont="1" fillId="0" applyFill="1" borderId="0" applyBorder="1" xfId="99">
      <alignment horizontal="left" vertical="center"/>
    </xf>
    <xf numFmtId="0" applyNumberFormat="1" fontId="40" applyFont="1" fillId="22" applyFill="1" borderId="0" applyBorder="1" xfId="100"/>
    <xf numFmtId="0" applyNumberFormat="1" fontId="41" applyFont="1" fillId="0" applyFill="1" borderId="4" applyBorder="1" xfId="101">
      <alignment horizontal="left" vertical="center"/>
    </xf>
    <xf numFmtId="0" applyNumberFormat="1" fontId="41" applyFont="1" fillId="0" applyFill="1" borderId="5" applyBorder="1" xfId="102">
      <alignment horizontal="left" vertical="center"/>
    </xf>
    <xf numFmtId="0" applyNumberFormat="1" fontId="42" applyFont="1" fillId="0" applyFill="1" borderId="6" applyBorder="1" xfId="103">
      <alignment horizontal="center"/>
    </xf>
    <xf numFmtId="0" applyNumberFormat="1" fontId="42" applyFont="1" fillId="0" applyFill="1" borderId="0" applyBorder="1" xfId="104">
      <alignment horizontal="center"/>
    </xf>
    <xf numFmtId="5" applyNumberFormat="1" fontId="43" applyFont="1" fillId="23" applyFill="1" borderId="1" applyBorder="1" xfId="105">
      <alignment horizontal="left" vertical="top"/>
    </xf>
    <xf numFmtId="10" applyNumberFormat="1" fontId="38" applyFont="1" fillId="24" applyFill="1" borderId="1" applyBorder="1" xfId="106"/>
    <xf numFmtId="0" applyNumberFormat="1" fontId="29" applyFont="1" fillId="0" applyFill="1" borderId="0" applyBorder="1" xfId="107"/>
    <xf numFmtId="165" applyNumberFormat="1" fontId="30" applyFont="1" fillId="0" applyFill="1" borderId="0" applyBorder="1" xfId="108"/>
    <xf numFmtId="179" applyNumberFormat="1" fontId="30" applyFont="1" fillId="0" applyFill="1" borderId="0" applyBorder="1" xfId="109"/>
    <xf numFmtId="165" applyNumberFormat="1" fontId="30" applyFont="1" fillId="0" applyFill="1" borderId="0" applyBorder="1" xfId="110"/>
    <xf numFmtId="183" applyNumberFormat="1" fontId="30" applyFont="1" fillId="0" applyFill="1" borderId="0" applyBorder="1" xfId="111"/>
    <xf numFmtId="179" applyNumberFormat="1" fontId="30" applyFont="1" fillId="0" applyFill="1" borderId="0" applyBorder="1" xfId="112"/>
    <xf numFmtId="38" applyNumberFormat="1" fontId="29" applyFont="1" fillId="0" applyFill="1" borderId="0" applyBorder="1" xfId="113"/>
    <xf numFmtId="40" applyNumberFormat="1" fontId="29" applyFont="1" fillId="0" applyFill="1" borderId="0" applyBorder="1" xfId="114"/>
    <xf numFmtId="41" applyNumberFormat="1" fontId="1" applyFont="1" fillId="0" applyFill="1" borderId="0" applyBorder="1" xfId="115"/>
    <xf numFmtId="43" applyNumberFormat="1" fontId="1" applyFont="1" fillId="0" applyFill="1" borderId="0" applyBorder="1" xfId="116"/>
    <xf numFmtId="189" applyNumberFormat="1" fontId="29" applyFont="1" fillId="0" applyFill="1" borderId="0" applyBorder="1" xfId="117"/>
    <xf numFmtId="190" applyNumberFormat="1" fontId="29" applyFont="1" fillId="0" applyFill="1" borderId="0" applyBorder="1" xfId="118"/>
    <xf numFmtId="191" applyNumberFormat="1" fontId="1" applyFont="1" fillId="0" applyFill="1" borderId="0" applyBorder="1" xfId="119"/>
    <xf numFmtId="192" applyNumberFormat="1" fontId="1" applyFont="1" fillId="0" applyFill="1" borderId="0" applyBorder="1" xfId="120"/>
    <xf numFmtId="0" applyNumberFormat="1" fontId="44" applyFont="1" fillId="0" applyFill="1" borderId="0" applyBorder="1" xfId="121"/>
    <xf numFmtId="0" applyNumberFormat="1" fontId="10" applyFont="1" fillId="4" applyFill="1" borderId="0" applyBorder="1" xfId="122"/>
    <xf numFmtId="37" applyNumberFormat="1" fontId="45" applyFont="1" fillId="0" applyFill="1" borderId="0" applyBorder="1" xfId="123"/>
    <xf numFmtId="193" applyNumberFormat="1" fontId="46" applyFont="1" fillId="0" applyFill="1" borderId="0" applyBorder="1" xfId="124"/>
    <xf numFmtId="0" applyNumberFormat="1" fontId="47" applyFont="1" fillId="0" applyFill="1" borderId="0" applyBorder="1" xfId="125"/>
    <xf numFmtId="0" applyNumberFormat="1" fontId="3" applyFont="1" fillId="0" applyFill="1" borderId="0" applyBorder="1" xfId="126"/>
    <xf numFmtId="0" applyNumberFormat="1" fontId="1" applyFont="1" fillId="0" applyFill="1" borderId="0" applyBorder="1" xfId="127"/>
    <xf numFmtId="0" applyNumberFormat="1" fontId="90" applyFont="1" fillId="0" applyFill="1" borderId="0" applyBorder="1" xfId="128"/>
    <xf numFmtId="0" applyNumberFormat="1" fontId="1" applyFont="1" fillId="0" applyFill="1" borderId="0" applyBorder="1" xfId="129"/>
    <xf numFmtId="0" applyNumberFormat="1" fontId="48" applyFont="1" fillId="0" applyFill="1" borderId="0" applyBorder="1" xfId="130"/>
    <xf numFmtId="14" applyNumberFormat="1" fontId="25" applyFont="1" fillId="0" applyFill="1" borderId="0" applyBorder="1" xfId="131">
      <alignment horizontal="center" wrapText="1"/>
      <protection locked="0"/>
    </xf>
    <xf numFmtId="182" applyNumberFormat="1" fontId="1" applyFont="1" fillId="0" applyFill="1" borderId="0" applyBorder="1" xfId="132"/>
    <xf numFmtId="194" applyNumberFormat="1" fontId="1" applyFont="1" fillId="0" applyFill="1" borderId="0" applyBorder="1" xfId="133"/>
    <xf numFmtId="10" applyNumberFormat="1" fontId="1" applyFont="1" fillId="0" applyFill="1" borderId="0" applyBorder="1" xfId="134"/>
    <xf numFmtId="9" applyNumberFormat="1" fontId="29" applyFont="1" fillId="0" applyFill="1" borderId="7" applyBorder="1" xfId="135"/>
    <xf numFmtId="165" applyNumberFormat="1" fontId="30" applyFont="1" fillId="0" applyFill="1" borderId="0" applyBorder="1" xfId="136"/>
    <xf numFmtId="179" applyNumberFormat="1" fontId="30" applyFont="1" fillId="0" applyFill="1" borderId="0" applyBorder="1" xfId="137"/>
    <xf numFmtId="165" applyNumberFormat="1" fontId="30" applyFont="1" fillId="0" applyFill="1" borderId="0" applyBorder="1" xfId="138"/>
    <xf numFmtId="183" applyNumberFormat="1" fontId="30" applyFont="1" fillId="0" applyFill="1" borderId="0" applyBorder="1" xfId="139"/>
    <xf numFmtId="179" applyNumberFormat="1" fontId="30" applyFont="1" fillId="0" applyFill="1" borderId="0" applyBorder="1" xfId="140"/>
    <xf numFmtId="0" applyNumberFormat="1" fontId="49" applyFont="1" fillId="0" applyFill="1" borderId="0" applyBorder="1" xfId="141"/>
    <xf numFmtId="0" applyNumberFormat="1" fontId="29" applyFont="1" fillId="0" applyFill="1" borderId="0" applyBorder="1" xfId="142">
      <alignment horizontal="left"/>
    </xf>
    <xf numFmtId="0" applyNumberFormat="1" fontId="50" applyFont="1" fillId="0" applyFill="1" borderId="6" applyBorder="1" xfId="143">
      <alignment horizontal="center"/>
    </xf>
    <xf numFmtId="1" applyNumberFormat="1" fontId="1" applyFont="1" fillId="0" applyFill="1" borderId="8" applyBorder="1" xfId="144">
      <alignment horizontal="center" vertical="center"/>
    </xf>
    <xf numFmtId="0" applyNumberFormat="1" fontId="51" applyFont="1" fillId="25" applyFill="1" borderId="0" applyBorder="1" xfId="145">
      <alignment horizontal="center"/>
    </xf>
    <xf numFmtId="14" applyNumberFormat="1" fontId="52" applyFont="1" fillId="0" applyFill="1" borderId="0" applyBorder="1" xfId="146">
      <alignment horizontal="left"/>
    </xf>
    <xf numFmtId="0" applyNumberFormat="1" fontId="51" applyFont="1" fillId="1" applyFill="1" borderId="5" applyBorder="1" xfId="147">
      <alignment horizontal="center"/>
    </xf>
    <xf numFmtId="0" applyNumberFormat="1" fontId="53" applyFont="1" fillId="0" applyFill="1" borderId="0" applyBorder="1" xfId="148"/>
    <xf numFmtId="0" applyNumberFormat="1" fontId="54" applyFont="1" fillId="0" applyFill="1" borderId="0" applyBorder="1" xfId="149">
      <alignment horizontal="center"/>
    </xf>
    <xf numFmtId="0" applyNumberFormat="1" fontId="1" applyFont="1" fillId="26" applyFill="1" borderId="0" applyBorder="1" xfId="150"/>
    <xf numFmtId="0" applyNumberFormat="1" fontId="35" applyFont="1" fillId="0" applyFill="1" borderId="0" applyBorder="1" xfId="151">
      <alignment vertical="top"/>
    </xf>
    <xf numFmtId="40" applyNumberFormat="1" fontId="55" applyFont="1" fillId="0" applyFill="1" borderId="0" applyBorder="1" xfId="152">
      <alignment horizontal="right"/>
    </xf>
    <xf numFmtId="49" applyNumberFormat="1" fontId="35" applyFont="1" fillId="0" applyFill="1" borderId="0" applyBorder="1" xfId="153"/>
    <xf numFmtId="195" applyNumberFormat="1" fontId="1" applyFont="1" fillId="0" applyFill="1" borderId="0" applyBorder="1" xfId="154"/>
    <xf numFmtId="196" applyNumberFormat="1" fontId="1" applyFont="1" fillId="0" applyFill="1" borderId="0" applyBorder="1" xfId="155"/>
    <xf numFmtId="0" applyNumberFormat="1" fontId="34" applyFont="1" fillId="0" applyFill="1" borderId="0" applyBorder="1" xfId="156">
      <alignment vertical="center" wrapText="1"/>
      <protection locked="0"/>
    </xf>
    <xf numFmtId="0" applyNumberFormat="1" fontId="56" applyFont="1" fillId="0" applyFill="1" borderId="9" applyBorder="1" xfId="157"/>
    <xf numFmtId="0" applyNumberFormat="1" fontId="48" applyFont="1" fillId="0" applyFill="1" borderId="0" applyBorder="1" xfId="158"/>
    <xf numFmtId="0" applyNumberFormat="1" fontId="57" applyFont="1" fillId="0" applyFill="1" borderId="10" applyBorder="1" xfId="159">
      <alignment horizontal="center"/>
    </xf>
    <xf numFmtId="0" applyNumberFormat="1" fontId="34" applyFont="1" fillId="0" applyFill="1" borderId="0" applyBorder="1" xfId="160"/>
    <xf numFmtId="5" applyNumberFormat="1" fontId="58" applyFont="1" fillId="27" applyFill="1" borderId="2" applyBorder="1" xfId="161">
      <alignment vertical="top"/>
    </xf>
    <xf numFmtId="0" applyNumberFormat="1" fontId="59" applyFont="1" fillId="28" applyFill="1" borderId="1" applyBorder="1" xfId="162">
      <alignment horizontal="left" vertical="center"/>
    </xf>
    <xf numFmtId="6" applyNumberFormat="1" fontId="60" applyFont="1" fillId="29" applyFill="1" borderId="2" applyBorder="1" xfId="163"/>
    <xf numFmtId="5" applyNumberFormat="1" fontId="43" applyFont="1" fillId="0" applyFill="1" borderId="2" applyBorder="1" xfId="164">
      <alignment horizontal="left" vertical="top"/>
    </xf>
    <xf numFmtId="0" applyNumberFormat="1" fontId="61" applyFont="1" fillId="30" applyFill="1" borderId="0" applyBorder="1" xfId="165">
      <alignment horizontal="left" vertical="center"/>
    </xf>
    <xf numFmtId="5" applyNumberFormat="1" fontId="62" applyFont="1" fillId="0" applyFill="1" borderId="8" applyBorder="1" xfId="166">
      <alignment horizontal="left" vertical="top"/>
    </xf>
    <xf numFmtId="0" applyNumberFormat="1" fontId="63" applyFont="1" fillId="0" applyFill="1" borderId="8" applyBorder="1" xfId="167">
      <alignment horizontal="left" vertical="center"/>
    </xf>
    <xf numFmtId="166" applyNumberFormat="1" fontId="1" applyFont="1" fillId="0" applyFill="1" borderId="0" applyBorder="1" xfId="168"/>
    <xf numFmtId="167" applyNumberFormat="1" fontId="1" applyFont="1" fillId="0" applyFill="1" borderId="0" applyBorder="1" xfId="169"/>
    <xf numFmtId="0" applyNumberFormat="1" fontId="64" applyFont="1" fillId="0" applyFill="1" borderId="0" applyBorder="1" xfId="170"/>
    <xf numFmtId="0" applyNumberFormat="1" fontId="65" applyFont="1" fillId="0" applyFill="1" borderId="0" applyBorder="1" xfId="171"/>
    <xf numFmtId="0" applyNumberFormat="1" fontId="65" applyFont="1" fillId="0" applyFill="1" borderId="0" applyBorder="1" xfId="172"/>
    <xf numFmtId="0" applyNumberFormat="1" fontId="4" applyFont="1" fillId="0" applyFill="1" borderId="0" applyBorder="1" xfId="173">
      <alignment vertical="center"/>
    </xf>
    <xf numFmtId="40" applyNumberFormat="1" fontId="66" applyFont="1" fillId="0" applyFill="1" borderId="0" applyBorder="1" xfId="174"/>
    <xf numFmtId="38" applyNumberFormat="1" fontId="66" applyFont="1" fillId="0" applyFill="1" borderId="0" applyBorder="1" xfId="175"/>
    <xf numFmtId="0" applyNumberFormat="1" fontId="66" applyFont="1" fillId="0" applyFill="1" borderId="0" applyBorder="1" xfId="176"/>
    <xf numFmtId="0" applyNumberFormat="1" fontId="66" applyFont="1" fillId="0" applyFill="1" borderId="0" applyBorder="1" xfId="177"/>
    <xf numFmtId="9" applyNumberFormat="1" fontId="67" applyFont="1" fillId="0" applyFill="1" borderId="0" applyBorder="1" xfId="178"/>
    <xf numFmtId="0" applyNumberFormat="1" fontId="68" applyFont="1" fillId="0" applyFill="1" borderId="0" applyBorder="1" xfId="179"/>
    <xf numFmtId="0" applyNumberFormat="1" fontId="69" applyFont="1" fillId="0" applyFill="1" borderId="0" applyBorder="1" xfId="180"/>
    <xf numFmtId="0" applyNumberFormat="1" fontId="69" applyFont="1" fillId="0" applyFill="1" borderId="0" applyBorder="1" xfId="181"/>
    <xf numFmtId="0" applyNumberFormat="1" fontId="69" applyFont="1" fillId="0" applyFill="1" borderId="0" applyBorder="1" xfId="182"/>
    <xf numFmtId="0" applyNumberFormat="1" fontId="69" applyFont="1" fillId="0" applyFill="1" borderId="0" applyBorder="1" xfId="183"/>
    <xf numFmtId="0" applyNumberFormat="1" fontId="69" applyFont="1" fillId="0" applyFill="1" borderId="0" applyBorder="1" xfId="184"/>
    <xf numFmtId="0" applyNumberFormat="1" fontId="69" applyFont="1" fillId="0" applyFill="1" borderId="0" applyBorder="1" xfId="185"/>
    <xf numFmtId="0" applyNumberFormat="1" fontId="69" applyFont="1" fillId="0" applyFill="1" borderId="0" applyBorder="1" xfId="186"/>
    <xf numFmtId="0" applyNumberFormat="1" fontId="69" applyFont="1" fillId="0" applyFill="1" borderId="0" applyBorder="1" xfId="187"/>
    <xf numFmtId="41" applyNumberFormat="1" fontId="70" applyFont="1" fillId="0" applyFill="1" borderId="0" applyBorder="1" xfId="188"/>
    <xf numFmtId="43" applyNumberFormat="1" fontId="70" applyFont="1" fillId="0" applyFill="1" borderId="0" applyBorder="1" xfId="189"/>
    <xf numFmtId="197" applyNumberFormat="1" fontId="71" applyFont="1" fillId="0" applyFill="1" borderId="0" applyBorder="1" xfId="190"/>
    <xf numFmtId="198" applyNumberFormat="1" fontId="71" applyFont="1" fillId="0" applyFill="1" borderId="0" applyBorder="1" xfId="191"/>
    <xf numFmtId="0" applyNumberFormat="1" fontId="72" applyFont="1" fillId="0" applyFill="1" borderId="0" applyBorder="1" xfId="192"/>
    <xf numFmtId="0" applyNumberFormat="1" fontId="44" applyFont="1" fillId="0" applyFill="1" borderId="0" applyBorder="1" xfId="193"/>
    <xf numFmtId="41" applyNumberFormat="1" fontId="73" applyFont="1" fillId="0" applyFill="1" borderId="0" applyBorder="1" xfId="194"/>
    <xf numFmtId="43" applyNumberFormat="1" fontId="73" applyFont="1" fillId="0" applyFill="1" borderId="0" applyBorder="1" xfId="195"/>
    <xf numFmtId="41" applyNumberFormat="1" fontId="1" applyFont="1" fillId="0" applyFill="1" borderId="0" applyBorder="1" xfId="196"/>
    <xf numFmtId="0" applyNumberFormat="1" fontId="1" applyFont="1" fillId="0" applyFill="1" borderId="0" applyBorder="1" xfId="197"/>
    <xf numFmtId="164" applyNumberFormat="1" fontId="73" applyFont="1" fillId="0" applyFill="1" borderId="0" applyBorder="1" xfId="198"/>
    <xf numFmtId="6" applyNumberFormat="1" fontId="74" applyFont="1" fillId="0" applyFill="1" borderId="0" applyBorder="1" xfId="199"/>
    <xf numFmtId="165" applyNumberFormat="1" fontId="73" applyFont="1" fillId="0" applyFill="1" borderId="0" applyBorder="1" xfId="200"/>
    <xf numFmtId="0" applyNumberFormat="1" fontId="1" applyFont="1" fillId="0" applyFill="1" borderId="0" applyBorder="1" xfId="127">
      <alignment horizontal="center"/>
    </xf>
    <xf numFmtId="0" applyNumberFormat="1" fontId="1" applyFont="1" fillId="0" applyFill="1" borderId="0" applyBorder="1" xfId="127"/>
    <xf numFmtId="0" applyNumberFormat="1" fontId="1" applyFont="1" fillId="0" applyFill="1" borderId="0" applyBorder="1" xfId="127">
      <alignment horizontal="left"/>
    </xf>
    <xf numFmtId="0" applyNumberFormat="1" fontId="1" applyFont="1" fillId="0" applyFill="1" borderId="0" applyBorder="1" xfId="127"/>
    <xf numFmtId="0" applyNumberFormat="1" fontId="77" applyFont="1" fillId="0" applyFill="1" borderId="0" applyBorder="1" xfId="0"/>
    <xf numFmtId="0" applyNumberFormat="1" fontId="77" applyFont="1" fillId="0" applyFill="1" borderId="0" applyBorder="1" xfId="0">
      <alignment horizontal="left"/>
    </xf>
    <xf numFmtId="0" applyNumberFormat="1" fontId="0" applyFont="1" fillId="0" applyFill="1" borderId="0" applyBorder="1" xfId="0">
      <alignment vertical="top"/>
    </xf>
    <xf numFmtId="0" applyNumberFormat="1" fontId="5" applyFont="1" fillId="0" applyFill="1" borderId="0" applyBorder="1" xfId="0">
      <alignment vertical="center"/>
    </xf>
    <xf numFmtId="0" applyNumberFormat="1" fontId="0" applyFont="1" fillId="0" applyFill="1" borderId="0" applyBorder="1" xfId="0">
      <alignment wrapText="1"/>
    </xf>
    <xf numFmtId="0" applyNumberFormat="1" fontId="77" applyFont="1" fillId="0" applyFill="1" borderId="0" applyBorder="1" xfId="0"/>
    <xf numFmtId="0" applyNumberFormat="1" fontId="38" applyFont="1" fillId="0" applyFill="1" borderId="0" applyBorder="1" xfId="127">
      <alignment horizontal="center"/>
    </xf>
    <xf numFmtId="0" applyNumberFormat="1" fontId="77" applyFont="1" fillId="0" applyFill="1" borderId="0" applyBorder="1" xfId="0">
      <alignment horizontal="left" vertical="center"/>
    </xf>
    <xf numFmtId="0" applyNumberFormat="1" fontId="1" applyFont="1" fillId="0" applyFill="1" borderId="0" applyBorder="1" xfId="127">
      <alignment horizontal="center" vertical="center"/>
    </xf>
    <xf numFmtId="0" applyNumberFormat="1" fontId="77" applyFont="1" fillId="0" applyFill="1" borderId="0" applyBorder="1" xfId="0">
      <alignment horizontal="center" vertical="center"/>
    </xf>
    <xf numFmtId="0" applyNumberFormat="1" fontId="77" applyFont="1" fillId="34" applyFill="1" borderId="0" applyBorder="1" xfId="0">
      <alignment horizontal="center" vertical="center"/>
      <protection locked="0"/>
    </xf>
    <xf numFmtId="0" applyNumberFormat="1" fontId="77" applyFont="1" fillId="34" applyFill="1" borderId="0" applyBorder="1" xfId="0">
      <alignment horizontal="left"/>
      <protection locked="0"/>
    </xf>
    <xf numFmtId="0" applyNumberFormat="1" fontId="97" applyFont="1" fillId="5" applyFill="1" borderId="1" applyBorder="1" xfId="0">
      <alignment horizontal="center" vertical="center" wrapText="1"/>
      <protection locked="0"/>
    </xf>
    <xf numFmtId="0" applyNumberFormat="1" fontId="0" applyFont="1" fillId="0" applyFill="1" borderId="0" applyBorder="1" xfId="0">
      <alignment horizontal="center"/>
    </xf>
    <xf numFmtId="0" applyNumberFormat="1" fontId="1" applyFont="1" fillId="0" applyFill="1" borderId="0" applyBorder="1" xfId="127">
      <alignment vertical="center" wrapText="1"/>
    </xf>
    <xf numFmtId="0" applyNumberFormat="1" fontId="99" applyFont="1" fillId="0" applyFill="1" borderId="0" applyBorder="1" xfId="0"/>
    <xf numFmtId="0" applyNumberFormat="1" fontId="100" applyFont="1" fillId="0" applyFill="1" borderId="0" applyBorder="1" xfId="0">
      <alignment horizontal="center"/>
    </xf>
    <xf numFmtId="0" applyNumberFormat="1" fontId="100" applyFont="1" fillId="0" applyFill="1" borderId="0" applyBorder="1" xfId="0">
      <alignment vertical="center" wrapText="1"/>
    </xf>
    <xf numFmtId="0" applyNumberFormat="1" fontId="100" applyFont="1" fillId="0" applyFill="1" borderId="0" applyBorder="1" xfId="0"/>
    <xf numFmtId="0" applyNumberFormat="1" fontId="100" applyFont="1" fillId="0" applyFill="1" borderId="0" applyBorder="1" xfId="0">
      <alignment horizontal="center" vertical="center" wrapText="1"/>
    </xf>
    <xf numFmtId="0" applyNumberFormat="1" fontId="101" applyFont="1" fillId="0" applyFill="1" borderId="0" applyBorder="1" xfId="0"/>
    <xf numFmtId="0" applyNumberFormat="1" fontId="102" applyFont="1" fillId="0" applyFill="1" borderId="0" applyBorder="1" xfId="0"/>
    <xf numFmtId="0" applyNumberFormat="1" fontId="102" applyFont="1" fillId="0" applyFill="1" borderId="0" applyBorder="1" xfId="0">
      <alignment horizontal="center" vertical="center"/>
    </xf>
    <xf numFmtId="0" applyNumberFormat="1" fontId="99" applyFont="1" fillId="0" applyFill="1" borderId="0" applyBorder="1" xfId="0">
      <alignment vertical="center"/>
    </xf>
    <xf numFmtId="0" applyNumberFormat="1" fontId="100" applyFont="1" fillId="0" applyFill="1" borderId="0" applyBorder="1" xfId="0">
      <alignment vertical="center"/>
    </xf>
    <xf numFmtId="0" applyNumberFormat="1" fontId="100" applyFont="1" fillId="0" applyFill="1" borderId="0" applyBorder="1" xfId="0">
      <alignment horizontal="center" vertical="center"/>
    </xf>
    <xf numFmtId="0" applyNumberFormat="1" fontId="99" applyFont="1" fillId="0" applyFill="1" borderId="0" applyBorder="1" xfId="0">
      <alignment vertical="center" wrapText="1"/>
    </xf>
    <xf numFmtId="203" applyNumberFormat="1" fontId="1" applyFont="1" fillId="0" applyFill="1" borderId="0" applyBorder="1" xfId="127"/>
    <xf numFmtId="0" applyNumberFormat="1" fontId="97" applyFont="1" fillId="5" applyFill="1" borderId="2" applyBorder="1" xfId="0">
      <alignment horizontal="center" vertical="center" wrapText="1"/>
      <protection locked="0"/>
    </xf>
    <xf numFmtId="0" applyNumberFormat="1" fontId="97" applyFont="1" fillId="39" applyFill="1" borderId="2" applyBorder="1" xfId="0">
      <alignment horizontal="center" vertical="center" wrapText="1"/>
      <protection locked="0"/>
    </xf>
    <xf numFmtId="0" applyNumberFormat="1" fontId="1" applyFont="1" fillId="0" applyFill="1" borderId="0" applyBorder="1" xfId="127">
      <alignment vertical="center" wrapText="1"/>
    </xf>
    <xf numFmtId="0" applyNumberFormat="1" fontId="2" applyFont="1" fillId="0" applyFill="1" borderId="0" applyBorder="1" xfId="0">
      <protection locked="0"/>
    </xf>
    <xf numFmtId="0" applyNumberFormat="1" fontId="77" applyFont="1" fillId="0" applyFill="1" borderId="0" applyBorder="1" xfId="0">
      <protection locked="0"/>
    </xf>
    <xf numFmtId="0" applyNumberFormat="1" fontId="77" applyFont="1" fillId="0" applyFill="1" borderId="0" applyBorder="1" xfId="0">
      <alignment horizontal="left"/>
      <protection locked="0"/>
    </xf>
    <xf numFmtId="0" applyNumberFormat="1" fontId="0" applyFont="1" fillId="0" applyFill="1" borderId="0" applyBorder="1" xfId="0">
      <protection locked="0"/>
    </xf>
    <xf numFmtId="0" applyNumberFormat="1" fontId="99" applyFont="1" fillId="8" applyFill="1" borderId="0" applyBorder="1" xfId="0">
      <alignment horizontal="center"/>
      <protection locked="0"/>
    </xf>
    <xf numFmtId="0" applyNumberFormat="1" fontId="100" applyFont="1" fillId="0" applyFill="1" borderId="0" applyBorder="1" xfId="0">
      <alignment horizontal="center"/>
      <protection locked="0"/>
    </xf>
    <xf numFmtId="0" applyNumberFormat="1" fontId="100" applyFont="1" fillId="0" applyFill="1" borderId="0" applyBorder="1" xfId="0">
      <alignment horizontal="center" vertical="center" wrapText="1"/>
      <protection locked="0"/>
    </xf>
    <xf numFmtId="0" applyNumberFormat="1" fontId="100" applyFont="1" fillId="0" applyFill="1" borderId="0" applyBorder="1" xfId="0">
      <alignment vertical="center" wrapText="1"/>
      <protection locked="0"/>
    </xf>
    <xf numFmtId="0" applyNumberFormat="1" fontId="99" applyFont="1" fillId="8" applyFill="1" borderId="0" applyBorder="1" xfId="0">
      <alignment horizontal="center" vertical="center" wrapText="1"/>
      <protection locked="0"/>
    </xf>
    <xf numFmtId="0" applyNumberFormat="1" fontId="99" applyFont="1" fillId="8" applyFill="1" borderId="0" applyBorder="1" xfId="0">
      <alignment vertical="center" wrapText="1"/>
      <protection locked="0"/>
    </xf>
    <xf numFmtId="49" applyNumberFormat="1" fontId="100" applyFont="1" fillId="0" applyFill="1" borderId="0" applyBorder="1" xfId="0">
      <alignment horizontal="center" vertical="center" wrapText="1"/>
      <protection locked="0"/>
    </xf>
    <xf numFmtId="0" applyNumberFormat="1" fontId="99" applyFont="1" fillId="6" applyFill="1" borderId="0" applyBorder="1" xfId="0">
      <alignment horizontal="center" vertical="center"/>
      <protection locked="0"/>
    </xf>
    <xf numFmtId="0" applyNumberFormat="1" fontId="99" applyFont="1" fillId="5" applyFill="1" borderId="0" applyBorder="1" xfId="0">
      <alignment horizontal="center" vertical="center"/>
      <protection locked="0"/>
    </xf>
    <xf numFmtId="0" applyNumberFormat="1" fontId="100" applyFont="1" fillId="0" applyFill="1" borderId="0" applyBorder="1" xfId="0">
      <alignment vertical="center"/>
      <protection locked="0"/>
    </xf>
    <xf numFmtId="14" applyNumberFormat="1" fontId="100" applyFont="1" fillId="0" applyFill="1" borderId="0" applyBorder="1" xfId="0">
      <alignment vertical="center"/>
      <protection locked="0"/>
    </xf>
    <xf numFmtId="3" applyNumberFormat="1" fontId="100" applyFont="1" fillId="0" applyFill="1" borderId="0" applyBorder="1" xfId="0">
      <alignment vertical="center"/>
      <protection locked="0"/>
    </xf>
    <xf numFmtId="14" applyNumberFormat="1" fontId="100" applyFont="1" fillId="0" applyFill="1" borderId="0" applyBorder="1" xfId="0">
      <alignment horizontal="center" vertical="center"/>
      <protection locked="0"/>
    </xf>
    <xf numFmtId="0" applyNumberFormat="1" fontId="100" applyFont="1" fillId="0" applyFill="1" borderId="0" applyBorder="1" xfId="0">
      <alignment horizontal="center" vertical="center"/>
      <protection locked="0"/>
    </xf>
    <xf numFmtId="0" applyNumberFormat="1" fontId="101" applyFont="1" fillId="6" applyFill="1" borderId="0" applyBorder="1" xfId="0">
      <alignment horizontal="center" vertical="center"/>
      <protection locked="0"/>
    </xf>
    <xf numFmtId="0" applyNumberFormat="1" fontId="101" applyFont="1" fillId="6" applyFill="1" borderId="0" applyBorder="1" xfId="0">
      <alignment horizontal="center"/>
      <protection locked="0"/>
    </xf>
    <xf numFmtId="0" applyNumberFormat="1" fontId="101" applyFont="1" fillId="5" applyFill="1" borderId="0" applyBorder="1" xfId="0">
      <alignment horizontal="center"/>
      <protection locked="0"/>
    </xf>
    <xf numFmtId="0" applyNumberFormat="1" fontId="101" applyFont="1" fillId="0" applyFill="1" borderId="0" applyBorder="1" xfId="0">
      <alignment horizontal="center"/>
      <protection locked="0"/>
    </xf>
    <xf numFmtId="0" applyNumberFormat="1" fontId="100" applyFont="1" fillId="0" applyFill="1" borderId="0" applyBorder="1" xfId="0">
      <protection locked="0"/>
    </xf>
    <xf numFmtId="0" applyNumberFormat="1" fontId="102" applyFont="1" fillId="0" applyFill="1" borderId="0" applyBorder="1" xfId="0">
      <protection locked="0"/>
    </xf>
    <xf numFmtId="0" applyNumberFormat="1" fontId="102" applyFont="1" fillId="0" applyFill="1" borderId="0" applyBorder="1" xfId="0">
      <alignment horizontal="center" vertical="center"/>
      <protection locked="0"/>
    </xf>
    <xf numFmtId="0" applyNumberFormat="1" fontId="102" applyFont="1" fillId="0" applyFill="1" borderId="0" applyBorder="1" xfId="0">
      <alignment horizontal="center"/>
      <protection locked="0"/>
    </xf>
    <xf numFmtId="0" applyNumberFormat="1" fontId="102" applyFont="1" fillId="36" applyFill="1" borderId="0" applyBorder="1" xfId="0">
      <alignment horizontal="center" vertical="center"/>
      <protection locked="0"/>
    </xf>
    <xf numFmtId="1" applyNumberFormat="1" fontId="2" applyFont="1" fillId="5" applyFill="1" borderId="1" applyBorder="1" xfId="127">
      <alignment horizontal="center" vertical="center" wrapText="1"/>
      <protection locked="0"/>
    </xf>
    <xf numFmtId="1" applyNumberFormat="1" fontId="2" applyFont="1" fillId="2" applyFill="1" borderId="1" applyBorder="1" xfId="127">
      <alignment horizontal="center" vertical="center" wrapText="1"/>
      <protection locked="0"/>
    </xf>
    <xf numFmtId="0" applyNumberFormat="1" fontId="2" applyFont="1" fillId="2" applyFill="1" borderId="1" applyBorder="1" xfId="127">
      <alignment horizontal="center" vertical="center" wrapText="1"/>
      <protection locked="0"/>
    </xf>
    <xf numFmtId="0" applyNumberFormat="1" fontId="6" applyFont="1" fillId="3" applyFill="1" borderId="1" applyBorder="1" xfId="127">
      <alignment horizontal="center" vertical="center" wrapText="1"/>
      <protection locked="0"/>
    </xf>
    <xf numFmtId="0" applyNumberFormat="1" fontId="1" applyFont="1" fillId="0" applyFill="1" borderId="1" applyBorder="1" xfId="127">
      <alignment horizontal="center" vertical="center" wrapText="1"/>
      <protection locked="0"/>
    </xf>
    <xf numFmtId="0" applyNumberFormat="1" fontId="0" applyFont="1" fillId="0" applyFill="1" borderId="1" applyBorder="1" xfId="0">
      <alignment vertical="center" wrapText="1"/>
      <protection locked="0"/>
    </xf>
    <xf numFmtId="199" applyNumberFormat="1" fontId="76" applyFont="1" fillId="0" applyFill="1" borderId="1" applyBorder="1" xfId="127">
      <alignment horizontal="left" vertical="center" wrapText="1"/>
      <protection locked="0"/>
    </xf>
    <xf numFmtId="1" applyNumberFormat="1" fontId="76" applyFont="1" fillId="0" applyFill="1" borderId="1" applyBorder="1" xfId="127">
      <alignment horizontal="left" vertical="center"/>
      <protection locked="0"/>
    </xf>
    <xf numFmtId="1" applyNumberFormat="1" fontId="76" applyFont="1" fillId="0" applyFill="1" borderId="1" applyBorder="1" xfId="127">
      <alignment horizontal="center" vertical="center"/>
      <protection locked="0"/>
    </xf>
    <xf numFmtId="200" applyNumberFormat="1" fontId="76" applyFont="1" fillId="0" applyFill="1" borderId="1" applyBorder="1" xfId="127">
      <alignment horizontal="left" vertical="center"/>
      <protection locked="0"/>
    </xf>
    <xf numFmtId="0"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wrapText="1"/>
      <protection locked="0"/>
    </xf>
    <xf numFmtId="14" applyNumberFormat="1" fontId="76" applyFont="1" fillId="0" applyFill="1" borderId="1" applyBorder="1" xfId="127">
      <alignment horizontal="left" vertical="center" wrapText="1"/>
      <protection locked="0"/>
    </xf>
    <xf numFmtId="0" applyNumberFormat="1" fontId="76" applyFont="1" fillId="0" applyFill="1" borderId="1" applyBorder="1" xfId="127">
      <alignment horizontal="left" vertical="center" wrapText="1"/>
      <protection locked="0"/>
    </xf>
    <xf numFmtId="168" applyNumberFormat="1" fontId="75" applyFont="1" fillId="0" applyFill="1" borderId="1" applyBorder="1" xfId="73">
      <alignment horizontal="left" vertical="center"/>
      <protection locked="0"/>
    </xf>
    <xf numFmtId="0" applyNumberFormat="1" fontId="1" applyFont="1" fillId="0" applyFill="1" borderId="1" applyBorder="1" xfId="127">
      <alignment vertical="center" wrapText="1"/>
      <protection locked="0"/>
    </xf>
    <xf numFmtId="1" applyNumberFormat="1" fontId="2" applyFont="1" fillId="2" applyFill="1" borderId="2" applyBorder="1" xfId="127">
      <alignment horizontal="center" vertical="center" wrapText="1"/>
      <protection locked="0"/>
    </xf>
    <xf numFmtId="0" applyNumberFormat="1" fontId="2" applyFont="1" fillId="2" applyFill="1" borderId="2" applyBorder="1" xfId="127">
      <alignment horizontal="center" vertical="center" wrapText="1"/>
      <protection locked="0"/>
    </xf>
    <xf numFmtId="203" applyNumberFormat="1" fontId="2" applyFont="1" fillId="2" applyFill="1" borderId="2" applyBorder="1" xfId="127">
      <alignment horizontal="center" vertical="center" wrapText="1"/>
      <protection locked="0"/>
    </xf>
    <xf numFmtId="1" applyNumberFormat="1" fontId="2" applyFont="1" fillId="41" applyFill="1" borderId="2" applyBorder="1" xfId="127">
      <alignment horizontal="center" vertical="center" wrapText="1"/>
      <protection locked="0"/>
    </xf>
    <xf numFmtId="0" applyNumberFormat="1" fontId="2" applyFont="1" fillId="41" applyFill="1" borderId="2" applyBorder="1" xfId="127">
      <alignment horizontal="center" vertical="center" wrapText="1"/>
      <protection locked="0"/>
    </xf>
    <xf numFmtId="0" applyNumberFormat="1" fontId="2" applyFont="1" fillId="40" applyFill="1" borderId="2" applyBorder="1" xfId="127">
      <alignment horizontal="center" vertical="center" wrapText="1"/>
      <protection locked="0"/>
    </xf>
    <xf numFmtId="0" applyNumberFormat="1" fontId="2" applyFont="1" fillId="5" applyFill="1" borderId="2" applyBorder="1" xfId="127">
      <alignment horizontal="center" vertical="center" wrapText="1"/>
      <protection locked="0"/>
    </xf>
    <xf numFmtId="0" applyNumberFormat="1" fontId="2" applyFont="1" fillId="37" applyFill="1" borderId="2" applyBorder="1" xfId="127">
      <alignment horizontal="center" vertical="center" wrapText="1"/>
      <protection locked="0"/>
    </xf>
    <xf numFmtId="0" applyNumberFormat="1" fontId="81" applyFont="1" fillId="7" applyFill="1" borderId="2" applyBorder="1" xfId="127">
      <alignment horizontal="center" vertical="center" wrapText="1"/>
      <protection locked="0"/>
    </xf>
    <xf numFmtId="0" applyNumberFormat="1" fontId="2" applyFont="1" fillId="38" applyFill="1" borderId="2" applyBorder="1" xfId="0">
      <alignment vertical="center" wrapText="1"/>
      <protection locked="0"/>
    </xf>
    <xf numFmtId="0" applyNumberFormat="1" fontId="98" applyFont="1" fillId="38" applyFill="1" borderId="2" applyBorder="1" xfId="0">
      <alignment vertical="center" wrapText="1"/>
      <protection locked="0"/>
    </xf>
    <xf numFmtId="203" applyNumberFormat="1" fontId="1" applyFont="1" fillId="0" applyFill="1" borderId="1" applyBorder="1" xfId="127">
      <alignment horizontal="center" vertical="center" wrapText="1"/>
      <protection locked="0"/>
    </xf>
    <xf numFmtId="0" applyNumberFormat="1" fontId="81" applyFont="1" fillId="7" applyFill="1" borderId="0" applyBorder="1" xfId="127">
      <alignment horizontal="center" vertical="center" wrapText="1"/>
      <protection locked="0"/>
    </xf>
    <xf numFmtId="0" applyNumberFormat="1" fontId="7" applyFont="1" fillId="8" applyFill="1" borderId="1" applyBorder="1" xfId="0">
      <alignment horizontal="center" vertical="center" wrapText="1"/>
      <protection locked="0"/>
    </xf>
    <xf numFmtId="49" applyNumberFormat="1" fontId="7" applyFont="1" fillId="8" applyFill="1" borderId="1" applyBorder="1" xfId="0">
      <alignment horizontal="center" vertical="center" wrapText="1"/>
      <protection locked="0"/>
    </xf>
    <xf numFmtId="0" applyNumberFormat="1" fontId="7" applyFont="1" fillId="0" applyFill="1" borderId="1" applyBorder="1" xfId="0">
      <alignment horizontal="center" vertical="center" wrapText="1"/>
      <protection locked="0"/>
    </xf>
    <xf numFmtId="0" applyNumberFormat="1" fontId="8" applyFont="1" fillId="8"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199" applyNumberFormat="1" fontId="9" applyFont="1" fillId="0" applyFill="1" borderId="1" applyBorder="1" xfId="127">
      <alignment horizontal="center" vertical="center" wrapText="1"/>
      <protection locked="0"/>
    </xf>
    <xf numFmtId="14" applyNumberFormat="1" fontId="4" applyFont="1" fillId="0" applyFill="1" borderId="1" applyBorder="1" xfId="127">
      <alignment horizontal="center" vertical="center" wrapText="1"/>
      <protection locked="0"/>
    </xf>
    <xf numFmtId="49" applyNumberFormat="1" fontId="9" applyFont="1" fillId="0"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0" applyNumberFormat="1" fontId="5" applyFont="1" fillId="0" applyFill="1" borderId="1" applyBorder="1" xfId="0">
      <alignment horizontal="center" vertical="center" wrapText="1"/>
      <protection locked="0"/>
    </xf>
    <xf numFmtId="0" applyNumberFormat="1" fontId="5" applyFont="1" fillId="0" applyFill="1" borderId="1" applyBorder="1" xfId="0">
      <alignment horizontal="center" vertical="center"/>
      <protection locked="0"/>
    </xf>
    <xf numFmtId="0" applyNumberFormat="1" fontId="0" applyFont="1" fillId="6" applyFill="1" borderId="1" applyBorder="1" xfId="0">
      <alignment horizontal="center"/>
      <protection locked="0"/>
    </xf>
    <xf numFmtId="0" applyNumberFormat="1" fontId="0" applyFont="1" fillId="0" applyFill="1" borderId="1" applyBorder="1" xfId="0">
      <alignment horizontal="center"/>
      <protection locked="0"/>
    </xf>
    <xf numFmtId="0" applyNumberFormat="1" fontId="0" applyFont="1" fillId="0" applyFill="1" borderId="1" applyBorder="1" xfId="0">
      <protection locked="0"/>
    </xf>
    <xf numFmtId="0" applyNumberFormat="1" fontId="5" applyFont="1" fillId="0" applyFill="1" borderId="0" applyBorder="1" xfId="0">
      <alignment vertical="center"/>
      <protection locked="0"/>
    </xf>
    <xf numFmtId="0" applyNumberFormat="1" fontId="8" applyFont="1" fillId="0" applyFill="1" borderId="0" applyBorder="1" xfId="0">
      <alignment vertical="center"/>
      <protection locked="0"/>
    </xf>
    <xf numFmtId="0" applyNumberFormat="1" fontId="5" applyFont="1" fillId="0" applyFill="1" borderId="0" applyBorder="1" xfId="0">
      <alignment vertical="center"/>
      <protection locked="0"/>
    </xf>
    <xf numFmtId="0" applyNumberFormat="1" fontId="5" applyFont="1" fillId="0" applyFill="1" borderId="0" applyBorder="1" xfId="0">
      <alignment vertical="center"/>
      <protection locked="0"/>
    </xf>
    <xf numFmtId="14" applyNumberFormat="1" fontId="5" applyFont="1" fillId="0" applyFill="1" borderId="0" applyBorder="1" xfId="0">
      <alignment vertical="center"/>
      <protection locked="0"/>
    </xf>
    <xf numFmtId="0" applyNumberFormat="1" fontId="77" applyFont="1" fillId="0" applyFill="1" borderId="0" applyBorder="1" xfId="0">
      <alignment vertical="center"/>
      <protection locked="0"/>
    </xf>
    <xf numFmtId="0" applyNumberFormat="1" fontId="77" applyFont="1" fillId="0" applyFill="1" borderId="0" applyBorder="1" xfId="0">
      <alignment vertical="center" wrapText="1"/>
      <protection locked="0"/>
    </xf>
    <xf numFmtId="3" applyNumberFormat="1" fontId="5" applyFont="1" fillId="0" applyFill="1" borderId="0" applyBorder="1" xfId="0">
      <alignment vertical="center"/>
      <protection locked="0"/>
    </xf>
    <xf numFmtId="0" applyNumberFormat="1" fontId="1" applyFont="1" fillId="0" applyFill="1" borderId="0" applyBorder="1" xfId="127">
      <protection locked="0"/>
    </xf>
    <xf numFmtId="0" applyNumberFormat="1" fontId="77" applyFont="1" fillId="0" applyFill="1" borderId="0" applyBorder="1" xfId="0" quotePrefix="1">
      <alignment vertical="center"/>
      <protection locked="0"/>
    </xf>
    <xf numFmtId="0" applyNumberFormat="1" fontId="86" applyFont="1" fillId="0" applyFill="1" borderId="0" applyBorder="1" xfId="0">
      <alignment vertical="center"/>
      <protection locked="0"/>
    </xf>
    <xf numFmtId="0" applyNumberFormat="1" fontId="0" applyFont="1" fillId="0" applyFill="1" borderId="0" applyBorder="1" xfId="0">
      <alignment vertical="top"/>
      <protection locked="0"/>
    </xf>
    <xf numFmtId="0" applyNumberFormat="1" fontId="8" applyFont="1" fillId="31" applyFill="1" borderId="14" applyBorder="1" xfId="0">
      <alignment horizontal="center" vertical="center" wrapText="1"/>
      <protection locked="0"/>
    </xf>
    <xf numFmtId="0" applyNumberFormat="1" fontId="95" applyFont="1" fillId="35" applyFill="1" borderId="1" applyBorder="1" xfId="0">
      <alignment horizontal="center" vertical="center" wrapText="1"/>
      <protection locked="0"/>
    </xf>
    <xf numFmtId="0" applyNumberFormat="1" fontId="93" applyFont="1" fillId="0" applyFill="1" borderId="1" applyBorder="1" xfId="0">
      <alignment horizontal="center" vertical="center" wrapText="1"/>
      <protection locked="0"/>
    </xf>
    <xf numFmtId="0" applyNumberFormat="1" fontId="93" applyFont="1" fillId="0" applyFill="1" borderId="1" applyBorder="1" xfId="0">
      <alignment horizontal="left" vertical="center" wrapText="1"/>
      <protection locked="0"/>
    </xf>
    <xf numFmtId="0" applyNumberFormat="1" fontId="94" applyFont="1" fillId="0" applyFill="1" borderId="1" applyBorder="1" xfId="0">
      <alignment horizontal="center" vertical="center" wrapText="1"/>
      <protection locked="0"/>
    </xf>
    <xf numFmtId="0" applyNumberFormat="1" fontId="96" applyFont="1" fillId="0" applyFill="1" borderId="1" applyBorder="1" xfId="0">
      <alignment horizontal="center" vertical="center" wrapText="1"/>
      <protection locked="0"/>
    </xf>
    <xf numFmtId="0" applyNumberFormat="1" fontId="96" applyFont="1" fillId="0" applyFill="1" borderId="1" applyBorder="1" xfId="0">
      <alignment horizontal="justify" vertical="center" wrapText="1"/>
      <protection locked="0"/>
    </xf>
    <xf numFmtId="0" applyNumberFormat="1" fontId="77" applyFont="1" fillId="34" applyFill="1" borderId="0" applyBorder="1" xfId="0">
      <protection locked="0"/>
    </xf>
    <xf numFmtId="0" applyNumberFormat="1" fontId="77" applyFont="1" fillId="0" applyFill="1" borderId="0" applyBorder="1" xfId="0">
      <alignment horizontal="left" vertical="center"/>
      <protection locked="0"/>
    </xf>
    <xf numFmtId="0" applyNumberFormat="1" fontId="77" applyFont="1" fillId="0" applyFill="1" borderId="0" applyBorder="1" xfId="0">
      <alignment horizontal="center" vertical="center"/>
      <protection locked="0"/>
    </xf>
    <xf numFmtId="0" applyNumberFormat="1" fontId="77" applyFont="1" fillId="33" applyFill="1" borderId="13" applyBorder="1" xfId="0">
      <alignment horizontal="center" vertical="center"/>
      <protection locked="0"/>
    </xf>
    <xf numFmtId="0" applyNumberFormat="1" fontId="77" applyFont="1" fillId="33" applyFill="1" borderId="13" applyBorder="1" xfId="0">
      <alignment horizontal="left"/>
      <protection locked="0"/>
    </xf>
    <xf numFmtId="0" applyNumberFormat="1" fontId="77" applyFont="1" fillId="33" applyFill="1" borderId="13" applyBorder="1" xfId="0">
      <alignment horizontal="center"/>
      <protection locked="0"/>
    </xf>
    <xf numFmtId="0" applyNumberFormat="1" fontId="2" applyFont="1" fillId="32" applyFill="1" borderId="12" applyBorder="1" xfId="0">
      <alignment horizontal="center" vertical="center" wrapText="1"/>
      <protection locked="0"/>
    </xf>
    <xf numFmtId="0" applyNumberFormat="1" fontId="2" applyFont="1" fillId="32" applyFill="1" borderId="12" applyBorder="1" xfId="0">
      <alignment horizontal="left" vertical="center" wrapText="1"/>
      <protection locked="0"/>
    </xf>
    <xf numFmtId="0" applyNumberFormat="1" fontId="2" applyFont="1" fillId="32" applyFill="1" borderId="2" applyBorder="1" xfId="0">
      <alignment horizontal="center" vertical="center" wrapText="1"/>
      <protection locked="0"/>
    </xf>
    <xf numFmtId="0" applyNumberFormat="1" fontId="6" applyFont="1" fillId="32" applyFill="1" borderId="2" applyBorder="1" xfId="0">
      <alignment horizontal="center" vertical="center" wrapText="1"/>
      <protection locked="0"/>
    </xf>
    <xf numFmtId="0" applyNumberFormat="1" fontId="7" applyFont="1" fillId="0" applyFill="1" borderId="0" applyBorder="1" xfId="127">
      <protection locked="0"/>
    </xf>
    <xf numFmtId="0" applyNumberFormat="1" fontId="78" applyFont="1" fillId="0" applyFill="1" borderId="0" applyBorder="1" xfId="127">
      <alignment vertical="top"/>
      <protection locked="0"/>
    </xf>
    <xf numFmtId="0" applyNumberFormat="1" fontId="1" applyFont="1" fillId="0" applyFill="1" borderId="0" applyBorder="1" xfId="127">
      <protection locked="0"/>
    </xf>
    <xf numFmtId="0" applyNumberFormat="1" fontId="79" applyFont="1" fillId="0" applyFill="1" borderId="0" applyBorder="1" xfId="127">
      <protection locked="0"/>
    </xf>
    <xf numFmtId="0" applyNumberFormat="1" fontId="79" applyFont="1" fillId="0" applyFill="1" borderId="11" applyBorder="1" xfId="127">
      <protection locked="0"/>
    </xf>
    <xf numFmtId="0" applyNumberFormat="1" fontId="79" applyFont="1" fillId="0" applyFill="1" borderId="0" applyBorder="1" xfId="127">
      <alignment horizontal="center"/>
      <protection locked="0"/>
    </xf>
    <xf numFmtId="0" applyNumberFormat="1" fontId="79" applyFont="1" fillId="0" applyFill="1" borderId="0" applyBorder="1" xfId="127">
      <protection locked="0"/>
    </xf>
    <xf numFmtId="0" applyNumberFormat="1" fontId="79" applyFont="1" fillId="0" applyFill="1" borderId="0" applyBorder="1" xfId="127">
      <alignment vertical="center"/>
      <protection locked="0"/>
    </xf>
    <xf numFmtId="0" applyNumberFormat="1" fontId="78" applyFont="1" fillId="0" applyFill="1" borderId="0" applyBorder="1" xfId="127">
      <alignment vertical="center"/>
      <protection locked="0"/>
    </xf>
    <xf numFmtId="0" applyNumberFormat="1" fontId="79" applyFont="1" fillId="0" applyFill="1" borderId="0" applyBorder="1" xfId="127">
      <alignment vertical="center"/>
      <protection locked="0"/>
    </xf>
    <xf numFmtId="0" applyNumberFormat="1" fontId="78" applyFont="1" fillId="0" applyFill="1" borderId="0" applyBorder="1" xfId="127">
      <protection locked="0"/>
    </xf>
    <xf numFmtId="0" applyNumberFormat="1" fontId="78" applyFont="1" fillId="0" applyFill="1" borderId="0" applyBorder="1" xfId="127">
      <alignment horizontal="center" vertical="top" wrapText="1"/>
      <protection locked="0"/>
    </xf>
    <xf numFmtId="0" applyNumberFormat="1" fontId="79" applyFont="1" fillId="0" applyFill="1" borderId="0" applyBorder="1" xfId="127">
      <alignment horizontal="center" vertical="center"/>
      <protection locked="0"/>
    </xf>
    <xf numFmtId="0" applyNumberFormat="1" fontId="79" applyFont="1" fillId="0" applyFill="1" borderId="0" applyBorder="1" xfId="127">
      <alignment vertical="center"/>
      <protection locked="0"/>
    </xf>
    <xf numFmtId="0" applyNumberFormat="1" fontId="1" applyFont="1" fillId="0" applyFill="1" borderId="0" applyBorder="1" xfId="127">
      <alignment vertical="center"/>
      <protection locked="0"/>
    </xf>
    <xf numFmtId="0" applyNumberFormat="1" fontId="1" applyFont="1" fillId="0" applyFill="1" borderId="0" applyBorder="1" xfId="127">
      <protection locked="0"/>
    </xf>
    <xf numFmtId="0" applyNumberFormat="1" fontId="78" applyFont="1" fillId="0" applyFill="1" borderId="0" applyBorder="1" xfId="127">
      <alignment horizontal="left" vertical="center"/>
      <protection locked="0"/>
    </xf>
    <xf numFmtId="0" applyNumberFormat="1" fontId="78" applyFont="1" fillId="0" applyFill="1" borderId="0" applyBorder="1" xfId="127">
      <alignment horizontal="center"/>
      <protection locked="0"/>
    </xf>
    <xf numFmtId="0" applyNumberFormat="1" fontId="78" applyFont="1" fillId="0" applyFill="1" borderId="0" applyBorder="1" xfId="127">
      <alignment horizontal="left"/>
      <protection locked="0"/>
    </xf>
    <xf numFmtId="0" applyNumberFormat="1" fontId="4" applyFont="1" fillId="0" applyFill="1" borderId="0" applyBorder="1" xfId="127">
      <alignment vertical="top" wrapText="1"/>
      <protection locked="0"/>
    </xf>
    <xf numFmtId="0" applyNumberFormat="1" fontId="1" applyFont="1" fillId="0" applyFill="1" borderId="0" applyBorder="1" xfId="127">
      <alignment horizontal="left"/>
      <protection locked="0"/>
    </xf>
    <xf numFmtId="0" applyNumberFormat="1" fontId="81" applyFont="1" fillId="0" applyFill="1" borderId="0" applyBorder="1" xfId="127">
      <alignment horizontal="left" vertical="center"/>
      <protection locked="0"/>
    </xf>
    <xf numFmtId="0" applyNumberFormat="1" fontId="4" applyFont="1" fillId="0" applyFill="1" borderId="0" applyBorder="1" xfId="127">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2" applyFont="1" fillId="0" applyFill="1" borderId="0" applyBorder="1" xfId="127">
      <alignment vertical="top" wrapText="1"/>
      <protection locked="0"/>
    </xf>
    <xf numFmtId="0" applyNumberFormat="1" fontId="4" applyFont="1" fillId="0" applyFill="1" borderId="0" applyBorder="1" xfId="127">
      <alignment horizontal="center" vertical="center"/>
      <protection locked="0"/>
    </xf>
    <xf numFmtId="0" applyNumberFormat="1" fontId="4" applyFont="1" fillId="0" applyFill="1" borderId="0" applyBorder="1" xfId="127">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9" applyFont="1" fillId="0" applyFill="1" borderId="0" applyBorder="1" xfId="127">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lignment horizontal="left"/>
      <protection locked="0"/>
    </xf>
    <xf numFmtId="0" applyNumberFormat="1" fontId="6" applyFont="1" fillId="0" applyFill="1" borderId="0" applyBorder="1" xfId="127">
      <alignment horizontal="center" vertical="top"/>
      <protection locked="0"/>
    </xf>
    <xf numFmtId="0" applyNumberFormat="1" fontId="83" applyFont="1" fillId="0" applyFill="1" borderId="0" applyBorder="1" xfId="127">
      <alignment horizontal="center" vertical="center" wrapText="1"/>
      <protection locked="0"/>
    </xf>
    <xf numFmtId="0" applyNumberFormat="1" fontId="78" applyFont="1" fillId="0" applyFill="1" borderId="0" applyBorder="1" xfId="127">
      <alignment vertical="center"/>
      <protection locked="0"/>
    </xf>
    <xf numFmtId="0" applyNumberFormat="1" fontId="79" applyFont="1" fillId="0" applyFill="1" borderId="11" applyBorder="1" xfId="127">
      <alignment vertical="center"/>
      <protection locked="0"/>
    </xf>
    <xf numFmtId="0" applyNumberFormat="1" fontId="78" applyFont="1" fillId="0" applyFill="1" borderId="0" applyBorder="1" xfId="127">
      <alignment horizontal="center" vertical="center" wrapText="1"/>
      <protection locked="0"/>
    </xf>
    <xf numFmtId="0" applyNumberFormat="1" fontId="81"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lignment horizontal="center" vertical="center"/>
      <protection locked="0"/>
    </xf>
    <xf numFmtId="0" applyNumberFormat="1" fontId="1" applyFont="1" fillId="0" applyFill="1" borderId="11" applyBorder="1" xfId="127">
      <alignment vertical="center"/>
      <protection locked="0"/>
    </xf>
    <xf numFmtId="0" applyNumberFormat="1" fontId="1" applyFont="1" fillId="0" applyFill="1" borderId="0" applyBorder="1" xfId="127">
      <alignment vertical="center"/>
      <protection locked="0"/>
    </xf>
    <xf numFmtId="0" applyNumberFormat="1" fontId="83" applyFont="1" fillId="0" applyFill="1" borderId="0" applyBorder="1" xfId="127">
      <alignment horizontal="center" vertical="top" wrapText="1"/>
      <protection locked="0"/>
    </xf>
    <xf numFmtId="0" applyNumberFormat="1" fontId="83" applyFont="1" fillId="0" applyFill="1" borderId="0" applyBorder="1" xfId="127">
      <alignment horizontal="left" vertical="top" wrapText="1"/>
      <protection locked="0"/>
    </xf>
    <xf numFmtId="0" applyNumberFormat="1" fontId="83" applyFont="1" fillId="0" applyFill="1" borderId="0" applyBorder="1" xfId="127">
      <alignment horizontal="center"/>
      <protection locked="0"/>
    </xf>
    <xf numFmtId="0" applyNumberFormat="1" fontId="8" applyFont="1" fillId="31" applyFill="1" borderId="1" applyBorder="1" xfId="0">
      <alignment horizontal="center" vertical="center" wrapText="1"/>
      <protection locked="0"/>
    </xf>
    <xf numFmtId="0" applyNumberFormat="1" fontId="77" applyFont="1" fillId="0" applyFill="1" borderId="1" applyBorder="1" xfId="0">
      <alignment horizontal="center" vertical="center" wrapText="1"/>
      <protection locked="0"/>
    </xf>
    <xf numFmtId="0" applyNumberFormat="1" fontId="77" applyFont="1" fillId="0" applyFill="1" borderId="1" applyBorder="1" xfId="0">
      <alignment horizontal="left" vertical="center" wrapText="1"/>
      <protection locked="0"/>
    </xf>
    <xf numFmtId="0" applyNumberFormat="1" fontId="77" applyFont="1" fillId="0" applyFill="1" borderId="1" applyBorder="1" xfId="0">
      <alignment horizontal="center" vertical="center"/>
      <protection locked="0"/>
    </xf>
    <xf numFmtId="14" applyNumberFormat="1" fontId="77" applyFont="1" fillId="0" applyFill="1" borderId="1" applyBorder="1" xfId="0">
      <alignment horizontal="center" vertical="center"/>
      <protection locked="0"/>
    </xf>
    <xf numFmtId="0" applyNumberFormat="1" fontId="77" applyFont="1" fillId="0" applyFill="1" borderId="1" applyBorder="1" xfId="0">
      <alignment horizontal="left" vertical="center"/>
      <protection locked="0"/>
    </xf>
    <xf numFmtId="49" applyNumberFormat="1" fontId="2" applyFont="1" fillId="2" applyFill="1" borderId="2" applyBorder="1" xfId="127">
      <alignment horizontal="center" vertical="center" wrapText="1"/>
      <protection locked="0"/>
    </xf>
    <xf numFmtId="49" applyNumberFormat="1" fontId="1" applyFont="1" fillId="0" applyFill="1" borderId="0" applyBorder="1" xfId="127"/>
    <xf numFmtId="0" applyNumberFormat="1" fontId="84" applyFont="1" fillId="0" applyFill="1" borderId="0" applyBorder="1" xfId="0">
      <alignment horizontal="left" wrapText="1"/>
      <protection locked="0"/>
    </xf>
    <xf numFmtId="0" applyNumberFormat="1" fontId="8" applyFont="1" fillId="0" applyFill="1" borderId="0" applyBorder="1" xfId="0">
      <alignment horizontal="center" vertical="center"/>
      <protection locked="0"/>
    </xf>
    <xf numFmtId="0" applyNumberFormat="1" fontId="86" applyFont="1" fillId="0" applyFill="1" borderId="0" applyBorder="1" xfId="0">
      <alignment horizontal="center" vertical="center"/>
      <protection locked="0"/>
    </xf>
    <xf numFmtId="0" applyNumberFormat="1" fontId="5" applyFont="1" fillId="0" applyFill="1" borderId="0" applyBorder="1" xfId="0">
      <alignment horizontal="left" vertical="center"/>
      <protection locked="0"/>
    </xf>
    <xf numFmtId="0" applyNumberFormat="1" fontId="5" applyFont="1" fillId="0" applyFill="1" borderId="0" applyBorder="1" xfId="0">
      <alignment horizontal="justify" vertical="center" wrapText="1"/>
      <protection locked="0"/>
    </xf>
    <xf numFmtId="0" applyNumberFormat="1" fontId="85" applyFont="1" fillId="0" applyFill="1" borderId="0" applyBorder="1" xfId="0">
      <alignment horizontal="center" vertical="center" wrapText="1"/>
      <protection locked="0"/>
    </xf>
    <xf numFmtId="0" applyNumberFormat="1" fontId="77" applyFont="1" fillId="0" applyFill="1" borderId="0" applyBorder="1" xfId="0">
      <alignment horizontal="left" vertical="top" wrapText="1"/>
      <protection locked="0"/>
    </xf>
    <xf numFmtId="0" applyNumberFormat="1" fontId="89"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7" applyFont="1" fillId="0" applyFill="1" borderId="14" applyBorder="1" xfId="0">
      <alignment horizontal="right" vertical="center"/>
      <protection locked="0"/>
    </xf>
    <xf numFmtId="0" applyNumberFormat="1" fontId="87" applyFont="1" fillId="0" applyFill="1" borderId="5" applyBorder="1" xfId="0">
      <alignment horizontal="right" vertical="center"/>
      <protection locked="0"/>
    </xf>
    <xf numFmtId="0" applyNumberFormat="1" fontId="87" applyFont="1" fillId="0" applyFill="1" borderId="15" applyBorder="1" xfId="0">
      <alignment horizontal="right" vertical="center"/>
      <protection locked="0"/>
    </xf>
    <xf numFmtId="0" applyNumberFormat="1" fontId="89" applyFont="1" fillId="0" applyFill="1" borderId="1" applyBorder="1" xfId="0">
      <alignment horizontal="center" vertical="center" wrapText="1"/>
      <protection locked="0"/>
    </xf>
    <xf numFmtId="0" applyNumberFormat="1" fontId="89" applyFont="1" fillId="0" applyFill="1" borderId="14" applyBorder="1" xfId="0">
      <alignment horizontal="center" vertical="center"/>
      <protection locked="0"/>
    </xf>
    <xf numFmtId="0" applyNumberFormat="1" fontId="89" applyFont="1" fillId="0" applyFill="1" borderId="5" applyBorder="1" xfId="0">
      <alignment horizontal="center" vertical="center"/>
      <protection locked="0"/>
    </xf>
    <xf numFmtId="0" applyNumberFormat="1" fontId="89" applyFont="1" fillId="0" applyFill="1" borderId="15" applyBorder="1" xfId="0">
      <alignment horizontal="center" vertical="center"/>
      <protection locked="0"/>
    </xf>
    <xf numFmtId="0" applyNumberFormat="1" fontId="87" applyFont="1" fillId="0" applyFill="1" borderId="14" applyBorder="1" xfId="0">
      <alignment horizontal="left" vertical="center"/>
      <protection locked="0"/>
    </xf>
    <xf numFmtId="0" applyNumberFormat="1" fontId="87" applyFont="1" fillId="0" applyFill="1" borderId="5" applyBorder="1" xfId="0">
      <alignment horizontal="left" vertical="center"/>
      <protection locked="0"/>
    </xf>
    <xf numFmtId="3" applyNumberFormat="1" fontId="87" applyFont="1" fillId="0" applyFill="1" borderId="14" applyBorder="1" xfId="0">
      <alignment horizontal="right" vertical="center"/>
      <protection locked="0"/>
    </xf>
    <xf numFmtId="3" applyNumberFormat="1" fontId="87" applyFont="1" fillId="0" applyFill="1" borderId="5" applyBorder="1" xfId="0">
      <alignment horizontal="right" vertical="center"/>
      <protection locked="0"/>
    </xf>
    <xf numFmtId="3" applyNumberFormat="1" fontId="87" applyFont="1" fillId="0" applyFill="1" borderId="15" applyBorder="1" xfId="0">
      <alignment horizontal="right" vertical="center"/>
      <protection locked="0"/>
    </xf>
    <xf numFmtId="3" applyNumberFormat="1" fontId="89" applyFont="1" fillId="0" applyFill="1" borderId="14" applyBorder="1" xfId="0">
      <alignment horizontal="right" vertical="center"/>
      <protection locked="0"/>
    </xf>
    <xf numFmtId="3" applyNumberFormat="1" fontId="89" applyFont="1" fillId="0" applyFill="1" borderId="5" applyBorder="1" xfId="0">
      <alignment horizontal="right" vertical="center"/>
      <protection locked="0"/>
    </xf>
    <xf numFmtId="3" applyNumberFormat="1" fontId="89" applyFont="1" fillId="0" applyFill="1" borderId="15" applyBorder="1" xfId="0">
      <alignment horizontal="right" vertical="center"/>
      <protection locked="0"/>
    </xf>
    <xf numFmtId="0" applyNumberFormat="1" fontId="87" applyFont="1" fillId="0" applyFill="1" borderId="14" applyBorder="1" xfId="0">
      <alignment horizontal="center" vertical="center"/>
      <protection locked="0"/>
    </xf>
    <xf numFmtId="0" applyNumberFormat="1" fontId="87" applyFont="1" fillId="0" applyFill="1" borderId="15" applyBorder="1" xfId="0">
      <alignment horizontal="center" vertical="center"/>
      <protection locked="0"/>
    </xf>
    <xf numFmtId="0" applyNumberFormat="1" fontId="92" applyFont="1" fillId="0" applyFill="1" borderId="0" applyBorder="1" xfId="0">
      <alignment horizontal="center" vertical="center"/>
      <protection locked="0"/>
    </xf>
    <xf numFmtId="0" applyNumberFormat="1" fontId="5" applyFont="1" fillId="0" applyFill="1" borderId="0" applyBorder="1" xfId="0">
      <alignment horizontal="justify" vertical="center" wrapText="1" shrinkToFit="1"/>
      <protection locked="0"/>
    </xf>
    <xf numFmtId="0" applyNumberFormat="1" fontId="92" applyFont="1" fillId="0" applyFill="1" borderId="11" applyBorder="1" xfId="0">
      <alignment horizontal="center" vertical="center"/>
      <protection locked="0"/>
    </xf>
    <xf numFmtId="0" applyNumberFormat="1" fontId="77" applyFont="1" fillId="0" applyFill="1" borderId="0" applyBorder="1" xfId="0">
      <alignment horizontal="left" vertical="center"/>
      <protection locked="0"/>
    </xf>
    <xf numFmtId="0" applyNumberFormat="1" fontId="85" applyFont="1" fillId="0" applyFill="1" borderId="0" applyBorder="1" xfId="0">
      <alignment horizontal="center" vertical="center"/>
      <protection locked="0"/>
    </xf>
    <xf numFmtId="0" applyNumberFormat="1" fontId="88" applyFont="1" fillId="0" applyFill="1" borderId="0" applyBorder="1" xfId="0">
      <alignment horizontal="right" vertical="center"/>
      <protection locked="0"/>
    </xf>
    <xf numFmtId="0" applyNumberFormat="1" fontId="86" applyFont="1" fillId="0" applyFill="1" borderId="0" applyBorder="1" xfId="0">
      <alignment horizontal="center" wrapText="1"/>
      <protection locked="0"/>
    </xf>
    <xf numFmtId="0" applyNumberFormat="1" fontId="87" applyFont="1" fillId="0" applyFill="1" borderId="0" applyBorder="1" xfId="0">
      <alignment horizontal="center" wrapText="1"/>
      <protection locked="0"/>
    </xf>
    <xf numFmtId="0" applyNumberFormat="1" fontId="87" applyFont="1" fillId="0" applyFill="1" borderId="13" applyBorder="1" xfId="0">
      <alignment horizontal="center" vertical="top" wrapText="1"/>
      <protection locked="0"/>
    </xf>
    <xf numFmtId="0" applyNumberFormat="1" fontId="91" applyFont="1" fillId="0" applyFill="1" borderId="0" applyBorder="1" xfId="0">
      <alignment horizontal="center"/>
      <protection locked="0"/>
    </xf>
    <xf numFmtId="0"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protection locked="0"/>
    </xf>
    <xf numFmtId="0" applyNumberFormat="1" fontId="7" applyFont="1" fillId="0" applyFill="1" borderId="0" applyBorder="1" xfId="127">
      <alignment horizontal="center" vertical="center"/>
      <protection locked="0"/>
    </xf>
    <xf numFmtId="0" applyNumberFormat="1" fontId="7" applyFont="1" fillId="0" applyFill="1" borderId="0" applyBorder="1" xfId="127">
      <alignment horizontal="center"/>
      <protection locked="0"/>
    </xf>
    <xf numFmtId="0" applyNumberFormat="1" fontId="7" applyFont="1" fillId="0" applyFill="1" borderId="0" applyBorder="1" xfId="127">
      <alignment horizontal="left" vertical="top" wrapText="1"/>
      <protection locked="0"/>
    </xf>
    <xf numFmtId="14" applyNumberFormat="1" fontId="4" applyFont="1" fillId="0" applyFill="1" borderId="0" applyBorder="1" xfId="127">
      <alignment horizontal="left" vertical="center"/>
      <protection locked="0"/>
    </xf>
    <xf numFmtId="0" applyNumberFormat="1" fontId="4" applyFont="1" fillId="0" applyFill="1" borderId="0" applyBorder="1" xfId="127">
      <alignment horizontal="left" vertical="center"/>
      <protection locked="0"/>
    </xf>
    <xf numFmtId="0" applyNumberFormat="1" fontId="79" applyFont="1" fillId="0" applyFill="1" borderId="0" applyBorder="1" xfId="127">
      <alignment horizontal="center"/>
      <protection locked="0"/>
    </xf>
    <xf numFmtId="0" applyNumberFormat="1" fontId="7" applyFont="1" fillId="0" applyFill="1" borderId="0" applyBorder="1" xfId="127">
      <alignment horizontal="center" vertical="top" wrapText="1"/>
      <protection locked="0"/>
    </xf>
    <xf numFmtId="0" applyNumberFormat="1" fontId="4" applyFont="1" fillId="0" applyFill="1" borderId="0" applyBorder="1" xfId="127">
      <alignment horizontal="center"/>
      <protection locked="0"/>
    </xf>
    <xf numFmtId="0" applyNumberFormat="1" fontId="78" applyFont="1" fillId="0" applyFill="1" borderId="0" applyBorder="1" xfId="127">
      <alignment horizontal="center" vertical="top"/>
      <protection locked="0"/>
    </xf>
    <xf numFmtId="0" applyNumberFormat="1" fontId="4" applyFont="1" fillId="0" applyFill="1" borderId="14"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0" applyNumberFormat="1" fontId="80" applyFont="1" fillId="0" applyFill="1" borderId="0" applyBorder="1" xfId="127">
      <alignment horizontal="center" vertical="center"/>
      <protection locked="0"/>
    </xf>
    <xf numFmtId="0" applyNumberFormat="1" fontId="4" applyFont="1" fillId="0" applyFill="1" borderId="14" applyBorder="1" xfId="127">
      <alignment horizontal="center" vertical="center" wrapText="1"/>
      <protection locked="0"/>
    </xf>
    <xf numFmtId="0" applyNumberFormat="1" fontId="4" applyFont="1" fillId="0" applyFill="1" borderId="5" applyBorder="1" xfId="127">
      <alignment horizontal="center" vertical="center" wrapText="1"/>
      <protection locked="0"/>
    </xf>
    <xf numFmtId="0" applyNumberFormat="1" fontId="4" applyFont="1" fillId="0" applyFill="1" borderId="15" applyBorder="1" xfId="127">
      <alignment horizontal="center" vertical="center" wrapText="1"/>
      <protection locked="0"/>
    </xf>
    <xf numFmtId="0" applyNumberFormat="1" fontId="7" applyFont="1" fillId="0" applyFill="1" borderId="14" applyBorder="1" xfId="127">
      <alignment horizontal="left" vertical="top" wrapText="1"/>
      <protection locked="0"/>
    </xf>
    <xf numFmtId="0" applyNumberFormat="1" fontId="7" applyFont="1" fillId="0" applyFill="1" borderId="5" applyBorder="1" xfId="127">
      <alignment horizontal="left" vertical="top" wrapText="1"/>
      <protection locked="0"/>
    </xf>
    <xf numFmtId="0" applyNumberFormat="1" fontId="7" applyFont="1" fillId="0" applyFill="1" borderId="15" applyBorder="1" xfId="127">
      <alignment horizontal="left" vertical="top" wrapText="1"/>
      <protection locked="0"/>
    </xf>
    <xf numFmtId="0" applyNumberFormat="1" fontId="78" applyFont="1" fillId="0" applyFill="1" borderId="0" applyBorder="1" xfId="127">
      <alignment horizontal="center" vertical="center"/>
      <protection locked="0"/>
    </xf>
    <xf numFmtId="0" applyNumberFormat="1" fontId="78" applyFont="1" fillId="0" applyFill="1" borderId="0" applyBorder="1" xfId="127">
      <alignment horizontal="center" vertical="center"/>
      <protection locked="0"/>
    </xf>
    <xf numFmtId="0" applyNumberFormat="1" fontId="7" applyFont="1" fillId="0" applyFill="1" borderId="14" applyBorder="1" xfId="127">
      <alignment horizontal="left" vertical="center" wrapText="1"/>
      <protection locked="0"/>
    </xf>
    <xf numFmtId="0" applyNumberFormat="1" fontId="7" applyFont="1" fillId="0" applyFill="1" borderId="5" applyBorder="1" xfId="127">
      <alignment horizontal="left" vertical="center" wrapText="1"/>
      <protection locked="0"/>
    </xf>
    <xf numFmtId="0" applyNumberFormat="1" fontId="7" applyFont="1" fillId="0" applyFill="1" borderId="15" applyBorder="1" xfId="127">
      <alignment horizontal="left" vertical="center" wrapText="1"/>
      <protection locked="0"/>
    </xf>
    <xf numFmtId="0" applyNumberFormat="1" fontId="4" applyFont="1" fillId="0" applyFill="1" borderId="14" applyBorder="1" xfId="127">
      <alignment horizontal="left" vertical="center" wrapText="1"/>
      <protection locked="0"/>
    </xf>
    <xf numFmtId="0" applyNumberFormat="1" fontId="4" applyFont="1" fillId="0" applyFill="1" borderId="5" applyBorder="1" xfId="127">
      <alignment horizontal="left" vertical="center" wrapText="1"/>
      <protection locked="0"/>
    </xf>
    <xf numFmtId="0" applyNumberFormat="1" fontId="4" applyFont="1" fillId="0" applyFill="1" borderId="15" applyBorder="1" xfId="127">
      <alignment horizontal="left" vertical="center" wrapText="1"/>
      <protection locked="0"/>
    </xf>
    <xf numFmtId="0" applyNumberFormat="1" fontId="4" applyFont="1" fillId="0" applyFill="1" borderId="1" applyBorder="1" xfId="127">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lignment horizontal="left" vertical="center" wrapText="1"/>
      <protection locked="0"/>
    </xf>
    <xf numFmtId="49" applyNumberFormat="1" fontId="4" applyFont="1" fillId="0" applyFill="1" borderId="14" applyBorder="1" xfId="127">
      <alignment horizontal="center" vertical="top" wrapText="1"/>
      <protection locked="0"/>
    </xf>
    <xf numFmtId="49" applyNumberFormat="1" fontId="4" applyFont="1" fillId="0" applyFill="1" borderId="5" applyBorder="1" xfId="127">
      <alignment horizontal="center" vertical="top" wrapText="1"/>
      <protection locked="0"/>
    </xf>
    <xf numFmtId="49" applyNumberFormat="1" fontId="4" applyFont="1" fillId="0" applyFill="1" borderId="15" applyBorder="1" xfId="127">
      <alignment horizontal="center" vertical="top" wrapText="1"/>
      <protection locked="0"/>
    </xf>
    <xf numFmtId="0" applyNumberFormat="1" fontId="7" applyFont="1" fillId="0" applyFill="1" borderId="14" applyBorder="1" xfId="127">
      <alignment horizontal="center" vertical="center" wrapText="1"/>
      <protection locked="0"/>
    </xf>
    <xf numFmtId="0" applyNumberFormat="1" fontId="7" applyFont="1" fillId="0" applyFill="1" borderId="5" applyBorder="1" xfId="127">
      <alignment horizontal="center" vertical="center" wrapText="1"/>
      <protection locked="0"/>
    </xf>
    <xf numFmtId="0" applyNumberFormat="1" fontId="7" applyFont="1" fillId="0" applyFill="1" borderId="15" applyBorder="1" xfId="127">
      <alignment horizontal="center" vertical="center" wrapText="1"/>
      <protection locked="0"/>
    </xf>
    <xf numFmtId="0" applyNumberFormat="1" fontId="4" applyFont="1" fillId="0" applyFill="1" borderId="14" applyBorder="1" xfId="127">
      <alignment horizontal="left" vertical="top" wrapText="1"/>
      <protection locked="0"/>
    </xf>
    <xf numFmtId="0" applyNumberFormat="1" fontId="4" applyFont="1" fillId="0" applyFill="1" borderId="5" applyBorder="1" xfId="127">
      <alignment horizontal="left" vertical="top" wrapText="1"/>
      <protection locked="0"/>
    </xf>
    <xf numFmtId="0" applyNumberFormat="1" fontId="4" applyFont="1" fillId="0" applyFill="1" borderId="15" applyBorder="1" xfId="127">
      <alignment horizontal="left" vertical="top" wrapText="1"/>
      <protection locked="0"/>
    </xf>
    <xf numFmtId="0" applyNumberFormat="1" fontId="4" applyFont="1" fillId="0" applyFill="1" borderId="0" applyBorder="1" xfId="127">
      <alignment horizontal="left" vertical="center" wrapText="1"/>
      <protection locked="0"/>
    </xf>
    <xf numFmtId="0" applyNumberFormat="1" fontId="82" applyFont="1" fillId="0" applyFill="1" borderId="0" applyBorder="1" xfId="127">
      <alignment horizontal="left" vertical="top" wrapText="1"/>
      <protection locked="0"/>
    </xf>
    <xf numFmtId="49" applyNumberFormat="1" fontId="83" applyFont="1" fillId="0" applyFill="1" borderId="0" applyBorder="1" xfId="127">
      <alignment horizontal="center" vertical="center" wrapText="1"/>
      <protection locked="0"/>
    </xf>
    <xf numFmtId="0" applyNumberFormat="1" fontId="6"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 applyFont="1" fillId="0" applyFill="1" borderId="12" applyBorder="1" xfId="127">
      <alignment horizontal="left" vertical="center" wrapText="1"/>
      <protection locked="0"/>
    </xf>
    <xf numFmtId="0" applyNumberFormat="1" fontId="7" applyFont="1" fillId="0" applyFill="1" borderId="11" applyBorder="1" xfId="127">
      <alignment horizontal="left" vertical="center" wrapText="1"/>
      <protection locked="0"/>
    </xf>
    <xf numFmtId="0" applyNumberFormat="1" fontId="7" applyFont="1" fillId="0" applyFill="1" borderId="16" applyBorder="1" xfId="127">
      <alignment horizontal="left" vertical="center" wrapText="1"/>
      <protection locked="0"/>
    </xf>
    <xf numFmtId="0" applyNumberFormat="1" fontId="4" applyFont="1" fillId="0" applyFill="1" borderId="1"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49" applyNumberFormat="1" fontId="4" applyFont="1" fillId="0" applyFill="1" borderId="1" applyBorder="1" xfId="127">
      <alignment horizontal="center" vertical="top" wrapText="1"/>
      <protection locked="0"/>
    </xf>
    <xf numFmtId="0" applyNumberFormat="1" fontId="4" applyFont="1" fillId="0" applyFill="1" borderId="1" applyBorder="1" xfId="127">
      <alignment horizontal="center" vertical="top" wrapText="1"/>
      <protection locked="0"/>
    </xf>
    <xf numFmtId="0" applyNumberFormat="1" fontId="6" applyFont="1" fillId="0" applyFill="1" borderId="14" applyBorder="1" xfId="127">
      <alignment horizontal="center" vertical="center" wrapText="1"/>
      <protection locked="0"/>
    </xf>
    <xf numFmtId="0" applyNumberFormat="1" fontId="6" applyFont="1" fillId="0" applyFill="1" borderId="5" applyBorder="1" xfId="127">
      <alignment horizontal="center" vertical="center" wrapText="1"/>
      <protection locked="0"/>
    </xf>
    <xf numFmtId="0" applyNumberFormat="1" fontId="6" applyFont="1" fillId="0" applyFill="1" borderId="15" applyBorder="1" xfId="127">
      <alignment horizontal="center" vertical="center" wrapText="1"/>
      <protection locked="0"/>
    </xf>
    <xf numFmtId="0" applyNumberFormat="1" fontId="6" applyFont="1" fillId="0" applyFill="1" borderId="14" applyBorder="1" xfId="127">
      <alignment horizontal="left" vertical="center" wrapText="1"/>
      <protection locked="0"/>
    </xf>
    <xf numFmtId="0" applyNumberFormat="1" fontId="6" applyFont="1" fillId="0" applyFill="1" borderId="5" applyBorder="1" xfId="127">
      <alignment horizontal="left" vertical="center" wrapText="1"/>
      <protection locked="0"/>
    </xf>
    <xf numFmtId="0" applyNumberFormat="1" fontId="6" applyFont="1" fillId="0" applyFill="1" borderId="15" applyBorder="1" xfId="127">
      <alignment horizontal="left" vertical="center" wrapText="1"/>
      <protection locked="0"/>
    </xf>
    <xf numFmtId="0" applyNumberFormat="1" fontId="83" applyFont="1" fillId="0" applyFill="1" borderId="14" applyBorder="1" xfId="127">
      <alignment horizontal="left" vertical="center" wrapText="1"/>
      <protection locked="0"/>
    </xf>
    <xf numFmtId="0" applyNumberFormat="1" fontId="83" applyFont="1" fillId="0" applyFill="1" borderId="5" applyBorder="1" xfId="127">
      <alignment horizontal="left" vertical="center" wrapText="1"/>
      <protection locked="0"/>
    </xf>
    <xf numFmtId="0" applyNumberFormat="1" fontId="83" applyFont="1" fillId="0" applyFill="1" borderId="15" applyBorder="1" xfId="127">
      <alignment horizontal="left" vertical="center" wrapText="1"/>
      <protection locked="0"/>
    </xf>
    <xf numFmtId="0" applyNumberFormat="1" fontId="83" applyFont="1" fillId="0" applyFill="1" borderId="14" applyBorder="1" xfId="127">
      <alignment horizontal="center" vertical="center" wrapText="1"/>
      <protection locked="0"/>
    </xf>
    <xf numFmtId="0" applyNumberFormat="1" fontId="83" applyFont="1" fillId="0" applyFill="1" borderId="5" applyBorder="1" xfId="127">
      <alignment horizontal="center" vertical="center" wrapText="1"/>
      <protection locked="0"/>
    </xf>
    <xf numFmtId="0" applyNumberFormat="1" fontId="83" applyFont="1" fillId="0" applyFill="1" borderId="15" applyBorder="1" xfId="127">
      <alignment horizontal="center" vertical="center" wrapText="1"/>
      <protection locked="0"/>
    </xf>
    <xf numFmtId="0" applyNumberFormat="1" fontId="81" applyFont="1" fillId="0" applyFill="1" borderId="0" applyBorder="1" xfId="127">
      <alignment horizontal="center" wrapText="1"/>
      <protection locked="0"/>
    </xf>
    <xf numFmtId="0" applyNumberFormat="1" fontId="83" applyFont="1" fillId="0" applyFill="1" borderId="1" applyBorder="1" xfId="127">
      <alignment horizontal="center" vertical="top" wrapText="1"/>
      <protection locked="0"/>
    </xf>
    <xf numFmtId="0" applyNumberFormat="1" fontId="83" applyFont="1" fillId="0" applyFill="1" borderId="14" applyBorder="1" xfId="127">
      <alignment horizontal="left" vertical="top" wrapText="1"/>
      <protection locked="0"/>
    </xf>
    <xf numFmtId="0" applyNumberFormat="1" fontId="83" applyFont="1" fillId="0" applyFill="1" borderId="5" applyBorder="1" xfId="127">
      <alignment horizontal="left" vertical="top" wrapText="1"/>
      <protection locked="0"/>
    </xf>
    <xf numFmtId="0" applyNumberFormat="1" fontId="83" applyFont="1" fillId="0" applyFill="1" borderId="15" applyBorder="1" xfId="127">
      <alignment horizontal="left" vertical="top" wrapText="1"/>
      <protection locked="0"/>
    </xf>
    <xf numFmtId="0" applyNumberFormat="1" fontId="83" applyFont="1" fillId="0" applyFill="1" borderId="1" applyBorder="1" xfId="127">
      <alignment horizontal="left" vertical="top" wrapText="1"/>
      <protection locked="0"/>
    </xf>
    <xf numFmtId="49" applyNumberFormat="1" fontId="83" applyFont="1" fillId="0" applyFill="1" borderId="1" applyBorder="1" xfId="127">
      <alignment horizontal="center" vertical="top" wrapText="1"/>
      <protection locked="0"/>
    </xf>
    <xf numFmtId="0" applyNumberFormat="1" fontId="83" applyFont="1" fillId="0" applyFill="1" borderId="1" applyBorder="1" xfId="127">
      <alignment horizontal="center" vertical="center" wrapText="1"/>
      <protection locked="0"/>
    </xf>
    <xf numFmtId="0" applyNumberFormat="1" fontId="6" applyFont="1" fillId="0" applyFill="1" borderId="14" applyBorder="1" xfId="127">
      <alignment horizontal="left" vertical="top" wrapText="1"/>
      <protection locked="0"/>
    </xf>
    <xf numFmtId="0" applyNumberFormat="1" fontId="6" applyFont="1" fillId="0" applyFill="1" borderId="5" applyBorder="1" xfId="127">
      <alignment horizontal="left" vertical="top" wrapText="1"/>
      <protection locked="0"/>
    </xf>
    <xf numFmtId="0" applyNumberFormat="1" fontId="6" applyFont="1" fillId="0" applyFill="1" borderId="15" applyBorder="1" xfId="127">
      <alignment horizontal="left" vertical="top" wrapText="1"/>
      <protection locked="0"/>
    </xf>
    <xf numFmtId="0" applyNumberFormat="1" fontId="83" applyFont="1" fillId="0" applyFill="1" borderId="14" applyBorder="1" xfId="127">
      <alignment horizontal="center" vertical="top" wrapText="1"/>
      <protection locked="0"/>
    </xf>
    <xf numFmtId="0" applyNumberFormat="1" fontId="83" applyFont="1" fillId="0" applyFill="1" borderId="5" applyBorder="1" xfId="127">
      <alignment horizontal="center" vertical="top" wrapText="1"/>
      <protection locked="0"/>
    </xf>
    <xf numFmtId="0" applyNumberFormat="1" fontId="83" applyFont="1" fillId="0" applyFill="1" borderId="15" applyBorder="1" xfId="127">
      <alignment horizontal="center" vertical="top" wrapText="1"/>
      <protection locked="0"/>
    </xf>
    <xf numFmtId="0" applyNumberFormat="1" fontId="2" applyFont="1" fillId="0" applyFill="1" borderId="14" applyBorder="1" xfId="0">
      <alignment horizontal="left" vertical="center"/>
      <protection locked="0"/>
    </xf>
    <xf numFmtId="0" applyNumberFormat="1" fontId="2" applyFont="1" fillId="0" applyFill="1" borderId="5" applyBorder="1" xfId="0">
      <alignment horizontal="left" vertical="center"/>
      <protection locked="0"/>
    </xf>
    <xf numFmtId="0" applyNumberFormat="1" fontId="2" applyFont="1" fillId="0" applyFill="1" borderId="15" applyBorder="1" xfId="0">
      <alignment horizontal="left" vertical="center"/>
      <protection locked="0"/>
    </xf>
    <xf numFmtId="0" applyNumberFormat="1" fontId="76" applyFont="1" fillId="0" applyFill="1" borderId="1" applyBorder="1" xfId="127">
      <alignment horizontal="center" vertical="top" wrapText="1"/>
      <protection locked="0"/>
    </xf>
    <xf numFmtId="0" applyNumberFormat="1" fontId="83" applyFont="1" fillId="0" applyFill="1" borderId="0" applyBorder="1" xfId="127">
      <alignment horizontal="center" vertical="center" wrapText="1"/>
      <protection locked="0"/>
    </xf>
    <xf numFmtId="49" applyNumberFormat="1" fontId="76" applyFont="1" fillId="0" applyFill="1" borderId="1" applyBorder="1" xfId="127">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lignment horizontal="left" vertical="top" wrapText="1"/>
      <protection locked="0"/>
    </xf>
    <xf numFmtId="0" applyNumberFormat="1" fontId="0" applyFont="1" fillId="0" applyFill="1" borderId="1" applyBorder="1" xfId="0">
      <protection locked="0"/>
    </xf>
    <xf numFmtId="0" applyNumberFormat="1" fontId="99" applyFont="1" fillId="5" applyFill="1" borderId="0" applyBorder="1" xfId="0">
      <alignment horizontal="center" vertical="center" wrapText="1"/>
    </xf>
    <xf numFmtId="49" applyNumberFormat="1" fontId="102" applyFont="1" fillId="0" applyFill="1" borderId="0" applyBorder="1" xfId="0"/>
    <xf numFmtId="49" applyNumberFormat="1" fontId="101" applyFont="1" fillId="6" applyFill="1" borderId="0" applyBorder="1" xfId="0">
      <alignment horizontal="center"/>
      <protection locked="0"/>
    </xf>
    <xf numFmtId="49" applyNumberFormat="1" fontId="100" applyFont="1" fillId="0" applyFill="1" borderId="0" applyBorder="1" xfId="0">
      <protection locked="0"/>
    </xf>
    <xf numFmtId="49" applyNumberFormat="1" fontId="102" applyFont="1" fillId="0" applyFill="1" borderId="0" applyBorder="1" xfId="0">
      <protection locked="0"/>
    </xf>
    <xf numFmtId="49" applyNumberFormat="1" fontId="1" applyFont="1" fillId="0" applyFill="1" borderId="0" applyBorder="1" xfId="127">
      <alignment horizontal="center"/>
    </xf>
    <xf numFmtId="49" applyNumberFormat="1" fontId="6" applyFont="1" fillId="7" applyFill="1" borderId="1" applyBorder="1" xfId="127">
      <alignment horizontal="center" vertical="center" wrapText="1"/>
      <protection locked="0"/>
    </xf>
    <xf numFmtId="49" applyNumberFormat="1" fontId="1" applyFont="1" fillId="0" applyFill="1" borderId="1" applyBorder="1" xfId="127">
      <alignment horizontal="center" vertical="center" wrapText="1"/>
      <protection locked="0"/>
    </xf>
    <xf numFmtId="49" applyNumberFormat="1" fontId="2" applyFont="1" fillId="2" applyFill="1" borderId="1" applyBorder="1" xfId="127">
      <alignment horizontal="center" vertical="center" wrapText="1"/>
      <protection locked="0"/>
    </xf>
    <xf numFmtId="49" applyNumberFormat="1" fontId="76" applyFont="1" fillId="0" applyFill="1" borderId="1" applyBorder="1" xfId="127">
      <alignment horizontal="left" vertical="center"/>
      <protection locked="0"/>
    </xf>
    <xf numFmtId="49" applyNumberFormat="1" fontId="6" applyFont="1" fillId="3" applyFill="1" borderId="1" applyBorder="1" xfId="127">
      <alignment horizontal="center" vertical="center" wrapText="1"/>
      <protection locked="0"/>
    </xf>
    <xf numFmtId="49" applyNumberFormat="1" fontId="76" applyFont="1" fillId="0" applyFill="1" borderId="1" applyBorder="1" xfId="127">
      <alignment horizontal="left" vertical="center" wrapText="1"/>
      <protection locked="0"/>
    </xf>
    <xf numFmtId="49" applyNumberFormat="1" fontId="1" applyFont="1" fillId="0" applyFill="1" borderId="1" applyBorder="1" xfId="127">
      <alignment vertical="center" wrapText="1"/>
      <protection locked="0"/>
    </xf>
    <xf numFmtId="49" applyNumberFormat="1" fontId="6" applyFont="1" fillId="7" applyFill="1" borderId="2" applyBorder="1" xfId="127">
      <alignment horizontal="center" vertical="center" wrapText="1"/>
      <protection locked="0"/>
    </xf>
  </cellXfs>
  <cellStyles count="201">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5" xfId="129"/>
    <cellStyle name="oft Excel]_x000d__x000a_Comment=open=/f ‚ðw’è‚·‚é‚ÆAƒ†[ƒU[’è‹`ŠÖ”‚ðŠÖ”“\‚è•t‚¯‚Ìˆê——‚É“o˜^‚·‚é‚±‚Æ‚ª‚Å‚«‚Ü‚·B_x000d__x000a_Maximized" xfId="130"/>
    <cellStyle name="per.style" xfId="131"/>
    <cellStyle name="Percent [0]" xfId="132"/>
    <cellStyle name="Percent [00]" xfId="133"/>
    <cellStyle name="Percent [2]" xfId="134"/>
    <cellStyle name="PERCENTAGE" xfId="135"/>
    <cellStyle name="PrePop Currency (0)" xfId="136"/>
    <cellStyle name="PrePop Currency (2)" xfId="137"/>
    <cellStyle name="PrePop Units (0)" xfId="138"/>
    <cellStyle name="PrePop Units (1)" xfId="139"/>
    <cellStyle name="PrePop Units (2)" xfId="140"/>
    <cellStyle name="pricing" xfId="141"/>
    <cellStyle name="PSChar" xfId="142"/>
    <cellStyle name="PSHeading" xfId="143"/>
    <cellStyle name="Quantity" xfId="144"/>
    <cellStyle name="regstoresfromspecstores" xfId="145"/>
    <cellStyle name="RevList" xfId="146"/>
    <cellStyle name="SHADEDSTORES" xfId="147"/>
    <cellStyle name="Sheet Title" xfId="148"/>
    <cellStyle name="specstores" xfId="149"/>
    <cellStyle name="Standard_Anpassen der Amortisation" xfId="150"/>
    <cellStyle name="Style 1" xfId="151"/>
    <cellStyle name="Subtotal" xfId="152"/>
    <cellStyle name="Text Indent A" xfId="153"/>
    <cellStyle name="Text Indent B" xfId="154"/>
    <cellStyle name="Text Indent C" xfId="155"/>
    <cellStyle name="Thanh" xfId="156"/>
    <cellStyle name="þ_x001d_ð¤_x000c_¯þ_x0014__x000d_¨þU_x0001_À_x0004_ _x0015__x000f__x0001__x0001_" xfId="157"/>
    <cellStyle name="þ_x001d_ðK_x000c_Fý_x001b__x000d_9ýU_x0001_Ð_x0008_¦)_x0007__x0001__x0001_" xfId="158"/>
    <cellStyle name="trang" xfId="159"/>
    <cellStyle name="Trang 1" xfId="160"/>
    <cellStyle name="vnbo" xfId="161"/>
    <cellStyle name="vnhead1" xfId="162"/>
    <cellStyle name="vnhead2" xfId="163"/>
    <cellStyle name="vnhead3" xfId="164"/>
    <cellStyle name="vnhead4" xfId="165"/>
    <cellStyle name="vntxt1" xfId="166"/>
    <cellStyle name="vntxt2" xfId="167"/>
    <cellStyle name="Währung [0]_Compiling Utility Macros" xfId="168"/>
    <cellStyle name="Währung_Compiling Utility Macros" xfId="169"/>
    <cellStyle name="xuan" xfId="170"/>
    <cellStyle name=" [0.00]_ Att. 1- Cover" xfId="171"/>
    <cellStyle name="_ Att. 1- Cover" xfId="172"/>
    <cellStyle name="?_ Att. 1- Cover" xfId="173"/>
    <cellStyle name="똿뗦먛귟 [0.00]_PRODUCT DETAIL Q1" xfId="174"/>
    <cellStyle name="똿뗦먛귟_PRODUCT DETAIL Q1" xfId="175"/>
    <cellStyle name="믅됞 [0.00]_PRODUCT DETAIL Q1" xfId="176"/>
    <cellStyle name="믅됞_PRODUCT DETAIL Q1" xfId="177"/>
    <cellStyle name="백분율_95" xfId="178"/>
    <cellStyle name="뷭?_BOOKSHIP" xfId="179"/>
    <cellStyle name="콤마 [ - 유형1" xfId="180"/>
    <cellStyle name="콤마 [ - 유형2" xfId="181"/>
    <cellStyle name="콤마 [ - 유형3" xfId="182"/>
    <cellStyle name="콤마 [ - 유형4" xfId="183"/>
    <cellStyle name="콤마 [ - 유형5" xfId="184"/>
    <cellStyle name="콤마 [ - 유형6" xfId="185"/>
    <cellStyle name="콤마 [ - 유형7" xfId="186"/>
    <cellStyle name="콤마 [ - 유형8" xfId="187"/>
    <cellStyle name="콤마 [0]_0004 MECH COST  " xfId="188"/>
    <cellStyle name="콤마_0004 MECH COST  " xfId="189"/>
    <cellStyle name="통화 [0]_1202" xfId="190"/>
    <cellStyle name="통화_1202" xfId="191"/>
    <cellStyle name="표준_(정보부문)월별인원계획" xfId="192"/>
    <cellStyle name="一般_00Q3902REV.1" xfId="193"/>
    <cellStyle name="千分位[0]_00Q3902REV.1" xfId="194"/>
    <cellStyle name="千分位_00Q3902REV.1" xfId="195"/>
    <cellStyle name="桁区切り_工費" xfId="196"/>
    <cellStyle name="標準_工費" xfId="197"/>
    <cellStyle name="貨幣 [0]_00Q3902REV.1" xfId="198"/>
    <cellStyle name="貨幣[0]_BRE" xfId="199"/>
    <cellStyle name="貨幣_00Q3902REV.1" xfId="200"/>
  </cellStyles>
  <dxfs count="6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3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tyles" Target="style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4" workbookViewId="0">
      <selection activeCell="G4" sqref="G4"/>
    </sheetView>
  </sheetViews>
  <sheetFormatPr defaultRowHeight="15"/>
  <cols>
    <col min="1" max="24" width="3.7109375" customWidth="1" style="205"/>
    <col min="25" max="26" width="2.28515625" customWidth="1"/>
  </cols>
  <sheetData>
    <row r="1" ht="45.75" customHeight="1">
      <c r="A1" s="394" t="s">
        <v>59</v>
      </c>
      <c r="B1" s="394"/>
      <c r="C1" s="394"/>
      <c r="D1" s="394"/>
      <c r="E1" s="394"/>
      <c r="F1" s="394"/>
      <c r="G1" s="394"/>
      <c r="H1" s="394"/>
      <c r="I1" s="394"/>
      <c r="J1" s="394"/>
      <c r="K1" s="394"/>
      <c r="L1" s="394"/>
      <c r="M1" s="394"/>
      <c r="N1" s="394"/>
      <c r="O1" s="394"/>
      <c r="P1" s="394"/>
      <c r="Q1" s="394"/>
      <c r="R1" s="394"/>
      <c r="S1" s="394"/>
      <c r="T1" s="394"/>
      <c r="U1" s="394"/>
      <c r="V1" s="394"/>
      <c r="W1" s="394"/>
      <c r="X1" s="394"/>
    </row>
    <row r="2">
      <c r="A2" s="236" t="s">
        <v>60</v>
      </c>
      <c r="B2" s="237"/>
      <c r="C2" s="237"/>
      <c r="D2" s="237"/>
      <c r="E2" s="237"/>
      <c r="F2" s="237"/>
      <c r="G2" s="237"/>
      <c r="H2" s="237"/>
      <c r="I2" s="237"/>
      <c r="J2" s="237"/>
      <c r="K2" s="237"/>
      <c r="L2" s="237"/>
      <c r="M2" s="237"/>
      <c r="N2" s="237"/>
      <c r="O2" s="237"/>
      <c r="P2" s="237"/>
      <c r="Q2" s="237"/>
      <c r="R2" s="237"/>
      <c r="S2" s="237"/>
      <c r="T2" s="237"/>
      <c r="U2" s="237"/>
      <c r="V2" s="237"/>
      <c r="W2" s="237"/>
      <c r="X2" s="237"/>
    </row>
    <row r="3">
      <c r="A3" s="236" t="s">
        <v>61</v>
      </c>
      <c r="B3" s="237"/>
      <c r="C3" s="238">
        <v>1</v>
      </c>
      <c r="D3" s="237" t="s">
        <v>62</v>
      </c>
      <c r="E3" s="237"/>
      <c r="F3" s="237"/>
      <c r="G3" s="237"/>
      <c r="H3" s="237"/>
      <c r="I3" s="237"/>
      <c r="J3" s="237"/>
      <c r="K3" s="237"/>
      <c r="L3" s="237"/>
      <c r="M3" s="237"/>
      <c r="N3" s="237"/>
      <c r="O3" s="237"/>
      <c r="P3" s="237"/>
      <c r="Q3" s="237"/>
      <c r="R3" s="237"/>
      <c r="S3" s="237"/>
      <c r="T3" s="237"/>
      <c r="U3" s="237"/>
      <c r="V3" s="237"/>
      <c r="W3" s="237"/>
      <c r="X3" s="237"/>
    </row>
    <row r="4">
      <c r="A4" s="236"/>
      <c r="B4" s="237"/>
      <c r="C4" s="237"/>
      <c r="D4" s="237" t="s">
        <v>63</v>
      </c>
      <c r="E4" s="237"/>
      <c r="F4" s="237"/>
      <c r="G4" s="237"/>
      <c r="H4" s="237"/>
      <c r="I4" s="237"/>
      <c r="J4" s="237"/>
      <c r="K4" s="237"/>
      <c r="L4" s="237"/>
      <c r="M4" s="237"/>
      <c r="N4" s="237"/>
      <c r="O4" s="237"/>
      <c r="P4" s="237"/>
      <c r="Q4" s="237"/>
      <c r="R4" s="237"/>
      <c r="S4" s="237"/>
      <c r="T4" s="237"/>
      <c r="U4" s="237"/>
      <c r="V4" s="237"/>
      <c r="W4" s="237"/>
      <c r="X4" s="237"/>
    </row>
    <row r="5">
      <c r="A5" s="236"/>
      <c r="B5" s="237"/>
      <c r="C5" s="238">
        <v>2</v>
      </c>
      <c r="D5" s="237" t="s">
        <v>64</v>
      </c>
      <c r="E5" s="237"/>
      <c r="F5" s="237"/>
      <c r="G5" s="237"/>
      <c r="H5" s="237"/>
      <c r="I5" s="237"/>
      <c r="J5" s="237"/>
      <c r="K5" s="237"/>
      <c r="L5" s="237"/>
      <c r="M5" s="237"/>
      <c r="N5" s="237"/>
      <c r="O5" s="237"/>
      <c r="P5" s="237"/>
      <c r="Q5" s="237"/>
      <c r="R5" s="237"/>
      <c r="S5" s="237"/>
      <c r="T5" s="237"/>
      <c r="U5" s="237"/>
      <c r="V5" s="237"/>
      <c r="W5" s="237"/>
      <c r="X5" s="237"/>
    </row>
    <row r="6">
      <c r="A6" s="236"/>
      <c r="B6" s="237"/>
      <c r="C6" s="237"/>
      <c r="D6" s="237" t="s">
        <v>65</v>
      </c>
      <c r="E6" s="237"/>
      <c r="F6" s="237"/>
      <c r="G6" s="237"/>
      <c r="H6" s="237"/>
      <c r="I6" s="237"/>
      <c r="J6" s="237"/>
      <c r="K6" s="237"/>
      <c r="L6" s="237"/>
      <c r="M6" s="237"/>
      <c r="N6" s="237"/>
      <c r="O6" s="237"/>
      <c r="P6" s="237"/>
      <c r="Q6" s="237"/>
      <c r="R6" s="237"/>
      <c r="S6" s="237"/>
      <c r="T6" s="237"/>
      <c r="U6" s="237"/>
      <c r="V6" s="237"/>
      <c r="W6" s="237"/>
      <c r="X6" s="237"/>
    </row>
    <row r="7">
      <c r="A7" s="238" t="s">
        <v>66</v>
      </c>
      <c r="B7" s="237" t="s">
        <v>67</v>
      </c>
      <c r="C7" s="237"/>
      <c r="D7" s="237"/>
      <c r="E7" s="237"/>
      <c r="F7" s="237"/>
      <c r="G7" s="237"/>
      <c r="H7" s="237"/>
      <c r="I7" s="237"/>
      <c r="J7" s="237"/>
      <c r="K7" s="237"/>
      <c r="L7" s="237"/>
      <c r="M7" s="237"/>
      <c r="N7" s="237"/>
      <c r="O7" s="237"/>
      <c r="P7" s="237"/>
      <c r="Q7" s="237"/>
      <c r="R7" s="237"/>
      <c r="S7" s="237"/>
      <c r="T7" s="237"/>
      <c r="U7" s="237"/>
      <c r="V7" s="237"/>
      <c r="W7" s="237"/>
      <c r="X7" s="237"/>
    </row>
    <row r="8">
      <c r="A8" s="238"/>
      <c r="B8" s="237" t="s">
        <v>68</v>
      </c>
      <c r="C8" s="237"/>
      <c r="D8" s="237"/>
      <c r="E8" s="237"/>
      <c r="F8" s="237"/>
      <c r="G8" s="237"/>
      <c r="H8" s="237"/>
      <c r="I8" s="237"/>
      <c r="J8" s="237"/>
      <c r="K8" s="237"/>
      <c r="L8" s="237"/>
      <c r="M8" s="237"/>
      <c r="N8" s="237"/>
      <c r="O8" s="237"/>
      <c r="P8" s="237"/>
      <c r="Q8" s="237"/>
      <c r="R8" s="237"/>
      <c r="S8" s="237"/>
      <c r="T8" s="237"/>
      <c r="U8" s="237"/>
      <c r="V8" s="237"/>
      <c r="W8" s="237"/>
      <c r="X8" s="237"/>
    </row>
    <row r="9">
      <c r="A9" s="238"/>
      <c r="B9" s="237" t="s">
        <v>69</v>
      </c>
      <c r="C9" s="237"/>
      <c r="D9" s="237"/>
      <c r="E9" s="237"/>
      <c r="F9" s="237"/>
      <c r="G9" s="237"/>
      <c r="H9" s="237"/>
      <c r="I9" s="237"/>
      <c r="J9" s="237"/>
      <c r="K9" s="237"/>
      <c r="L9" s="237"/>
      <c r="M9" s="237"/>
      <c r="N9" s="237"/>
      <c r="O9" s="237"/>
      <c r="P9" s="237"/>
      <c r="Q9" s="237"/>
      <c r="R9" s="237"/>
      <c r="S9" s="237"/>
      <c r="T9" s="237"/>
      <c r="U9" s="237"/>
      <c r="V9" s="237"/>
      <c r="W9" s="237"/>
      <c r="X9" s="237"/>
    </row>
    <row r="10">
      <c r="A10" s="238"/>
      <c r="B10" s="237" t="s">
        <v>70</v>
      </c>
      <c r="C10" s="237"/>
      <c r="D10" s="237"/>
      <c r="E10" s="237"/>
      <c r="F10" s="237"/>
      <c r="G10" s="237"/>
      <c r="H10" s="237"/>
      <c r="I10" s="237"/>
      <c r="J10" s="237"/>
      <c r="K10" s="237"/>
      <c r="L10" s="237"/>
      <c r="M10" s="237"/>
      <c r="N10" s="237"/>
      <c r="O10" s="237"/>
      <c r="P10" s="237"/>
      <c r="Q10" s="237"/>
      <c r="R10" s="237"/>
      <c r="S10" s="237"/>
      <c r="T10" s="237"/>
      <c r="U10" s="237"/>
      <c r="V10" s="237"/>
      <c r="W10" s="237"/>
      <c r="X10" s="237"/>
    </row>
    <row r="11">
      <c r="A11" s="238" t="s">
        <v>71</v>
      </c>
      <c r="B11" s="237" t="s">
        <v>72</v>
      </c>
      <c r="C11" s="237"/>
      <c r="D11" s="237"/>
      <c r="E11" s="237"/>
      <c r="F11" s="237"/>
      <c r="G11" s="237"/>
      <c r="H11" s="237"/>
      <c r="I11" s="237"/>
      <c r="J11" s="237"/>
      <c r="K11" s="237"/>
      <c r="L11" s="237"/>
      <c r="M11" s="237"/>
      <c r="N11" s="237"/>
      <c r="O11" s="237"/>
      <c r="P11" s="237"/>
      <c r="Q11" s="237"/>
      <c r="R11" s="237"/>
      <c r="S11" s="237"/>
      <c r="T11" s="237"/>
      <c r="U11" s="237"/>
      <c r="V11" s="237"/>
      <c r="W11" s="237"/>
      <c r="X11" s="237"/>
    </row>
    <row r="12">
      <c r="A12" s="238" t="s">
        <v>73</v>
      </c>
      <c r="B12" s="237" t="s">
        <v>74</v>
      </c>
      <c r="C12" s="237"/>
      <c r="D12" s="237"/>
      <c r="E12" s="237"/>
      <c r="F12" s="237"/>
      <c r="G12" s="237"/>
      <c r="H12" s="237"/>
      <c r="I12" s="237"/>
      <c r="J12" s="237"/>
      <c r="K12" s="237"/>
      <c r="L12" s="237"/>
      <c r="M12" s="237"/>
      <c r="N12" s="237"/>
      <c r="O12" s="237"/>
      <c r="P12" s="237"/>
      <c r="Q12" s="237"/>
      <c r="R12" s="237"/>
      <c r="S12" s="237"/>
      <c r="T12" s="237"/>
      <c r="U12" s="237"/>
      <c r="V12" s="237"/>
      <c r="W12" s="237"/>
      <c r="X12" s="237"/>
    </row>
    <row r="13">
      <c r="A13" s="238"/>
      <c r="B13" s="237" t="s">
        <v>75</v>
      </c>
      <c r="C13" s="237"/>
      <c r="D13" s="237"/>
      <c r="E13" s="237"/>
      <c r="F13" s="237"/>
      <c r="G13" s="237"/>
      <c r="H13" s="237"/>
      <c r="I13" s="237"/>
      <c r="J13" s="237"/>
      <c r="K13" s="237"/>
      <c r="L13" s="237"/>
      <c r="M13" s="237"/>
      <c r="N13" s="237"/>
      <c r="O13" s="237"/>
      <c r="P13" s="237"/>
      <c r="Q13" s="237"/>
      <c r="R13" s="237"/>
      <c r="S13" s="237"/>
      <c r="T13" s="237"/>
      <c r="U13" s="237"/>
      <c r="V13" s="237"/>
      <c r="W13" s="237"/>
      <c r="X13" s="237"/>
    </row>
    <row r="14">
      <c r="A14" s="238"/>
      <c r="B14" s="237" t="s">
        <v>76</v>
      </c>
      <c r="C14" s="237"/>
      <c r="D14" s="237"/>
      <c r="E14" s="237"/>
      <c r="F14" s="237"/>
      <c r="G14" s="237"/>
      <c r="H14" s="237"/>
      <c r="I14" s="237"/>
      <c r="J14" s="237"/>
      <c r="K14" s="237"/>
      <c r="L14" s="237"/>
      <c r="M14" s="237"/>
      <c r="N14" s="237"/>
      <c r="O14" s="237"/>
      <c r="P14" s="237"/>
      <c r="Q14" s="237"/>
      <c r="R14" s="237"/>
      <c r="S14" s="237"/>
      <c r="T14" s="237"/>
      <c r="U14" s="237"/>
      <c r="V14" s="237"/>
      <c r="W14" s="237"/>
      <c r="X14" s="237"/>
    </row>
    <row r="15">
      <c r="A15" s="238"/>
      <c r="B15" s="237" t="s">
        <v>77</v>
      </c>
      <c r="C15" s="237"/>
      <c r="D15" s="237"/>
      <c r="E15" s="237"/>
      <c r="F15" s="237"/>
      <c r="G15" s="237"/>
      <c r="H15" s="237"/>
      <c r="I15" s="237"/>
      <c r="J15" s="237"/>
      <c r="K15" s="237"/>
      <c r="L15" s="237"/>
      <c r="M15" s="237"/>
      <c r="N15" s="237"/>
      <c r="O15" s="237"/>
      <c r="P15" s="237"/>
      <c r="Q15" s="237"/>
      <c r="R15" s="237"/>
      <c r="S15" s="237"/>
      <c r="T15" s="237"/>
      <c r="U15" s="237"/>
      <c r="V15" s="237"/>
      <c r="W15" s="237"/>
      <c r="X15" s="237"/>
    </row>
    <row r="16">
      <c r="A16" s="238"/>
      <c r="B16" s="237" t="s">
        <v>78</v>
      </c>
      <c r="C16" s="237"/>
      <c r="D16" s="237"/>
      <c r="E16" s="237"/>
      <c r="F16" s="237"/>
      <c r="G16" s="237"/>
      <c r="H16" s="237"/>
      <c r="I16" s="237"/>
      <c r="J16" s="237"/>
      <c r="K16" s="237"/>
      <c r="L16" s="237"/>
      <c r="M16" s="237"/>
      <c r="N16" s="237"/>
      <c r="O16" s="237"/>
      <c r="P16" s="237"/>
      <c r="Q16" s="237"/>
      <c r="R16" s="237"/>
      <c r="S16" s="237"/>
      <c r="T16" s="237"/>
      <c r="U16" s="237"/>
      <c r="V16" s="237"/>
      <c r="W16" s="237"/>
      <c r="X16" s="237"/>
    </row>
    <row r="17">
      <c r="A17" s="238" t="s">
        <v>79</v>
      </c>
      <c r="B17" s="237" t="s">
        <v>80</v>
      </c>
      <c r="C17" s="239"/>
      <c r="D17" s="239"/>
      <c r="E17" s="239"/>
      <c r="F17" s="239"/>
      <c r="G17" s="239"/>
      <c r="H17" s="239"/>
      <c r="I17" s="239"/>
      <c r="J17" s="239"/>
      <c r="K17" s="239"/>
      <c r="L17" s="239"/>
      <c r="M17" s="239"/>
      <c r="N17" s="239"/>
      <c r="O17" s="239"/>
      <c r="P17" s="239"/>
      <c r="Q17" s="239"/>
      <c r="R17" s="239"/>
      <c r="S17" s="239"/>
      <c r="T17" s="239"/>
      <c r="U17" s="239"/>
      <c r="V17" s="239"/>
      <c r="W17" s="239"/>
      <c r="X17" s="239"/>
    </row>
    <row r="18">
      <c r="A18" s="238"/>
      <c r="B18" s="237" t="s">
        <v>81</v>
      </c>
      <c r="C18" s="239"/>
      <c r="D18" s="239"/>
      <c r="E18" s="239"/>
      <c r="F18" s="239"/>
      <c r="G18" s="239"/>
      <c r="H18" s="239"/>
      <c r="I18" s="239"/>
      <c r="J18" s="239"/>
      <c r="K18" s="239"/>
      <c r="L18" s="239"/>
      <c r="M18" s="239"/>
      <c r="N18" s="239"/>
      <c r="O18" s="239"/>
      <c r="P18" s="239"/>
      <c r="Q18" s="239"/>
      <c r="R18" s="239"/>
      <c r="S18" s="239"/>
      <c r="T18" s="239"/>
      <c r="U18" s="239"/>
      <c r="V18" s="239"/>
      <c r="W18" s="239"/>
      <c r="X18" s="239"/>
    </row>
    <row r="19">
      <c r="A19" s="238"/>
      <c r="B19" s="237" t="s">
        <v>82</v>
      </c>
      <c r="C19" s="239"/>
      <c r="D19" s="239"/>
      <c r="E19" s="239"/>
      <c r="F19" s="239"/>
      <c r="G19" s="239"/>
      <c r="H19" s="239"/>
      <c r="I19" s="239"/>
      <c r="J19" s="239"/>
      <c r="K19" s="239"/>
      <c r="L19" s="239"/>
      <c r="M19" s="239"/>
      <c r="N19" s="239"/>
      <c r="O19" s="239"/>
      <c r="P19" s="239"/>
      <c r="Q19" s="239"/>
      <c r="R19" s="239"/>
      <c r="S19" s="239"/>
      <c r="T19" s="239"/>
      <c r="U19" s="239"/>
      <c r="V19" s="239"/>
      <c r="W19" s="239"/>
      <c r="X19" s="239"/>
    </row>
    <row r="20">
      <c r="A20" s="238"/>
      <c r="B20" s="237" t="s">
        <v>78</v>
      </c>
      <c r="C20" s="239"/>
      <c r="D20" s="239"/>
      <c r="E20" s="239"/>
      <c r="F20" s="239"/>
      <c r="G20" s="239"/>
      <c r="H20" s="239"/>
      <c r="I20" s="239"/>
      <c r="J20" s="239"/>
      <c r="K20" s="239"/>
      <c r="L20" s="239"/>
      <c r="M20" s="239"/>
      <c r="N20" s="239"/>
      <c r="O20" s="239"/>
      <c r="P20" s="239"/>
      <c r="Q20" s="239"/>
      <c r="R20" s="239"/>
      <c r="S20" s="239"/>
      <c r="T20" s="239"/>
      <c r="U20" s="239"/>
      <c r="V20" s="239"/>
      <c r="W20" s="239"/>
      <c r="X20" s="239"/>
    </row>
    <row r="21">
      <c r="A21" s="238"/>
      <c r="B21" s="237" t="s">
        <v>83</v>
      </c>
      <c r="C21" s="239"/>
      <c r="D21" s="239"/>
      <c r="E21" s="239"/>
      <c r="F21" s="239"/>
      <c r="G21" s="239"/>
      <c r="H21" s="239"/>
      <c r="I21" s="239"/>
      <c r="J21" s="239"/>
      <c r="K21" s="239"/>
      <c r="L21" s="239"/>
      <c r="M21" s="239"/>
      <c r="N21" s="239"/>
      <c r="O21" s="239"/>
      <c r="P21" s="239"/>
      <c r="Q21" s="239"/>
      <c r="R21" s="239"/>
      <c r="S21" s="239"/>
      <c r="T21" s="239"/>
      <c r="U21" s="239"/>
      <c r="V21" s="239"/>
      <c r="W21" s="239"/>
      <c r="X21" s="239"/>
    </row>
    <row r="22">
      <c r="A22" s="238"/>
      <c r="B22" s="237"/>
      <c r="C22" s="239"/>
      <c r="D22" s="239"/>
      <c r="E22" s="239"/>
      <c r="F22" s="239"/>
      <c r="G22" s="239"/>
      <c r="H22" s="239"/>
      <c r="I22" s="239"/>
      <c r="J22" s="239"/>
      <c r="K22" s="239"/>
      <c r="L22" s="239"/>
      <c r="M22" s="239"/>
      <c r="N22" s="239"/>
      <c r="O22" s="239"/>
      <c r="P22" s="239"/>
      <c r="Q22" s="239"/>
      <c r="R22" s="239"/>
      <c r="S22" s="239"/>
      <c r="T22" s="239"/>
      <c r="U22" s="239"/>
      <c r="V22" s="239"/>
      <c r="W22" s="239"/>
      <c r="X22" s="239"/>
    </row>
    <row r="23">
      <c r="A23" s="238"/>
      <c r="B23" s="237"/>
      <c r="C23" s="239"/>
      <c r="D23" s="239"/>
      <c r="E23" s="239"/>
      <c r="F23" s="239"/>
      <c r="G23" s="239"/>
      <c r="H23" s="239"/>
      <c r="I23" s="239"/>
      <c r="J23" s="239"/>
      <c r="K23" s="239"/>
      <c r="L23" s="239"/>
      <c r="M23" s="239"/>
      <c r="N23" s="239"/>
      <c r="O23" s="239"/>
      <c r="P23" s="239"/>
      <c r="Q23" s="239"/>
      <c r="R23" s="239"/>
      <c r="S23" s="239"/>
      <c r="T23" s="239"/>
      <c r="U23" s="239"/>
      <c r="V23" s="239"/>
      <c r="W23" s="239"/>
      <c r="X23" s="239"/>
    </row>
    <row r="24">
      <c r="A24" s="238"/>
      <c r="B24" s="237"/>
      <c r="C24" s="239"/>
      <c r="D24" s="239"/>
      <c r="E24" s="239"/>
      <c r="F24" s="239"/>
      <c r="G24" s="239"/>
      <c r="H24" s="239"/>
      <c r="I24" s="239"/>
      <c r="J24" s="239"/>
      <c r="K24" s="239"/>
      <c r="L24" s="239"/>
      <c r="M24" s="239"/>
      <c r="N24" s="239"/>
      <c r="O24" s="239"/>
      <c r="P24" s="239"/>
      <c r="Q24" s="239"/>
      <c r="R24" s="239"/>
      <c r="S24" s="239"/>
      <c r="T24" s="239"/>
      <c r="U24" s="239"/>
      <c r="V24" s="239"/>
      <c r="W24" s="239"/>
      <c r="X24" s="239"/>
    </row>
  </sheetData>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customWidth="1" style="221"/>
    <col min="2" max="2" width="8.85546875" customWidth="1" style="221"/>
    <col min="3" max="3" width="26.42578125" customWidth="1" style="223"/>
    <col min="4" max="16384" width="9.140625" customWidth="1" style="223"/>
  </cols>
  <sheetData>
    <row r="1" s="220" customFormat="1">
      <c r="A1" s="240" t="s">
        <v>0</v>
      </c>
      <c r="B1" s="240" t="s">
        <v>1</v>
      </c>
      <c r="C1" s="240" t="s">
        <v>2</v>
      </c>
    </row>
    <row r="2">
      <c r="A2" s="241">
        <v>1</v>
      </c>
      <c r="B2" s="242">
        <v>1</v>
      </c>
      <c r="C2" s="243" t="s">
        <v>55</v>
      </c>
    </row>
    <row r="3">
      <c r="A3" s="241">
        <v>2</v>
      </c>
      <c r="B3" s="242">
        <v>2</v>
      </c>
      <c r="C3" s="243" t="s">
        <v>56</v>
      </c>
    </row>
    <row r="4">
      <c r="A4" s="241">
        <v>3</v>
      </c>
      <c r="B4" s="242">
        <v>3</v>
      </c>
      <c r="C4" s="243" t="s">
        <v>57</v>
      </c>
    </row>
    <row r="5">
      <c r="A5" s="241">
        <v>4</v>
      </c>
      <c r="B5" s="242">
        <v>4</v>
      </c>
      <c r="C5" s="243" t="s">
        <v>58</v>
      </c>
    </row>
  </sheetData>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customWidth="1" style="224"/>
    <col min="2" max="2" width="12" customWidth="1" style="224"/>
    <col min="3" max="3" width="35" customWidth="1" style="222"/>
    <col min="4" max="4" width="33.42578125" customWidth="1" style="222"/>
    <col min="5" max="5" width="16.7109375" customWidth="1" style="222"/>
    <col min="6" max="6" width="17.7109375" customWidth="1" style="222"/>
    <col min="7" max="16384" width="9.140625" customWidth="1" style="222"/>
  </cols>
  <sheetData>
    <row r="1" s="231" customFormat="1">
      <c r="A1" s="244" t="s">
        <v>0</v>
      </c>
      <c r="B1" s="244" t="s">
        <v>1</v>
      </c>
      <c r="C1" s="244" t="s">
        <v>2</v>
      </c>
      <c r="D1" s="245" t="s">
        <v>47</v>
      </c>
      <c r="E1" s="245" t="s">
        <v>48</v>
      </c>
      <c r="F1" s="245" t="s">
        <v>49</v>
      </c>
    </row>
    <row r="2" ht="33" customHeight="1">
      <c r="A2" s="242">
        <v>1</v>
      </c>
      <c r="B2" s="242" t="s">
        <v>50</v>
      </c>
      <c r="C2" s="243" t="s">
        <v>51</v>
      </c>
      <c r="D2" s="243" t="s">
        <v>52</v>
      </c>
      <c r="E2" s="243" t="s">
        <v>53</v>
      </c>
      <c r="F2" s="243" t="s">
        <v>54</v>
      </c>
    </row>
  </sheetData>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F4" sqref="F4"/>
    </sheetView>
  </sheetViews>
  <sheetFormatPr defaultRowHeight="16.5"/>
  <cols>
    <col min="1" max="1" width="5.7109375" customWidth="1" style="221"/>
    <col min="2" max="2" width="15.7109375" customWidth="1" style="223"/>
    <col min="3" max="3" width="22.42578125" customWidth="1" style="223"/>
    <col min="4" max="16384" width="9.140625" customWidth="1" style="223"/>
  </cols>
  <sheetData>
    <row r="1" s="220" customFormat="1">
      <c r="A1" s="240" t="s">
        <v>0</v>
      </c>
      <c r="B1" s="240" t="s">
        <v>1</v>
      </c>
      <c r="C1" s="240" t="s">
        <v>2</v>
      </c>
    </row>
    <row r="2">
      <c r="A2" s="241">
        <v>1</v>
      </c>
      <c r="B2" s="243" t="s">
        <v>3</v>
      </c>
      <c r="C2" s="243" t="s">
        <v>4</v>
      </c>
    </row>
    <row r="3">
      <c r="A3" s="241">
        <v>2</v>
      </c>
      <c r="B3" s="243" t="s">
        <v>5</v>
      </c>
      <c r="C3" s="243" t="s">
        <v>6</v>
      </c>
    </row>
    <row r="4">
      <c r="A4" s="241">
        <v>3</v>
      </c>
      <c r="B4" s="243" t="s">
        <v>7</v>
      </c>
      <c r="C4" s="243" t="s">
        <v>8</v>
      </c>
    </row>
    <row r="5">
      <c r="A5" s="241">
        <v>4</v>
      </c>
      <c r="B5" s="243" t="s">
        <v>9</v>
      </c>
      <c r="C5" s="243" t="s">
        <v>10</v>
      </c>
    </row>
    <row r="6">
      <c r="A6" s="241">
        <v>5</v>
      </c>
      <c r="B6" s="243" t="s">
        <v>11</v>
      </c>
      <c r="C6" s="243" t="s">
        <v>12</v>
      </c>
    </row>
    <row r="7">
      <c r="A7" s="241">
        <v>6</v>
      </c>
      <c r="B7" s="243" t="s">
        <v>13</v>
      </c>
      <c r="C7" s="243" t="s">
        <v>14</v>
      </c>
    </row>
    <row r="8">
      <c r="A8" s="241">
        <v>7</v>
      </c>
      <c r="B8" s="243" t="s">
        <v>15</v>
      </c>
      <c r="C8" s="243" t="s">
        <v>16</v>
      </c>
    </row>
    <row r="9">
      <c r="A9" s="241">
        <v>8</v>
      </c>
      <c r="B9" s="243" t="s">
        <v>17</v>
      </c>
      <c r="C9" s="243" t="s">
        <v>18</v>
      </c>
    </row>
    <row r="10">
      <c r="A10" s="241">
        <v>9</v>
      </c>
      <c r="B10" s="243" t="s">
        <v>19</v>
      </c>
      <c r="C10" s="243" t="s">
        <v>20</v>
      </c>
    </row>
    <row r="11">
      <c r="A11" s="241">
        <v>10</v>
      </c>
      <c r="B11" s="243" t="s">
        <v>21</v>
      </c>
      <c r="C11" s="243" t="s">
        <v>22</v>
      </c>
    </row>
    <row r="12">
      <c r="A12" s="241">
        <v>11</v>
      </c>
      <c r="B12" s="243" t="s">
        <v>23</v>
      </c>
      <c r="C12" s="243" t="s">
        <v>24</v>
      </c>
    </row>
    <row r="13">
      <c r="A13" s="241">
        <v>12</v>
      </c>
      <c r="B13" s="243" t="s">
        <v>25</v>
      </c>
      <c r="C13" s="243" t="s">
        <v>26</v>
      </c>
    </row>
    <row r="14">
      <c r="A14" s="241">
        <v>13</v>
      </c>
      <c r="B14" s="243" t="s">
        <v>27</v>
      </c>
      <c r="C14" s="243" t="s">
        <v>28</v>
      </c>
    </row>
    <row r="15">
      <c r="A15" s="241">
        <v>14</v>
      </c>
      <c r="B15" s="243" t="s">
        <v>29</v>
      </c>
      <c r="C15" s="243" t="s">
        <v>30</v>
      </c>
    </row>
    <row r="16">
      <c r="A16" s="241">
        <v>15</v>
      </c>
      <c r="B16" s="243" t="s">
        <v>31</v>
      </c>
      <c r="C16" s="243" t="s">
        <v>32</v>
      </c>
    </row>
    <row r="17">
      <c r="A17" s="241">
        <v>16</v>
      </c>
      <c r="B17" s="243" t="s">
        <v>33</v>
      </c>
      <c r="C17" s="243" t="s">
        <v>34</v>
      </c>
    </row>
    <row r="18">
      <c r="A18" s="241">
        <v>17</v>
      </c>
      <c r="B18" s="243" t="s">
        <v>35</v>
      </c>
      <c r="C18" s="243" t="s">
        <v>36</v>
      </c>
    </row>
    <row r="19">
      <c r="A19" s="241">
        <v>18</v>
      </c>
      <c r="B19" s="243" t="s">
        <v>37</v>
      </c>
      <c r="C19" s="243" t="s">
        <v>38</v>
      </c>
    </row>
    <row r="20">
      <c r="A20" s="241">
        <v>19</v>
      </c>
      <c r="B20" s="243" t="s">
        <v>39</v>
      </c>
      <c r="C20" s="243" t="s">
        <v>40</v>
      </c>
    </row>
    <row r="21">
      <c r="A21" s="241">
        <v>20</v>
      </c>
      <c r="B21" s="243" t="s">
        <v>41</v>
      </c>
      <c r="C21" s="243" t="s">
        <v>42</v>
      </c>
    </row>
    <row r="22">
      <c r="A22" s="241">
        <v>21</v>
      </c>
      <c r="B22" s="243" t="s">
        <v>43</v>
      </c>
      <c r="C22" s="243" t="s">
        <v>44</v>
      </c>
    </row>
    <row r="23">
      <c r="A23" s="241">
        <v>22</v>
      </c>
      <c r="B23" s="243" t="s">
        <v>45</v>
      </c>
      <c r="C23" s="243" t="s">
        <v>46</v>
      </c>
    </row>
  </sheetData>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7" sqref="C7"/>
    </sheetView>
  </sheetViews>
  <sheetFormatPr defaultRowHeight="16.5"/>
  <cols>
    <col min="1" max="1" width="5.7109375" customWidth="1" style="221"/>
    <col min="2" max="2" width="16.140625" customWidth="1" style="223"/>
    <col min="3" max="3" width="55.85546875" customWidth="1" style="223"/>
    <col min="4" max="16384" width="9.140625" customWidth="1" style="223"/>
  </cols>
  <sheetData>
    <row r="1" s="220" customFormat="1">
      <c r="A1" s="240" t="s">
        <v>0</v>
      </c>
      <c r="B1" s="240" t="s">
        <v>1</v>
      </c>
      <c r="C1" s="240" t="s">
        <v>2</v>
      </c>
    </row>
    <row r="2">
      <c r="A2" s="241">
        <v>1</v>
      </c>
      <c r="B2" s="243" t="s">
        <v>540</v>
      </c>
      <c r="C2" s="243" t="s">
        <v>158</v>
      </c>
    </row>
    <row r="3">
      <c r="A3" s="241">
        <v>2</v>
      </c>
      <c r="B3" s="243" t="s">
        <v>469</v>
      </c>
      <c r="C3" s="243" t="s">
        <v>484</v>
      </c>
    </row>
    <row r="4">
      <c r="A4" s="241">
        <v>3</v>
      </c>
      <c r="B4" s="243" t="s">
        <v>541</v>
      </c>
      <c r="C4" s="243" t="s">
        <v>542</v>
      </c>
    </row>
    <row r="5">
      <c r="A5" s="241">
        <v>4</v>
      </c>
      <c r="B5" s="243" t="s">
        <v>487</v>
      </c>
      <c r="C5" s="243" t="s">
        <v>485</v>
      </c>
    </row>
    <row r="6">
      <c r="A6" s="241">
        <v>5</v>
      </c>
      <c r="B6" s="243" t="s">
        <v>543</v>
      </c>
      <c r="C6" s="243" t="s">
        <v>544</v>
      </c>
    </row>
  </sheetData>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abSelected="1" topLeftCell="C1" workbookViewId="0">
      <selection activeCell="I2" sqref="I2"/>
    </sheetView>
  </sheetViews>
  <sheetFormatPr defaultRowHeight="16.5"/>
  <cols>
    <col min="1" max="1" width="4.5703125" customWidth="1" style="224"/>
    <col min="2" max="2" width="19.85546875" customWidth="1" style="222"/>
    <col min="3" max="3" width="40.42578125" customWidth="1" style="222"/>
    <col min="4" max="4" width="30" customWidth="1" style="222"/>
    <col min="5" max="5" width="15.42578125" customWidth="1" style="222"/>
    <col min="6" max="6" width="15.5703125" customWidth="1" style="222"/>
    <col min="7" max="7" width="17.85546875" customWidth="1" style="222"/>
    <col min="8" max="8" width="14.5703125" customWidth="1" style="224"/>
    <col min="9" max="9" bestFit="1" width="36.140625" customWidth="1" style="222"/>
    <col min="10" max="16384" width="9.140625" customWidth="1" style="222"/>
  </cols>
  <sheetData>
    <row r="1" s="231" customFormat="1">
      <c r="A1" s="244" t="s">
        <v>0</v>
      </c>
      <c r="B1" s="244" t="s">
        <v>1</v>
      </c>
      <c r="C1" s="244" t="s">
        <v>2</v>
      </c>
      <c r="D1" s="244" t="s">
        <v>47</v>
      </c>
      <c r="E1" s="244" t="s">
        <v>48</v>
      </c>
      <c r="F1" s="244" t="s">
        <v>49</v>
      </c>
      <c r="G1" s="244" t="s">
        <v>545</v>
      </c>
      <c r="H1" s="244" t="s">
        <v>255</v>
      </c>
      <c r="I1" s="520" t="s">
        <v>286</v>
      </c>
    </row>
    <row r="2" ht="33">
      <c r="A2" s="242">
        <v>1</v>
      </c>
      <c r="B2" s="243" t="s">
        <v>468</v>
      </c>
      <c r="C2" s="243" t="s">
        <v>483</v>
      </c>
      <c r="D2" s="243" t="s">
        <v>546</v>
      </c>
      <c r="E2" s="246" t="s">
        <v>547</v>
      </c>
      <c r="F2" s="246" t="s">
        <v>548</v>
      </c>
      <c r="G2" s="243" t="s">
        <v>549</v>
      </c>
      <c r="H2" s="243" t="s">
        <v>550</v>
      </c>
      <c r="I2" s="222" t="e">
        <f>INDEX(OperatorNameList,MATCH(H2,OperatorIDList,0))</f>
        <v>#N/A</v>
      </c>
    </row>
  </sheetData>
  <conditionalFormatting sqref="I1:I1048576">
    <cfRule type="containsErrors" dxfId="0" priority="1">
      <formula>ISERROR(I1)</formula>
    </cfRule>
  </conditionalFormatting>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topLeftCell="F1" workbookViewId="0">
      <selection activeCell="O2" sqref="O2"/>
    </sheetView>
  </sheetViews>
  <sheetFormatPr defaultRowHeight="16.5"/>
  <cols>
    <col min="1" max="1" width="18" customWidth="1" style="229"/>
    <col min="2" max="2" width="34.28515625" customWidth="1" style="229"/>
    <col min="3" max="3" bestFit="1" width="23.140625" customWidth="1" style="229"/>
    <col min="4" max="5" width="14.42578125" customWidth="1" style="229"/>
    <col min="6" max="6" width="19.5703125" customWidth="1" style="229"/>
    <col min="7" max="7" width="15" customWidth="1" style="229"/>
    <col min="8" max="8" width="12.42578125" customWidth="1" style="229"/>
    <col min="9" max="9" width="20.28515625" customWidth="1" style="229"/>
    <col min="10" max="10" width="19.7109375" customWidth="1" style="229"/>
    <col min="11" max="11" bestFit="1" width="17.7109375" customWidth="1" style="229"/>
    <col min="12" max="12" width="19.85546875" customWidth="1" style="230"/>
    <col min="13" max="13" bestFit="1" width="42.140625" customWidth="1" style="230"/>
    <col min="14" max="16384" width="9.140625" customWidth="1" style="229"/>
  </cols>
  <sheetData>
    <row r="1" s="228" customFormat="1">
      <c r="A1" s="247" t="s">
        <v>254</v>
      </c>
      <c r="B1" s="248" t="s">
        <v>285</v>
      </c>
      <c r="C1" s="247" t="s">
        <v>551</v>
      </c>
      <c r="D1" s="247" t="s">
        <v>552</v>
      </c>
      <c r="E1" s="247" t="s">
        <v>553</v>
      </c>
      <c r="F1" s="247" t="s">
        <v>554</v>
      </c>
      <c r="G1" s="247" t="s">
        <v>555</v>
      </c>
      <c r="H1" s="247" t="s">
        <v>556</v>
      </c>
      <c r="I1" s="247" t="s">
        <v>557</v>
      </c>
      <c r="J1" s="247" t="s">
        <v>558</v>
      </c>
      <c r="K1" s="247" t="s">
        <v>559</v>
      </c>
      <c r="L1" s="248" t="s">
        <v>255</v>
      </c>
      <c r="M1" s="248" t="s">
        <v>286</v>
      </c>
    </row>
    <row r="2">
      <c r="A2" s="243" t="s">
        <v>468</v>
      </c>
      <c r="B2" s="243" t="str">
        <f>INDEX(ApplicantNameList,MATCH($A$2,ApplicantIDList,0))</f>
        <v>CHI NHÁNH VNMOBILE TẠI TPHCM</v>
      </c>
      <c r="C2" s="249" t="s">
        <v>560</v>
      </c>
      <c r="D2" s="250">
        <v>42962</v>
      </c>
      <c r="E2" s="249">
        <v>4</v>
      </c>
      <c r="F2" s="249">
        <v>4</v>
      </c>
      <c r="G2" s="250">
        <v>42963</v>
      </c>
      <c r="H2" s="251">
        <v>10000000</v>
      </c>
      <c r="I2" s="252" t="s">
        <v>561</v>
      </c>
      <c r="J2" s="250">
        <v>42964</v>
      </c>
      <c r="K2" s="250">
        <v>42972</v>
      </c>
      <c r="L2" s="242" t="str">
        <f>INDEX(Applicant!$H:$H,MATCH($A$2,ApplicantIDList,0))</f>
        <v>VNMOB</v>
      </c>
      <c r="M2" s="253" t="e">
        <f>INDEX(OperatorNameList,MATCH($L$2,OperatorIDList,0))</f>
        <v>#N/A</v>
      </c>
    </row>
    <row r="3">
      <c r="A3" s="243"/>
    </row>
  </sheetData>
  <pageMargins left="0.7" right="0.7" top="0.75" bottom="0.75" header="0.3" footer="0.3"/>
  <pageSetup paperSize="9"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E12" sqref="E12"/>
    </sheetView>
  </sheetViews>
  <sheetFormatPr defaultColWidth="9" defaultRowHeight="12.75"/>
  <cols>
    <col min="1" max="1" width="6.140625" customWidth="1" style="227"/>
    <col min="2" max="2" width="9" customWidth="1" style="521"/>
    <col min="3" max="3" bestFit="1" width="81.5703125" customWidth="1" style="226"/>
    <col min="4" max="4" width="14" customWidth="1" style="226"/>
    <col min="5" max="5" width="10.7624914986747" customWidth="1" style="521"/>
    <col min="6" max="6" width="9" customWidth="1" style="521"/>
    <col min="7" max="8" width="14" customWidth="1" style="226"/>
    <col min="9" max="10" width="12.140625" customWidth="1" style="226"/>
    <col min="11" max="11" width="12.42578125" customWidth="1" style="226"/>
    <col min="12" max="12" width="14.5703125" customWidth="1" style="226"/>
    <col min="13" max="13" width="12" customWidth="1" style="226"/>
    <col min="14" max="16384" width="9" customWidth="1" style="226"/>
  </cols>
  <sheetData>
    <row r="1" s="225" customFormat="1">
      <c r="A1" s="254" t="s">
        <v>0</v>
      </c>
      <c r="B1" s="522" t="s">
        <v>256</v>
      </c>
      <c r="C1" s="255" t="s">
        <v>47</v>
      </c>
      <c r="D1" s="255" t="s">
        <v>257</v>
      </c>
      <c r="E1" s="522" t="s">
        <v>258</v>
      </c>
      <c r="F1" s="522" t="s">
        <v>259</v>
      </c>
      <c r="G1" s="255" t="s">
        <v>272</v>
      </c>
      <c r="H1" s="256" t="s">
        <v>287</v>
      </c>
      <c r="I1" s="257"/>
      <c r="J1" s="257"/>
    </row>
    <row r="2" ht="16.5">
      <c r="A2" s="258">
        <v>1</v>
      </c>
      <c r="B2" s="523">
        <v>359018</v>
      </c>
      <c r="C2" s="258" t="s">
        <v>562</v>
      </c>
      <c r="D2" s="243" t="s">
        <v>26</v>
      </c>
      <c r="E2" s="523">
        <v>106.698889</v>
      </c>
      <c r="F2" s="523">
        <v>10.759444</v>
      </c>
      <c r="G2" s="258">
        <v>1</v>
      </c>
      <c r="H2" s="241" t="str">
        <f>INDEX(CityIDList,MATCH($D$2,CityNameList,0))</f>
        <v>HCM</v>
      </c>
      <c r="I2" s="259"/>
      <c r="J2" s="259"/>
    </row>
    <row r="3" ht="16.5">
      <c r="A3" s="258">
        <v>2</v>
      </c>
      <c r="B3" s="523">
        <v>359184</v>
      </c>
      <c r="C3" s="258" t="s">
        <v>563</v>
      </c>
      <c r="D3" s="243" t="s">
        <v>26</v>
      </c>
      <c r="E3" s="523">
        <v>106.6932</v>
      </c>
      <c r="F3" s="523">
        <v>10.77212</v>
      </c>
      <c r="G3" s="258">
        <v>1</v>
      </c>
      <c r="H3" s="241" t="str">
        <f>INDEX(CityIDList,MATCH($D$2,CityNameList,0))</f>
        <v>HCM</v>
      </c>
      <c r="I3" s="259"/>
      <c r="J3" s="259"/>
    </row>
    <row r="4" ht="16.5">
      <c r="A4" s="258">
        <v>3</v>
      </c>
      <c r="B4" s="523">
        <v>359356</v>
      </c>
      <c r="C4" s="258" t="s">
        <v>564</v>
      </c>
      <c r="D4" s="243" t="s">
        <v>26</v>
      </c>
      <c r="E4" s="523">
        <v>106.68681</v>
      </c>
      <c r="F4" s="523">
        <v>10.76398</v>
      </c>
      <c r="G4" s="258">
        <v>1</v>
      </c>
      <c r="H4" s="241" t="str">
        <f>INDEX(CityIDList,MATCH($D$2,CityNameList,0))</f>
        <v>HCM</v>
      </c>
      <c r="I4" s="259"/>
      <c r="J4" s="259"/>
    </row>
    <row r="5" ht="16.5">
      <c r="A5" s="258">
        <v>4</v>
      </c>
      <c r="B5" s="523">
        <v>359389</v>
      </c>
      <c r="C5" s="258" t="s">
        <v>565</v>
      </c>
      <c r="D5" s="243" t="s">
        <v>26</v>
      </c>
      <c r="E5" s="523">
        <v>106.702</v>
      </c>
      <c r="F5" s="523">
        <v>10.7772</v>
      </c>
      <c r="G5" s="258">
        <v>1</v>
      </c>
      <c r="H5" s="241" t="str">
        <f>INDEX(CityIDList,MATCH($D$2,CityNameList,0))</f>
        <v>HCM</v>
      </c>
      <c r="I5" s="259"/>
      <c r="J5" s="259"/>
    </row>
    <row r="6" ht="16.5">
      <c r="A6" s="260"/>
      <c r="B6" s="523"/>
      <c r="C6" s="258"/>
      <c r="D6" s="243"/>
      <c r="E6" s="523"/>
      <c r="F6" s="523"/>
      <c r="G6" s="258"/>
      <c r="H6" s="241"/>
      <c r="I6" s="259"/>
      <c r="J6" s="259"/>
    </row>
    <row r="7">
      <c r="A7" s="260"/>
      <c r="B7" s="524"/>
      <c r="C7" s="259"/>
      <c r="D7" s="261"/>
      <c r="E7" s="524"/>
      <c r="F7" s="524"/>
      <c r="G7" s="260"/>
      <c r="H7" s="261"/>
      <c r="I7" s="259"/>
      <c r="J7" s="259"/>
    </row>
    <row r="8">
      <c r="A8" s="260"/>
      <c r="B8" s="524"/>
      <c r="C8" s="259"/>
      <c r="D8" s="261"/>
      <c r="E8" s="524"/>
      <c r="F8" s="524"/>
      <c r="G8" s="260"/>
      <c r="H8" s="261"/>
      <c r="I8" s="259"/>
      <c r="J8" s="259"/>
    </row>
    <row r="9">
      <c r="A9" s="260"/>
      <c r="B9" s="524"/>
      <c r="C9" s="259"/>
      <c r="D9" s="261"/>
      <c r="E9" s="524"/>
      <c r="F9" s="524"/>
      <c r="G9" s="260"/>
      <c r="H9" s="261"/>
      <c r="I9" s="259"/>
      <c r="J9" s="259"/>
    </row>
    <row r="10">
      <c r="A10" s="260"/>
      <c r="B10" s="524"/>
      <c r="C10" s="259"/>
      <c r="D10" s="261"/>
      <c r="E10" s="524"/>
      <c r="F10" s="524"/>
      <c r="G10" s="260"/>
      <c r="H10" s="261"/>
      <c r="I10" s="259"/>
      <c r="J10" s="259"/>
    </row>
    <row r="11" ht="16.5">
      <c r="A11" s="260"/>
      <c r="B11" s="524"/>
      <c r="C11" s="258"/>
      <c r="D11" s="261"/>
      <c r="E11" s="524"/>
      <c r="F11" s="524"/>
      <c r="G11" s="260"/>
      <c r="H11" s="261"/>
      <c r="I11" s="259"/>
      <c r="J11" s="259"/>
    </row>
    <row r="12">
      <c r="A12" s="260"/>
      <c r="B12" s="524"/>
      <c r="C12" s="259"/>
      <c r="D12" s="261"/>
      <c r="E12" s="524"/>
      <c r="F12" s="524"/>
      <c r="G12" s="260"/>
      <c r="H12" s="261"/>
      <c r="I12" s="259"/>
      <c r="J12" s="259"/>
    </row>
    <row r="13">
      <c r="A13" s="260"/>
      <c r="B13" s="524"/>
      <c r="C13" s="259"/>
      <c r="D13" s="261"/>
      <c r="E13" s="524"/>
      <c r="F13" s="524"/>
      <c r="G13" s="260"/>
      <c r="H13" s="261"/>
      <c r="I13" s="259"/>
      <c r="J13" s="259"/>
    </row>
    <row r="14">
      <c r="A14" s="260"/>
      <c r="B14" s="524"/>
      <c r="C14" s="259"/>
      <c r="D14" s="261"/>
      <c r="E14" s="524"/>
      <c r="F14" s="524"/>
      <c r="G14" s="260"/>
      <c r="H14" s="261"/>
      <c r="I14" s="259"/>
      <c r="J14" s="259"/>
    </row>
    <row r="15">
      <c r="A15" s="260"/>
      <c r="B15" s="524"/>
      <c r="C15" s="259"/>
      <c r="D15" s="261"/>
      <c r="E15" s="524"/>
      <c r="F15" s="524"/>
      <c r="G15" s="260"/>
      <c r="H15" s="261"/>
      <c r="I15" s="259"/>
      <c r="J15" s="259"/>
    </row>
    <row r="16">
      <c r="A16" s="260"/>
      <c r="B16" s="524"/>
      <c r="C16" s="259"/>
      <c r="D16" s="261"/>
      <c r="E16" s="524"/>
      <c r="F16" s="524"/>
      <c r="G16" s="260"/>
      <c r="H16" s="261"/>
      <c r="I16" s="259"/>
      <c r="J16" s="259"/>
    </row>
    <row r="17">
      <c r="A17" s="260"/>
      <c r="B17" s="524"/>
      <c r="C17" s="259"/>
      <c r="D17" s="261"/>
      <c r="E17" s="524"/>
      <c r="F17" s="524"/>
      <c r="G17" s="260"/>
      <c r="H17" s="261"/>
      <c r="I17" s="259"/>
      <c r="J17" s="259"/>
    </row>
    <row r="18">
      <c r="A18" s="260"/>
      <c r="B18" s="524"/>
      <c r="C18" s="259"/>
      <c r="D18" s="261"/>
      <c r="E18" s="524"/>
      <c r="F18" s="524"/>
      <c r="G18" s="260"/>
      <c r="H18" s="261"/>
      <c r="I18" s="259"/>
      <c r="J18" s="259"/>
    </row>
    <row r="19">
      <c r="A19" s="260"/>
      <c r="B19" s="524"/>
      <c r="C19" s="259"/>
      <c r="D19" s="261"/>
      <c r="E19" s="524"/>
      <c r="F19" s="524"/>
      <c r="G19" s="260"/>
      <c r="H19" s="261"/>
      <c r="I19" s="259"/>
      <c r="J19" s="259"/>
    </row>
    <row r="20">
      <c r="A20" s="260"/>
      <c r="B20" s="524"/>
      <c r="C20" s="259"/>
      <c r="D20" s="261"/>
      <c r="E20" s="524"/>
      <c r="F20" s="524"/>
      <c r="G20" s="260"/>
      <c r="H20" s="261"/>
      <c r="I20" s="259"/>
      <c r="J20" s="259"/>
    </row>
    <row r="21">
      <c r="A21" s="260"/>
      <c r="B21" s="524"/>
      <c r="C21" s="259"/>
      <c r="D21" s="261"/>
      <c r="E21" s="524"/>
      <c r="F21" s="524"/>
      <c r="G21" s="260"/>
      <c r="H21" s="261"/>
      <c r="I21" s="259"/>
      <c r="J21" s="259"/>
    </row>
    <row r="22">
      <c r="A22" s="260"/>
      <c r="B22" s="524"/>
      <c r="C22" s="259"/>
      <c r="D22" s="261"/>
      <c r="E22" s="524"/>
      <c r="F22" s="524"/>
      <c r="G22" s="260"/>
      <c r="H22" s="261"/>
      <c r="I22" s="259"/>
      <c r="J22" s="259"/>
    </row>
    <row r="23">
      <c r="A23" s="260"/>
      <c r="B23" s="524"/>
      <c r="C23" s="259"/>
      <c r="D23" s="261"/>
      <c r="E23" s="524"/>
      <c r="F23" s="524"/>
      <c r="G23" s="260"/>
      <c r="H23" s="261"/>
      <c r="I23" s="259"/>
      <c r="J23" s="259"/>
    </row>
    <row r="24">
      <c r="A24" s="260"/>
      <c r="B24" s="524"/>
      <c r="C24" s="259"/>
      <c r="D24" s="261"/>
      <c r="E24" s="524"/>
      <c r="F24" s="524"/>
      <c r="G24" s="260"/>
      <c r="H24" s="261"/>
      <c r="I24" s="259"/>
      <c r="J24" s="259"/>
    </row>
    <row r="25">
      <c r="A25" s="260"/>
      <c r="B25" s="524"/>
      <c r="C25" s="259"/>
      <c r="D25" s="261"/>
      <c r="E25" s="524"/>
      <c r="F25" s="524"/>
      <c r="G25" s="260"/>
      <c r="H25" s="261"/>
      <c r="I25" s="259"/>
      <c r="J25" s="259"/>
    </row>
    <row r="26">
      <c r="A26" s="260"/>
      <c r="B26" s="524"/>
      <c r="C26" s="259"/>
      <c r="D26" s="261"/>
      <c r="E26" s="524"/>
      <c r="F26" s="524"/>
      <c r="G26" s="260"/>
      <c r="H26" s="261"/>
      <c r="I26" s="259"/>
      <c r="J26" s="259"/>
    </row>
    <row r="27">
      <c r="A27" s="260"/>
      <c r="B27" s="524"/>
      <c r="C27" s="259"/>
      <c r="D27" s="261"/>
      <c r="E27" s="524"/>
      <c r="F27" s="524"/>
      <c r="G27" s="260"/>
      <c r="H27" s="261"/>
      <c r="I27" s="259"/>
      <c r="J27" s="259"/>
    </row>
    <row r="28">
      <c r="A28" s="260"/>
      <c r="B28" s="524"/>
      <c r="C28" s="259"/>
      <c r="D28" s="261"/>
      <c r="E28" s="524"/>
      <c r="F28" s="524"/>
      <c r="G28" s="260"/>
      <c r="H28" s="261"/>
      <c r="I28" s="259"/>
      <c r="J28" s="259"/>
    </row>
    <row r="29">
      <c r="A29" s="260"/>
      <c r="B29" s="524"/>
      <c r="C29" s="259"/>
      <c r="D29" s="261"/>
      <c r="E29" s="524"/>
      <c r="F29" s="524"/>
      <c r="G29" s="260"/>
      <c r="H29" s="261"/>
      <c r="I29" s="259"/>
      <c r="J29" s="259"/>
    </row>
    <row r="30">
      <c r="A30" s="260"/>
      <c r="B30" s="524"/>
      <c r="C30" s="259"/>
      <c r="D30" s="261"/>
      <c r="E30" s="524"/>
      <c r="F30" s="524"/>
      <c r="G30" s="260"/>
      <c r="H30" s="261"/>
      <c r="I30" s="259"/>
      <c r="J30" s="259"/>
    </row>
    <row r="31">
      <c r="A31" s="260"/>
      <c r="B31" s="524"/>
      <c r="C31" s="259"/>
      <c r="D31" s="261"/>
      <c r="E31" s="524"/>
      <c r="F31" s="524"/>
      <c r="G31" s="260"/>
      <c r="H31" s="261"/>
      <c r="I31" s="259"/>
      <c r="J31" s="259"/>
    </row>
    <row r="32">
      <c r="A32" s="260"/>
      <c r="B32" s="524"/>
      <c r="C32" s="259"/>
      <c r="D32" s="261"/>
      <c r="E32" s="524"/>
      <c r="F32" s="524"/>
      <c r="G32" s="260"/>
      <c r="H32" s="261"/>
      <c r="I32" s="259"/>
      <c r="J32" s="259"/>
    </row>
    <row r="33">
      <c r="A33" s="260"/>
      <c r="B33" s="524"/>
      <c r="C33" s="259"/>
      <c r="D33" s="261"/>
      <c r="E33" s="524"/>
      <c r="F33" s="524"/>
      <c r="G33" s="260"/>
      <c r="H33" s="261"/>
      <c r="I33" s="259"/>
      <c r="J33" s="259"/>
    </row>
    <row r="34">
      <c r="A34" s="260"/>
      <c r="B34" s="524"/>
      <c r="C34" s="259"/>
      <c r="D34" s="261"/>
      <c r="E34" s="524"/>
      <c r="F34" s="524"/>
      <c r="G34" s="260"/>
      <c r="H34" s="261"/>
      <c r="I34" s="259"/>
      <c r="J34" s="259"/>
    </row>
    <row r="35">
      <c r="A35" s="260"/>
      <c r="B35" s="524"/>
      <c r="C35" s="259"/>
      <c r="D35" s="261"/>
      <c r="E35" s="524"/>
      <c r="F35" s="524"/>
      <c r="G35" s="260"/>
      <c r="H35" s="261"/>
      <c r="I35" s="259"/>
      <c r="J35" s="259"/>
    </row>
    <row r="36">
      <c r="A36" s="260"/>
      <c r="B36" s="524"/>
      <c r="C36" s="259"/>
      <c r="D36" s="261"/>
      <c r="E36" s="524"/>
      <c r="F36" s="524"/>
      <c r="G36" s="260"/>
      <c r="H36" s="261"/>
      <c r="I36" s="259"/>
      <c r="J36" s="259"/>
    </row>
    <row r="37">
      <c r="A37" s="260"/>
      <c r="B37" s="524"/>
      <c r="C37" s="259"/>
      <c r="D37" s="261"/>
      <c r="E37" s="524"/>
      <c r="F37" s="524"/>
      <c r="G37" s="260"/>
      <c r="H37" s="261"/>
      <c r="I37" s="259"/>
      <c r="J37" s="259"/>
    </row>
    <row r="38">
      <c r="A38" s="260"/>
      <c r="B38" s="524"/>
      <c r="C38" s="259"/>
      <c r="D38" s="261"/>
      <c r="E38" s="524"/>
      <c r="F38" s="524"/>
      <c r="G38" s="260"/>
      <c r="H38" s="261"/>
      <c r="I38" s="259"/>
      <c r="J38" s="259"/>
    </row>
    <row r="39">
      <c r="A39" s="260"/>
      <c r="B39" s="524"/>
      <c r="C39" s="259"/>
      <c r="D39" s="261"/>
      <c r="E39" s="524"/>
      <c r="F39" s="524"/>
      <c r="G39" s="260"/>
      <c r="H39" s="261"/>
      <c r="I39" s="259"/>
      <c r="J39" s="259"/>
    </row>
    <row r="40">
      <c r="A40" s="260"/>
      <c r="B40" s="524"/>
      <c r="C40" s="259"/>
      <c r="D40" s="261"/>
      <c r="E40" s="524"/>
      <c r="F40" s="524"/>
      <c r="G40" s="260"/>
      <c r="H40" s="261"/>
      <c r="I40" s="259"/>
      <c r="J40" s="259"/>
    </row>
    <row r="41">
      <c r="A41" s="260"/>
      <c r="B41" s="524"/>
      <c r="C41" s="259"/>
      <c r="D41" s="261"/>
      <c r="E41" s="524"/>
      <c r="F41" s="524"/>
      <c r="G41" s="260"/>
      <c r="H41" s="261"/>
      <c r="I41" s="259"/>
      <c r="J41" s="259"/>
    </row>
    <row r="42">
      <c r="A42" s="260"/>
      <c r="B42" s="524"/>
      <c r="C42" s="259"/>
      <c r="D42" s="261"/>
      <c r="E42" s="524"/>
      <c r="F42" s="524"/>
      <c r="G42" s="260"/>
      <c r="H42" s="261"/>
      <c r="I42" s="259"/>
      <c r="J42" s="259"/>
    </row>
    <row r="43">
      <c r="A43" s="260"/>
      <c r="B43" s="524"/>
      <c r="C43" s="259"/>
      <c r="D43" s="261"/>
      <c r="E43" s="524"/>
      <c r="F43" s="524"/>
      <c r="G43" s="260"/>
      <c r="H43" s="261"/>
      <c r="I43" s="259"/>
      <c r="J43" s="259"/>
    </row>
    <row r="44">
      <c r="A44" s="260"/>
      <c r="B44" s="524"/>
      <c r="C44" s="259"/>
      <c r="D44" s="261"/>
      <c r="E44" s="524"/>
      <c r="F44" s="524"/>
      <c r="G44" s="260"/>
      <c r="H44" s="261"/>
      <c r="I44" s="259"/>
      <c r="J44" s="259"/>
    </row>
    <row r="45">
      <c r="A45" s="260"/>
      <c r="B45" s="524"/>
      <c r="C45" s="259"/>
      <c r="D45" s="261"/>
      <c r="E45" s="524"/>
      <c r="F45" s="524"/>
      <c r="G45" s="260"/>
      <c r="H45" s="261"/>
      <c r="I45" s="259"/>
      <c r="J45" s="259"/>
    </row>
    <row r="46">
      <c r="A46" s="260"/>
      <c r="B46" s="524"/>
      <c r="C46" s="259"/>
      <c r="D46" s="261"/>
      <c r="E46" s="524"/>
      <c r="F46" s="524"/>
      <c r="G46" s="260"/>
      <c r="H46" s="261"/>
      <c r="I46" s="259"/>
      <c r="J46" s="259"/>
    </row>
    <row r="47">
      <c r="A47" s="260"/>
      <c r="B47" s="524"/>
      <c r="C47" s="259"/>
      <c r="D47" s="261"/>
      <c r="E47" s="524"/>
      <c r="F47" s="524"/>
      <c r="G47" s="260"/>
      <c r="H47" s="261"/>
      <c r="I47" s="259"/>
      <c r="J47" s="259"/>
    </row>
    <row r="48">
      <c r="A48" s="260"/>
      <c r="B48" s="524"/>
      <c r="C48" s="259"/>
      <c r="D48" s="261"/>
      <c r="E48" s="524"/>
      <c r="F48" s="524"/>
      <c r="G48" s="260"/>
      <c r="H48" s="261"/>
      <c r="I48" s="259"/>
      <c r="J48" s="259"/>
    </row>
    <row r="49">
      <c r="A49" s="260"/>
      <c r="B49" s="524"/>
      <c r="C49" s="259"/>
      <c r="D49" s="261"/>
      <c r="E49" s="524"/>
      <c r="F49" s="524"/>
      <c r="G49" s="260"/>
      <c r="H49" s="261"/>
      <c r="I49" s="259"/>
      <c r="J49" s="259"/>
    </row>
    <row r="50">
      <c r="A50" s="260"/>
      <c r="B50" s="524"/>
      <c r="C50" s="259"/>
      <c r="D50" s="261"/>
      <c r="E50" s="524"/>
      <c r="F50" s="524"/>
      <c r="G50" s="260"/>
      <c r="H50" s="261"/>
      <c r="I50" s="259"/>
      <c r="J50" s="259"/>
    </row>
    <row r="51">
      <c r="A51" s="260"/>
      <c r="B51" s="524"/>
      <c r="C51" s="259"/>
      <c r="D51" s="261"/>
      <c r="E51" s="524"/>
      <c r="F51" s="524"/>
      <c r="G51" s="260"/>
      <c r="H51" s="261"/>
      <c r="I51" s="259"/>
      <c r="J51" s="259"/>
    </row>
    <row r="52">
      <c r="A52" s="260"/>
      <c r="B52" s="524"/>
      <c r="C52" s="259"/>
      <c r="D52" s="261"/>
      <c r="E52" s="524"/>
      <c r="F52" s="524"/>
      <c r="G52" s="260"/>
      <c r="H52" s="261"/>
      <c r="I52" s="259"/>
      <c r="J52" s="259"/>
    </row>
    <row r="53">
      <c r="A53" s="260"/>
      <c r="B53" s="524"/>
      <c r="C53" s="259"/>
      <c r="D53" s="261"/>
      <c r="E53" s="524"/>
      <c r="F53" s="524"/>
      <c r="G53" s="260"/>
      <c r="H53" s="261"/>
      <c r="I53" s="259"/>
      <c r="J53" s="259"/>
    </row>
    <row r="54">
      <c r="A54" s="260"/>
      <c r="B54" s="524"/>
      <c r="C54" s="259"/>
      <c r="D54" s="261"/>
      <c r="E54" s="524"/>
      <c r="F54" s="524"/>
      <c r="G54" s="260"/>
      <c r="H54" s="261"/>
      <c r="I54" s="259"/>
      <c r="J54" s="259"/>
    </row>
    <row r="55">
      <c r="A55" s="260"/>
      <c r="B55" s="524"/>
      <c r="C55" s="259"/>
      <c r="D55" s="261"/>
      <c r="E55" s="524"/>
      <c r="F55" s="524"/>
      <c r="G55" s="260"/>
      <c r="H55" s="261"/>
      <c r="I55" s="259"/>
      <c r="J55" s="259"/>
    </row>
    <row r="56">
      <c r="A56" s="260"/>
      <c r="B56" s="524"/>
      <c r="C56" s="259"/>
      <c r="D56" s="261"/>
      <c r="E56" s="524"/>
      <c r="F56" s="524"/>
      <c r="G56" s="260"/>
      <c r="H56" s="261"/>
      <c r="I56" s="259"/>
      <c r="J56" s="259"/>
    </row>
    <row r="57">
      <c r="A57" s="260"/>
      <c r="B57" s="524"/>
      <c r="C57" s="259"/>
      <c r="D57" s="261"/>
      <c r="E57" s="524"/>
      <c r="F57" s="524"/>
      <c r="G57" s="260"/>
      <c r="H57" s="261"/>
      <c r="I57" s="259"/>
      <c r="J57" s="259"/>
    </row>
    <row r="58">
      <c r="A58" s="260"/>
      <c r="B58" s="524"/>
      <c r="C58" s="259"/>
      <c r="D58" s="261"/>
      <c r="E58" s="524"/>
      <c r="F58" s="524"/>
      <c r="G58" s="260"/>
      <c r="H58" s="261"/>
      <c r="I58" s="259"/>
      <c r="J58" s="259"/>
    </row>
    <row r="59">
      <c r="A59" s="260"/>
      <c r="B59" s="524"/>
      <c r="C59" s="259"/>
      <c r="D59" s="261"/>
      <c r="E59" s="524"/>
      <c r="F59" s="524"/>
      <c r="G59" s="260"/>
      <c r="H59" s="261"/>
      <c r="I59" s="259"/>
      <c r="J59" s="259"/>
    </row>
    <row r="60">
      <c r="A60" s="260"/>
      <c r="B60" s="524"/>
      <c r="C60" s="259"/>
      <c r="D60" s="261"/>
      <c r="E60" s="524"/>
      <c r="F60" s="524"/>
      <c r="G60" s="260"/>
      <c r="H60" s="261"/>
      <c r="I60" s="259"/>
      <c r="J60" s="259"/>
    </row>
    <row r="61">
      <c r="A61" s="260"/>
      <c r="B61" s="524"/>
      <c r="C61" s="259"/>
      <c r="D61" s="261"/>
      <c r="E61" s="524"/>
      <c r="F61" s="524"/>
      <c r="G61" s="260"/>
      <c r="H61" s="261"/>
      <c r="I61" s="259"/>
      <c r="J61" s="259"/>
    </row>
    <row r="62">
      <c r="A62" s="260"/>
      <c r="B62" s="524"/>
      <c r="C62" s="259"/>
      <c r="D62" s="261"/>
      <c r="E62" s="524"/>
      <c r="F62" s="524"/>
      <c r="G62" s="260"/>
      <c r="H62" s="261"/>
      <c r="I62" s="259"/>
      <c r="J62" s="259"/>
    </row>
    <row r="63">
      <c r="A63" s="260"/>
      <c r="B63" s="524"/>
      <c r="C63" s="259"/>
      <c r="D63" s="261"/>
      <c r="E63" s="524"/>
      <c r="F63" s="524"/>
      <c r="G63" s="260"/>
      <c r="H63" s="261"/>
      <c r="I63" s="259"/>
      <c r="J63" s="259"/>
    </row>
    <row r="64">
      <c r="A64" s="260"/>
      <c r="B64" s="524"/>
      <c r="C64" s="259"/>
      <c r="D64" s="261"/>
      <c r="E64" s="524"/>
      <c r="F64" s="524"/>
      <c r="G64" s="260"/>
      <c r="H64" s="261"/>
      <c r="I64" s="259"/>
      <c r="J64" s="259"/>
    </row>
    <row r="65">
      <c r="A65" s="260"/>
      <c r="B65" s="524"/>
      <c r="C65" s="259"/>
      <c r="D65" s="261"/>
      <c r="E65" s="524"/>
      <c r="F65" s="524"/>
      <c r="G65" s="260"/>
      <c r="H65" s="261"/>
      <c r="I65" s="259"/>
      <c r="J65" s="259"/>
    </row>
    <row r="66">
      <c r="A66" s="260"/>
      <c r="B66" s="524"/>
      <c r="C66" s="259"/>
      <c r="D66" s="261"/>
      <c r="E66" s="524"/>
      <c r="F66" s="524"/>
      <c r="G66" s="260"/>
      <c r="H66" s="261"/>
      <c r="I66" s="259"/>
      <c r="J66" s="259"/>
    </row>
    <row r="67">
      <c r="A67" s="260"/>
      <c r="B67" s="524"/>
      <c r="C67" s="259"/>
      <c r="D67" s="261"/>
      <c r="E67" s="524"/>
      <c r="F67" s="524"/>
      <c r="G67" s="260"/>
      <c r="H67" s="261"/>
      <c r="I67" s="259"/>
      <c r="J67" s="259"/>
    </row>
    <row r="68">
      <c r="A68" s="260"/>
      <c r="B68" s="524"/>
      <c r="C68" s="259"/>
      <c r="D68" s="261"/>
      <c r="E68" s="524"/>
      <c r="F68" s="524"/>
      <c r="G68" s="260"/>
      <c r="H68" s="261"/>
      <c r="I68" s="259"/>
      <c r="J68" s="259"/>
    </row>
    <row r="69">
      <c r="A69" s="260"/>
      <c r="B69" s="524"/>
      <c r="C69" s="259"/>
      <c r="D69" s="261"/>
      <c r="E69" s="524"/>
      <c r="F69" s="524"/>
      <c r="G69" s="260"/>
      <c r="H69" s="261"/>
      <c r="I69" s="259"/>
      <c r="J69" s="259"/>
    </row>
    <row r="70">
      <c r="A70" s="260"/>
      <c r="B70" s="524"/>
      <c r="C70" s="259"/>
      <c r="D70" s="261"/>
      <c r="E70" s="524"/>
      <c r="F70" s="524"/>
      <c r="G70" s="260"/>
      <c r="H70" s="261"/>
      <c r="I70" s="259"/>
      <c r="J70" s="259"/>
    </row>
    <row r="71">
      <c r="A71" s="260"/>
      <c r="B71" s="524"/>
      <c r="C71" s="259"/>
      <c r="D71" s="261"/>
      <c r="E71" s="524"/>
      <c r="F71" s="524"/>
      <c r="G71" s="260"/>
      <c r="H71" s="261"/>
      <c r="I71" s="259"/>
      <c r="J71" s="259"/>
    </row>
    <row r="72">
      <c r="A72" s="260"/>
      <c r="B72" s="524"/>
      <c r="C72" s="259"/>
      <c r="D72" s="261"/>
      <c r="E72" s="524"/>
      <c r="F72" s="524"/>
      <c r="G72" s="260"/>
      <c r="H72" s="261"/>
      <c r="I72" s="259"/>
      <c r="J72" s="259"/>
    </row>
    <row r="73">
      <c r="A73" s="260"/>
      <c r="B73" s="524"/>
      <c r="C73" s="259"/>
      <c r="D73" s="261"/>
      <c r="E73" s="524"/>
      <c r="F73" s="524"/>
      <c r="G73" s="260"/>
      <c r="H73" s="261"/>
      <c r="I73" s="259"/>
      <c r="J73" s="259"/>
    </row>
    <row r="74">
      <c r="A74" s="260"/>
      <c r="B74" s="524"/>
      <c r="C74" s="259"/>
      <c r="D74" s="261"/>
      <c r="E74" s="524"/>
      <c r="F74" s="524"/>
      <c r="G74" s="260"/>
      <c r="H74" s="261"/>
      <c r="I74" s="259"/>
      <c r="J74" s="259"/>
    </row>
    <row r="75">
      <c r="A75" s="260"/>
      <c r="B75" s="524"/>
      <c r="C75" s="259"/>
      <c r="D75" s="261"/>
      <c r="E75" s="524"/>
      <c r="F75" s="524"/>
      <c r="G75" s="260"/>
      <c r="H75" s="261"/>
      <c r="I75" s="259"/>
      <c r="J75" s="259"/>
    </row>
    <row r="76">
      <c r="A76" s="260"/>
      <c r="B76" s="524"/>
      <c r="C76" s="259"/>
      <c r="D76" s="261"/>
      <c r="E76" s="524"/>
      <c r="F76" s="524"/>
      <c r="G76" s="260"/>
      <c r="H76" s="261"/>
      <c r="I76" s="259"/>
      <c r="J76" s="259"/>
    </row>
    <row r="77">
      <c r="A77" s="260"/>
      <c r="B77" s="524"/>
      <c r="C77" s="259"/>
      <c r="D77" s="261"/>
      <c r="E77" s="524"/>
      <c r="F77" s="524"/>
      <c r="G77" s="260"/>
      <c r="H77" s="261"/>
      <c r="I77" s="259"/>
      <c r="J77" s="259"/>
    </row>
    <row r="78">
      <c r="A78" s="260"/>
      <c r="B78" s="524"/>
      <c r="C78" s="259"/>
      <c r="D78" s="261"/>
      <c r="E78" s="524"/>
      <c r="F78" s="524"/>
      <c r="G78" s="260"/>
      <c r="H78" s="261"/>
      <c r="I78" s="259"/>
      <c r="J78" s="259"/>
    </row>
    <row r="79">
      <c r="A79" s="260"/>
      <c r="B79" s="524"/>
      <c r="C79" s="259"/>
      <c r="D79" s="261"/>
      <c r="E79" s="524"/>
      <c r="F79" s="524"/>
      <c r="G79" s="260"/>
      <c r="H79" s="261"/>
      <c r="I79" s="259"/>
      <c r="J79" s="259"/>
    </row>
    <row r="80">
      <c r="A80" s="260"/>
      <c r="B80" s="524"/>
      <c r="C80" s="259"/>
      <c r="D80" s="261"/>
      <c r="E80" s="524"/>
      <c r="F80" s="524"/>
      <c r="G80" s="260"/>
      <c r="H80" s="261"/>
      <c r="I80" s="259"/>
      <c r="J80" s="259"/>
    </row>
    <row r="81">
      <c r="A81" s="260"/>
      <c r="B81" s="524"/>
      <c r="C81" s="259"/>
      <c r="D81" s="261"/>
      <c r="E81" s="524"/>
      <c r="F81" s="524"/>
      <c r="G81" s="260"/>
      <c r="H81" s="261"/>
      <c r="I81" s="259"/>
      <c r="J81" s="259"/>
    </row>
    <row r="82">
      <c r="A82" s="260"/>
      <c r="B82" s="524"/>
      <c r="C82" s="259"/>
      <c r="D82" s="261"/>
      <c r="E82" s="524"/>
      <c r="F82" s="524"/>
      <c r="G82" s="260"/>
      <c r="H82" s="261"/>
      <c r="I82" s="259"/>
      <c r="J82" s="259"/>
    </row>
    <row r="83">
      <c r="A83" s="260"/>
      <c r="B83" s="524"/>
      <c r="C83" s="259"/>
      <c r="D83" s="261"/>
      <c r="E83" s="524"/>
      <c r="F83" s="524"/>
      <c r="G83" s="260"/>
      <c r="H83" s="261"/>
      <c r="I83" s="259"/>
      <c r="J83" s="259"/>
    </row>
    <row r="84">
      <c r="A84" s="260"/>
      <c r="B84" s="524"/>
      <c r="C84" s="259"/>
      <c r="D84" s="261"/>
      <c r="E84" s="524"/>
      <c r="F84" s="524"/>
      <c r="G84" s="260"/>
      <c r="H84" s="261"/>
      <c r="I84" s="259"/>
      <c r="J84" s="259"/>
    </row>
    <row r="85">
      <c r="A85" s="260"/>
      <c r="B85" s="524"/>
      <c r="C85" s="259"/>
      <c r="D85" s="261"/>
      <c r="E85" s="524"/>
      <c r="F85" s="524"/>
      <c r="G85" s="260"/>
      <c r="H85" s="261"/>
      <c r="I85" s="259"/>
      <c r="J85" s="259"/>
    </row>
    <row r="86">
      <c r="A86" s="260"/>
      <c r="B86" s="524"/>
      <c r="C86" s="259"/>
      <c r="D86" s="261"/>
      <c r="E86" s="524"/>
      <c r="F86" s="524"/>
      <c r="G86" s="260"/>
      <c r="H86" s="261"/>
      <c r="I86" s="259"/>
      <c r="J86" s="259"/>
    </row>
    <row r="87">
      <c r="A87" s="260"/>
      <c r="B87" s="524"/>
      <c r="C87" s="259"/>
      <c r="D87" s="261"/>
      <c r="E87" s="524"/>
      <c r="F87" s="524"/>
      <c r="G87" s="260"/>
      <c r="H87" s="261"/>
      <c r="I87" s="259"/>
      <c r="J87" s="259"/>
    </row>
    <row r="88">
      <c r="A88" s="260"/>
      <c r="B88" s="524"/>
      <c r="C88" s="259"/>
      <c r="D88" s="261"/>
      <c r="E88" s="524"/>
      <c r="F88" s="524"/>
      <c r="G88" s="260"/>
      <c r="H88" s="261"/>
      <c r="I88" s="259"/>
      <c r="J88" s="259"/>
    </row>
    <row r="89">
      <c r="A89" s="260"/>
      <c r="B89" s="524"/>
      <c r="C89" s="259"/>
      <c r="D89" s="261"/>
      <c r="E89" s="524"/>
      <c r="F89" s="524"/>
      <c r="G89" s="260"/>
      <c r="H89" s="261"/>
      <c r="I89" s="259"/>
      <c r="J89" s="259"/>
    </row>
    <row r="90">
      <c r="A90" s="260"/>
      <c r="B90" s="524"/>
      <c r="C90" s="259"/>
      <c r="D90" s="261"/>
      <c r="E90" s="524"/>
      <c r="F90" s="524"/>
      <c r="G90" s="260"/>
      <c r="H90" s="261"/>
      <c r="I90" s="259"/>
      <c r="J90" s="259"/>
    </row>
    <row r="91">
      <c r="A91" s="260"/>
      <c r="B91" s="524"/>
      <c r="C91" s="259"/>
      <c r="D91" s="261"/>
      <c r="E91" s="524"/>
      <c r="F91" s="524"/>
      <c r="G91" s="260"/>
      <c r="H91" s="261"/>
      <c r="I91" s="259"/>
      <c r="J91" s="259"/>
    </row>
    <row r="92">
      <c r="A92" s="260"/>
      <c r="B92" s="524"/>
      <c r="C92" s="259"/>
      <c r="D92" s="261"/>
      <c r="E92" s="524"/>
      <c r="F92" s="524"/>
      <c r="G92" s="260"/>
      <c r="H92" s="261"/>
      <c r="I92" s="259"/>
      <c r="J92" s="259"/>
    </row>
    <row r="93">
      <c r="A93" s="260"/>
      <c r="B93" s="524"/>
      <c r="C93" s="259"/>
      <c r="D93" s="261"/>
      <c r="E93" s="524"/>
      <c r="F93" s="524"/>
      <c r="G93" s="260"/>
      <c r="H93" s="261"/>
      <c r="I93" s="259"/>
      <c r="J93" s="259"/>
    </row>
    <row r="94">
      <c r="A94" s="260"/>
      <c r="B94" s="524"/>
      <c r="C94" s="259"/>
      <c r="D94" s="261"/>
      <c r="E94" s="524"/>
      <c r="F94" s="524"/>
      <c r="G94" s="260"/>
      <c r="H94" s="261"/>
      <c r="I94" s="259"/>
      <c r="J94" s="259"/>
    </row>
    <row r="95">
      <c r="A95" s="260"/>
      <c r="B95" s="524"/>
      <c r="C95" s="259"/>
      <c r="D95" s="261"/>
      <c r="E95" s="524"/>
      <c r="F95" s="524"/>
      <c r="G95" s="260"/>
      <c r="H95" s="261"/>
      <c r="I95" s="259"/>
      <c r="J95" s="259"/>
    </row>
    <row r="96">
      <c r="A96" s="260"/>
      <c r="B96" s="524"/>
      <c r="C96" s="259"/>
      <c r="D96" s="261"/>
      <c r="E96" s="524"/>
      <c r="F96" s="524"/>
      <c r="G96" s="260"/>
      <c r="H96" s="261"/>
      <c r="I96" s="259"/>
      <c r="J96" s="259"/>
    </row>
    <row r="97">
      <c r="A97" s="260"/>
      <c r="B97" s="524"/>
      <c r="C97" s="259"/>
      <c r="D97" s="261"/>
      <c r="E97" s="524"/>
      <c r="F97" s="524"/>
      <c r="G97" s="260"/>
      <c r="H97" s="261"/>
      <c r="I97" s="259"/>
      <c r="J97" s="259"/>
    </row>
    <row r="98">
      <c r="A98" s="260"/>
      <c r="B98" s="524"/>
      <c r="C98" s="259"/>
      <c r="D98" s="261"/>
      <c r="E98" s="524"/>
      <c r="F98" s="524"/>
      <c r="G98" s="260"/>
      <c r="H98" s="261"/>
      <c r="I98" s="259"/>
      <c r="J98" s="259"/>
    </row>
    <row r="99">
      <c r="A99" s="260"/>
      <c r="B99" s="524"/>
      <c r="C99" s="259"/>
      <c r="D99" s="261"/>
      <c r="E99" s="524"/>
      <c r="F99" s="524"/>
      <c r="G99" s="260"/>
      <c r="H99" s="261"/>
      <c r="I99" s="259"/>
      <c r="J99" s="259"/>
    </row>
    <row r="100">
      <c r="A100" s="260"/>
      <c r="B100" s="524"/>
      <c r="C100" s="259"/>
      <c r="D100" s="261"/>
      <c r="E100" s="524"/>
      <c r="F100" s="524"/>
      <c r="G100" s="260"/>
      <c r="H100" s="261"/>
      <c r="I100" s="259"/>
      <c r="J100" s="259"/>
    </row>
    <row r="101">
      <c r="A101" s="260"/>
      <c r="B101" s="524"/>
      <c r="C101" s="259"/>
      <c r="D101" s="261"/>
      <c r="E101" s="524"/>
      <c r="F101" s="524"/>
      <c r="G101" s="260"/>
      <c r="H101" s="261"/>
      <c r="I101" s="259"/>
      <c r="J101" s="259"/>
    </row>
    <row r="102">
      <c r="A102" s="260"/>
      <c r="B102" s="524"/>
      <c r="C102" s="259"/>
      <c r="D102" s="261"/>
      <c r="E102" s="524"/>
      <c r="F102" s="524"/>
      <c r="G102" s="260"/>
      <c r="H102" s="261"/>
      <c r="I102" s="259"/>
      <c r="J102" s="259"/>
    </row>
    <row r="103">
      <c r="A103" s="260"/>
      <c r="B103" s="524"/>
      <c r="C103" s="259"/>
      <c r="D103" s="261"/>
      <c r="E103" s="524"/>
      <c r="F103" s="524"/>
      <c r="G103" s="260"/>
      <c r="H103" s="261"/>
      <c r="I103" s="259"/>
      <c r="J103" s="259"/>
    </row>
    <row r="104">
      <c r="A104" s="260"/>
      <c r="B104" s="524"/>
      <c r="C104" s="259"/>
      <c r="D104" s="261"/>
      <c r="E104" s="524"/>
      <c r="F104" s="524"/>
      <c r="G104" s="260"/>
      <c r="H104" s="261"/>
      <c r="I104" s="259"/>
      <c r="J104" s="259"/>
    </row>
    <row r="105">
      <c r="A105" s="260"/>
      <c r="B105" s="524"/>
      <c r="C105" s="259"/>
      <c r="D105" s="261"/>
      <c r="E105" s="524"/>
      <c r="F105" s="524"/>
      <c r="G105" s="260"/>
      <c r="H105" s="261"/>
      <c r="I105" s="259"/>
      <c r="J105" s="259"/>
    </row>
    <row r="106">
      <c r="A106" s="260"/>
      <c r="B106" s="524"/>
      <c r="C106" s="259"/>
      <c r="D106" s="261"/>
      <c r="E106" s="524"/>
      <c r="F106" s="524"/>
      <c r="G106" s="260"/>
      <c r="H106" s="261"/>
      <c r="I106" s="259"/>
      <c r="J106" s="259"/>
    </row>
    <row r="107">
      <c r="A107" s="260"/>
      <c r="B107" s="524"/>
      <c r="C107" s="259"/>
      <c r="D107" s="261"/>
      <c r="E107" s="524"/>
      <c r="F107" s="524"/>
      <c r="G107" s="260"/>
      <c r="H107" s="261"/>
      <c r="I107" s="259"/>
      <c r="J107" s="259"/>
    </row>
    <row r="108">
      <c r="A108" s="260"/>
      <c r="B108" s="524"/>
      <c r="C108" s="259"/>
      <c r="D108" s="261"/>
      <c r="E108" s="524"/>
      <c r="F108" s="524"/>
      <c r="G108" s="260"/>
      <c r="H108" s="261"/>
      <c r="I108" s="259"/>
      <c r="J108" s="259"/>
    </row>
    <row r="109">
      <c r="A109" s="260"/>
      <c r="B109" s="524"/>
      <c r="C109" s="259"/>
      <c r="D109" s="261"/>
      <c r="E109" s="524"/>
      <c r="F109" s="524"/>
      <c r="G109" s="260"/>
      <c r="H109" s="261"/>
      <c r="I109" s="259"/>
      <c r="J109" s="259"/>
    </row>
    <row r="110">
      <c r="A110" s="260"/>
      <c r="B110" s="524"/>
      <c r="C110" s="259"/>
      <c r="D110" s="261"/>
      <c r="E110" s="524"/>
      <c r="F110" s="524"/>
      <c r="G110" s="260"/>
      <c r="H110" s="261"/>
      <c r="I110" s="259"/>
      <c r="J110" s="259"/>
    </row>
    <row r="111">
      <c r="A111" s="260"/>
      <c r="B111" s="524"/>
      <c r="C111" s="259"/>
      <c r="D111" s="261"/>
      <c r="E111" s="524"/>
      <c r="F111" s="524"/>
      <c r="G111" s="260"/>
      <c r="H111" s="261"/>
      <c r="I111" s="259"/>
      <c r="J111" s="259"/>
    </row>
    <row r="112">
      <c r="A112" s="260"/>
      <c r="B112" s="524"/>
      <c r="C112" s="259"/>
      <c r="D112" s="261"/>
      <c r="E112" s="524"/>
      <c r="F112" s="524"/>
      <c r="G112" s="260"/>
      <c r="H112" s="261"/>
      <c r="I112" s="259"/>
      <c r="J112" s="259"/>
    </row>
    <row r="113">
      <c r="A113" s="260"/>
      <c r="B113" s="524"/>
      <c r="C113" s="259"/>
      <c r="D113" s="261"/>
      <c r="E113" s="524"/>
      <c r="F113" s="524"/>
      <c r="G113" s="260"/>
      <c r="H113" s="261"/>
      <c r="I113" s="259"/>
      <c r="J113" s="259"/>
    </row>
    <row r="114">
      <c r="A114" s="260"/>
      <c r="B114" s="524"/>
      <c r="C114" s="259"/>
      <c r="D114" s="261"/>
      <c r="E114" s="524"/>
      <c r="F114" s="524"/>
      <c r="G114" s="260"/>
      <c r="H114" s="261"/>
      <c r="I114" s="259"/>
      <c r="J114" s="259"/>
    </row>
    <row r="115">
      <c r="A115" s="260"/>
      <c r="B115" s="524"/>
      <c r="C115" s="259"/>
      <c r="D115" s="261"/>
      <c r="E115" s="524"/>
      <c r="F115" s="524"/>
      <c r="G115" s="260"/>
      <c r="H115" s="261"/>
      <c r="I115" s="259"/>
      <c r="J115" s="259"/>
    </row>
    <row r="116">
      <c r="A116" s="260"/>
      <c r="B116" s="524"/>
      <c r="C116" s="259"/>
      <c r="D116" s="261"/>
      <c r="E116" s="524"/>
      <c r="F116" s="524"/>
      <c r="G116" s="260"/>
      <c r="H116" s="261"/>
      <c r="I116" s="259"/>
      <c r="J116" s="259"/>
    </row>
    <row r="117">
      <c r="A117" s="260"/>
      <c r="B117" s="524"/>
      <c r="C117" s="259"/>
      <c r="D117" s="261"/>
      <c r="E117" s="524"/>
      <c r="F117" s="524"/>
      <c r="G117" s="260"/>
      <c r="H117" s="261"/>
      <c r="I117" s="259"/>
      <c r="J117" s="259"/>
    </row>
    <row r="118">
      <c r="A118" s="260"/>
      <c r="B118" s="524"/>
      <c r="C118" s="259"/>
      <c r="D118" s="261"/>
      <c r="E118" s="524"/>
      <c r="F118" s="524"/>
      <c r="G118" s="260"/>
      <c r="H118" s="261"/>
      <c r="I118" s="259"/>
      <c r="J118" s="259"/>
    </row>
    <row r="119">
      <c r="A119" s="260"/>
      <c r="B119" s="524"/>
      <c r="C119" s="259"/>
      <c r="D119" s="261"/>
      <c r="E119" s="524"/>
      <c r="F119" s="524"/>
      <c r="G119" s="260"/>
      <c r="H119" s="261"/>
      <c r="I119" s="259"/>
      <c r="J119" s="259"/>
    </row>
    <row r="120">
      <c r="A120" s="260"/>
      <c r="B120" s="524"/>
      <c r="C120" s="259"/>
      <c r="D120" s="261"/>
      <c r="E120" s="524"/>
      <c r="F120" s="524"/>
      <c r="G120" s="260"/>
      <c r="H120" s="261"/>
      <c r="I120" s="259"/>
      <c r="J120" s="259"/>
    </row>
    <row r="121">
      <c r="A121" s="260"/>
      <c r="B121" s="524"/>
      <c r="C121" s="259"/>
      <c r="D121" s="261"/>
      <c r="E121" s="524"/>
      <c r="F121" s="524"/>
      <c r="G121" s="260"/>
      <c r="H121" s="261"/>
      <c r="I121" s="259"/>
      <c r="J121" s="259"/>
    </row>
    <row r="122">
      <c r="A122" s="260"/>
      <c r="B122" s="524"/>
      <c r="C122" s="259"/>
      <c r="D122" s="261"/>
      <c r="E122" s="524"/>
      <c r="F122" s="524"/>
      <c r="G122" s="260"/>
      <c r="H122" s="261"/>
      <c r="I122" s="259"/>
      <c r="J122" s="259"/>
    </row>
    <row r="123">
      <c r="A123" s="260"/>
      <c r="B123" s="524"/>
      <c r="C123" s="259"/>
      <c r="D123" s="261"/>
      <c r="E123" s="524"/>
      <c r="F123" s="524"/>
      <c r="G123" s="260"/>
      <c r="H123" s="261"/>
      <c r="I123" s="259"/>
      <c r="J123" s="259"/>
    </row>
    <row r="124">
      <c r="A124" s="260"/>
      <c r="B124" s="524"/>
      <c r="C124" s="259"/>
      <c r="D124" s="261"/>
      <c r="E124" s="524"/>
      <c r="F124" s="524"/>
      <c r="G124" s="260"/>
      <c r="H124" s="261"/>
      <c r="I124" s="259"/>
      <c r="J124" s="259"/>
    </row>
    <row r="125">
      <c r="A125" s="260"/>
      <c r="B125" s="524"/>
      <c r="C125" s="259"/>
      <c r="D125" s="261"/>
      <c r="E125" s="524"/>
      <c r="F125" s="524"/>
      <c r="G125" s="260"/>
      <c r="H125" s="261"/>
      <c r="I125" s="259"/>
      <c r="J125" s="259"/>
    </row>
    <row r="126">
      <c r="A126" s="260"/>
      <c r="B126" s="524"/>
      <c r="C126" s="259"/>
      <c r="D126" s="261"/>
      <c r="E126" s="524"/>
      <c r="F126" s="524"/>
      <c r="G126" s="260"/>
      <c r="H126" s="261"/>
      <c r="I126" s="259"/>
      <c r="J126" s="259"/>
    </row>
    <row r="127">
      <c r="A127" s="260"/>
      <c r="B127" s="524"/>
      <c r="C127" s="259"/>
      <c r="D127" s="261"/>
      <c r="E127" s="524"/>
      <c r="F127" s="524"/>
      <c r="G127" s="260"/>
      <c r="H127" s="261"/>
      <c r="I127" s="259"/>
      <c r="J127" s="259"/>
    </row>
    <row r="128">
      <c r="A128" s="260"/>
      <c r="B128" s="524"/>
      <c r="C128" s="259"/>
      <c r="D128" s="261"/>
      <c r="E128" s="524"/>
      <c r="F128" s="524"/>
      <c r="G128" s="260"/>
      <c r="H128" s="261"/>
      <c r="I128" s="259"/>
      <c r="J128" s="259"/>
    </row>
    <row r="129">
      <c r="A129" s="260"/>
      <c r="B129" s="524"/>
      <c r="C129" s="259"/>
      <c r="D129" s="261"/>
      <c r="E129" s="524"/>
      <c r="F129" s="524"/>
      <c r="G129" s="260"/>
      <c r="H129" s="261"/>
      <c r="I129" s="259"/>
      <c r="J129" s="259"/>
    </row>
    <row r="130">
      <c r="A130" s="260"/>
      <c r="B130" s="524"/>
      <c r="C130" s="259"/>
      <c r="D130" s="261"/>
      <c r="E130" s="524"/>
      <c r="F130" s="524"/>
      <c r="G130" s="260"/>
      <c r="H130" s="261"/>
      <c r="I130" s="259"/>
      <c r="J130" s="259"/>
    </row>
    <row r="131">
      <c r="A131" s="260"/>
      <c r="B131" s="524"/>
      <c r="C131" s="259"/>
      <c r="D131" s="261"/>
      <c r="E131" s="524"/>
      <c r="F131" s="524"/>
      <c r="G131" s="260"/>
      <c r="H131" s="261"/>
      <c r="I131" s="259"/>
      <c r="J131" s="259"/>
    </row>
    <row r="132">
      <c r="A132" s="260"/>
      <c r="B132" s="524"/>
      <c r="C132" s="259"/>
      <c r="D132" s="261"/>
      <c r="E132" s="524"/>
      <c r="F132" s="524"/>
      <c r="G132" s="260"/>
      <c r="H132" s="261"/>
      <c r="I132" s="259"/>
      <c r="J132" s="259"/>
    </row>
    <row r="133">
      <c r="A133" s="260"/>
      <c r="B133" s="524"/>
      <c r="C133" s="259"/>
      <c r="D133" s="261"/>
      <c r="E133" s="524"/>
      <c r="F133" s="524"/>
      <c r="G133" s="260"/>
      <c r="H133" s="261"/>
      <c r="I133" s="259"/>
      <c r="J133" s="259"/>
    </row>
    <row r="134">
      <c r="A134" s="260"/>
      <c r="B134" s="524"/>
      <c r="C134" s="259"/>
      <c r="D134" s="261"/>
      <c r="E134" s="524"/>
      <c r="F134" s="524"/>
      <c r="G134" s="260"/>
      <c r="H134" s="261"/>
      <c r="I134" s="259"/>
      <c r="J134" s="259"/>
    </row>
    <row r="135">
      <c r="A135" s="260"/>
      <c r="B135" s="524"/>
      <c r="C135" s="259"/>
      <c r="D135" s="261"/>
      <c r="E135" s="524"/>
      <c r="F135" s="524"/>
      <c r="G135" s="260"/>
      <c r="H135" s="261"/>
      <c r="I135" s="259"/>
      <c r="J135" s="259"/>
    </row>
    <row r="136">
      <c r="A136" s="260"/>
      <c r="B136" s="524"/>
      <c r="C136" s="259"/>
      <c r="D136" s="261"/>
      <c r="E136" s="524"/>
      <c r="F136" s="524"/>
      <c r="G136" s="260"/>
      <c r="H136" s="261"/>
      <c r="I136" s="259"/>
      <c r="J136" s="259"/>
    </row>
    <row r="137">
      <c r="A137" s="260"/>
      <c r="B137" s="524"/>
      <c r="C137" s="259"/>
      <c r="D137" s="261"/>
      <c r="E137" s="524"/>
      <c r="F137" s="524"/>
      <c r="G137" s="260"/>
      <c r="H137" s="261"/>
      <c r="I137" s="259"/>
      <c r="J137" s="259"/>
    </row>
    <row r="138">
      <c r="A138" s="260"/>
      <c r="B138" s="524"/>
      <c r="C138" s="259"/>
      <c r="D138" s="261"/>
      <c r="E138" s="524"/>
      <c r="F138" s="524"/>
      <c r="G138" s="260"/>
      <c r="H138" s="261"/>
      <c r="I138" s="259"/>
      <c r="J138" s="259"/>
    </row>
    <row r="139">
      <c r="A139" s="260"/>
      <c r="B139" s="524"/>
      <c r="C139" s="259"/>
      <c r="D139" s="261"/>
      <c r="E139" s="524"/>
      <c r="F139" s="524"/>
      <c r="G139" s="260"/>
      <c r="H139" s="261"/>
      <c r="I139" s="259"/>
      <c r="J139" s="259"/>
    </row>
    <row r="140">
      <c r="A140" s="260"/>
      <c r="B140" s="524"/>
      <c r="C140" s="259"/>
      <c r="D140" s="261"/>
      <c r="E140" s="524"/>
      <c r="F140" s="524"/>
      <c r="G140" s="260"/>
      <c r="H140" s="261"/>
      <c r="I140" s="259"/>
      <c r="J140" s="259"/>
    </row>
    <row r="141">
      <c r="A141" s="260"/>
      <c r="B141" s="524"/>
      <c r="C141" s="259"/>
      <c r="D141" s="261"/>
      <c r="E141" s="524"/>
      <c r="F141" s="524"/>
      <c r="G141" s="260"/>
      <c r="H141" s="261"/>
      <c r="I141" s="259"/>
      <c r="J141" s="259"/>
    </row>
    <row r="142">
      <c r="A142" s="260"/>
      <c r="B142" s="524"/>
      <c r="C142" s="259"/>
      <c r="D142" s="261"/>
      <c r="E142" s="524"/>
      <c r="F142" s="524"/>
      <c r="G142" s="260"/>
      <c r="H142" s="261"/>
      <c r="I142" s="259"/>
      <c r="J142" s="259"/>
    </row>
    <row r="143">
      <c r="A143" s="260"/>
      <c r="B143" s="524"/>
      <c r="C143" s="259"/>
      <c r="D143" s="261"/>
      <c r="E143" s="524"/>
      <c r="F143" s="524"/>
      <c r="G143" s="260"/>
      <c r="H143" s="261"/>
      <c r="I143" s="259"/>
      <c r="J143" s="259"/>
    </row>
    <row r="144">
      <c r="A144" s="260"/>
      <c r="B144" s="524"/>
      <c r="C144" s="259"/>
      <c r="D144" s="261"/>
      <c r="E144" s="524"/>
      <c r="F144" s="524"/>
      <c r="G144" s="260"/>
      <c r="H144" s="261"/>
      <c r="I144" s="259"/>
      <c r="J144" s="259"/>
    </row>
    <row r="145">
      <c r="A145" s="260"/>
      <c r="B145" s="524"/>
      <c r="C145" s="259"/>
      <c r="D145" s="261"/>
      <c r="E145" s="524"/>
      <c r="F145" s="524"/>
      <c r="G145" s="260"/>
      <c r="H145" s="261"/>
      <c r="I145" s="259"/>
      <c r="J145" s="259"/>
    </row>
    <row r="146">
      <c r="A146" s="260"/>
      <c r="B146" s="524"/>
      <c r="C146" s="259"/>
      <c r="D146" s="261"/>
      <c r="E146" s="524"/>
      <c r="F146" s="524"/>
      <c r="G146" s="260"/>
      <c r="H146" s="261"/>
      <c r="I146" s="259"/>
      <c r="J146" s="259"/>
    </row>
    <row r="147">
      <c r="A147" s="260"/>
      <c r="B147" s="524"/>
      <c r="C147" s="259"/>
      <c r="D147" s="261"/>
      <c r="E147" s="524"/>
      <c r="F147" s="524"/>
      <c r="G147" s="260"/>
      <c r="H147" s="261"/>
      <c r="I147" s="259"/>
      <c r="J147" s="259"/>
    </row>
    <row r="148">
      <c r="A148" s="260"/>
      <c r="B148" s="524"/>
      <c r="C148" s="259"/>
      <c r="D148" s="261"/>
      <c r="E148" s="524"/>
      <c r="F148" s="524"/>
      <c r="G148" s="260"/>
      <c r="H148" s="261"/>
      <c r="I148" s="259"/>
      <c r="J148" s="259"/>
    </row>
    <row r="149">
      <c r="A149" s="260"/>
      <c r="B149" s="524"/>
      <c r="C149" s="259"/>
      <c r="D149" s="261"/>
      <c r="E149" s="524"/>
      <c r="F149" s="524"/>
      <c r="G149" s="260"/>
      <c r="H149" s="261"/>
      <c r="I149" s="259"/>
      <c r="J149" s="259"/>
    </row>
    <row r="150">
      <c r="A150" s="260"/>
      <c r="B150" s="524"/>
      <c r="C150" s="259"/>
      <c r="D150" s="261"/>
      <c r="E150" s="524"/>
      <c r="F150" s="524"/>
      <c r="G150" s="260"/>
      <c r="H150" s="261"/>
      <c r="I150" s="259"/>
      <c r="J150" s="259"/>
    </row>
    <row r="151">
      <c r="A151" s="260"/>
      <c r="B151" s="524"/>
      <c r="C151" s="259"/>
      <c r="D151" s="261"/>
      <c r="E151" s="524"/>
      <c r="F151" s="524"/>
      <c r="G151" s="260"/>
      <c r="H151" s="261"/>
      <c r="I151" s="259"/>
      <c r="J151" s="259"/>
    </row>
    <row r="152">
      <c r="A152" s="260"/>
      <c r="B152" s="524"/>
      <c r="C152" s="259"/>
      <c r="D152" s="261"/>
      <c r="E152" s="524"/>
      <c r="F152" s="524"/>
      <c r="G152" s="260"/>
      <c r="H152" s="261"/>
      <c r="I152" s="259"/>
      <c r="J152" s="259"/>
    </row>
    <row r="153">
      <c r="A153" s="260"/>
      <c r="B153" s="524"/>
      <c r="C153" s="259"/>
      <c r="D153" s="261"/>
      <c r="E153" s="524"/>
      <c r="F153" s="524"/>
      <c r="G153" s="260"/>
      <c r="H153" s="261"/>
      <c r="I153" s="259"/>
      <c r="J153" s="259"/>
    </row>
    <row r="154">
      <c r="A154" s="260"/>
      <c r="B154" s="524"/>
      <c r="C154" s="259"/>
      <c r="D154" s="261"/>
      <c r="E154" s="524"/>
      <c r="F154" s="524"/>
      <c r="G154" s="260"/>
      <c r="H154" s="261"/>
      <c r="I154" s="259"/>
      <c r="J154" s="259"/>
    </row>
    <row r="155">
      <c r="A155" s="260"/>
      <c r="B155" s="524"/>
      <c r="C155" s="259"/>
      <c r="D155" s="261"/>
      <c r="E155" s="524"/>
      <c r="F155" s="524"/>
      <c r="G155" s="260"/>
      <c r="H155" s="261"/>
      <c r="I155" s="259"/>
      <c r="J155" s="259"/>
    </row>
    <row r="156">
      <c r="A156" s="260"/>
      <c r="B156" s="524"/>
      <c r="C156" s="259"/>
      <c r="D156" s="261"/>
      <c r="E156" s="524"/>
      <c r="F156" s="524"/>
      <c r="G156" s="260"/>
      <c r="H156" s="261"/>
      <c r="I156" s="259"/>
      <c r="J156" s="259"/>
    </row>
    <row r="157">
      <c r="A157" s="260"/>
      <c r="B157" s="524"/>
      <c r="C157" s="259"/>
      <c r="D157" s="261"/>
      <c r="E157" s="524"/>
      <c r="F157" s="524"/>
      <c r="G157" s="260"/>
      <c r="H157" s="261"/>
      <c r="I157" s="259"/>
      <c r="J157" s="259"/>
    </row>
    <row r="158">
      <c r="A158" s="260"/>
      <c r="B158" s="524"/>
      <c r="C158" s="259"/>
      <c r="D158" s="261"/>
      <c r="E158" s="524"/>
      <c r="F158" s="524"/>
      <c r="G158" s="260"/>
      <c r="H158" s="261"/>
      <c r="I158" s="259"/>
      <c r="J158" s="259"/>
    </row>
    <row r="159">
      <c r="A159" s="260"/>
      <c r="B159" s="524"/>
      <c r="C159" s="259"/>
      <c r="D159" s="261"/>
      <c r="E159" s="524"/>
      <c r="F159" s="524"/>
      <c r="G159" s="260"/>
      <c r="H159" s="261"/>
      <c r="I159" s="259"/>
      <c r="J159" s="259"/>
    </row>
    <row r="160">
      <c r="A160" s="260"/>
      <c r="B160" s="524"/>
      <c r="C160" s="259"/>
      <c r="D160" s="261"/>
      <c r="E160" s="524"/>
      <c r="F160" s="524"/>
      <c r="G160" s="260"/>
      <c r="H160" s="261"/>
      <c r="I160" s="259"/>
      <c r="J160" s="259"/>
    </row>
    <row r="161">
      <c r="A161" s="260"/>
      <c r="B161" s="524"/>
      <c r="C161" s="259"/>
      <c r="D161" s="261"/>
      <c r="E161" s="524"/>
      <c r="F161" s="524"/>
      <c r="G161" s="260"/>
      <c r="H161" s="261"/>
      <c r="I161" s="259"/>
      <c r="J161" s="259"/>
    </row>
    <row r="162">
      <c r="A162" s="260"/>
      <c r="B162" s="524"/>
      <c r="C162" s="259"/>
      <c r="D162" s="261"/>
      <c r="E162" s="524"/>
      <c r="F162" s="524"/>
      <c r="G162" s="260"/>
      <c r="H162" s="261"/>
      <c r="I162" s="259"/>
      <c r="J162" s="259"/>
    </row>
    <row r="163">
      <c r="A163" s="260"/>
      <c r="B163" s="524"/>
      <c r="C163" s="259"/>
      <c r="D163" s="261"/>
      <c r="E163" s="524"/>
      <c r="F163" s="524"/>
      <c r="G163" s="260"/>
      <c r="H163" s="261"/>
      <c r="I163" s="259"/>
      <c r="J163" s="259"/>
    </row>
    <row r="164">
      <c r="A164" s="260"/>
      <c r="B164" s="524"/>
      <c r="C164" s="259"/>
      <c r="D164" s="261"/>
      <c r="E164" s="524"/>
      <c r="F164" s="524"/>
      <c r="G164" s="260"/>
      <c r="H164" s="261"/>
      <c r="I164" s="259"/>
      <c r="J164" s="259"/>
    </row>
    <row r="165">
      <c r="A165" s="260"/>
      <c r="B165" s="524"/>
      <c r="C165" s="259"/>
      <c r="D165" s="261"/>
      <c r="E165" s="524"/>
      <c r="F165" s="524"/>
      <c r="G165" s="260"/>
      <c r="H165" s="261"/>
      <c r="I165" s="259"/>
      <c r="J165" s="259"/>
    </row>
    <row r="166">
      <c r="A166" s="260"/>
      <c r="B166" s="524"/>
      <c r="C166" s="259"/>
      <c r="D166" s="261"/>
      <c r="E166" s="524"/>
      <c r="F166" s="524"/>
      <c r="G166" s="260"/>
      <c r="H166" s="261"/>
      <c r="I166" s="259"/>
      <c r="J166" s="259"/>
    </row>
    <row r="167">
      <c r="A167" s="260"/>
      <c r="B167" s="524"/>
      <c r="C167" s="259"/>
      <c r="D167" s="261"/>
      <c r="E167" s="524"/>
      <c r="F167" s="524"/>
      <c r="G167" s="260"/>
      <c r="H167" s="261"/>
      <c r="I167" s="259"/>
      <c r="J167" s="259"/>
    </row>
    <row r="168">
      <c r="A168" s="260"/>
      <c r="B168" s="524"/>
      <c r="C168" s="259"/>
      <c r="D168" s="261"/>
      <c r="E168" s="524"/>
      <c r="F168" s="524"/>
      <c r="G168" s="260"/>
      <c r="H168" s="261"/>
      <c r="I168" s="259"/>
      <c r="J168" s="259"/>
    </row>
    <row r="169">
      <c r="A169" s="260"/>
      <c r="B169" s="524"/>
      <c r="C169" s="259"/>
      <c r="D169" s="261"/>
      <c r="E169" s="524"/>
      <c r="F169" s="524"/>
      <c r="G169" s="260"/>
      <c r="H169" s="261"/>
      <c r="I169" s="259"/>
      <c r="J169" s="259"/>
    </row>
    <row r="170">
      <c r="A170" s="260"/>
      <c r="B170" s="524"/>
      <c r="C170" s="259"/>
      <c r="D170" s="261"/>
      <c r="E170" s="524"/>
      <c r="F170" s="524"/>
      <c r="G170" s="260"/>
      <c r="H170" s="261"/>
      <c r="I170" s="259"/>
      <c r="J170" s="259"/>
    </row>
    <row r="171">
      <c r="A171" s="260"/>
      <c r="B171" s="524"/>
      <c r="C171" s="259"/>
      <c r="D171" s="261"/>
      <c r="E171" s="524"/>
      <c r="F171" s="524"/>
      <c r="G171" s="260"/>
      <c r="H171" s="261"/>
      <c r="I171" s="259"/>
      <c r="J171" s="259"/>
    </row>
    <row r="172">
      <c r="A172" s="260"/>
      <c r="B172" s="524"/>
      <c r="C172" s="259"/>
      <c r="D172" s="261"/>
      <c r="E172" s="524"/>
      <c r="F172" s="524"/>
      <c r="G172" s="260"/>
      <c r="H172" s="261"/>
      <c r="I172" s="259"/>
      <c r="J172" s="259"/>
    </row>
    <row r="173">
      <c r="A173" s="260"/>
      <c r="B173" s="524"/>
      <c r="C173" s="259"/>
      <c r="D173" s="261"/>
      <c r="E173" s="524"/>
      <c r="F173" s="524"/>
      <c r="G173" s="260"/>
      <c r="H173" s="261"/>
      <c r="I173" s="259"/>
      <c r="J173" s="259"/>
    </row>
    <row r="174">
      <c r="A174" s="260"/>
      <c r="B174" s="524"/>
      <c r="C174" s="259"/>
      <c r="D174" s="261"/>
      <c r="E174" s="524"/>
      <c r="F174" s="524"/>
      <c r="G174" s="260"/>
      <c r="H174" s="261"/>
      <c r="I174" s="259"/>
      <c r="J174" s="259"/>
    </row>
    <row r="175">
      <c r="A175" s="260"/>
      <c r="B175" s="524"/>
      <c r="C175" s="259"/>
      <c r="D175" s="261"/>
      <c r="E175" s="524"/>
      <c r="F175" s="524"/>
      <c r="G175" s="260"/>
      <c r="H175" s="261"/>
      <c r="I175" s="259"/>
      <c r="J175" s="259"/>
    </row>
    <row r="176">
      <c r="A176" s="260"/>
      <c r="B176" s="524"/>
      <c r="C176" s="259"/>
      <c r="D176" s="261"/>
      <c r="E176" s="524"/>
      <c r="F176" s="524"/>
      <c r="G176" s="260"/>
      <c r="H176" s="261"/>
      <c r="I176" s="259"/>
      <c r="J176" s="259"/>
    </row>
    <row r="177">
      <c r="A177" s="260"/>
      <c r="B177" s="524"/>
      <c r="C177" s="259"/>
      <c r="D177" s="261"/>
      <c r="E177" s="524"/>
      <c r="F177" s="524"/>
      <c r="G177" s="260"/>
      <c r="H177" s="261"/>
      <c r="I177" s="259"/>
      <c r="J177" s="259"/>
    </row>
    <row r="178">
      <c r="A178" s="260"/>
      <c r="B178" s="524"/>
      <c r="C178" s="259"/>
      <c r="D178" s="261"/>
      <c r="E178" s="524"/>
      <c r="F178" s="524"/>
      <c r="G178" s="260"/>
      <c r="H178" s="261"/>
      <c r="I178" s="259"/>
      <c r="J178" s="259"/>
    </row>
    <row r="179">
      <c r="A179" s="260"/>
      <c r="B179" s="524"/>
      <c r="C179" s="259"/>
      <c r="D179" s="261"/>
      <c r="E179" s="524"/>
      <c r="F179" s="524"/>
      <c r="G179" s="260"/>
      <c r="H179" s="261"/>
      <c r="I179" s="259"/>
      <c r="J179" s="259"/>
    </row>
    <row r="180">
      <c r="A180" s="260"/>
      <c r="B180" s="524"/>
      <c r="C180" s="259"/>
      <c r="D180" s="261"/>
      <c r="E180" s="524"/>
      <c r="F180" s="524"/>
      <c r="G180" s="260"/>
      <c r="H180" s="261"/>
      <c r="I180" s="259"/>
      <c r="J180" s="259"/>
    </row>
    <row r="181">
      <c r="A181" s="260"/>
      <c r="B181" s="524"/>
      <c r="C181" s="259"/>
      <c r="D181" s="261"/>
      <c r="E181" s="524"/>
      <c r="F181" s="524"/>
      <c r="G181" s="260"/>
      <c r="H181" s="261"/>
      <c r="I181" s="259"/>
      <c r="J181" s="259"/>
    </row>
    <row r="182">
      <c r="A182" s="260"/>
      <c r="B182" s="524"/>
      <c r="C182" s="259"/>
      <c r="D182" s="261"/>
      <c r="E182" s="524"/>
      <c r="F182" s="524"/>
      <c r="G182" s="260"/>
      <c r="H182" s="261"/>
      <c r="I182" s="259"/>
      <c r="J182" s="259"/>
    </row>
    <row r="183">
      <c r="A183" s="260"/>
      <c r="B183" s="524"/>
      <c r="C183" s="259"/>
      <c r="D183" s="261"/>
      <c r="E183" s="524"/>
      <c r="F183" s="524"/>
      <c r="G183" s="260"/>
      <c r="H183" s="261"/>
      <c r="I183" s="259"/>
      <c r="J183" s="259"/>
    </row>
    <row r="184">
      <c r="A184" s="260"/>
      <c r="B184" s="524"/>
      <c r="C184" s="259"/>
      <c r="D184" s="261"/>
      <c r="E184" s="524"/>
      <c r="F184" s="524"/>
      <c r="G184" s="260"/>
      <c r="H184" s="261"/>
      <c r="I184" s="259"/>
      <c r="J184" s="259"/>
    </row>
    <row r="185">
      <c r="A185" s="260"/>
      <c r="B185" s="524"/>
      <c r="C185" s="259"/>
      <c r="D185" s="261"/>
      <c r="E185" s="524"/>
      <c r="F185" s="524"/>
      <c r="G185" s="260"/>
      <c r="H185" s="261"/>
      <c r="I185" s="259"/>
      <c r="J185" s="259"/>
    </row>
    <row r="186">
      <c r="A186" s="260"/>
      <c r="B186" s="524"/>
      <c r="C186" s="259"/>
      <c r="D186" s="261"/>
      <c r="E186" s="524"/>
      <c r="F186" s="524"/>
      <c r="G186" s="260"/>
      <c r="H186" s="261"/>
      <c r="I186" s="259"/>
      <c r="J186" s="259"/>
    </row>
    <row r="187">
      <c r="A187" s="260"/>
      <c r="B187" s="524"/>
      <c r="C187" s="259"/>
      <c r="D187" s="261"/>
      <c r="E187" s="524"/>
      <c r="F187" s="524"/>
      <c r="G187" s="260"/>
      <c r="H187" s="261"/>
      <c r="I187" s="259"/>
      <c r="J187" s="259"/>
    </row>
    <row r="188">
      <c r="A188" s="260"/>
      <c r="B188" s="524"/>
      <c r="C188" s="259"/>
      <c r="D188" s="261"/>
      <c r="E188" s="524"/>
      <c r="F188" s="524"/>
      <c r="G188" s="260"/>
      <c r="H188" s="261"/>
      <c r="I188" s="259"/>
      <c r="J188" s="259"/>
    </row>
    <row r="189">
      <c r="A189" s="260"/>
      <c r="B189" s="524"/>
      <c r="C189" s="259"/>
      <c r="D189" s="261"/>
      <c r="E189" s="524"/>
      <c r="F189" s="524"/>
      <c r="G189" s="260"/>
      <c r="H189" s="261"/>
      <c r="I189" s="259"/>
      <c r="J189" s="259"/>
    </row>
    <row r="190">
      <c r="A190" s="260"/>
      <c r="B190" s="524"/>
      <c r="C190" s="259"/>
      <c r="D190" s="261"/>
      <c r="E190" s="524"/>
      <c r="F190" s="524"/>
      <c r="G190" s="260"/>
      <c r="H190" s="261"/>
      <c r="I190" s="259"/>
      <c r="J190" s="259"/>
    </row>
    <row r="191">
      <c r="A191" s="260"/>
      <c r="B191" s="524"/>
      <c r="C191" s="259"/>
      <c r="D191" s="261"/>
      <c r="E191" s="524"/>
      <c r="F191" s="524"/>
      <c r="G191" s="260"/>
      <c r="H191" s="261"/>
      <c r="I191" s="259"/>
      <c r="J191" s="259"/>
    </row>
    <row r="192">
      <c r="A192" s="260"/>
      <c r="B192" s="524"/>
      <c r="C192" s="259"/>
      <c r="D192" s="261"/>
      <c r="E192" s="524"/>
      <c r="F192" s="524"/>
      <c r="G192" s="260"/>
      <c r="H192" s="261"/>
      <c r="I192" s="259"/>
      <c r="J192" s="259"/>
    </row>
    <row r="193">
      <c r="A193" s="260"/>
      <c r="B193" s="524"/>
      <c r="C193" s="259"/>
      <c r="D193" s="261"/>
      <c r="E193" s="524"/>
      <c r="F193" s="524"/>
      <c r="G193" s="260"/>
      <c r="H193" s="261"/>
      <c r="I193" s="259"/>
      <c r="J193" s="259"/>
    </row>
    <row r="194">
      <c r="A194" s="260"/>
      <c r="B194" s="524"/>
      <c r="C194" s="259"/>
      <c r="D194" s="261"/>
      <c r="E194" s="524"/>
      <c r="F194" s="524"/>
      <c r="G194" s="260"/>
      <c r="H194" s="261"/>
      <c r="I194" s="259"/>
      <c r="J194" s="259"/>
    </row>
    <row r="195">
      <c r="A195" s="260"/>
      <c r="B195" s="524"/>
      <c r="C195" s="259"/>
      <c r="D195" s="261"/>
      <c r="E195" s="524"/>
      <c r="F195" s="524"/>
      <c r="G195" s="260"/>
      <c r="H195" s="261"/>
      <c r="I195" s="259"/>
      <c r="J195" s="259"/>
    </row>
    <row r="196">
      <c r="A196" s="260"/>
      <c r="B196" s="524"/>
      <c r="C196" s="259"/>
      <c r="D196" s="261"/>
      <c r="E196" s="524"/>
      <c r="F196" s="524"/>
      <c r="G196" s="260"/>
      <c r="H196" s="261"/>
      <c r="I196" s="259"/>
      <c r="J196" s="259"/>
    </row>
    <row r="197">
      <c r="A197" s="260"/>
      <c r="B197" s="524"/>
      <c r="C197" s="259"/>
      <c r="D197" s="261"/>
      <c r="E197" s="524"/>
      <c r="F197" s="524"/>
      <c r="G197" s="260"/>
      <c r="H197" s="261"/>
      <c r="I197" s="259"/>
      <c r="J197" s="259"/>
    </row>
    <row r="198">
      <c r="A198" s="260"/>
      <c r="B198" s="524"/>
      <c r="C198" s="259"/>
      <c r="D198" s="261"/>
      <c r="E198" s="524"/>
      <c r="F198" s="524"/>
      <c r="G198" s="260"/>
      <c r="H198" s="261"/>
      <c r="I198" s="259"/>
      <c r="J198" s="259"/>
    </row>
    <row r="199">
      <c r="A199" s="260"/>
      <c r="B199" s="524"/>
      <c r="C199" s="259"/>
      <c r="D199" s="261"/>
      <c r="E199" s="524"/>
      <c r="F199" s="524"/>
      <c r="G199" s="260"/>
      <c r="H199" s="261"/>
      <c r="I199" s="259"/>
      <c r="J199" s="259"/>
    </row>
    <row r="200">
      <c r="A200" s="260"/>
      <c r="B200" s="524"/>
      <c r="C200" s="259"/>
      <c r="D200" s="261"/>
      <c r="E200" s="524"/>
      <c r="F200" s="524"/>
      <c r="G200" s="260"/>
      <c r="H200" s="261"/>
      <c r="I200" s="259"/>
      <c r="J200" s="259"/>
    </row>
    <row r="201">
      <c r="A201" s="260"/>
      <c r="B201" s="524"/>
      <c r="C201" s="259"/>
      <c r="D201" s="261"/>
      <c r="E201" s="524"/>
      <c r="F201" s="524"/>
      <c r="G201" s="260"/>
      <c r="H201" s="261"/>
      <c r="I201" s="259"/>
      <c r="J201" s="259"/>
    </row>
    <row r="202">
      <c r="A202" s="260"/>
      <c r="B202" s="524"/>
      <c r="C202" s="259"/>
      <c r="D202" s="261"/>
      <c r="E202" s="524"/>
      <c r="F202" s="524"/>
      <c r="G202" s="260"/>
      <c r="H202" s="261"/>
      <c r="I202" s="259"/>
      <c r="J202" s="259"/>
    </row>
    <row r="203">
      <c r="A203" s="260"/>
      <c r="B203" s="524"/>
      <c r="C203" s="259"/>
      <c r="D203" s="261"/>
      <c r="E203" s="524"/>
      <c r="F203" s="524"/>
      <c r="G203" s="260"/>
      <c r="H203" s="261"/>
      <c r="I203" s="259"/>
      <c r="J203" s="259"/>
    </row>
    <row r="204">
      <c r="A204" s="260"/>
      <c r="B204" s="524"/>
      <c r="C204" s="259"/>
      <c r="D204" s="261"/>
      <c r="E204" s="524"/>
      <c r="F204" s="524"/>
      <c r="G204" s="260"/>
      <c r="H204" s="261"/>
      <c r="I204" s="259"/>
      <c r="J204" s="259"/>
    </row>
    <row r="205">
      <c r="A205" s="260"/>
      <c r="B205" s="524"/>
      <c r="C205" s="259"/>
      <c r="D205" s="261"/>
      <c r="E205" s="524"/>
      <c r="F205" s="524"/>
      <c r="G205" s="260"/>
      <c r="H205" s="261"/>
      <c r="I205" s="259"/>
      <c r="J205" s="259"/>
    </row>
    <row r="206">
      <c r="A206" s="260"/>
      <c r="B206" s="524"/>
      <c r="C206" s="259"/>
      <c r="D206" s="261"/>
      <c r="E206" s="524"/>
      <c r="F206" s="524"/>
      <c r="G206" s="260"/>
      <c r="H206" s="261"/>
      <c r="I206" s="259"/>
      <c r="J206" s="259"/>
    </row>
    <row r="207">
      <c r="A207" s="260"/>
      <c r="B207" s="524"/>
      <c r="C207" s="259"/>
      <c r="D207" s="261"/>
      <c r="E207" s="524"/>
      <c r="F207" s="524"/>
      <c r="G207" s="260"/>
      <c r="H207" s="261"/>
      <c r="I207" s="259"/>
      <c r="J207" s="259"/>
    </row>
    <row r="208">
      <c r="A208" s="260"/>
      <c r="B208" s="524"/>
      <c r="C208" s="259"/>
      <c r="D208" s="261"/>
      <c r="E208" s="524"/>
      <c r="F208" s="524"/>
      <c r="G208" s="260"/>
      <c r="H208" s="261"/>
      <c r="I208" s="259"/>
      <c r="J208" s="259"/>
    </row>
    <row r="209">
      <c r="A209" s="260"/>
      <c r="B209" s="524"/>
      <c r="C209" s="259"/>
      <c r="D209" s="261"/>
      <c r="E209" s="524"/>
      <c r="F209" s="524"/>
      <c r="G209" s="260"/>
      <c r="H209" s="261"/>
      <c r="I209" s="259"/>
      <c r="J209" s="259"/>
    </row>
    <row r="210">
      <c r="A210" s="260"/>
      <c r="B210" s="524"/>
      <c r="C210" s="259"/>
      <c r="D210" s="261"/>
      <c r="E210" s="524"/>
      <c r="F210" s="524"/>
      <c r="G210" s="260"/>
      <c r="H210" s="261"/>
      <c r="I210" s="259"/>
      <c r="J210" s="259"/>
    </row>
    <row r="211">
      <c r="A211" s="260"/>
      <c r="B211" s="524"/>
      <c r="C211" s="259"/>
      <c r="D211" s="261"/>
      <c r="E211" s="524"/>
      <c r="F211" s="524"/>
      <c r="G211" s="260"/>
      <c r="H211" s="261"/>
      <c r="I211" s="259"/>
      <c r="J211" s="259"/>
    </row>
    <row r="212">
      <c r="A212" s="260"/>
      <c r="B212" s="524"/>
      <c r="C212" s="259"/>
      <c r="D212" s="261"/>
      <c r="E212" s="524"/>
      <c r="F212" s="524"/>
      <c r="G212" s="260"/>
      <c r="H212" s="261"/>
      <c r="I212" s="259"/>
      <c r="J212" s="259"/>
    </row>
    <row r="213">
      <c r="A213" s="260"/>
      <c r="B213" s="524"/>
      <c r="C213" s="259"/>
      <c r="D213" s="261"/>
      <c r="E213" s="524"/>
      <c r="F213" s="524"/>
      <c r="G213" s="260"/>
      <c r="H213" s="261"/>
      <c r="I213" s="259"/>
      <c r="J213" s="259"/>
    </row>
    <row r="214">
      <c r="A214" s="260"/>
      <c r="B214" s="524"/>
      <c r="C214" s="259"/>
      <c r="D214" s="261"/>
      <c r="E214" s="524"/>
      <c r="F214" s="524"/>
      <c r="G214" s="260"/>
      <c r="H214" s="261"/>
      <c r="I214" s="259"/>
      <c r="J214" s="259"/>
    </row>
    <row r="215">
      <c r="A215" s="260"/>
      <c r="B215" s="524"/>
      <c r="C215" s="259"/>
      <c r="D215" s="261"/>
      <c r="E215" s="524"/>
      <c r="F215" s="524"/>
      <c r="G215" s="260"/>
      <c r="H215" s="261"/>
      <c r="I215" s="259"/>
      <c r="J215" s="259"/>
    </row>
    <row r="216">
      <c r="A216" s="260"/>
      <c r="B216" s="524"/>
      <c r="C216" s="259"/>
      <c r="D216" s="261"/>
      <c r="E216" s="524"/>
      <c r="F216" s="524"/>
      <c r="G216" s="260"/>
      <c r="H216" s="261"/>
      <c r="I216" s="259"/>
      <c r="J216" s="259"/>
    </row>
    <row r="217">
      <c r="A217" s="260"/>
      <c r="B217" s="524"/>
      <c r="C217" s="259"/>
      <c r="D217" s="261"/>
      <c r="E217" s="524"/>
      <c r="F217" s="524"/>
      <c r="G217" s="260"/>
      <c r="H217" s="261"/>
      <c r="I217" s="259"/>
      <c r="J217" s="259"/>
    </row>
    <row r="218">
      <c r="A218" s="260"/>
      <c r="B218" s="524"/>
      <c r="C218" s="259"/>
      <c r="D218" s="261"/>
      <c r="E218" s="524"/>
      <c r="F218" s="524"/>
      <c r="G218" s="260"/>
      <c r="H218" s="261"/>
      <c r="I218" s="259"/>
      <c r="J218" s="259"/>
    </row>
    <row r="219">
      <c r="A219" s="260"/>
      <c r="B219" s="524"/>
      <c r="C219" s="259"/>
      <c r="D219" s="261"/>
      <c r="E219" s="524"/>
      <c r="F219" s="524"/>
      <c r="G219" s="260"/>
      <c r="H219" s="261"/>
      <c r="I219" s="259"/>
      <c r="J219" s="259"/>
    </row>
    <row r="220">
      <c r="A220" s="260"/>
      <c r="B220" s="524"/>
      <c r="C220" s="259"/>
      <c r="D220" s="261"/>
      <c r="E220" s="524"/>
      <c r="F220" s="524"/>
      <c r="G220" s="260"/>
      <c r="H220" s="261"/>
      <c r="I220" s="259"/>
      <c r="J220" s="259"/>
    </row>
    <row r="221">
      <c r="A221" s="260"/>
      <c r="B221" s="524"/>
      <c r="C221" s="259"/>
      <c r="D221" s="261"/>
      <c r="E221" s="524"/>
      <c r="F221" s="524"/>
      <c r="G221" s="260"/>
      <c r="H221" s="261"/>
      <c r="I221" s="259"/>
      <c r="J221" s="259"/>
    </row>
    <row r="222">
      <c r="A222" s="260"/>
      <c r="B222" s="524"/>
      <c r="C222" s="259"/>
      <c r="D222" s="261"/>
      <c r="E222" s="524"/>
      <c r="F222" s="524"/>
      <c r="G222" s="260"/>
      <c r="H222" s="261"/>
      <c r="I222" s="259"/>
      <c r="J222" s="259"/>
    </row>
    <row r="223">
      <c r="A223" s="260"/>
      <c r="B223" s="524"/>
      <c r="C223" s="259"/>
      <c r="D223" s="261"/>
      <c r="E223" s="524"/>
      <c r="F223" s="524"/>
      <c r="G223" s="260"/>
      <c r="H223" s="261"/>
      <c r="I223" s="259"/>
      <c r="J223" s="259"/>
    </row>
    <row r="224">
      <c r="A224" s="260"/>
      <c r="B224" s="524"/>
      <c r="C224" s="259"/>
      <c r="D224" s="261"/>
      <c r="E224" s="524"/>
      <c r="F224" s="524"/>
      <c r="G224" s="260"/>
      <c r="H224" s="261"/>
      <c r="I224" s="259"/>
      <c r="J224" s="259"/>
    </row>
    <row r="225">
      <c r="A225" s="260"/>
      <c r="B225" s="524"/>
      <c r="C225" s="259"/>
      <c r="D225" s="261"/>
      <c r="E225" s="524"/>
      <c r="F225" s="524"/>
      <c r="G225" s="260"/>
      <c r="H225" s="261"/>
      <c r="I225" s="259"/>
      <c r="J225" s="259"/>
    </row>
    <row r="226">
      <c r="A226" s="260"/>
      <c r="B226" s="524"/>
      <c r="C226" s="259"/>
      <c r="D226" s="261"/>
      <c r="E226" s="524"/>
      <c r="F226" s="524"/>
      <c r="G226" s="260"/>
      <c r="H226" s="261"/>
      <c r="I226" s="259"/>
      <c r="J226" s="259"/>
    </row>
    <row r="227">
      <c r="A227" s="260"/>
      <c r="B227" s="524"/>
      <c r="C227" s="259"/>
      <c r="D227" s="261"/>
      <c r="E227" s="524"/>
      <c r="F227" s="524"/>
      <c r="G227" s="260"/>
      <c r="H227" s="261"/>
      <c r="I227" s="259"/>
      <c r="J227" s="259"/>
    </row>
    <row r="228">
      <c r="A228" s="260"/>
      <c r="B228" s="524"/>
      <c r="C228" s="259"/>
      <c r="D228" s="261"/>
      <c r="E228" s="524"/>
      <c r="F228" s="524"/>
      <c r="G228" s="260"/>
      <c r="H228" s="261"/>
      <c r="I228" s="259"/>
      <c r="J228" s="259"/>
    </row>
    <row r="229">
      <c r="A229" s="260"/>
      <c r="B229" s="524"/>
      <c r="C229" s="259"/>
      <c r="D229" s="261"/>
      <c r="E229" s="524"/>
      <c r="F229" s="524"/>
      <c r="G229" s="260"/>
      <c r="H229" s="261"/>
      <c r="I229" s="259"/>
      <c r="J229" s="259"/>
    </row>
    <row r="230">
      <c r="A230" s="260"/>
      <c r="B230" s="524"/>
      <c r="C230" s="259"/>
      <c r="D230" s="261"/>
      <c r="E230" s="524"/>
      <c r="F230" s="524"/>
      <c r="G230" s="260"/>
      <c r="H230" s="261"/>
      <c r="I230" s="259"/>
      <c r="J230" s="259"/>
    </row>
    <row r="231">
      <c r="A231" s="260"/>
      <c r="B231" s="524"/>
      <c r="C231" s="259"/>
      <c r="D231" s="261"/>
      <c r="E231" s="524"/>
      <c r="F231" s="524"/>
      <c r="G231" s="260"/>
      <c r="H231" s="261"/>
      <c r="I231" s="259"/>
      <c r="J231" s="259"/>
    </row>
    <row r="232">
      <c r="A232" s="260"/>
      <c r="B232" s="524"/>
      <c r="C232" s="259"/>
      <c r="D232" s="261"/>
      <c r="E232" s="524"/>
      <c r="F232" s="524"/>
      <c r="G232" s="260"/>
      <c r="H232" s="261"/>
      <c r="I232" s="259"/>
      <c r="J232" s="259"/>
    </row>
    <row r="233">
      <c r="A233" s="260"/>
      <c r="B233" s="524"/>
      <c r="C233" s="259"/>
      <c r="D233" s="261"/>
      <c r="E233" s="524"/>
      <c r="F233" s="524"/>
      <c r="G233" s="260"/>
      <c r="H233" s="261"/>
      <c r="I233" s="259"/>
      <c r="J233" s="259"/>
    </row>
    <row r="234">
      <c r="A234" s="260"/>
      <c r="B234" s="524"/>
      <c r="C234" s="259"/>
      <c r="D234" s="261"/>
      <c r="E234" s="524"/>
      <c r="F234" s="524"/>
      <c r="G234" s="260"/>
      <c r="H234" s="261"/>
      <c r="I234" s="259"/>
      <c r="J234" s="259"/>
    </row>
    <row r="235">
      <c r="A235" s="260"/>
      <c r="B235" s="524"/>
      <c r="C235" s="259"/>
      <c r="D235" s="261"/>
      <c r="E235" s="524"/>
      <c r="F235" s="524"/>
      <c r="G235" s="260"/>
      <c r="H235" s="261"/>
      <c r="I235" s="259"/>
      <c r="J235" s="259"/>
    </row>
    <row r="236">
      <c r="A236" s="260"/>
      <c r="B236" s="524"/>
      <c r="C236" s="259"/>
      <c r="D236" s="261"/>
      <c r="E236" s="524"/>
      <c r="F236" s="524"/>
      <c r="G236" s="260"/>
      <c r="H236" s="261"/>
      <c r="I236" s="259"/>
      <c r="J236" s="259"/>
    </row>
    <row r="237">
      <c r="A237" s="260"/>
      <c r="B237" s="524"/>
      <c r="C237" s="259"/>
      <c r="D237" s="261"/>
      <c r="E237" s="524"/>
      <c r="F237" s="524"/>
      <c r="G237" s="260"/>
      <c r="H237" s="261"/>
      <c r="I237" s="259"/>
      <c r="J237" s="259"/>
    </row>
    <row r="238">
      <c r="A238" s="260"/>
      <c r="B238" s="524"/>
      <c r="C238" s="259"/>
      <c r="D238" s="261"/>
      <c r="E238" s="524"/>
      <c r="F238" s="524"/>
      <c r="G238" s="260"/>
      <c r="H238" s="261"/>
      <c r="I238" s="259"/>
      <c r="J238" s="259"/>
    </row>
    <row r="239">
      <c r="A239" s="260"/>
      <c r="B239" s="524"/>
      <c r="C239" s="259"/>
      <c r="D239" s="261"/>
      <c r="E239" s="524"/>
      <c r="F239" s="524"/>
      <c r="G239" s="260"/>
      <c r="H239" s="261"/>
      <c r="I239" s="259"/>
      <c r="J239" s="259"/>
    </row>
    <row r="240">
      <c r="A240" s="260"/>
      <c r="B240" s="524"/>
      <c r="C240" s="259"/>
      <c r="D240" s="261"/>
      <c r="E240" s="524"/>
      <c r="F240" s="524"/>
      <c r="G240" s="260"/>
      <c r="H240" s="261"/>
      <c r="I240" s="259"/>
      <c r="J240" s="259"/>
    </row>
    <row r="241">
      <c r="A241" s="260"/>
      <c r="B241" s="524"/>
      <c r="C241" s="259"/>
      <c r="D241" s="261"/>
      <c r="E241" s="524"/>
      <c r="F241" s="524"/>
      <c r="G241" s="260"/>
      <c r="H241" s="261"/>
      <c r="I241" s="259"/>
      <c r="J241" s="259"/>
    </row>
    <row r="242">
      <c r="A242" s="260"/>
      <c r="B242" s="524"/>
      <c r="C242" s="259"/>
      <c r="D242" s="261"/>
      <c r="E242" s="524"/>
      <c r="F242" s="524"/>
      <c r="G242" s="260"/>
      <c r="H242" s="261"/>
      <c r="I242" s="259"/>
      <c r="J242" s="259"/>
    </row>
    <row r="243">
      <c r="A243" s="260"/>
      <c r="B243" s="524"/>
      <c r="C243" s="259"/>
      <c r="D243" s="261"/>
      <c r="E243" s="524"/>
      <c r="F243" s="524"/>
      <c r="G243" s="260"/>
      <c r="H243" s="261"/>
      <c r="I243" s="259"/>
      <c r="J243" s="259"/>
    </row>
    <row r="244">
      <c r="A244" s="260"/>
      <c r="B244" s="524"/>
      <c r="C244" s="259"/>
      <c r="D244" s="261"/>
      <c r="E244" s="524"/>
      <c r="F244" s="524"/>
      <c r="G244" s="260"/>
      <c r="H244" s="261"/>
      <c r="I244" s="259"/>
      <c r="J244" s="259"/>
    </row>
    <row r="245">
      <c r="A245" s="260"/>
      <c r="B245" s="524"/>
      <c r="C245" s="259"/>
      <c r="D245" s="261"/>
      <c r="E245" s="524"/>
      <c r="F245" s="524"/>
      <c r="G245" s="260"/>
      <c r="H245" s="261"/>
      <c r="I245" s="259"/>
      <c r="J245" s="259"/>
    </row>
    <row r="246">
      <c r="A246" s="260"/>
      <c r="B246" s="524"/>
      <c r="C246" s="259"/>
      <c r="D246" s="261"/>
      <c r="E246" s="524"/>
      <c r="F246" s="524"/>
      <c r="G246" s="260"/>
      <c r="H246" s="261"/>
      <c r="I246" s="259"/>
      <c r="J246" s="259"/>
    </row>
    <row r="247">
      <c r="A247" s="260"/>
      <c r="B247" s="524"/>
      <c r="C247" s="259"/>
      <c r="D247" s="261"/>
      <c r="E247" s="524"/>
      <c r="F247" s="524"/>
      <c r="G247" s="260"/>
      <c r="H247" s="261"/>
      <c r="I247" s="259"/>
      <c r="J247" s="259"/>
    </row>
    <row r="248">
      <c r="A248" s="260"/>
      <c r="B248" s="524"/>
      <c r="C248" s="259"/>
      <c r="D248" s="261"/>
      <c r="E248" s="524"/>
      <c r="F248" s="524"/>
      <c r="G248" s="260"/>
      <c r="H248" s="261"/>
      <c r="I248" s="259"/>
      <c r="J248" s="259"/>
    </row>
    <row r="249">
      <c r="A249" s="260"/>
      <c r="B249" s="524"/>
      <c r="C249" s="259"/>
      <c r="D249" s="261"/>
      <c r="E249" s="524"/>
      <c r="F249" s="524"/>
      <c r="G249" s="260"/>
      <c r="H249" s="261"/>
      <c r="I249" s="259"/>
      <c r="J249" s="259"/>
    </row>
    <row r="250">
      <c r="A250" s="260"/>
      <c r="B250" s="524"/>
      <c r="C250" s="259"/>
      <c r="D250" s="261"/>
      <c r="E250" s="524"/>
      <c r="F250" s="524"/>
      <c r="G250" s="260"/>
      <c r="H250" s="261"/>
      <c r="I250" s="259"/>
      <c r="J250" s="259"/>
    </row>
    <row r="251">
      <c r="A251" s="260"/>
      <c r="B251" s="524"/>
      <c r="C251" s="259"/>
      <c r="D251" s="261"/>
      <c r="E251" s="524"/>
      <c r="F251" s="524"/>
      <c r="G251" s="260"/>
      <c r="H251" s="261"/>
      <c r="I251" s="259"/>
      <c r="J251" s="259"/>
    </row>
    <row r="252">
      <c r="A252" s="260"/>
      <c r="B252" s="524"/>
      <c r="C252" s="259"/>
      <c r="D252" s="261"/>
      <c r="E252" s="524"/>
      <c r="F252" s="524"/>
      <c r="G252" s="260"/>
      <c r="H252" s="261"/>
      <c r="I252" s="259"/>
      <c r="J252" s="259"/>
    </row>
    <row r="253">
      <c r="A253" s="260"/>
      <c r="B253" s="524"/>
      <c r="C253" s="259"/>
      <c r="D253" s="261"/>
      <c r="E253" s="524"/>
      <c r="F253" s="524"/>
      <c r="G253" s="260"/>
      <c r="H253" s="261"/>
      <c r="I253" s="259"/>
      <c r="J253" s="259"/>
    </row>
    <row r="254">
      <c r="A254" s="260"/>
      <c r="B254" s="524"/>
      <c r="C254" s="259"/>
      <c r="D254" s="261"/>
      <c r="E254" s="524"/>
      <c r="F254" s="524"/>
      <c r="G254" s="260"/>
      <c r="H254" s="261"/>
      <c r="I254" s="259"/>
      <c r="J254" s="259"/>
    </row>
    <row r="255">
      <c r="A255" s="260"/>
      <c r="B255" s="524"/>
      <c r="C255" s="259"/>
      <c r="D255" s="261"/>
      <c r="E255" s="524"/>
      <c r="F255" s="524"/>
      <c r="G255" s="260"/>
      <c r="H255" s="261"/>
      <c r="I255" s="259"/>
      <c r="J255" s="259"/>
    </row>
    <row r="256">
      <c r="A256" s="260"/>
      <c r="B256" s="524"/>
      <c r="C256" s="259"/>
      <c r="D256" s="261"/>
      <c r="E256" s="524"/>
      <c r="F256" s="524"/>
      <c r="G256" s="260"/>
      <c r="H256" s="261"/>
      <c r="I256" s="259"/>
      <c r="J256" s="259"/>
    </row>
    <row r="257">
      <c r="A257" s="260"/>
      <c r="B257" s="524"/>
      <c r="C257" s="259"/>
      <c r="D257" s="261"/>
      <c r="E257" s="524"/>
      <c r="F257" s="524"/>
      <c r="G257" s="260"/>
      <c r="H257" s="261"/>
      <c r="I257" s="259"/>
      <c r="J257" s="259"/>
    </row>
    <row r="258">
      <c r="A258" s="260"/>
      <c r="B258" s="524"/>
      <c r="C258" s="259"/>
      <c r="D258" s="261"/>
      <c r="E258" s="524"/>
      <c r="F258" s="524"/>
      <c r="G258" s="260"/>
      <c r="H258" s="261"/>
      <c r="I258" s="259"/>
      <c r="J258" s="259"/>
    </row>
    <row r="259">
      <c r="A259" s="260"/>
      <c r="B259" s="524"/>
      <c r="C259" s="259"/>
      <c r="D259" s="261"/>
      <c r="E259" s="524"/>
      <c r="F259" s="524"/>
      <c r="G259" s="260"/>
      <c r="H259" s="261"/>
      <c r="I259" s="259"/>
      <c r="J259" s="259"/>
    </row>
    <row r="260">
      <c r="A260" s="260"/>
      <c r="B260" s="524"/>
      <c r="C260" s="259"/>
      <c r="D260" s="261"/>
      <c r="E260" s="524"/>
      <c r="F260" s="524"/>
      <c r="G260" s="260"/>
      <c r="H260" s="261"/>
      <c r="I260" s="259"/>
      <c r="J260" s="259"/>
    </row>
    <row r="261">
      <c r="A261" s="260"/>
      <c r="B261" s="524"/>
      <c r="C261" s="259"/>
      <c r="D261" s="261"/>
      <c r="E261" s="524"/>
      <c r="F261" s="524"/>
      <c r="G261" s="260"/>
      <c r="H261" s="261"/>
      <c r="I261" s="259"/>
      <c r="J261" s="259"/>
    </row>
    <row r="262">
      <c r="A262" s="260"/>
      <c r="B262" s="524"/>
      <c r="C262" s="259"/>
      <c r="D262" s="261"/>
      <c r="E262" s="524"/>
      <c r="F262" s="524"/>
      <c r="G262" s="260"/>
      <c r="H262" s="261"/>
      <c r="I262" s="259"/>
      <c r="J262" s="259"/>
    </row>
    <row r="263">
      <c r="A263" s="260"/>
      <c r="B263" s="524"/>
      <c r="C263" s="259"/>
      <c r="D263" s="261"/>
      <c r="E263" s="524"/>
      <c r="F263" s="524"/>
      <c r="G263" s="260"/>
      <c r="H263" s="261"/>
      <c r="I263" s="259"/>
      <c r="J263" s="259"/>
    </row>
    <row r="264">
      <c r="A264" s="260"/>
      <c r="B264" s="524"/>
      <c r="C264" s="259"/>
      <c r="D264" s="261"/>
      <c r="E264" s="524"/>
      <c r="F264" s="524"/>
      <c r="G264" s="260"/>
      <c r="H264" s="261"/>
      <c r="I264" s="259"/>
      <c r="J264" s="259"/>
    </row>
    <row r="265">
      <c r="A265" s="260"/>
      <c r="B265" s="524"/>
      <c r="C265" s="259"/>
      <c r="D265" s="261"/>
      <c r="E265" s="524"/>
      <c r="F265" s="524"/>
      <c r="G265" s="260"/>
      <c r="H265" s="261"/>
      <c r="I265" s="259"/>
      <c r="J265" s="259"/>
    </row>
    <row r="266">
      <c r="A266" s="260"/>
      <c r="B266" s="524"/>
      <c r="C266" s="259"/>
      <c r="D266" s="261"/>
      <c r="E266" s="524"/>
      <c r="F266" s="524"/>
      <c r="G266" s="260"/>
      <c r="H266" s="261"/>
      <c r="I266" s="259"/>
      <c r="J266" s="259"/>
    </row>
    <row r="267">
      <c r="A267" s="260"/>
      <c r="B267" s="524"/>
      <c r="C267" s="259"/>
      <c r="D267" s="261"/>
      <c r="E267" s="524"/>
      <c r="F267" s="524"/>
      <c r="G267" s="260"/>
      <c r="H267" s="261"/>
      <c r="I267" s="259"/>
      <c r="J267" s="259"/>
    </row>
    <row r="268">
      <c r="A268" s="260"/>
      <c r="B268" s="524"/>
      <c r="C268" s="259"/>
      <c r="D268" s="261"/>
      <c r="E268" s="524"/>
      <c r="F268" s="524"/>
      <c r="G268" s="260"/>
      <c r="H268" s="261"/>
      <c r="I268" s="259"/>
      <c r="J268" s="259"/>
    </row>
    <row r="269">
      <c r="A269" s="260"/>
      <c r="B269" s="524"/>
      <c r="C269" s="259"/>
      <c r="D269" s="261"/>
      <c r="E269" s="524"/>
      <c r="F269" s="524"/>
      <c r="G269" s="260"/>
      <c r="H269" s="261"/>
      <c r="I269" s="259"/>
      <c r="J269" s="259"/>
    </row>
    <row r="270">
      <c r="A270" s="260"/>
      <c r="B270" s="524"/>
      <c r="C270" s="259"/>
      <c r="D270" s="261"/>
      <c r="E270" s="524"/>
      <c r="F270" s="524"/>
      <c r="G270" s="260"/>
      <c r="H270" s="261"/>
      <c r="I270" s="259"/>
      <c r="J270" s="259"/>
    </row>
    <row r="271">
      <c r="A271" s="260"/>
      <c r="B271" s="524"/>
      <c r="C271" s="259"/>
      <c r="D271" s="261"/>
      <c r="E271" s="524"/>
      <c r="F271" s="524"/>
      <c r="G271" s="260"/>
      <c r="H271" s="261"/>
      <c r="I271" s="259"/>
      <c r="J271" s="259"/>
    </row>
    <row r="272">
      <c r="A272" s="260"/>
      <c r="B272" s="524"/>
      <c r="C272" s="259"/>
      <c r="D272" s="261"/>
      <c r="E272" s="524"/>
      <c r="F272" s="524"/>
      <c r="G272" s="260"/>
      <c r="H272" s="261"/>
      <c r="I272" s="259"/>
      <c r="J272" s="259"/>
    </row>
    <row r="273">
      <c r="A273" s="260"/>
      <c r="B273" s="524"/>
      <c r="C273" s="259"/>
      <c r="D273" s="261"/>
      <c r="E273" s="524"/>
      <c r="F273" s="524"/>
      <c r="G273" s="260"/>
      <c r="H273" s="261"/>
      <c r="I273" s="259"/>
      <c r="J273" s="259"/>
    </row>
    <row r="274">
      <c r="A274" s="260"/>
      <c r="B274" s="524"/>
      <c r="C274" s="259"/>
      <c r="D274" s="261"/>
      <c r="E274" s="524"/>
      <c r="F274" s="524"/>
      <c r="G274" s="260"/>
      <c r="H274" s="261"/>
      <c r="I274" s="259"/>
      <c r="J274" s="259"/>
    </row>
    <row r="275">
      <c r="A275" s="260"/>
      <c r="B275" s="524"/>
      <c r="C275" s="259"/>
      <c r="D275" s="261"/>
      <c r="E275" s="524"/>
      <c r="F275" s="524"/>
      <c r="G275" s="260"/>
      <c r="H275" s="261"/>
      <c r="I275" s="259"/>
      <c r="J275" s="259"/>
    </row>
    <row r="276">
      <c r="A276" s="260"/>
      <c r="B276" s="524"/>
      <c r="C276" s="259"/>
      <c r="D276" s="261"/>
      <c r="E276" s="524"/>
      <c r="F276" s="524"/>
      <c r="G276" s="260"/>
      <c r="H276" s="261"/>
      <c r="I276" s="259"/>
      <c r="J276" s="259"/>
    </row>
    <row r="277">
      <c r="A277" s="260"/>
      <c r="B277" s="524"/>
      <c r="C277" s="259"/>
      <c r="D277" s="261"/>
      <c r="E277" s="524"/>
      <c r="F277" s="524"/>
      <c r="G277" s="260"/>
      <c r="H277" s="261"/>
      <c r="I277" s="259"/>
      <c r="J277" s="259"/>
    </row>
    <row r="278">
      <c r="A278" s="260"/>
      <c r="B278" s="524"/>
      <c r="C278" s="259"/>
      <c r="D278" s="261"/>
      <c r="E278" s="524"/>
      <c r="F278" s="524"/>
      <c r="G278" s="260"/>
      <c r="H278" s="261"/>
      <c r="I278" s="259"/>
      <c r="J278" s="259"/>
    </row>
    <row r="279">
      <c r="A279" s="260"/>
      <c r="B279" s="524"/>
      <c r="C279" s="259"/>
      <c r="D279" s="261"/>
      <c r="E279" s="524"/>
      <c r="F279" s="524"/>
      <c r="G279" s="260"/>
      <c r="H279" s="261"/>
      <c r="I279" s="259"/>
      <c r="J279" s="259"/>
    </row>
    <row r="280">
      <c r="A280" s="260"/>
      <c r="B280" s="524"/>
      <c r="C280" s="259"/>
      <c r="D280" s="261"/>
      <c r="E280" s="524"/>
      <c r="F280" s="524"/>
      <c r="G280" s="260"/>
      <c r="H280" s="261"/>
      <c r="I280" s="259"/>
      <c r="J280" s="259"/>
    </row>
    <row r="281">
      <c r="A281" s="260"/>
      <c r="B281" s="524"/>
      <c r="C281" s="259"/>
      <c r="D281" s="261"/>
      <c r="E281" s="524"/>
      <c r="F281" s="524"/>
      <c r="G281" s="262"/>
      <c r="H281" s="261"/>
      <c r="I281" s="259"/>
      <c r="J281" s="259"/>
    </row>
    <row r="282">
      <c r="A282" s="260"/>
      <c r="B282" s="524"/>
      <c r="C282" s="259"/>
      <c r="D282" s="261"/>
      <c r="E282" s="524"/>
      <c r="F282" s="524"/>
      <c r="G282" s="262"/>
      <c r="H282" s="261"/>
      <c r="I282" s="259"/>
      <c r="J282" s="259"/>
    </row>
    <row r="283">
      <c r="A283" s="260"/>
      <c r="B283" s="524"/>
      <c r="C283" s="259"/>
      <c r="D283" s="261"/>
      <c r="E283" s="524"/>
      <c r="F283" s="524"/>
      <c r="G283" s="262"/>
      <c r="H283" s="261"/>
      <c r="I283" s="259"/>
      <c r="J283" s="259"/>
    </row>
    <row r="284">
      <c r="A284" s="260"/>
      <c r="B284" s="524"/>
      <c r="C284" s="259"/>
      <c r="D284" s="261"/>
      <c r="E284" s="524"/>
      <c r="F284" s="524"/>
      <c r="G284" s="262"/>
      <c r="H284" s="261"/>
      <c r="I284" s="259"/>
      <c r="J284" s="259"/>
    </row>
    <row r="285">
      <c r="A285" s="260"/>
      <c r="B285" s="524"/>
      <c r="C285" s="259"/>
      <c r="D285" s="261"/>
      <c r="E285" s="524"/>
      <c r="F285" s="524"/>
      <c r="G285" s="262"/>
      <c r="H285" s="261"/>
      <c r="I285" s="259"/>
      <c r="J285" s="259"/>
    </row>
    <row r="286">
      <c r="A286" s="260"/>
      <c r="B286" s="524"/>
      <c r="C286" s="259"/>
      <c r="D286" s="261"/>
      <c r="E286" s="524"/>
      <c r="F286" s="524"/>
      <c r="G286" s="262"/>
      <c r="H286" s="261"/>
      <c r="I286" s="259"/>
      <c r="J286" s="259"/>
    </row>
    <row r="287">
      <c r="A287" s="260"/>
      <c r="B287" s="524"/>
      <c r="C287" s="259"/>
      <c r="D287" s="261"/>
      <c r="E287" s="524"/>
      <c r="F287" s="524"/>
      <c r="G287" s="262"/>
      <c r="H287" s="261"/>
      <c r="I287" s="259"/>
      <c r="J287" s="259"/>
    </row>
    <row r="288">
      <c r="A288" s="260"/>
      <c r="B288" s="524"/>
      <c r="C288" s="259"/>
      <c r="D288" s="261"/>
      <c r="E288" s="524"/>
      <c r="F288" s="524"/>
      <c r="G288" s="262"/>
      <c r="H288" s="261"/>
      <c r="I288" s="259"/>
      <c r="J288" s="259"/>
    </row>
    <row r="289">
      <c r="A289" s="260"/>
      <c r="B289" s="524"/>
      <c r="C289" s="259"/>
      <c r="D289" s="261"/>
      <c r="E289" s="524"/>
      <c r="F289" s="524"/>
      <c r="G289" s="262"/>
      <c r="H289" s="261"/>
      <c r="I289" s="259"/>
      <c r="J289" s="259"/>
    </row>
    <row r="290">
      <c r="A290" s="260"/>
      <c r="B290" s="524"/>
      <c r="C290" s="259"/>
      <c r="D290" s="261"/>
      <c r="E290" s="524"/>
      <c r="F290" s="524"/>
      <c r="G290" s="262"/>
      <c r="H290" s="261"/>
      <c r="I290" s="259"/>
      <c r="J290" s="259"/>
    </row>
    <row r="291">
      <c r="A291" s="260"/>
      <c r="B291" s="524"/>
      <c r="C291" s="259"/>
      <c r="D291" s="261"/>
      <c r="E291" s="524"/>
      <c r="F291" s="524"/>
      <c r="G291" s="262"/>
      <c r="H291" s="261"/>
      <c r="I291" s="259"/>
      <c r="J291" s="259"/>
    </row>
    <row r="292">
      <c r="A292" s="260"/>
      <c r="B292" s="524"/>
      <c r="C292" s="259"/>
      <c r="D292" s="261"/>
      <c r="E292" s="524"/>
      <c r="F292" s="524"/>
      <c r="G292" s="262"/>
      <c r="H292" s="261"/>
      <c r="I292" s="259"/>
      <c r="J292" s="259"/>
    </row>
    <row r="293">
      <c r="A293" s="260"/>
      <c r="B293" s="524"/>
      <c r="C293" s="259"/>
      <c r="D293" s="261"/>
      <c r="E293" s="524"/>
      <c r="F293" s="524"/>
      <c r="G293" s="262"/>
      <c r="H293" s="261"/>
      <c r="I293" s="259"/>
      <c r="J293" s="259"/>
    </row>
    <row r="294">
      <c r="A294" s="260"/>
      <c r="B294" s="524"/>
      <c r="C294" s="259"/>
      <c r="D294" s="261"/>
      <c r="E294" s="524"/>
      <c r="F294" s="524"/>
      <c r="G294" s="262"/>
      <c r="H294" s="261"/>
      <c r="I294" s="259"/>
      <c r="J294" s="259"/>
    </row>
    <row r="295">
      <c r="A295" s="260"/>
      <c r="B295" s="524"/>
      <c r="C295" s="259"/>
      <c r="D295" s="261"/>
      <c r="E295" s="524"/>
      <c r="F295" s="524"/>
      <c r="G295" s="262"/>
      <c r="H295" s="261"/>
      <c r="I295" s="259"/>
      <c r="J295" s="259"/>
    </row>
    <row r="296">
      <c r="A296" s="260"/>
      <c r="B296" s="524"/>
      <c r="C296" s="259"/>
      <c r="D296" s="261"/>
      <c r="E296" s="524"/>
      <c r="F296" s="524"/>
      <c r="G296" s="262"/>
      <c r="H296" s="261"/>
      <c r="I296" s="259"/>
      <c r="J296" s="259"/>
    </row>
    <row r="297">
      <c r="A297" s="260"/>
      <c r="B297" s="524"/>
      <c r="C297" s="259"/>
      <c r="D297" s="261"/>
      <c r="E297" s="524"/>
      <c r="F297" s="524"/>
      <c r="G297" s="262"/>
      <c r="H297" s="261"/>
      <c r="I297" s="259"/>
      <c r="J297" s="259"/>
    </row>
    <row r="298">
      <c r="A298" s="260"/>
      <c r="B298" s="524"/>
      <c r="C298" s="259"/>
      <c r="D298" s="261"/>
      <c r="E298" s="524"/>
      <c r="F298" s="524"/>
      <c r="G298" s="262"/>
      <c r="H298" s="261"/>
      <c r="I298" s="259"/>
      <c r="J298" s="259"/>
    </row>
    <row r="299">
      <c r="A299" s="260"/>
      <c r="B299" s="524"/>
      <c r="C299" s="259"/>
      <c r="D299" s="261"/>
      <c r="E299" s="524"/>
      <c r="F299" s="524"/>
      <c r="G299" s="262"/>
      <c r="H299" s="261"/>
      <c r="I299" s="259"/>
      <c r="J299" s="259"/>
    </row>
    <row r="300">
      <c r="A300" s="260"/>
      <c r="B300" s="524"/>
      <c r="C300" s="259"/>
      <c r="D300" s="261"/>
      <c r="E300" s="524"/>
      <c r="F300" s="524"/>
      <c r="G300" s="262"/>
      <c r="H300" s="261"/>
      <c r="I300" s="259"/>
      <c r="J300" s="259"/>
    </row>
    <row r="301">
      <c r="A301" s="260"/>
      <c r="B301" s="524"/>
      <c r="C301" s="259"/>
      <c r="D301" s="261"/>
      <c r="E301" s="524"/>
      <c r="F301" s="524"/>
      <c r="G301" s="262"/>
      <c r="H301" s="261"/>
      <c r="I301" s="259"/>
      <c r="J301" s="259"/>
    </row>
    <row r="302">
      <c r="A302" s="260"/>
      <c r="B302" s="524"/>
      <c r="C302" s="259"/>
      <c r="D302" s="261"/>
      <c r="E302" s="524"/>
      <c r="F302" s="524"/>
      <c r="G302" s="262"/>
      <c r="H302" s="261"/>
      <c r="I302" s="259"/>
      <c r="J302" s="259"/>
    </row>
    <row r="303">
      <c r="A303" s="260"/>
      <c r="B303" s="524"/>
      <c r="C303" s="259"/>
      <c r="D303" s="261"/>
      <c r="E303" s="524"/>
      <c r="F303" s="524"/>
      <c r="G303" s="262"/>
      <c r="H303" s="261"/>
      <c r="I303" s="259"/>
      <c r="J303" s="259"/>
    </row>
    <row r="304">
      <c r="A304" s="260"/>
      <c r="B304" s="524"/>
      <c r="C304" s="259"/>
      <c r="D304" s="261"/>
      <c r="E304" s="524"/>
      <c r="F304" s="524"/>
      <c r="G304" s="262"/>
      <c r="H304" s="261"/>
      <c r="I304" s="259"/>
      <c r="J304" s="259"/>
    </row>
    <row r="305">
      <c r="A305" s="260"/>
      <c r="B305" s="524"/>
      <c r="C305" s="259"/>
      <c r="D305" s="261"/>
      <c r="E305" s="524"/>
      <c r="F305" s="524"/>
      <c r="G305" s="262"/>
      <c r="H305" s="261"/>
      <c r="I305" s="259"/>
      <c r="J305" s="259"/>
    </row>
    <row r="306">
      <c r="A306" s="260"/>
      <c r="B306" s="524"/>
      <c r="C306" s="259"/>
      <c r="D306" s="261"/>
      <c r="E306" s="524"/>
      <c r="F306" s="524"/>
      <c r="G306" s="262"/>
      <c r="H306" s="261"/>
      <c r="I306" s="259"/>
      <c r="J306" s="259"/>
    </row>
    <row r="307">
      <c r="A307" s="260"/>
      <c r="B307" s="524"/>
      <c r="C307" s="259"/>
      <c r="D307" s="261"/>
      <c r="E307" s="524"/>
      <c r="F307" s="524"/>
      <c r="G307" s="262"/>
      <c r="H307" s="261"/>
      <c r="I307" s="259"/>
      <c r="J307" s="259"/>
    </row>
    <row r="308">
      <c r="A308" s="260"/>
      <c r="B308" s="524"/>
      <c r="C308" s="259"/>
      <c r="D308" s="261"/>
      <c r="E308" s="524"/>
      <c r="F308" s="524"/>
      <c r="G308" s="262"/>
      <c r="H308" s="261"/>
      <c r="I308" s="259"/>
      <c r="J308" s="259"/>
    </row>
    <row r="309">
      <c r="A309" s="260"/>
      <c r="B309" s="524"/>
      <c r="C309" s="259"/>
      <c r="D309" s="261"/>
      <c r="E309" s="524"/>
      <c r="F309" s="524"/>
      <c r="G309" s="262"/>
      <c r="H309" s="261"/>
      <c r="I309" s="259"/>
      <c r="J309" s="259"/>
    </row>
    <row r="310">
      <c r="A310" s="260"/>
      <c r="B310" s="524"/>
      <c r="C310" s="259"/>
      <c r="D310" s="261"/>
      <c r="E310" s="524"/>
      <c r="F310" s="524"/>
      <c r="G310" s="262"/>
      <c r="H310" s="261"/>
      <c r="I310" s="259"/>
      <c r="J310" s="259"/>
    </row>
    <row r="311">
      <c r="A311" s="260"/>
      <c r="B311" s="524"/>
      <c r="C311" s="259"/>
      <c r="D311" s="261"/>
      <c r="E311" s="524"/>
      <c r="F311" s="524"/>
      <c r="G311" s="262"/>
      <c r="H311" s="261"/>
      <c r="I311" s="259"/>
      <c r="J311" s="259"/>
    </row>
    <row r="312">
      <c r="A312" s="260"/>
      <c r="B312" s="524"/>
      <c r="C312" s="259"/>
      <c r="D312" s="261"/>
      <c r="E312" s="524"/>
      <c r="F312" s="524"/>
      <c r="G312" s="262"/>
      <c r="H312" s="261"/>
      <c r="I312" s="259"/>
      <c r="J312" s="259"/>
    </row>
    <row r="313">
      <c r="A313" s="260"/>
      <c r="B313" s="524"/>
      <c r="C313" s="259"/>
      <c r="D313" s="261"/>
      <c r="E313" s="524"/>
      <c r="F313" s="524"/>
      <c r="G313" s="262"/>
      <c r="H313" s="261"/>
      <c r="I313" s="259"/>
      <c r="J313" s="259"/>
    </row>
    <row r="314">
      <c r="A314" s="260"/>
      <c r="B314" s="524"/>
      <c r="C314" s="259"/>
      <c r="D314" s="261"/>
      <c r="E314" s="524"/>
      <c r="F314" s="524"/>
      <c r="G314" s="262"/>
      <c r="H314" s="261"/>
      <c r="I314" s="259"/>
      <c r="J314" s="259"/>
    </row>
    <row r="315">
      <c r="A315" s="260"/>
      <c r="B315" s="524"/>
      <c r="C315" s="259"/>
      <c r="D315" s="261"/>
      <c r="E315" s="524"/>
      <c r="F315" s="524"/>
      <c r="G315" s="262"/>
      <c r="H315" s="261"/>
      <c r="I315" s="259"/>
      <c r="J315" s="259"/>
    </row>
    <row r="316">
      <c r="A316" s="260"/>
      <c r="B316" s="524"/>
      <c r="C316" s="259"/>
      <c r="D316" s="261"/>
      <c r="E316" s="524"/>
      <c r="F316" s="524"/>
      <c r="G316" s="262"/>
      <c r="H316" s="261"/>
      <c r="I316" s="259"/>
      <c r="J316" s="259"/>
    </row>
    <row r="317">
      <c r="A317" s="260"/>
      <c r="B317" s="524"/>
      <c r="C317" s="259"/>
      <c r="D317" s="261"/>
      <c r="E317" s="524"/>
      <c r="F317" s="524"/>
      <c r="G317" s="262"/>
      <c r="H317" s="261"/>
      <c r="I317" s="259"/>
      <c r="J317" s="259"/>
    </row>
    <row r="318">
      <c r="A318" s="260"/>
      <c r="B318" s="524"/>
      <c r="C318" s="259"/>
      <c r="D318" s="261"/>
      <c r="E318" s="524"/>
      <c r="F318" s="524"/>
      <c r="G318" s="262"/>
      <c r="H318" s="261"/>
      <c r="I318" s="259"/>
      <c r="J318" s="259"/>
    </row>
    <row r="319">
      <c r="A319" s="260"/>
      <c r="B319" s="524"/>
      <c r="C319" s="259"/>
      <c r="D319" s="261"/>
      <c r="E319" s="524"/>
      <c r="F319" s="524"/>
      <c r="G319" s="262"/>
      <c r="H319" s="261"/>
      <c r="I319" s="259"/>
      <c r="J319" s="259"/>
    </row>
    <row r="320">
      <c r="A320" s="260"/>
      <c r="B320" s="524"/>
      <c r="C320" s="259"/>
      <c r="D320" s="261"/>
      <c r="E320" s="524"/>
      <c r="F320" s="524"/>
      <c r="G320" s="262"/>
      <c r="H320" s="261"/>
      <c r="I320" s="259"/>
      <c r="J320" s="259"/>
    </row>
    <row r="321">
      <c r="A321" s="260"/>
      <c r="B321" s="524"/>
      <c r="C321" s="259"/>
      <c r="D321" s="261"/>
      <c r="E321" s="524"/>
      <c r="F321" s="524"/>
      <c r="G321" s="262"/>
      <c r="H321" s="261"/>
      <c r="I321" s="259"/>
      <c r="J321" s="259"/>
    </row>
    <row r="322">
      <c r="A322" s="260"/>
      <c r="B322" s="524"/>
      <c r="C322" s="259"/>
      <c r="D322" s="261"/>
      <c r="E322" s="524"/>
      <c r="F322" s="524"/>
      <c r="G322" s="262"/>
      <c r="H322" s="261"/>
      <c r="I322" s="259"/>
      <c r="J322" s="259"/>
    </row>
    <row r="323">
      <c r="A323" s="260"/>
      <c r="B323" s="524"/>
      <c r="C323" s="259"/>
      <c r="D323" s="261"/>
      <c r="E323" s="524"/>
      <c r="F323" s="524"/>
      <c r="G323" s="262"/>
      <c r="H323" s="261"/>
      <c r="I323" s="259"/>
      <c r="J323" s="259"/>
    </row>
    <row r="324">
      <c r="A324" s="260"/>
      <c r="B324" s="524"/>
      <c r="C324" s="259"/>
      <c r="D324" s="261"/>
      <c r="E324" s="524"/>
      <c r="F324" s="524"/>
      <c r="G324" s="262"/>
      <c r="H324" s="261"/>
      <c r="I324" s="259"/>
      <c r="J324" s="259"/>
    </row>
    <row r="325">
      <c r="A325" s="260"/>
      <c r="B325" s="524"/>
      <c r="C325" s="259"/>
      <c r="D325" s="261"/>
      <c r="E325" s="524"/>
      <c r="F325" s="524"/>
      <c r="G325" s="262"/>
      <c r="H325" s="261"/>
      <c r="I325" s="259"/>
      <c r="J325" s="259"/>
    </row>
    <row r="326">
      <c r="A326" s="260"/>
      <c r="B326" s="524"/>
      <c r="C326" s="259"/>
      <c r="D326" s="261"/>
      <c r="E326" s="524"/>
      <c r="F326" s="524"/>
      <c r="G326" s="262"/>
      <c r="H326" s="261"/>
      <c r="I326" s="259"/>
      <c r="J326" s="259"/>
    </row>
    <row r="327">
      <c r="A327" s="260"/>
      <c r="B327" s="524"/>
      <c r="C327" s="259"/>
      <c r="D327" s="261"/>
      <c r="E327" s="524"/>
      <c r="F327" s="524"/>
      <c r="G327" s="262"/>
      <c r="H327" s="261"/>
      <c r="I327" s="259"/>
      <c r="J327" s="259"/>
    </row>
    <row r="328">
      <c r="A328" s="260"/>
      <c r="B328" s="524"/>
      <c r="C328" s="259"/>
      <c r="D328" s="261"/>
      <c r="E328" s="524"/>
      <c r="F328" s="524"/>
      <c r="G328" s="262"/>
      <c r="H328" s="261"/>
      <c r="I328" s="259"/>
      <c r="J328" s="259"/>
    </row>
    <row r="329">
      <c r="A329" s="260"/>
      <c r="B329" s="524"/>
      <c r="C329" s="259"/>
      <c r="D329" s="261"/>
      <c r="E329" s="524"/>
      <c r="F329" s="524"/>
      <c r="G329" s="262"/>
      <c r="H329" s="261"/>
      <c r="I329" s="259"/>
      <c r="J329" s="259"/>
    </row>
    <row r="330">
      <c r="A330" s="260"/>
      <c r="B330" s="524"/>
      <c r="C330" s="259"/>
      <c r="D330" s="261"/>
      <c r="E330" s="524"/>
      <c r="F330" s="524"/>
      <c r="G330" s="262"/>
      <c r="H330" s="261"/>
      <c r="I330" s="259"/>
      <c r="J330" s="259"/>
    </row>
    <row r="331">
      <c r="A331" s="260"/>
      <c r="B331" s="524"/>
      <c r="C331" s="259"/>
      <c r="D331" s="261"/>
      <c r="E331" s="524"/>
      <c r="F331" s="524"/>
      <c r="G331" s="262"/>
      <c r="H331" s="261"/>
      <c r="I331" s="259"/>
      <c r="J331" s="259"/>
    </row>
    <row r="332">
      <c r="A332" s="260"/>
      <c r="B332" s="524"/>
      <c r="C332" s="259"/>
      <c r="D332" s="261"/>
      <c r="E332" s="524"/>
      <c r="F332" s="524"/>
      <c r="G332" s="262"/>
      <c r="H332" s="261"/>
      <c r="I332" s="259"/>
      <c r="J332" s="259"/>
    </row>
    <row r="333">
      <c r="A333" s="260"/>
      <c r="B333" s="524"/>
      <c r="C333" s="259"/>
      <c r="D333" s="261"/>
      <c r="E333" s="524"/>
      <c r="F333" s="524"/>
      <c r="G333" s="262"/>
      <c r="H333" s="261"/>
      <c r="I333" s="259"/>
      <c r="J333" s="259"/>
    </row>
    <row r="334">
      <c r="A334" s="260"/>
      <c r="B334" s="524"/>
      <c r="C334" s="259"/>
      <c r="D334" s="261"/>
      <c r="E334" s="524"/>
      <c r="F334" s="524"/>
      <c r="G334" s="262"/>
      <c r="H334" s="261"/>
      <c r="I334" s="259"/>
      <c r="J334" s="259"/>
    </row>
    <row r="335">
      <c r="A335" s="260"/>
      <c r="B335" s="524"/>
      <c r="C335" s="259"/>
      <c r="D335" s="261"/>
      <c r="E335" s="524"/>
      <c r="F335" s="524"/>
      <c r="G335" s="262"/>
      <c r="H335" s="261"/>
      <c r="I335" s="259"/>
      <c r="J335" s="259"/>
    </row>
    <row r="336">
      <c r="A336" s="260"/>
      <c r="B336" s="524"/>
      <c r="C336" s="259"/>
      <c r="D336" s="261"/>
      <c r="E336" s="524"/>
      <c r="F336" s="524"/>
      <c r="G336" s="262"/>
      <c r="H336" s="261"/>
      <c r="I336" s="259"/>
      <c r="J336" s="259"/>
    </row>
    <row r="337">
      <c r="A337" s="260"/>
      <c r="B337" s="524"/>
      <c r="C337" s="259"/>
      <c r="D337" s="261"/>
      <c r="E337" s="524"/>
      <c r="F337" s="524"/>
      <c r="G337" s="262"/>
      <c r="H337" s="261"/>
      <c r="I337" s="259"/>
      <c r="J337" s="259"/>
    </row>
    <row r="338">
      <c r="A338" s="260"/>
      <c r="B338" s="524"/>
      <c r="C338" s="259"/>
      <c r="D338" s="261"/>
      <c r="E338" s="524"/>
      <c r="F338" s="524"/>
      <c r="G338" s="262"/>
      <c r="H338" s="261"/>
      <c r="I338" s="259"/>
      <c r="J338" s="259"/>
    </row>
    <row r="339">
      <c r="A339" s="260"/>
      <c r="B339" s="524"/>
      <c r="C339" s="259"/>
      <c r="D339" s="261"/>
      <c r="E339" s="524"/>
      <c r="F339" s="524"/>
      <c r="G339" s="262"/>
      <c r="H339" s="261"/>
      <c r="I339" s="259"/>
      <c r="J339" s="259"/>
    </row>
    <row r="340">
      <c r="A340" s="260"/>
      <c r="B340" s="524"/>
      <c r="C340" s="259"/>
      <c r="D340" s="261"/>
      <c r="E340" s="524"/>
      <c r="F340" s="524"/>
      <c r="G340" s="262"/>
      <c r="H340" s="261"/>
      <c r="I340" s="259"/>
      <c r="J340" s="259"/>
    </row>
    <row r="341">
      <c r="A341" s="260"/>
      <c r="B341" s="524"/>
      <c r="C341" s="259"/>
      <c r="D341" s="261"/>
      <c r="E341" s="524"/>
      <c r="F341" s="524"/>
      <c r="G341" s="262"/>
      <c r="H341" s="261"/>
      <c r="I341" s="259"/>
      <c r="J341" s="259"/>
    </row>
    <row r="342">
      <c r="A342" s="260"/>
      <c r="B342" s="524"/>
      <c r="C342" s="259"/>
      <c r="D342" s="261"/>
      <c r="E342" s="524"/>
      <c r="F342" s="524"/>
      <c r="G342" s="262"/>
      <c r="H342" s="261"/>
      <c r="I342" s="259"/>
      <c r="J342" s="259"/>
    </row>
    <row r="343">
      <c r="A343" s="260"/>
      <c r="B343" s="524"/>
      <c r="C343" s="259"/>
      <c r="D343" s="261"/>
      <c r="E343" s="524"/>
      <c r="F343" s="524"/>
      <c r="G343" s="262"/>
      <c r="H343" s="261"/>
      <c r="I343" s="259"/>
      <c r="J343" s="259"/>
    </row>
    <row r="344">
      <c r="A344" s="260"/>
      <c r="B344" s="524"/>
      <c r="C344" s="259"/>
      <c r="D344" s="261"/>
      <c r="E344" s="524"/>
      <c r="F344" s="524"/>
      <c r="G344" s="262"/>
      <c r="H344" s="261"/>
      <c r="I344" s="259"/>
      <c r="J344" s="259"/>
    </row>
    <row r="345">
      <c r="A345" s="260"/>
      <c r="B345" s="524"/>
      <c r="C345" s="259"/>
      <c r="D345" s="261"/>
      <c r="E345" s="524"/>
      <c r="F345" s="524"/>
      <c r="G345" s="262"/>
      <c r="H345" s="261"/>
      <c r="I345" s="259"/>
      <c r="J345" s="259"/>
    </row>
    <row r="346">
      <c r="A346" s="260"/>
      <c r="B346" s="524"/>
      <c r="C346" s="259"/>
      <c r="D346" s="261"/>
      <c r="E346" s="524"/>
      <c r="F346" s="524"/>
      <c r="G346" s="262"/>
      <c r="H346" s="261"/>
      <c r="I346" s="259"/>
      <c r="J346" s="259"/>
    </row>
    <row r="347">
      <c r="A347" s="260"/>
      <c r="B347" s="524"/>
      <c r="C347" s="259"/>
      <c r="D347" s="261"/>
      <c r="E347" s="524"/>
      <c r="F347" s="524"/>
      <c r="G347" s="262"/>
      <c r="H347" s="261"/>
      <c r="I347" s="259"/>
      <c r="J347" s="259"/>
    </row>
    <row r="348">
      <c r="A348" s="260"/>
      <c r="B348" s="524"/>
      <c r="C348" s="259"/>
      <c r="D348" s="261"/>
      <c r="E348" s="524"/>
      <c r="F348" s="524"/>
      <c r="G348" s="262"/>
      <c r="H348" s="261"/>
      <c r="I348" s="259"/>
      <c r="J348" s="259"/>
    </row>
    <row r="349">
      <c r="A349" s="260"/>
      <c r="B349" s="524"/>
      <c r="C349" s="259"/>
      <c r="D349" s="261"/>
      <c r="E349" s="524"/>
      <c r="F349" s="524"/>
      <c r="G349" s="262"/>
      <c r="H349" s="261"/>
      <c r="I349" s="259"/>
      <c r="J349" s="259"/>
    </row>
    <row r="350">
      <c r="A350" s="260"/>
      <c r="B350" s="524"/>
      <c r="C350" s="259"/>
      <c r="D350" s="261"/>
      <c r="E350" s="524"/>
      <c r="F350" s="524"/>
      <c r="G350" s="262"/>
      <c r="H350" s="261"/>
      <c r="I350" s="259"/>
      <c r="J350" s="259"/>
    </row>
    <row r="351">
      <c r="A351" s="260"/>
      <c r="B351" s="524"/>
      <c r="C351" s="259"/>
      <c r="D351" s="261"/>
      <c r="E351" s="524"/>
      <c r="F351" s="524"/>
      <c r="G351" s="262"/>
      <c r="H351" s="261"/>
      <c r="I351" s="259"/>
      <c r="J351" s="259"/>
    </row>
    <row r="352">
      <c r="A352" s="260"/>
      <c r="B352" s="524"/>
      <c r="C352" s="259"/>
      <c r="D352" s="261"/>
      <c r="E352" s="524"/>
      <c r="F352" s="524"/>
      <c r="G352" s="262"/>
      <c r="H352" s="261"/>
      <c r="I352" s="259"/>
      <c r="J352" s="259"/>
    </row>
    <row r="353">
      <c r="A353" s="260"/>
      <c r="B353" s="524"/>
      <c r="C353" s="259"/>
      <c r="D353" s="261"/>
      <c r="E353" s="524"/>
      <c r="F353" s="524"/>
      <c r="G353" s="262"/>
      <c r="H353" s="261"/>
      <c r="I353" s="259"/>
      <c r="J353" s="259"/>
    </row>
    <row r="354">
      <c r="A354" s="260"/>
      <c r="B354" s="524"/>
      <c r="C354" s="259"/>
      <c r="D354" s="261"/>
      <c r="E354" s="524"/>
      <c r="F354" s="524"/>
      <c r="G354" s="262"/>
      <c r="H354" s="261"/>
      <c r="I354" s="259"/>
      <c r="J354" s="259"/>
    </row>
    <row r="355">
      <c r="A355" s="260"/>
      <c r="B355" s="524"/>
      <c r="C355" s="259"/>
      <c r="D355" s="261"/>
      <c r="E355" s="524"/>
      <c r="F355" s="524"/>
      <c r="G355" s="262"/>
      <c r="H355" s="261"/>
      <c r="I355" s="259"/>
      <c r="J355" s="259"/>
    </row>
    <row r="356">
      <c r="A356" s="260"/>
      <c r="B356" s="524"/>
      <c r="C356" s="259"/>
      <c r="D356" s="261"/>
      <c r="E356" s="524"/>
      <c r="F356" s="524"/>
      <c r="G356" s="262"/>
      <c r="H356" s="261"/>
      <c r="I356" s="259"/>
      <c r="J356" s="259"/>
    </row>
    <row r="357">
      <c r="A357" s="260"/>
      <c r="B357" s="524"/>
      <c r="C357" s="259"/>
      <c r="D357" s="261"/>
      <c r="E357" s="524"/>
      <c r="F357" s="524"/>
      <c r="G357" s="262"/>
      <c r="H357" s="261"/>
      <c r="I357" s="259"/>
      <c r="J357" s="259"/>
    </row>
    <row r="358">
      <c r="A358" s="260"/>
      <c r="B358" s="524"/>
      <c r="C358" s="259"/>
      <c r="D358" s="261"/>
      <c r="E358" s="524"/>
      <c r="F358" s="524"/>
      <c r="G358" s="262"/>
      <c r="H358" s="261"/>
      <c r="I358" s="259"/>
      <c r="J358" s="259"/>
    </row>
    <row r="359">
      <c r="A359" s="260"/>
      <c r="B359" s="524"/>
      <c r="C359" s="259"/>
      <c r="D359" s="261"/>
      <c r="E359" s="524"/>
      <c r="F359" s="524"/>
      <c r="G359" s="262"/>
      <c r="H359" s="261"/>
      <c r="I359" s="259"/>
      <c r="J359" s="259"/>
    </row>
    <row r="360">
      <c r="A360" s="260"/>
      <c r="B360" s="524"/>
      <c r="C360" s="259"/>
      <c r="D360" s="261"/>
      <c r="E360" s="524"/>
      <c r="F360" s="524"/>
      <c r="G360" s="262"/>
      <c r="H360" s="261"/>
      <c r="I360" s="259"/>
      <c r="J360" s="259"/>
    </row>
    <row r="361">
      <c r="A361" s="260"/>
      <c r="B361" s="524"/>
      <c r="C361" s="259"/>
      <c r="D361" s="261"/>
      <c r="E361" s="524"/>
      <c r="F361" s="524"/>
      <c r="G361" s="262"/>
      <c r="H361" s="261"/>
      <c r="I361" s="259"/>
      <c r="J361" s="259"/>
    </row>
    <row r="362">
      <c r="A362" s="260"/>
      <c r="B362" s="524"/>
      <c r="C362" s="259"/>
      <c r="D362" s="261"/>
      <c r="E362" s="524"/>
      <c r="F362" s="524"/>
      <c r="G362" s="262"/>
      <c r="H362" s="261"/>
      <c r="I362" s="259"/>
      <c r="J362" s="259"/>
    </row>
    <row r="363">
      <c r="A363" s="260"/>
      <c r="B363" s="524"/>
      <c r="C363" s="259"/>
      <c r="D363" s="261"/>
      <c r="E363" s="524"/>
      <c r="F363" s="524"/>
      <c r="G363" s="262"/>
      <c r="H363" s="261"/>
      <c r="I363" s="259"/>
      <c r="J363" s="259"/>
    </row>
    <row r="364">
      <c r="A364" s="260"/>
      <c r="B364" s="524"/>
      <c r="C364" s="259"/>
      <c r="D364" s="261"/>
      <c r="E364" s="524"/>
      <c r="F364" s="524"/>
      <c r="G364" s="262"/>
      <c r="H364" s="261"/>
      <c r="I364" s="259"/>
      <c r="J364" s="259"/>
    </row>
    <row r="365">
      <c r="A365" s="260"/>
      <c r="B365" s="524"/>
      <c r="C365" s="259"/>
      <c r="D365" s="261"/>
      <c r="E365" s="524"/>
      <c r="F365" s="524"/>
      <c r="G365" s="262"/>
      <c r="H365" s="261"/>
      <c r="I365" s="259"/>
      <c r="J365" s="259"/>
    </row>
    <row r="366">
      <c r="A366" s="260"/>
      <c r="B366" s="524"/>
      <c r="C366" s="259"/>
      <c r="D366" s="261"/>
      <c r="E366" s="524"/>
      <c r="F366" s="524"/>
      <c r="G366" s="262"/>
      <c r="H366" s="261"/>
      <c r="I366" s="259"/>
      <c r="J366" s="259"/>
    </row>
    <row r="367">
      <c r="A367" s="260"/>
      <c r="B367" s="524"/>
      <c r="C367" s="259"/>
      <c r="D367" s="261"/>
      <c r="E367" s="524"/>
      <c r="F367" s="524"/>
      <c r="G367" s="262"/>
      <c r="H367" s="261"/>
      <c r="I367" s="259"/>
      <c r="J367" s="259"/>
    </row>
    <row r="368">
      <c r="A368" s="260"/>
      <c r="B368" s="524"/>
      <c r="C368" s="259"/>
      <c r="D368" s="261"/>
      <c r="E368" s="524"/>
      <c r="F368" s="524"/>
      <c r="G368" s="262"/>
      <c r="H368" s="261"/>
      <c r="I368" s="259"/>
      <c r="J368" s="259"/>
    </row>
    <row r="369">
      <c r="A369" s="260"/>
      <c r="B369" s="524"/>
      <c r="C369" s="259"/>
      <c r="D369" s="261"/>
      <c r="E369" s="524"/>
      <c r="F369" s="524"/>
      <c r="G369" s="262"/>
      <c r="H369" s="261"/>
      <c r="I369" s="259"/>
      <c r="J369" s="259"/>
    </row>
    <row r="370">
      <c r="A370" s="260"/>
      <c r="B370" s="524"/>
      <c r="C370" s="259"/>
      <c r="D370" s="261"/>
      <c r="E370" s="524"/>
      <c r="F370" s="524"/>
      <c r="G370" s="262"/>
      <c r="H370" s="261"/>
      <c r="I370" s="259"/>
      <c r="J370" s="259"/>
    </row>
    <row r="371">
      <c r="A371" s="260"/>
      <c r="B371" s="524"/>
      <c r="C371" s="259"/>
      <c r="D371" s="261"/>
      <c r="E371" s="524"/>
      <c r="F371" s="524"/>
      <c r="G371" s="262"/>
      <c r="H371" s="261"/>
      <c r="I371" s="259"/>
      <c r="J371" s="259"/>
    </row>
    <row r="372">
      <c r="A372" s="260"/>
      <c r="B372" s="524"/>
      <c r="C372" s="259"/>
      <c r="D372" s="261"/>
      <c r="E372" s="524"/>
      <c r="F372" s="524"/>
      <c r="G372" s="262"/>
      <c r="H372" s="261"/>
      <c r="I372" s="259"/>
      <c r="J372" s="259"/>
    </row>
    <row r="373">
      <c r="A373" s="260"/>
      <c r="B373" s="524"/>
      <c r="C373" s="259"/>
      <c r="D373" s="261"/>
      <c r="E373" s="524"/>
      <c r="F373" s="524"/>
      <c r="G373" s="262"/>
      <c r="H373" s="261"/>
      <c r="I373" s="259"/>
      <c r="J373" s="259"/>
    </row>
    <row r="374">
      <c r="A374" s="260"/>
      <c r="B374" s="524"/>
      <c r="C374" s="259"/>
      <c r="D374" s="261"/>
      <c r="E374" s="524"/>
      <c r="F374" s="524"/>
      <c r="G374" s="262"/>
      <c r="H374" s="261"/>
      <c r="I374" s="259"/>
      <c r="J374" s="259"/>
    </row>
    <row r="375">
      <c r="A375" s="260"/>
      <c r="B375" s="524"/>
      <c r="C375" s="259"/>
      <c r="D375" s="261"/>
      <c r="E375" s="524"/>
      <c r="F375" s="524"/>
      <c r="G375" s="262"/>
      <c r="H375" s="261"/>
      <c r="I375" s="259"/>
      <c r="J375" s="259"/>
    </row>
    <row r="376">
      <c r="A376" s="260"/>
      <c r="B376" s="524"/>
      <c r="C376" s="259"/>
      <c r="D376" s="261"/>
      <c r="E376" s="524"/>
      <c r="F376" s="524"/>
      <c r="G376" s="262"/>
      <c r="H376" s="261"/>
      <c r="I376" s="259"/>
      <c r="J376" s="259"/>
    </row>
    <row r="377">
      <c r="A377" s="260"/>
      <c r="B377" s="524"/>
      <c r="C377" s="259"/>
      <c r="D377" s="261"/>
      <c r="E377" s="524"/>
      <c r="F377" s="524"/>
      <c r="G377" s="262"/>
      <c r="H377" s="261"/>
      <c r="I377" s="259"/>
      <c r="J377" s="259"/>
    </row>
    <row r="378">
      <c r="A378" s="260"/>
      <c r="B378" s="524"/>
      <c r="C378" s="259"/>
      <c r="D378" s="261"/>
      <c r="E378" s="524"/>
      <c r="F378" s="524"/>
      <c r="G378" s="262"/>
      <c r="H378" s="261"/>
      <c r="I378" s="259"/>
      <c r="J378" s="259"/>
    </row>
    <row r="379">
      <c r="A379" s="260"/>
      <c r="B379" s="524"/>
      <c r="C379" s="259"/>
      <c r="D379" s="261"/>
      <c r="E379" s="524"/>
      <c r="F379" s="524"/>
      <c r="G379" s="262"/>
      <c r="H379" s="261"/>
      <c r="I379" s="259"/>
      <c r="J379" s="259"/>
    </row>
    <row r="380">
      <c r="A380" s="260"/>
      <c r="B380" s="524"/>
      <c r="C380" s="259"/>
      <c r="D380" s="261"/>
      <c r="E380" s="524"/>
      <c r="F380" s="524"/>
      <c r="G380" s="262"/>
      <c r="H380" s="261"/>
      <c r="I380" s="259"/>
      <c r="J380" s="259"/>
    </row>
    <row r="381">
      <c r="A381" s="260"/>
      <c r="B381" s="524"/>
      <c r="C381" s="259"/>
      <c r="D381" s="261"/>
      <c r="E381" s="524"/>
      <c r="F381" s="524"/>
      <c r="G381" s="262"/>
      <c r="H381" s="261"/>
      <c r="I381" s="259"/>
      <c r="J381" s="259"/>
    </row>
    <row r="382">
      <c r="A382" s="260"/>
      <c r="B382" s="524"/>
      <c r="C382" s="259"/>
      <c r="D382" s="261"/>
      <c r="E382" s="524"/>
      <c r="F382" s="524"/>
      <c r="G382" s="262"/>
      <c r="H382" s="261"/>
      <c r="I382" s="259"/>
      <c r="J382" s="259"/>
    </row>
    <row r="383">
      <c r="A383" s="260"/>
      <c r="B383" s="524"/>
      <c r="C383" s="259"/>
      <c r="D383" s="261"/>
      <c r="E383" s="524"/>
      <c r="F383" s="524"/>
      <c r="G383" s="262"/>
      <c r="H383" s="261"/>
      <c r="I383" s="259"/>
      <c r="J383" s="259"/>
    </row>
    <row r="384">
      <c r="A384" s="260"/>
      <c r="B384" s="524"/>
      <c r="C384" s="259"/>
      <c r="D384" s="261"/>
      <c r="E384" s="524"/>
      <c r="F384" s="524"/>
      <c r="G384" s="262"/>
      <c r="H384" s="261"/>
      <c r="I384" s="259"/>
      <c r="J384" s="259"/>
    </row>
    <row r="385">
      <c r="A385" s="260"/>
      <c r="B385" s="524"/>
      <c r="C385" s="259"/>
      <c r="D385" s="261"/>
      <c r="E385" s="524"/>
      <c r="F385" s="524"/>
      <c r="G385" s="262"/>
      <c r="H385" s="261"/>
      <c r="I385" s="259"/>
      <c r="J385" s="259"/>
    </row>
    <row r="386">
      <c r="A386" s="260"/>
      <c r="B386" s="524"/>
      <c r="C386" s="259"/>
      <c r="D386" s="261"/>
      <c r="E386" s="524"/>
      <c r="F386" s="524"/>
      <c r="G386" s="262"/>
      <c r="H386" s="261"/>
      <c r="I386" s="259"/>
      <c r="J386" s="259"/>
    </row>
    <row r="387">
      <c r="A387" s="260"/>
      <c r="B387" s="524"/>
      <c r="C387" s="259"/>
      <c r="D387" s="261"/>
      <c r="E387" s="524"/>
      <c r="F387" s="524"/>
      <c r="G387" s="262"/>
      <c r="H387" s="261"/>
      <c r="I387" s="259"/>
      <c r="J387" s="259"/>
    </row>
    <row r="388">
      <c r="A388" s="260"/>
      <c r="B388" s="524"/>
      <c r="C388" s="259"/>
      <c r="D388" s="261"/>
      <c r="E388" s="524"/>
      <c r="F388" s="524"/>
      <c r="G388" s="262"/>
      <c r="H388" s="261"/>
      <c r="I388" s="259"/>
      <c r="J388" s="259"/>
    </row>
    <row r="389">
      <c r="A389" s="260"/>
      <c r="B389" s="524"/>
      <c r="C389" s="259"/>
      <c r="D389" s="261"/>
      <c r="E389" s="524"/>
      <c r="F389" s="524"/>
      <c r="G389" s="262"/>
      <c r="H389" s="261"/>
      <c r="I389" s="259"/>
      <c r="J389" s="259"/>
    </row>
    <row r="390">
      <c r="A390" s="260"/>
      <c r="B390" s="524"/>
      <c r="C390" s="259"/>
      <c r="D390" s="261"/>
      <c r="E390" s="524"/>
      <c r="F390" s="524"/>
      <c r="G390" s="262"/>
      <c r="H390" s="261"/>
      <c r="I390" s="259"/>
      <c r="J390" s="259"/>
    </row>
    <row r="391">
      <c r="A391" s="260"/>
      <c r="B391" s="524"/>
      <c r="C391" s="259"/>
      <c r="D391" s="261"/>
      <c r="E391" s="524"/>
      <c r="F391" s="524"/>
      <c r="G391" s="262"/>
      <c r="H391" s="261"/>
      <c r="I391" s="259"/>
      <c r="J391" s="259"/>
    </row>
    <row r="392">
      <c r="A392" s="260"/>
      <c r="B392" s="524"/>
      <c r="C392" s="259"/>
      <c r="D392" s="261"/>
      <c r="E392" s="524"/>
      <c r="F392" s="524"/>
      <c r="G392" s="262"/>
      <c r="H392" s="261"/>
      <c r="I392" s="259"/>
      <c r="J392" s="259"/>
    </row>
    <row r="393">
      <c r="A393" s="260"/>
      <c r="B393" s="524"/>
      <c r="C393" s="259"/>
      <c r="D393" s="261"/>
      <c r="E393" s="524"/>
      <c r="F393" s="524"/>
      <c r="G393" s="262"/>
      <c r="H393" s="261"/>
      <c r="I393" s="259"/>
      <c r="J393" s="259"/>
    </row>
    <row r="394">
      <c r="A394" s="260"/>
      <c r="B394" s="524"/>
      <c r="C394" s="259"/>
      <c r="D394" s="261"/>
      <c r="E394" s="524"/>
      <c r="F394" s="524"/>
      <c r="G394" s="262"/>
      <c r="H394" s="261"/>
      <c r="I394" s="259"/>
      <c r="J394" s="259"/>
    </row>
    <row r="395">
      <c r="A395" s="260"/>
      <c r="B395" s="524"/>
      <c r="C395" s="259"/>
      <c r="D395" s="261"/>
      <c r="E395" s="524"/>
      <c r="F395" s="524"/>
      <c r="G395" s="262"/>
      <c r="H395" s="261"/>
      <c r="I395" s="259"/>
      <c r="J395" s="259"/>
    </row>
    <row r="396">
      <c r="A396" s="260"/>
      <c r="B396" s="524"/>
      <c r="C396" s="259"/>
      <c r="D396" s="261"/>
      <c r="E396" s="524"/>
      <c r="F396" s="524"/>
      <c r="G396" s="262"/>
      <c r="H396" s="261"/>
      <c r="I396" s="259"/>
      <c r="J396" s="259"/>
    </row>
    <row r="397">
      <c r="A397" s="260"/>
      <c r="B397" s="524"/>
      <c r="C397" s="259"/>
      <c r="D397" s="261"/>
      <c r="E397" s="524"/>
      <c r="F397" s="524"/>
      <c r="G397" s="262"/>
      <c r="H397" s="261"/>
      <c r="I397" s="259"/>
      <c r="J397" s="259"/>
    </row>
    <row r="398">
      <c r="A398" s="260"/>
      <c r="B398" s="524"/>
      <c r="C398" s="259"/>
      <c r="D398" s="261"/>
      <c r="E398" s="524"/>
      <c r="F398" s="524"/>
      <c r="G398" s="262"/>
      <c r="H398" s="261"/>
      <c r="I398" s="259"/>
      <c r="J398" s="259"/>
    </row>
    <row r="399">
      <c r="A399" s="260"/>
      <c r="B399" s="524"/>
      <c r="C399" s="259"/>
      <c r="D399" s="261"/>
      <c r="E399" s="524"/>
      <c r="F399" s="524"/>
      <c r="G399" s="262"/>
      <c r="H399" s="261"/>
      <c r="I399" s="259"/>
      <c r="J399" s="259"/>
    </row>
    <row r="400">
      <c r="A400" s="260"/>
      <c r="B400" s="524"/>
      <c r="C400" s="259"/>
      <c r="D400" s="261"/>
      <c r="E400" s="524"/>
      <c r="F400" s="524"/>
      <c r="G400" s="262"/>
      <c r="H400" s="261"/>
      <c r="I400" s="259"/>
      <c r="J400" s="259"/>
    </row>
    <row r="401">
      <c r="A401" s="260"/>
      <c r="B401" s="524"/>
      <c r="C401" s="259"/>
      <c r="D401" s="261"/>
      <c r="E401" s="524"/>
      <c r="F401" s="524"/>
      <c r="G401" s="262"/>
      <c r="H401" s="261"/>
      <c r="I401" s="259"/>
      <c r="J401" s="259"/>
    </row>
    <row r="402">
      <c r="A402" s="260"/>
      <c r="B402" s="524"/>
      <c r="C402" s="259"/>
      <c r="D402" s="261"/>
      <c r="E402" s="524"/>
      <c r="F402" s="524"/>
      <c r="G402" s="262"/>
      <c r="H402" s="261"/>
      <c r="I402" s="259"/>
      <c r="J402" s="259"/>
    </row>
    <row r="403">
      <c r="A403" s="260"/>
      <c r="B403" s="524"/>
      <c r="C403" s="259"/>
      <c r="D403" s="261"/>
      <c r="E403" s="524"/>
      <c r="F403" s="524"/>
      <c r="G403" s="262"/>
      <c r="H403" s="261"/>
      <c r="I403" s="259"/>
      <c r="J403" s="259"/>
    </row>
    <row r="404">
      <c r="A404" s="260"/>
      <c r="B404" s="524"/>
      <c r="C404" s="259"/>
      <c r="D404" s="261"/>
      <c r="E404" s="524"/>
      <c r="F404" s="524"/>
      <c r="G404" s="262"/>
      <c r="H404" s="261"/>
      <c r="I404" s="259"/>
      <c r="J404" s="259"/>
    </row>
    <row r="405">
      <c r="A405" s="260"/>
      <c r="B405" s="524"/>
      <c r="C405" s="259"/>
      <c r="D405" s="261"/>
      <c r="E405" s="524"/>
      <c r="F405" s="524"/>
      <c r="G405" s="262"/>
      <c r="H405" s="261"/>
      <c r="I405" s="259"/>
      <c r="J405" s="259"/>
    </row>
    <row r="406">
      <c r="A406" s="260"/>
      <c r="B406" s="524"/>
      <c r="C406" s="259"/>
      <c r="D406" s="261"/>
      <c r="E406" s="524"/>
      <c r="F406" s="524"/>
      <c r="G406" s="262"/>
      <c r="H406" s="261"/>
      <c r="I406" s="259"/>
      <c r="J406" s="259"/>
    </row>
  </sheetData>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1"/>
  <sheetViews>
    <sheetView zoomScale="70" zoomScaleNormal="70" workbookViewId="0">
      <selection activeCell="E5" sqref="E5"/>
    </sheetView>
  </sheetViews>
  <sheetFormatPr defaultColWidth="9.140625" defaultRowHeight="12.75"/>
  <cols>
    <col min="1" max="1" bestFit="1" width="5" customWidth="1" style="201"/>
    <col min="2" max="2" width="19" customWidth="1" style="211"/>
    <col min="3" max="3" width="16.5703125" customWidth="1" style="201"/>
    <col min="4" max="4" width="9.140625" customWidth="1" style="525"/>
    <col min="5" max="5" width="54.140625" customWidth="1" style="201"/>
    <col min="6" max="6" width="16.5703125" customWidth="1" style="201"/>
    <col min="7" max="7" bestFit="1" width="10.6702608380999" customWidth="1" style="525"/>
    <col min="8" max="8" bestFit="1" width="9.68904876708984" customWidth="1" style="393"/>
    <col min="9" max="9" width="10.5703125" customWidth="1" style="213"/>
    <col min="10" max="10" width="23.140625" customWidth="1" style="127"/>
    <col min="11" max="12" bestFit="1" width="11.28515625" customWidth="1" style="127"/>
    <col min="13" max="13" width="33.28515625" customWidth="1" style="127"/>
    <col min="14" max="15" width="15.28515625" customWidth="1" style="127"/>
    <col min="16" max="16" width="9.140625" customWidth="1" style="127"/>
    <col min="17" max="17" bestFit="1" width="15.42578125" customWidth="1" style="127"/>
    <col min="18" max="18" width="42.140625" customWidth="1" style="127"/>
    <col min="19" max="19" width="27.28515625" customWidth="1" style="127"/>
    <col min="20" max="20" width="14.28515625" customWidth="1" style="127"/>
    <col min="21" max="21" width="9.85546875" customWidth="1" style="127"/>
    <col min="22" max="22" width="20.42578125" customWidth="1" style="127"/>
    <col min="23" max="23" width="13" customWidth="1" style="127"/>
    <col min="24" max="24" width="10.5703125" customWidth="1" style="127"/>
    <col min="25" max="25" width="9.140625" customWidth="1" style="393"/>
    <col min="26" max="26" width="13" customWidth="1" style="127"/>
    <col min="27" max="27" width="9.140625" customWidth="1" style="393"/>
    <col min="28" max="28" width="13" customWidth="1" style="127"/>
    <col min="29" max="29" width="10.5703125" customWidth="1" style="127"/>
    <col min="30" max="30" width="32.28515625" customWidth="1" style="127"/>
    <col min="31" max="31" width="11.7109375" customWidth="1" style="127"/>
    <col min="32" max="32" width="10.7109375" customWidth="1" style="127"/>
    <col min="33" max="33" width="24.7109375" customWidth="1" style="127"/>
    <col min="34" max="34" width="9.140625" customWidth="1" style="393"/>
    <col min="35" max="35" width="9.140625" customWidth="1" style="393"/>
    <col min="36" max="16384" width="9.140625" customWidth="1" style="127"/>
  </cols>
  <sheetData>
    <row r="1" ht="42.75" s="201" customFormat="1">
      <c r="A1" s="263" t="s">
        <v>0</v>
      </c>
      <c r="B1" s="263" t="s">
        <v>254</v>
      </c>
      <c r="C1" s="263" t="s">
        <v>255</v>
      </c>
      <c r="D1" s="526" t="s">
        <v>256</v>
      </c>
      <c r="E1" s="264" t="s">
        <v>47</v>
      </c>
      <c r="F1" s="264" t="s">
        <v>257</v>
      </c>
      <c r="G1" s="528" t="s">
        <v>258</v>
      </c>
      <c r="H1" s="528" t="s">
        <v>259</v>
      </c>
      <c r="I1" s="265" t="s">
        <v>260</v>
      </c>
      <c r="J1" s="265" t="s">
        <v>261</v>
      </c>
      <c r="K1" s="265" t="s">
        <v>262</v>
      </c>
      <c r="L1" s="265" t="s">
        <v>263</v>
      </c>
      <c r="M1" s="265" t="s">
        <v>264</v>
      </c>
      <c r="N1" s="265" t="s">
        <v>265</v>
      </c>
      <c r="O1" s="265" t="s">
        <v>266</v>
      </c>
      <c r="P1" s="265" t="s">
        <v>267</v>
      </c>
      <c r="Q1" s="265" t="s">
        <v>268</v>
      </c>
      <c r="R1" s="265" t="s">
        <v>269</v>
      </c>
      <c r="S1" s="265" t="s">
        <v>270</v>
      </c>
      <c r="T1" s="265" t="s">
        <v>271</v>
      </c>
      <c r="U1" s="265" t="s">
        <v>272</v>
      </c>
      <c r="V1" s="265" t="s">
        <v>273</v>
      </c>
      <c r="W1" s="266" t="s">
        <v>274</v>
      </c>
      <c r="X1" s="266" t="s">
        <v>275</v>
      </c>
      <c r="Y1" s="530" t="s">
        <v>276</v>
      </c>
      <c r="Z1" s="266" t="s">
        <v>277</v>
      </c>
      <c r="AA1" s="530" t="s">
        <v>278</v>
      </c>
      <c r="AB1" s="266" t="s">
        <v>279</v>
      </c>
      <c r="AC1" s="266" t="s">
        <v>280</v>
      </c>
      <c r="AD1" s="217" t="s">
        <v>281</v>
      </c>
      <c r="AE1" s="264" t="s">
        <v>282</v>
      </c>
      <c r="AF1" s="264" t="s">
        <v>283</v>
      </c>
      <c r="AG1" s="264" t="s">
        <v>284</v>
      </c>
      <c r="AH1" s="526" t="s">
        <v>441</v>
      </c>
      <c r="AI1" s="526" t="s">
        <v>442</v>
      </c>
    </row>
    <row r="2" ht="51" s="219" customFormat="1">
      <c r="A2" s="267">
        <v>1</v>
      </c>
      <c r="B2" s="268" t="s">
        <v>468</v>
      </c>
      <c r="C2" s="267" t="s">
        <v>469</v>
      </c>
      <c r="D2" s="527" t="str">
        <f>Check!D2</f>
        <v>BDGTDM002</v>
      </c>
      <c r="E2" s="269" t="s">
        <v>130</v>
      </c>
      <c r="F2" s="270" t="s">
        <v>6</v>
      </c>
      <c r="G2" s="529" t="s">
        <v>470</v>
      </c>
      <c r="H2" s="529" t="s">
        <v>471</v>
      </c>
      <c r="I2" s="271">
        <v>3</v>
      </c>
      <c r="J2" s="270" t="s">
        <v>132</v>
      </c>
      <c r="K2" s="272">
        <v>43423</v>
      </c>
      <c r="L2" s="272">
        <v>43395</v>
      </c>
      <c r="M2" s="273" t="s">
        <v>474</v>
      </c>
      <c r="N2" s="273" t="s">
        <v>475</v>
      </c>
      <c r="O2" s="274" t="s">
        <v>476</v>
      </c>
      <c r="P2" s="273" t="s">
        <v>477</v>
      </c>
      <c r="Q2" s="275" t="s">
        <v>478</v>
      </c>
      <c r="R2" s="276" t="s">
        <v>479</v>
      </c>
      <c r="S2" s="277" t="s">
        <v>480</v>
      </c>
      <c r="T2" s="277" t="s">
        <v>481</v>
      </c>
      <c r="U2" s="278">
        <v>1</v>
      </c>
      <c r="V2" s="273" t="s">
        <v>482</v>
      </c>
      <c r="W2" s="277" t="b">
        <v>0</v>
      </c>
      <c r="X2" s="277" t="b">
        <v>0</v>
      </c>
      <c r="Y2" s="531"/>
      <c r="Z2" s="277" t="b">
        <v>1</v>
      </c>
      <c r="AA2" s="531"/>
      <c r="AB2" s="277" t="b">
        <v>0</v>
      </c>
      <c r="AC2" s="279" t="b">
        <v>0</v>
      </c>
      <c r="AD2" s="279"/>
      <c r="AE2" s="279"/>
      <c r="AF2" s="279" t="s">
        <v>50</v>
      </c>
      <c r="AG2" s="279" t="s">
        <v>133</v>
      </c>
      <c r="AH2" s="532">
        <f>Input!GB2</f>
        <v>0</v>
      </c>
      <c r="AI2" s="532">
        <f>Input!GC2</f>
        <v>0</v>
      </c>
    </row>
    <row r="3" ht="63.75">
      <c r="A3" s="267">
        <v>2</v>
      </c>
      <c r="B3" s="268" t="s">
        <v>468</v>
      </c>
      <c r="C3" s="267" t="s">
        <v>469</v>
      </c>
      <c r="D3" s="527" t="str">
        <f>Check!D3</f>
        <v>BDGTDM003</v>
      </c>
      <c r="E3" s="269" t="s">
        <v>135</v>
      </c>
      <c r="F3" s="270" t="s">
        <v>6</v>
      </c>
      <c r="G3" s="529" t="s">
        <v>502</v>
      </c>
      <c r="H3" s="529" t="s">
        <v>503</v>
      </c>
      <c r="I3" s="271">
        <v>4</v>
      </c>
      <c r="J3" s="270" t="s">
        <v>137</v>
      </c>
      <c r="K3" s="272">
        <v>43423</v>
      </c>
      <c r="L3" s="272">
        <v>43395</v>
      </c>
      <c r="M3" s="273" t="s">
        <v>504</v>
      </c>
      <c r="N3" s="273" t="s">
        <v>505</v>
      </c>
      <c r="O3" s="274" t="s">
        <v>506</v>
      </c>
      <c r="P3" s="273" t="s">
        <v>507</v>
      </c>
      <c r="Q3" s="275" t="s">
        <v>508</v>
      </c>
      <c r="R3" s="276" t="s">
        <v>509</v>
      </c>
      <c r="S3" s="277" t="s">
        <v>510</v>
      </c>
      <c r="T3" s="277" t="s">
        <v>511</v>
      </c>
      <c r="U3" s="278">
        <v>1</v>
      </c>
      <c r="V3" s="273" t="s">
        <v>512</v>
      </c>
      <c r="W3" s="277" t="b">
        <v>0</v>
      </c>
      <c r="X3" s="277" t="b">
        <v>0</v>
      </c>
      <c r="Y3" s="531"/>
      <c r="Z3" s="277" t="b">
        <v>1</v>
      </c>
      <c r="AA3" s="531"/>
      <c r="AB3" s="277" t="b">
        <v>0</v>
      </c>
      <c r="AC3" s="279" t="b">
        <v>0</v>
      </c>
      <c r="AD3" s="279"/>
      <c r="AE3" s="279"/>
      <c r="AF3" s="279" t="s">
        <v>50</v>
      </c>
      <c r="AG3" s="279" t="s">
        <v>138</v>
      </c>
      <c r="AH3" s="532">
        <f>Input!GB3</f>
        <v>0</v>
      </c>
      <c r="AI3" s="532">
        <f>Input!GC3</f>
        <v>0</v>
      </c>
    </row>
    <row r="4" ht="51">
      <c r="A4" s="267">
        <v>3</v>
      </c>
      <c r="B4" s="268" t="s">
        <v>468</v>
      </c>
      <c r="C4" s="267" t="s">
        <v>469</v>
      </c>
      <c r="D4" s="527" t="str">
        <f>Check!D4</f>
        <v>BDGTDM004</v>
      </c>
      <c r="E4" s="269" t="s">
        <v>140</v>
      </c>
      <c r="F4" s="270" t="s">
        <v>6</v>
      </c>
      <c r="G4" s="529" t="s">
        <v>523</v>
      </c>
      <c r="H4" s="529" t="s">
        <v>524</v>
      </c>
      <c r="I4" s="271">
        <v>3</v>
      </c>
      <c r="J4" s="270" t="s">
        <v>142</v>
      </c>
      <c r="K4" s="272">
        <v>43423</v>
      </c>
      <c r="L4" s="272">
        <v>43395</v>
      </c>
      <c r="M4" s="273" t="s">
        <v>474</v>
      </c>
      <c r="N4" s="273" t="s">
        <v>525</v>
      </c>
      <c r="O4" s="274" t="s">
        <v>526</v>
      </c>
      <c r="P4" s="273" t="s">
        <v>477</v>
      </c>
      <c r="Q4" s="275" t="s">
        <v>478</v>
      </c>
      <c r="R4" s="276" t="s">
        <v>479</v>
      </c>
      <c r="S4" s="277" t="s">
        <v>480</v>
      </c>
      <c r="T4" s="277" t="s">
        <v>527</v>
      </c>
      <c r="U4" s="278">
        <v>1</v>
      </c>
      <c r="V4" s="273" t="s">
        <v>482</v>
      </c>
      <c r="W4" s="277" t="b">
        <v>0</v>
      </c>
      <c r="X4" s="277" t="b">
        <v>0</v>
      </c>
      <c r="Y4" s="531"/>
      <c r="Z4" s="277" t="b">
        <v>1</v>
      </c>
      <c r="AA4" s="531"/>
      <c r="AB4" s="277" t="b">
        <v>0</v>
      </c>
      <c r="AC4" s="279" t="b">
        <v>0</v>
      </c>
      <c r="AD4" s="279"/>
      <c r="AE4" s="279"/>
      <c r="AF4" s="279" t="s">
        <v>50</v>
      </c>
      <c r="AG4" s="279" t="s">
        <v>133</v>
      </c>
      <c r="AH4" s="532">
        <f>Input!GB4</f>
        <v>0</v>
      </c>
      <c r="AI4" s="532">
        <f>Input!GC4</f>
        <v>0</v>
      </c>
    </row>
    <row r="5" ht="51">
      <c r="A5" s="267">
        <v>4</v>
      </c>
      <c r="B5" s="268" t="s">
        <v>468</v>
      </c>
      <c r="C5" s="267" t="s">
        <v>469</v>
      </c>
      <c r="D5" s="527" t="str">
        <f>Check!D5</f>
        <v>BDGTDM007</v>
      </c>
      <c r="E5" s="269" t="s">
        <v>98</v>
      </c>
      <c r="F5" s="270" t="s">
        <v>6</v>
      </c>
      <c r="G5" s="529" t="s">
        <v>566</v>
      </c>
      <c r="H5" s="529" t="s">
        <v>567</v>
      </c>
      <c r="I5" s="271">
        <v>3</v>
      </c>
      <c r="J5" s="270" t="s">
        <v>100</v>
      </c>
      <c r="K5" s="272">
        <v>43423</v>
      </c>
      <c r="L5" s="272">
        <v>43395</v>
      </c>
      <c r="M5" s="273" t="s">
        <v>474</v>
      </c>
      <c r="N5" s="273" t="s">
        <v>568</v>
      </c>
      <c r="O5" s="274" t="s">
        <v>476</v>
      </c>
      <c r="P5" s="273" t="s">
        <v>477</v>
      </c>
      <c r="Q5" s="275" t="s">
        <v>569</v>
      </c>
      <c r="R5" s="276" t="s">
        <v>570</v>
      </c>
      <c r="S5" s="277" t="s">
        <v>571</v>
      </c>
      <c r="T5" s="277" t="s">
        <v>572</v>
      </c>
      <c r="U5" s="278">
        <v>1</v>
      </c>
      <c r="V5" s="273" t="s">
        <v>573</v>
      </c>
      <c r="W5" s="277" t="b">
        <v>0</v>
      </c>
      <c r="X5" s="277" t="b">
        <v>0</v>
      </c>
      <c r="Y5" s="531"/>
      <c r="Z5" s="277" t="b">
        <v>1</v>
      </c>
      <c r="AA5" s="531"/>
      <c r="AB5" s="277" t="b">
        <v>0</v>
      </c>
      <c r="AC5" s="279" t="b">
        <v>1</v>
      </c>
      <c r="AD5" s="279"/>
      <c r="AE5" s="279"/>
      <c r="AF5" s="279" t="s">
        <v>50</v>
      </c>
      <c r="AG5" s="279"/>
      <c r="AH5" s="532">
        <f>Input!GB5</f>
        <v>0</v>
      </c>
      <c r="AI5" s="532">
        <f>Input!GC5</f>
        <v>0</v>
      </c>
    </row>
    <row r="6" ht="51">
      <c r="A6" s="267">
        <v>5</v>
      </c>
      <c r="B6" s="268" t="s">
        <v>468</v>
      </c>
      <c r="C6" s="267" t="s">
        <v>469</v>
      </c>
      <c r="D6" s="527" t="str">
        <f>Check!D6</f>
        <v>BDGTDM013</v>
      </c>
      <c r="E6" s="269" t="s">
        <v>102</v>
      </c>
      <c r="F6" s="270" t="s">
        <v>6</v>
      </c>
      <c r="G6" s="529" t="s">
        <v>574</v>
      </c>
      <c r="H6" s="529" t="s">
        <v>575</v>
      </c>
      <c r="I6" s="271">
        <v>3</v>
      </c>
      <c r="J6" s="270" t="s">
        <v>104</v>
      </c>
      <c r="K6" s="272">
        <v>43423</v>
      </c>
      <c r="L6" s="272">
        <v>43395</v>
      </c>
      <c r="M6" s="273" t="s">
        <v>474</v>
      </c>
      <c r="N6" s="273" t="s">
        <v>576</v>
      </c>
      <c r="O6" s="274" t="s">
        <v>577</v>
      </c>
      <c r="P6" s="273" t="s">
        <v>477</v>
      </c>
      <c r="Q6" s="275" t="s">
        <v>578</v>
      </c>
      <c r="R6" s="276" t="s">
        <v>579</v>
      </c>
      <c r="S6" s="277" t="s">
        <v>480</v>
      </c>
      <c r="T6" s="277" t="s">
        <v>580</v>
      </c>
      <c r="U6" s="278">
        <v>1</v>
      </c>
      <c r="V6" s="273" t="s">
        <v>482</v>
      </c>
      <c r="W6" s="277" t="b">
        <v>0</v>
      </c>
      <c r="X6" s="277" t="b">
        <v>0</v>
      </c>
      <c r="Y6" s="531"/>
      <c r="Z6" s="277" t="b">
        <v>1</v>
      </c>
      <c r="AA6" s="531"/>
      <c r="AB6" s="277" t="b">
        <v>0</v>
      </c>
      <c r="AC6" s="279" t="b">
        <v>1</v>
      </c>
      <c r="AD6" s="279"/>
      <c r="AE6" s="279"/>
      <c r="AF6" s="279" t="s">
        <v>50</v>
      </c>
      <c r="AG6" s="279"/>
      <c r="AH6" s="532">
        <f>Input!GB6</f>
        <v>0</v>
      </c>
      <c r="AI6" s="532">
        <f>Input!GC6</f>
        <v>0</v>
      </c>
    </row>
    <row r="7" ht="51">
      <c r="A7" s="267">
        <v>6</v>
      </c>
      <c r="B7" s="268" t="s">
        <v>468</v>
      </c>
      <c r="C7" s="267" t="s">
        <v>469</v>
      </c>
      <c r="D7" s="527" t="str">
        <f>Check!D7</f>
        <v>BDGTDM014</v>
      </c>
      <c r="E7" s="269" t="s">
        <v>106</v>
      </c>
      <c r="F7" s="270" t="s">
        <v>6</v>
      </c>
      <c r="G7" s="529" t="s">
        <v>581</v>
      </c>
      <c r="H7" s="529" t="s">
        <v>582</v>
      </c>
      <c r="I7" s="271">
        <v>3</v>
      </c>
      <c r="J7" s="270" t="s">
        <v>108</v>
      </c>
      <c r="K7" s="272">
        <v>43423</v>
      </c>
      <c r="L7" s="272">
        <v>43395</v>
      </c>
      <c r="M7" s="273" t="s">
        <v>474</v>
      </c>
      <c r="N7" s="273" t="s">
        <v>583</v>
      </c>
      <c r="O7" s="274" t="s">
        <v>577</v>
      </c>
      <c r="P7" s="273" t="s">
        <v>477</v>
      </c>
      <c r="Q7" s="275" t="s">
        <v>578</v>
      </c>
      <c r="R7" s="276" t="s">
        <v>579</v>
      </c>
      <c r="S7" s="277" t="s">
        <v>480</v>
      </c>
      <c r="T7" s="277" t="s">
        <v>584</v>
      </c>
      <c r="U7" s="278">
        <v>1</v>
      </c>
      <c r="V7" s="273" t="s">
        <v>482</v>
      </c>
      <c r="W7" s="277" t="b">
        <v>0</v>
      </c>
      <c r="X7" s="277" t="b">
        <v>0</v>
      </c>
      <c r="Y7" s="531"/>
      <c r="Z7" s="277" t="b">
        <v>1</v>
      </c>
      <c r="AA7" s="531"/>
      <c r="AB7" s="277" t="b">
        <v>0</v>
      </c>
      <c r="AC7" s="279" t="b">
        <v>1</v>
      </c>
      <c r="AD7" s="279"/>
      <c r="AE7" s="279"/>
      <c r="AF7" s="279" t="s">
        <v>50</v>
      </c>
      <c r="AG7" s="279"/>
      <c r="AH7" s="532">
        <f>Input!GB7</f>
        <v>0</v>
      </c>
      <c r="AI7" s="532">
        <f>Input!GC7</f>
        <v>0</v>
      </c>
    </row>
    <row r="8" ht="51">
      <c r="A8" s="267">
        <v>7</v>
      </c>
      <c r="B8" s="268" t="s">
        <v>468</v>
      </c>
      <c r="C8" s="267" t="s">
        <v>469</v>
      </c>
      <c r="D8" s="527" t="str">
        <f>Check!D8</f>
        <v>BDGTDM017</v>
      </c>
      <c r="E8" s="269" t="s">
        <v>110</v>
      </c>
      <c r="F8" s="270" t="s">
        <v>6</v>
      </c>
      <c r="G8" s="529" t="s">
        <v>585</v>
      </c>
      <c r="H8" s="529" t="s">
        <v>586</v>
      </c>
      <c r="I8" s="271">
        <v>3</v>
      </c>
      <c r="J8" s="270" t="s">
        <v>112</v>
      </c>
      <c r="K8" s="272">
        <v>43423</v>
      </c>
      <c r="L8" s="272">
        <v>43395</v>
      </c>
      <c r="M8" s="273" t="s">
        <v>474</v>
      </c>
      <c r="N8" s="273" t="s">
        <v>587</v>
      </c>
      <c r="O8" s="274" t="s">
        <v>526</v>
      </c>
      <c r="P8" s="273" t="s">
        <v>477</v>
      </c>
      <c r="Q8" s="275" t="s">
        <v>478</v>
      </c>
      <c r="R8" s="276" t="s">
        <v>479</v>
      </c>
      <c r="S8" s="277" t="s">
        <v>480</v>
      </c>
      <c r="T8" s="277" t="s">
        <v>588</v>
      </c>
      <c r="U8" s="278">
        <v>1</v>
      </c>
      <c r="V8" s="273" t="s">
        <v>482</v>
      </c>
      <c r="W8" s="277" t="b">
        <v>0</v>
      </c>
      <c r="X8" s="277" t="b">
        <v>0</v>
      </c>
      <c r="Y8" s="531"/>
      <c r="Z8" s="277" t="b">
        <v>1</v>
      </c>
      <c r="AA8" s="531"/>
      <c r="AB8" s="277" t="b">
        <v>0</v>
      </c>
      <c r="AC8" s="279" t="b">
        <v>1</v>
      </c>
      <c r="AD8" s="279"/>
      <c r="AE8" s="279"/>
      <c r="AF8" s="279" t="s">
        <v>50</v>
      </c>
      <c r="AG8" s="279"/>
      <c r="AH8" s="532">
        <f>Input!GB8</f>
        <v>0</v>
      </c>
      <c r="AI8" s="532">
        <f>Input!GC8</f>
        <v>0</v>
      </c>
    </row>
    <row r="9" ht="51">
      <c r="A9" s="267">
        <v>8</v>
      </c>
      <c r="B9" s="268" t="s">
        <v>468</v>
      </c>
      <c r="C9" s="267" t="s">
        <v>469</v>
      </c>
      <c r="D9" s="527" t="str">
        <f>Check!D9</f>
        <v>BDGTDM022</v>
      </c>
      <c r="E9" s="269" t="s">
        <v>114</v>
      </c>
      <c r="F9" s="270" t="s">
        <v>6</v>
      </c>
      <c r="G9" s="529" t="s">
        <v>589</v>
      </c>
      <c r="H9" s="529" t="s">
        <v>590</v>
      </c>
      <c r="I9" s="271">
        <v>3</v>
      </c>
      <c r="J9" s="270" t="s">
        <v>116</v>
      </c>
      <c r="K9" s="272">
        <v>43423</v>
      </c>
      <c r="L9" s="272">
        <v>43395</v>
      </c>
      <c r="M9" s="273" t="s">
        <v>474</v>
      </c>
      <c r="N9" s="273" t="s">
        <v>591</v>
      </c>
      <c r="O9" s="274" t="s">
        <v>577</v>
      </c>
      <c r="P9" s="273" t="s">
        <v>477</v>
      </c>
      <c r="Q9" s="275" t="s">
        <v>578</v>
      </c>
      <c r="R9" s="276" t="s">
        <v>579</v>
      </c>
      <c r="S9" s="277" t="s">
        <v>480</v>
      </c>
      <c r="T9" s="277" t="s">
        <v>592</v>
      </c>
      <c r="U9" s="278">
        <v>1</v>
      </c>
      <c r="V9" s="273" t="s">
        <v>482</v>
      </c>
      <c r="W9" s="277" t="b">
        <v>0</v>
      </c>
      <c r="X9" s="277" t="b">
        <v>0</v>
      </c>
      <c r="Y9" s="531"/>
      <c r="Z9" s="277" t="b">
        <v>1</v>
      </c>
      <c r="AA9" s="531"/>
      <c r="AB9" s="277" t="b">
        <v>0</v>
      </c>
      <c r="AC9" s="279" t="b">
        <v>1</v>
      </c>
      <c r="AD9" s="279"/>
      <c r="AE9" s="279"/>
      <c r="AF9" s="279" t="s">
        <v>50</v>
      </c>
      <c r="AG9" s="279"/>
      <c r="AH9" s="532">
        <f>Input!GB9</f>
        <v>0</v>
      </c>
      <c r="AI9" s="532">
        <f>Input!GC9</f>
        <v>0</v>
      </c>
    </row>
    <row r="10" ht="63.75">
      <c r="A10" s="267">
        <v>9</v>
      </c>
      <c r="B10" s="268" t="s">
        <v>468</v>
      </c>
      <c r="C10" s="267" t="s">
        <v>469</v>
      </c>
      <c r="D10" s="527" t="str">
        <f>Check!D10</f>
        <v>BDGTDM025</v>
      </c>
      <c r="E10" s="269" t="s">
        <v>144</v>
      </c>
      <c r="F10" s="270" t="s">
        <v>6</v>
      </c>
      <c r="G10" s="529" t="s">
        <v>532</v>
      </c>
      <c r="H10" s="529" t="s">
        <v>533</v>
      </c>
      <c r="I10" s="271">
        <v>4</v>
      </c>
      <c r="J10" s="270" t="s">
        <v>146</v>
      </c>
      <c r="K10" s="272">
        <v>43423</v>
      </c>
      <c r="L10" s="272">
        <v>43396</v>
      </c>
      <c r="M10" s="273" t="s">
        <v>504</v>
      </c>
      <c r="N10" s="273" t="s">
        <v>535</v>
      </c>
      <c r="O10" s="274" t="s">
        <v>506</v>
      </c>
      <c r="P10" s="273" t="s">
        <v>507</v>
      </c>
      <c r="Q10" s="275" t="s">
        <v>536</v>
      </c>
      <c r="R10" s="276" t="s">
        <v>509</v>
      </c>
      <c r="S10" s="277" t="s">
        <v>510</v>
      </c>
      <c r="T10" s="277" t="s">
        <v>537</v>
      </c>
      <c r="U10" s="278">
        <v>1</v>
      </c>
      <c r="V10" s="273" t="s">
        <v>512</v>
      </c>
      <c r="W10" s="277" t="b">
        <v>0</v>
      </c>
      <c r="X10" s="277" t="b">
        <v>0</v>
      </c>
      <c r="Y10" s="531"/>
      <c r="Z10" s="277" t="b">
        <v>1</v>
      </c>
      <c r="AA10" s="531"/>
      <c r="AB10" s="277" t="b">
        <v>0</v>
      </c>
      <c r="AC10" s="279" t="b">
        <v>0</v>
      </c>
      <c r="AD10" s="279"/>
      <c r="AE10" s="279"/>
      <c r="AF10" s="279" t="s">
        <v>50</v>
      </c>
      <c r="AG10" s="279" t="s">
        <v>138</v>
      </c>
      <c r="AH10" s="532">
        <f>Input!GB10</f>
        <v>0</v>
      </c>
      <c r="AI10" s="532">
        <f>Input!GC10</f>
        <v>0</v>
      </c>
    </row>
    <row r="11" ht="63.75">
      <c r="A11" s="267">
        <v>10</v>
      </c>
      <c r="B11" s="268" t="s">
        <v>468</v>
      </c>
      <c r="C11" s="267" t="s">
        <v>469</v>
      </c>
      <c r="D11" s="527" t="str">
        <f>Check!D11</f>
        <v>BDGTDM036</v>
      </c>
      <c r="E11" s="269" t="s">
        <v>118</v>
      </c>
      <c r="F11" s="270" t="s">
        <v>6</v>
      </c>
      <c r="G11" s="529" t="s">
        <v>593</v>
      </c>
      <c r="H11" s="529" t="s">
        <v>594</v>
      </c>
      <c r="I11" s="271">
        <v>3</v>
      </c>
      <c r="J11" s="270" t="s">
        <v>120</v>
      </c>
      <c r="K11" s="272">
        <v>43423</v>
      </c>
      <c r="L11" s="272">
        <v>43397</v>
      </c>
      <c r="M11" s="273" t="s">
        <v>474</v>
      </c>
      <c r="N11" s="273" t="s">
        <v>595</v>
      </c>
      <c r="O11" s="274" t="s">
        <v>577</v>
      </c>
      <c r="P11" s="273" t="s">
        <v>477</v>
      </c>
      <c r="Q11" s="275" t="s">
        <v>596</v>
      </c>
      <c r="R11" s="276" t="s">
        <v>579</v>
      </c>
      <c r="S11" s="277" t="s">
        <v>480</v>
      </c>
      <c r="T11" s="277" t="s">
        <v>597</v>
      </c>
      <c r="U11" s="278">
        <v>1</v>
      </c>
      <c r="V11" s="273" t="s">
        <v>482</v>
      </c>
      <c r="W11" s="277" t="b">
        <v>0</v>
      </c>
      <c r="X11" s="277" t="b">
        <v>0</v>
      </c>
      <c r="Y11" s="531"/>
      <c r="Z11" s="277" t="b">
        <v>1</v>
      </c>
      <c r="AA11" s="531"/>
      <c r="AB11" s="277" t="b">
        <v>0</v>
      </c>
      <c r="AC11" s="279" t="b">
        <v>1</v>
      </c>
      <c r="AD11" s="279"/>
      <c r="AE11" s="279"/>
      <c r="AF11" s="279" t="s">
        <v>50</v>
      </c>
      <c r="AG11" s="279"/>
      <c r="AH11" s="532">
        <f>Input!GB11</f>
        <v>0</v>
      </c>
      <c r="AI11" s="532">
        <f>Input!GC11</f>
        <v>0</v>
      </c>
    </row>
  </sheetData>
  <autoFilter ref="A1:AI11"/>
  <conditionalFormatting sqref="X1 X12:X1048576 AC1:AC1048576">
    <cfRule type="containsText" dxfId="0" priority="3" operator="containsText" text="no">
      <formula>NOT(ISERROR(SEARCH("no",X1)))</formula>
    </cfRule>
  </conditionalFormatting>
  <conditionalFormatting sqref="W2:X11">
    <cfRule type="containsText" dxfId="0" priority="2" operator="containsText" text="no">
      <formula>NOT(ISERROR(SEARCH("no",W2)))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N11"/>
  <sheetViews>
    <sheetView topLeftCell="A10" zoomScale="85" zoomScaleNormal="85" workbookViewId="0">
      <selection activeCell="E10" sqref="E10"/>
    </sheetView>
  </sheetViews>
  <sheetFormatPr defaultColWidth="9.140625" defaultRowHeight="12.75"/>
  <cols>
    <col min="1" max="1" bestFit="1" width="5" customWidth="1" style="201"/>
    <col min="2" max="2" bestFit="1" width="17.140625" customWidth="1" style="211"/>
    <col min="3" max="3" bestFit="1" width="16.7109375" customWidth="1" style="201"/>
    <col min="4" max="4" width="9.140625" customWidth="1" style="525"/>
    <col min="5" max="5" width="54.140625" customWidth="1" style="201"/>
    <col min="6" max="6" width="16.5703125" customWidth="1" style="201"/>
    <col min="7" max="7" bestFit="1" width="9.140625" customWidth="1" style="525"/>
    <col min="8" max="8" bestFit="1" width="9.140625" customWidth="1" style="393"/>
    <col min="9" max="9" width="10.5703125" customWidth="1" style="213"/>
    <col min="10" max="10" width="23.140625" customWidth="1" style="127"/>
    <col min="11" max="12" bestFit="1" width="11.28515625" customWidth="1" style="232"/>
    <col min="13" max="13" width="33.28515625" customWidth="1" style="127"/>
    <col min="14" max="15" width="15.28515625" customWidth="1" style="127"/>
    <col min="16" max="16" width="9.140625" customWidth="1" style="127"/>
    <col min="17" max="17" bestFit="1" width="15.42578125" customWidth="1" style="127"/>
    <col min="18" max="18" width="42.140625" customWidth="1" style="127"/>
    <col min="19" max="19" width="27.28515625" customWidth="1" style="127"/>
    <col min="20" max="20" width="14.28515625" customWidth="1" style="127"/>
    <col min="21" max="21" width="7.7109375" customWidth="1" style="127"/>
    <col min="22" max="22" width="20.42578125" customWidth="1" style="127"/>
    <col min="23" max="24" width="10.5703125" customWidth="1" style="127"/>
    <col min="25" max="25" width="9.140625" customWidth="1" style="393"/>
    <col min="26" max="26" width="13" customWidth="1" style="127"/>
    <col min="27" max="27" width="9.140625" customWidth="1" style="393"/>
    <col min="28" max="29" width="13" customWidth="1" style="127"/>
    <col min="30" max="30" width="32.28515625" customWidth="1" style="127"/>
    <col min="31" max="31" width="15.7109375" customWidth="1" style="127"/>
    <col min="32" max="32" width="10.7109375" customWidth="1" style="127"/>
    <col min="33" max="33" width="24.7109375" customWidth="1" style="127"/>
    <col min="34" max="34" width="4.7109375" customWidth="1" style="127"/>
    <col min="35" max="35" bestFit="1" width="15.42578125" customWidth="1" style="127"/>
    <col min="36" max="36" width="15.85546875" customWidth="1" style="127"/>
    <col min="37" max="37" width="9.140625" customWidth="1" style="201"/>
    <col min="38" max="183" width="9.140625" customWidth="1" style="127"/>
    <col min="184" max="184" bestFit="1" width="9.5703125" customWidth="1" style="127"/>
    <col min="185" max="190" width="9.140625" customWidth="1" style="127"/>
    <col min="191" max="191" width="9.140625" customWidth="1" style="393"/>
    <col min="192" max="192" width="9.140625" customWidth="1" style="393"/>
    <col min="193" max="16384" width="9.140625" customWidth="1" style="127"/>
  </cols>
  <sheetData>
    <row r="1" ht="57" s="201" customFormat="1">
      <c r="A1" s="280" t="s">
        <v>0</v>
      </c>
      <c r="B1" s="280" t="s">
        <v>254</v>
      </c>
      <c r="C1" s="280" t="s">
        <v>255</v>
      </c>
      <c r="D1" s="392" t="s">
        <v>256</v>
      </c>
      <c r="E1" s="280" t="s">
        <v>47</v>
      </c>
      <c r="F1" s="280" t="s">
        <v>257</v>
      </c>
      <c r="G1" s="392" t="s">
        <v>258</v>
      </c>
      <c r="H1" s="392" t="s">
        <v>259</v>
      </c>
      <c r="I1" s="281" t="s">
        <v>260</v>
      </c>
      <c r="J1" s="281" t="s">
        <v>261</v>
      </c>
      <c r="K1" s="282" t="s">
        <v>262</v>
      </c>
      <c r="L1" s="282" t="s">
        <v>263</v>
      </c>
      <c r="M1" s="281" t="s">
        <v>264</v>
      </c>
      <c r="N1" s="281" t="s">
        <v>265</v>
      </c>
      <c r="O1" s="281" t="s">
        <v>266</v>
      </c>
      <c r="P1" s="281" t="s">
        <v>267</v>
      </c>
      <c r="Q1" s="281" t="s">
        <v>268</v>
      </c>
      <c r="R1" s="281" t="s">
        <v>269</v>
      </c>
      <c r="S1" s="281" t="s">
        <v>270</v>
      </c>
      <c r="T1" s="281" t="s">
        <v>271</v>
      </c>
      <c r="U1" s="281" t="s">
        <v>272</v>
      </c>
      <c r="V1" s="281" t="s">
        <v>273</v>
      </c>
      <c r="W1" s="266" t="s">
        <v>274</v>
      </c>
      <c r="X1" s="266" t="s">
        <v>275</v>
      </c>
      <c r="Y1" s="530" t="s">
        <v>276</v>
      </c>
      <c r="Z1" s="266" t="s">
        <v>277</v>
      </c>
      <c r="AA1" s="530" t="s">
        <v>278</v>
      </c>
      <c r="AB1" s="266" t="s">
        <v>279</v>
      </c>
      <c r="AC1" s="266" t="s">
        <v>280</v>
      </c>
      <c r="AD1" s="233" t="s">
        <v>281</v>
      </c>
      <c r="AE1" s="280" t="s">
        <v>282</v>
      </c>
      <c r="AF1" s="280" t="s">
        <v>283</v>
      </c>
      <c r="AG1" s="280" t="s">
        <v>284</v>
      </c>
      <c r="AH1" s="234"/>
      <c r="AI1" s="283" t="s">
        <v>285</v>
      </c>
      <c r="AJ1" s="283" t="s">
        <v>286</v>
      </c>
      <c r="AK1" s="284" t="s">
        <v>287</v>
      </c>
      <c r="AL1" s="285" t="s">
        <v>288</v>
      </c>
      <c r="AM1" s="285" t="s">
        <v>289</v>
      </c>
      <c r="AN1" s="285" t="s">
        <v>290</v>
      </c>
      <c r="AO1" s="285" t="s">
        <v>291</v>
      </c>
      <c r="AP1" s="285" t="s">
        <v>292</v>
      </c>
      <c r="AQ1" s="285" t="s">
        <v>293</v>
      </c>
      <c r="AR1" s="284" t="s">
        <v>294</v>
      </c>
      <c r="AS1" s="284" t="s">
        <v>295</v>
      </c>
      <c r="AT1" s="284" t="s">
        <v>296</v>
      </c>
      <c r="AU1" s="284" t="s">
        <v>297</v>
      </c>
      <c r="AV1" s="284" t="s">
        <v>298</v>
      </c>
      <c r="AW1" s="284" t="s">
        <v>299</v>
      </c>
      <c r="AX1" s="285" t="s">
        <v>300</v>
      </c>
      <c r="AY1" s="284" t="s">
        <v>301</v>
      </c>
      <c r="AZ1" s="284" t="s">
        <v>302</v>
      </c>
      <c r="BA1" s="284" t="s">
        <v>303</v>
      </c>
      <c r="BB1" s="284" t="s">
        <v>304</v>
      </c>
      <c r="BC1" s="284" t="s">
        <v>305</v>
      </c>
      <c r="BD1" s="284" t="s">
        <v>306</v>
      </c>
      <c r="BE1" s="285" t="s">
        <v>307</v>
      </c>
      <c r="BF1" s="285" t="s">
        <v>308</v>
      </c>
      <c r="BG1" s="285" t="s">
        <v>309</v>
      </c>
      <c r="BH1" s="285" t="s">
        <v>310</v>
      </c>
      <c r="BI1" s="285" t="s">
        <v>311</v>
      </c>
      <c r="BJ1" s="285" t="s">
        <v>312</v>
      </c>
      <c r="BK1" s="284" t="s">
        <v>313</v>
      </c>
      <c r="BL1" s="284" t="s">
        <v>314</v>
      </c>
      <c r="BM1" s="284" t="s">
        <v>315</v>
      </c>
      <c r="BN1" s="284" t="s">
        <v>316</v>
      </c>
      <c r="BO1" s="284" t="s">
        <v>317</v>
      </c>
      <c r="BP1" s="284" t="s">
        <v>318</v>
      </c>
      <c r="BQ1" s="285" t="s">
        <v>319</v>
      </c>
      <c r="BR1" s="284" t="s">
        <v>320</v>
      </c>
      <c r="BS1" s="284" t="s">
        <v>321</v>
      </c>
      <c r="BT1" s="284" t="s">
        <v>322</v>
      </c>
      <c r="BU1" s="284" t="s">
        <v>323</v>
      </c>
      <c r="BV1" s="285" t="s">
        <v>324</v>
      </c>
      <c r="BW1" s="284" t="s">
        <v>325</v>
      </c>
      <c r="BX1" s="284" t="s">
        <v>326</v>
      </c>
      <c r="BY1" s="284" t="s">
        <v>327</v>
      </c>
      <c r="BZ1" s="284" t="s">
        <v>328</v>
      </c>
      <c r="CA1" s="285" t="s">
        <v>329</v>
      </c>
      <c r="CB1" s="284" t="s">
        <v>330</v>
      </c>
      <c r="CC1" s="284" t="s">
        <v>331</v>
      </c>
      <c r="CD1" s="284" t="s">
        <v>332</v>
      </c>
      <c r="CE1" s="284" t="s">
        <v>333</v>
      </c>
      <c r="CF1" s="285" t="s">
        <v>334</v>
      </c>
      <c r="CG1" s="284" t="s">
        <v>335</v>
      </c>
      <c r="CH1" s="284" t="s">
        <v>336</v>
      </c>
      <c r="CI1" s="284" t="s">
        <v>337</v>
      </c>
      <c r="CJ1" s="284" t="s">
        <v>338</v>
      </c>
      <c r="CK1" s="285" t="s">
        <v>339</v>
      </c>
      <c r="CL1" s="284" t="s">
        <v>340</v>
      </c>
      <c r="CM1" s="284" t="s">
        <v>341</v>
      </c>
      <c r="CN1" s="284" t="s">
        <v>342</v>
      </c>
      <c r="CO1" s="284" t="s">
        <v>343</v>
      </c>
      <c r="CP1" s="285" t="s">
        <v>344</v>
      </c>
      <c r="CQ1" s="284" t="s">
        <v>345</v>
      </c>
      <c r="CR1" s="284" t="s">
        <v>346</v>
      </c>
      <c r="CS1" s="284" t="s">
        <v>347</v>
      </c>
      <c r="CT1" s="284" t="s">
        <v>348</v>
      </c>
      <c r="CU1" s="285" t="s">
        <v>349</v>
      </c>
      <c r="CV1" s="284" t="s">
        <v>350</v>
      </c>
      <c r="CW1" s="284" t="s">
        <v>351</v>
      </c>
      <c r="CX1" s="284" t="s">
        <v>352</v>
      </c>
      <c r="CY1" s="284" t="s">
        <v>353</v>
      </c>
      <c r="CZ1" s="286" t="s">
        <v>354</v>
      </c>
      <c r="DA1" s="286" t="s">
        <v>355</v>
      </c>
      <c r="DB1" s="285" t="s">
        <v>356</v>
      </c>
      <c r="DC1" s="284" t="s">
        <v>357</v>
      </c>
      <c r="DD1" s="284" t="s">
        <v>358</v>
      </c>
      <c r="DE1" s="284" t="s">
        <v>359</v>
      </c>
      <c r="DF1" s="284" t="s">
        <v>360</v>
      </c>
      <c r="DG1" s="286" t="s">
        <v>361</v>
      </c>
      <c r="DH1" s="286" t="s">
        <v>362</v>
      </c>
      <c r="DI1" s="285" t="s">
        <v>363</v>
      </c>
      <c r="DJ1" s="284" t="s">
        <v>364</v>
      </c>
      <c r="DK1" s="284" t="s">
        <v>365</v>
      </c>
      <c r="DL1" s="284" t="s">
        <v>366</v>
      </c>
      <c r="DM1" s="284" t="s">
        <v>367</v>
      </c>
      <c r="DN1" s="286" t="s">
        <v>368</v>
      </c>
      <c r="DO1" s="286" t="s">
        <v>369</v>
      </c>
      <c r="DP1" s="285" t="s">
        <v>370</v>
      </c>
      <c r="DQ1" s="284" t="s">
        <v>371</v>
      </c>
      <c r="DR1" s="284" t="s">
        <v>372</v>
      </c>
      <c r="DS1" s="284" t="s">
        <v>373</v>
      </c>
      <c r="DT1" s="284" t="s">
        <v>374</v>
      </c>
      <c r="DU1" s="286" t="s">
        <v>375</v>
      </c>
      <c r="DV1" s="286" t="s">
        <v>376</v>
      </c>
      <c r="DW1" s="285" t="s">
        <v>377</v>
      </c>
      <c r="DX1" s="284" t="s">
        <v>378</v>
      </c>
      <c r="DY1" s="284" t="s">
        <v>379</v>
      </c>
      <c r="DZ1" s="284" t="s">
        <v>380</v>
      </c>
      <c r="EA1" s="284" t="s">
        <v>381</v>
      </c>
      <c r="EB1" s="286" t="s">
        <v>382</v>
      </c>
      <c r="EC1" s="286" t="s">
        <v>383</v>
      </c>
      <c r="ED1" s="285" t="s">
        <v>384</v>
      </c>
      <c r="EE1" s="284" t="s">
        <v>385</v>
      </c>
      <c r="EF1" s="284" t="s">
        <v>386</v>
      </c>
      <c r="EG1" s="284" t="s">
        <v>387</v>
      </c>
      <c r="EH1" s="284" t="s">
        <v>388</v>
      </c>
      <c r="EI1" s="286" t="s">
        <v>389</v>
      </c>
      <c r="EJ1" s="286" t="s">
        <v>390</v>
      </c>
      <c r="EK1" s="286" t="s">
        <v>391</v>
      </c>
      <c r="EL1" s="287" t="s">
        <v>392</v>
      </c>
      <c r="EM1" s="287" t="s">
        <v>393</v>
      </c>
      <c r="EN1" s="287" t="s">
        <v>394</v>
      </c>
      <c r="EO1" s="287" t="s">
        <v>395</v>
      </c>
      <c r="EP1" s="287" t="s">
        <v>396</v>
      </c>
      <c r="EQ1" s="287" t="s">
        <v>397</v>
      </c>
      <c r="ER1" s="285" t="s">
        <v>398</v>
      </c>
      <c r="ES1" s="284" t="s">
        <v>399</v>
      </c>
      <c r="ET1" s="284" t="s">
        <v>400</v>
      </c>
      <c r="EU1" s="284" t="s">
        <v>401</v>
      </c>
      <c r="EV1" s="284" t="s">
        <v>402</v>
      </c>
      <c r="EW1" s="286" t="s">
        <v>403</v>
      </c>
      <c r="EX1" s="285" t="s">
        <v>404</v>
      </c>
      <c r="EY1" s="284" t="s">
        <v>405</v>
      </c>
      <c r="EZ1" s="284" t="s">
        <v>406</v>
      </c>
      <c r="FA1" s="284" t="s">
        <v>407</v>
      </c>
      <c r="FB1" s="284" t="s">
        <v>408</v>
      </c>
      <c r="FC1" s="286" t="s">
        <v>409</v>
      </c>
      <c r="FD1" s="285" t="s">
        <v>410</v>
      </c>
      <c r="FE1" s="284" t="s">
        <v>411</v>
      </c>
      <c r="FF1" s="284" t="s">
        <v>412</v>
      </c>
      <c r="FG1" s="284" t="s">
        <v>413</v>
      </c>
      <c r="FH1" s="284" t="s">
        <v>414</v>
      </c>
      <c r="FI1" s="286" t="s">
        <v>415</v>
      </c>
      <c r="FJ1" s="285" t="s">
        <v>416</v>
      </c>
      <c r="FK1" s="284" t="s">
        <v>417</v>
      </c>
      <c r="FL1" s="284" t="s">
        <v>418</v>
      </c>
      <c r="FM1" s="284" t="s">
        <v>419</v>
      </c>
      <c r="FN1" s="284" t="s">
        <v>420</v>
      </c>
      <c r="FO1" s="286" t="s">
        <v>421</v>
      </c>
      <c r="FP1" s="285" t="s">
        <v>422</v>
      </c>
      <c r="FQ1" s="284" t="s">
        <v>423</v>
      </c>
      <c r="FR1" s="284" t="s">
        <v>424</v>
      </c>
      <c r="FS1" s="284" t="s">
        <v>425</v>
      </c>
      <c r="FT1" s="284" t="s">
        <v>426</v>
      </c>
      <c r="FU1" s="286" t="s">
        <v>427</v>
      </c>
      <c r="FV1" s="285" t="s">
        <v>428</v>
      </c>
      <c r="FW1" s="284" t="s">
        <v>429</v>
      </c>
      <c r="FX1" s="284" t="s">
        <v>430</v>
      </c>
      <c r="FY1" s="284" t="s">
        <v>431</v>
      </c>
      <c r="FZ1" s="284" t="s">
        <v>432</v>
      </c>
      <c r="GA1" s="286" t="s">
        <v>433</v>
      </c>
      <c r="GB1" s="285" t="s">
        <v>434</v>
      </c>
      <c r="GC1" s="288" t="s">
        <v>435</v>
      </c>
      <c r="GD1" s="288" t="s">
        <v>436</v>
      </c>
      <c r="GE1" s="288" t="s">
        <v>437</v>
      </c>
      <c r="GF1" s="288" t="s">
        <v>438</v>
      </c>
      <c r="GG1" s="288" t="s">
        <v>439</v>
      </c>
      <c r="GH1" s="288" t="s">
        <v>440</v>
      </c>
      <c r="GI1" s="533" t="s">
        <v>441</v>
      </c>
      <c r="GJ1" s="533" t="s">
        <v>442</v>
      </c>
      <c r="GK1" s="289" t="s">
        <v>443</v>
      </c>
      <c r="GL1" s="290">
        <v>10</v>
      </c>
      <c r="GM1" s="289" t="s">
        <v>444</v>
      </c>
      <c r="GN1" s="290">
        <v>6</v>
      </c>
    </row>
    <row r="2" ht="89.25" s="235" customFormat="1">
      <c r="A2" s="267">
        <f>Input!A2</f>
        <v>1</v>
      </c>
      <c r="B2" s="267" t="str">
        <f>Input!B2</f>
        <v>VNMOBILE-HCM</v>
      </c>
      <c r="C2" s="267" t="str">
        <f>Input!C2</f>
        <v>MOBIFONE</v>
      </c>
      <c r="D2" s="527" t="str">
        <f>AY2</f>
        <v>BDGTDM002</v>
      </c>
      <c r="E2" s="267" t="str">
        <f>Input!E2</f>
        <v>Số 204, đường Huỳnh Văn Cù, phường Chánh Mỹ, thành phố Thủ Dầu Một, tỉnh Bình Dương.</v>
      </c>
      <c r="F2" s="267" t="str">
        <f>Input!F2</f>
        <v>Bình Dương</v>
      </c>
      <c r="G2" s="527" t="str">
        <f>Input!G2</f>
        <v>106,647723</v>
      </c>
      <c r="H2" s="527" t="str">
        <f>Input!H2</f>
        <v>10,991285</v>
      </c>
      <c r="I2" s="267">
        <f>Input!I2</f>
        <v>3</v>
      </c>
      <c r="J2" s="267" t="str">
        <f>Input!J2</f>
        <v>K00458221018D005</v>
      </c>
      <c r="K2" s="291" t="str">
        <f>TEXT(Input!K2,"dd/mm/yyyy")</f>
        <v>19/11/2018</v>
      </c>
      <c r="L2" s="291" t="str">
        <f>TEXT(Input!L2,"dd/mm/yyyy")</f>
        <v>22/10/2018</v>
      </c>
      <c r="M2" s="267" t="str">
        <f>Input!M2</f>
        <v>TỔNG CÔNG TY HẠ TẦNG MẠNG;TỔNG CÔNG TY HẠ TẦNG MẠNG;TỔNG CÔNG TY HẠ TẦNG MẠNG</v>
      </c>
      <c r="N2" s="267" t="str">
        <f>Input!N2</f>
        <v>BDGTDM002;BDGTDM002;BDGTDM002</v>
      </c>
      <c r="O2" s="267" t="str">
        <f>Input!O2</f>
        <v>MOTOROLA HORIZON II MACRO;ERICSSON RBS 6601;NSN FLEXI MULTIRADIO 10 (FHED)</v>
      </c>
      <c r="P2" s="267" t="str">
        <f>Input!P2</f>
        <v>3;3;3</v>
      </c>
      <c r="Q2" s="267" t="str">
        <f>Input!Q2</f>
        <v>4/4/4;2/2/2;1/1/1</v>
      </c>
      <c r="R2" s="267" t="str">
        <f>Input!R2</f>
        <v>20W/20W/20W;60W/60W/60W;160W/160W/160W</v>
      </c>
      <c r="S2" s="267" t="str">
        <f>Input!S2</f>
        <v>G900;U2100;L1800</v>
      </c>
      <c r="T2" s="267" t="str">
        <f>Input!T2</f>
        <v>36m/ 36m/ 36m;36m/ 36m/ 36m;36m/ 36m/ 36m</v>
      </c>
      <c r="U2" s="267">
        <f>Input!U2</f>
        <v>1</v>
      </c>
      <c r="V2" s="267" t="str">
        <f>Input!V2</f>
        <v>FX-X-CG-00T-900;S-Wave EW/EW/EW-65-18DV2/12I-F-64K-VN;S-Wave EW/EW/EW-65-18DV2/12I-F-64K-VN</v>
      </c>
      <c r="W2" s="267" t="b">
        <f>Input!W2</f>
        <v>0</v>
      </c>
      <c r="X2" s="267" t="b">
        <f>Input!X2</f>
        <v>0</v>
      </c>
      <c r="Y2" s="527">
        <f>Input!Y2</f>
        <v>0</v>
      </c>
      <c r="Z2" s="267" t="b">
        <f>Input!Z2</f>
        <v>1</v>
      </c>
      <c r="AA2" s="527">
        <f>Input!AA2</f>
        <v>0</v>
      </c>
      <c r="AB2" s="267" t="b">
        <f>Input!AB2</f>
        <v>0</v>
      </c>
      <c r="AC2" s="267" t="b">
        <f>Input!AC2</f>
        <v>0</v>
      </c>
      <c r="AD2" s="267">
        <f>Input!AD2</f>
        <v>0</v>
      </c>
      <c r="AE2" s="267">
        <f>Input!AE2</f>
        <v>0</v>
      </c>
      <c r="AF2" s="267" t="str">
        <f>Input!AF2</f>
        <v>VCC2</v>
      </c>
      <c r="AG2" s="267" t="str">
        <f>Input!AG2</f>
        <v>Trạm không còn hoạt động</v>
      </c>
      <c r="AH2" s="279"/>
      <c r="AI2" s="279" t="str">
        <f>INDEX(ApplicantNameList,MATCH(B2,ApplicantIDList,0))</f>
        <v>CHI NHÁNH VNMOBILE TẠI TPHCM</v>
      </c>
      <c r="AJ2" s="279" t="str">
        <f>INDEX(OperatorNameList,MATCH(C2,OperatorIDList,0))</f>
        <v>TỔNG CÔNG TY VIỄN THÔNG MOBIFONE</v>
      </c>
      <c r="AK2" s="267" t="str">
        <f>INDEX(CityIDList,MATCH(F2,CityNameList,0))</f>
        <v>BDG</v>
      </c>
      <c r="AL2" s="279" t="str">
        <f>TRIM(IF(I2&gt;=1,MID(M2,1,IFERROR(FIND("~",SUBSTITUTE(M2,";","~",1))-1,LEN(M2))),""))</f>
        <v>TỔNG CÔNG TY HẠ TẦNG MẠNG</v>
      </c>
      <c r="AM2" s="279" t="str">
        <f>TRIM(IF(I2&gt;=2,MID(M2,FIND("~",SUBSTITUTE(M2,";","~",1))+1,IFERROR(FIND("~",SUBSTITUTE(M2,";","~",2))-1,LEN(M2))- FIND("~",SUBSTITUTE(M2,";","~",1))),""))</f>
        <v>TỔNG CÔNG TY HẠ TẦNG MẠNG</v>
      </c>
      <c r="AN2" s="279" t="str">
        <f>TRIM(IF(I2&gt;=3,MID(M2,FIND("~",SUBSTITUTE(M2,";","~",2))+1,IFERROR(FIND("~",SUBSTITUTE(M2,";","~",3))-1,LEN(M2))- FIND("~",SUBSTITUTE(M2,";","~",2))),""))</f>
        <v>TỔNG CÔNG TY HẠ TẦNG MẠNG</v>
      </c>
      <c r="AO2" s="279" t="str">
        <f>TRIM(IF(I2&gt;=4,MID(M2,FIND("~",SUBSTITUTE(M2,";","~",3))+1,IFERROR(FIND("~",SUBSTITUTE(M2,";","~",4))-1,LEN(M2))- FIND("~",SUBSTITUTE(M2,";","~",3))),""))</f>
      </c>
      <c r="AP2" s="279" t="str">
        <f>TRIM(IF(I2&gt;=5,MID(M2,FIND("~",SUBSTITUTE(M2,";","~",4))+1,IFERROR(FIND("~",SUBSTITUTE(M2,";","~",5))-1,LEN(M2))- FIND("~",SUBSTITUTE(M2,";","~",4))),""))</f>
      </c>
      <c r="AQ2" s="279" t="str">
        <f>TRIM(IF(I2&gt;=6,MID(M2,FIND("~",SUBSTITUTE(M2,";","~",5))+1,IFERROR(FIND("~",SUBSTITUTE(M2,";","~",6))-1,LEN(M2))- FIND("~",SUBSTITUTE(M2,";","~",5))),""))</f>
      </c>
      <c r="AR2" s="279" t="str">
        <f>IF(I2&gt;=1,INDEX(OperatorIDList,MATCH(AL2,OperatorNameList,0)),"")</f>
        <v>VINAPHONE</v>
      </c>
      <c r="AS2" s="279" t="str">
        <f>IF(I2&gt;=2,INDEX(OperatorIDList,MATCH(AM2,OperatorNameList,0)),"")</f>
        <v>VINAPHONE</v>
      </c>
      <c r="AT2" s="279" t="str">
        <f>IF(I2&gt;=3,INDEX(OperatorIDList,MATCH(AN2,OperatorNameList,0)),"")</f>
        <v>VINAPHONE</v>
      </c>
      <c r="AU2" s="279" t="str">
        <f>IF(I2&gt;=4,INDEX(OperatorIDList,MATCH(AO2,OperatorNameList,0)),"")</f>
      </c>
      <c r="AV2" s="279" t="str">
        <f>IF(I2&gt;=5,INDEX(OperatorIDList,MATCH(AP2,OperatorNameList,0)),"")</f>
      </c>
      <c r="AW2" s="279" t="str">
        <f>IF(I2&gt;=6,INDEX(OperatorIDList,MATCH(AQ2,OperatorNameList,0)),"")</f>
      </c>
      <c r="AX2" s="279" t="str">
        <f>ConcateMultiple(AR2:AW2,";",I2)</f>
        <v>VINAPHONE;VINAPHONE;VINAPHONE</v>
      </c>
      <c r="AY2" s="279" t="str">
        <f>IF(I2&gt;=1,MID(N2,1,IFERROR(FIND("~",SUBSTITUTE(N2,";","~",1))-1,LEN(N2))),"")</f>
        <v>BDGTDM002</v>
      </c>
      <c r="AZ2" s="279" t="str">
        <f>IF(I2&gt;=2,MID(N2,FIND("~",SUBSTITUTE(N2,";","~",1))+1,IFERROR(FIND("~",SUBSTITUTE(N2,";","~",2))-1,LEN(N2))- FIND("~",SUBSTITUTE(N2,";","~",1))),"")</f>
        <v>BDGTDM002</v>
      </c>
      <c r="BA2" s="279" t="str">
        <f>IF(I2&gt;=3,MID(N2,FIND("~",SUBSTITUTE(N2,";","~",2))+1,IFERROR(FIND("~",SUBSTITUTE(N2,";","~",3))-1,LEN(N2))- FIND("~",SUBSTITUTE(N2,";","~",2))),"")</f>
        <v>BDGTDM002</v>
      </c>
      <c r="BB2" s="279" t="str">
        <f>IF(I2&gt;=4,MID(N2,FIND("~",SUBSTITUTE(N2,";","~",3))+1,IFERROR(FIND("~",SUBSTITUTE(N2,";","~",4))-1,LEN(N2))- FIND("~",SUBSTITUTE(N2,";","~",3))),"")</f>
      </c>
      <c r="BC2" s="279" t="str">
        <f>IF(I2&gt;=5,MID(N2,FIND("~",SUBSTITUTE(N2,";","~",4))+1,IFERROR(FIND("~",SUBSTITUTE(N2,";","~",5))-1,LEN(N2))- FIND("~",SUBSTITUTE(N2,";","~",4))),"")</f>
      </c>
      <c r="BD2" s="279" t="str">
        <f>IF(I2&gt;=6,MID(N2,FIND("~",SUBSTITUTE(N2,";","~",5))+1,IFERROR(FIND("~",SUBSTITUTE(N2,";","~",6))-1,LEN(N2))- FIND("~",SUBSTITUTE(N2,";","~",5))),"")</f>
      </c>
      <c r="BE2" s="279" t="str">
        <f>IF(I2&gt;=1,MID(O2,1,IFERROR(FIND("~",SUBSTITUTE(O2,";","~",1))-1,LEN(O2))),"")</f>
        <v>MOTOROLA HORIZON II MACRO</v>
      </c>
      <c r="BF2" s="279" t="str">
        <f>IF(I2&gt;=2,MID(O2,FIND("~",SUBSTITUTE(O2,";","~",1))+1,IFERROR(FIND("~",SUBSTITUTE(O2,";","~",2))-1,LEN(O2))- FIND("~",SUBSTITUTE(O2,";","~",1))),"")</f>
        <v>ERICSSON RBS 6601</v>
      </c>
      <c r="BG2" s="279" t="str">
        <f>IF(I2&gt;=3,MID(O2,FIND("~",SUBSTITUTE(O2,";","~",2))+1,IFERROR(FIND("~",SUBSTITUTE(O2,";","~",3))-1,LEN(O2))- FIND("~",SUBSTITUTE(O2,";","~",2))),"")</f>
        <v>NSN FLEXI MULTIRADIO 10 (FHED)</v>
      </c>
      <c r="BH2" s="279" t="str">
        <f>IF(I2&gt;=4,MID(O2,FIND("~",SUBSTITUTE(O2,";","~",3))+1,IFERROR(FIND("~",SUBSTITUTE(O2,";","~",4))-1,LEN(O2))- FIND("~",SUBSTITUTE(O2,";","~",3))),"")</f>
      </c>
      <c r="BI2" s="279" t="str">
        <f>IF(I2&gt;=5,MID(O2,FIND("~",SUBSTITUTE(O2,";","~",4))+1,IFERROR(FIND("~",SUBSTITUTE(O2,";","~",5))-1,LEN(O2))- FIND("~",SUBSTITUTE(O2,";","~",4))),"")</f>
      </c>
      <c r="BJ2" s="279" t="str">
        <f>IF(I2&gt;=6,MID(O2,FIND("~",SUBSTITUTE(O2,";","~",5))+1,IFERROR(FIND("~",SUBSTITUTE(O2,";","~",6))-1,LEN(O2))- FIND("~",SUBSTITUTE(O2,";","~",5))),"")</f>
      </c>
      <c r="BK2" s="279">
        <f>IF(I2&gt;=1,MID(P2,1,IFERROR(FIND("~",SUBSTITUTE(P2,";","~",1))-1,LEN(P2))),"0")*1</f>
        <v>3</v>
      </c>
      <c r="BL2" s="279">
        <f>IF(I2&gt;=2,MID(P2,FIND("~",SUBSTITUTE(P2,";","~",1))+1,IFERROR(FIND("~",SUBSTITUTE(P2,";","~",2))-1,LEN(P2))- FIND("~",SUBSTITUTE(P2,";","~",1))),"0")*1</f>
        <v>3</v>
      </c>
      <c r="BM2" s="279">
        <f>IF(I2&gt;=3,MID(P2,FIND("~",SUBSTITUTE(P2,";","~",2))+1,IFERROR(FIND("~",SUBSTITUTE(P2,";","~",3))-1,LEN(P2))- FIND("~",SUBSTITUTE(P2,";","~",2))),"0")*1</f>
        <v>3</v>
      </c>
      <c r="BN2" s="279">
        <f>IF(I2&gt;=4,MID(P2,FIND("~",SUBSTITUTE(P2,";","~",3))+1,IFERROR(FIND("~",SUBSTITUTE(P2,";","~",4))-1,LEN(P2))- FIND("~",SUBSTITUTE(P2,";","~",3))),"0")*1</f>
        <v>0</v>
      </c>
      <c r="BO2" s="279">
        <f>IF(I2&gt;=5,MID(P2,FIND("~",SUBSTITUTE(P2,";","~",4))+1,IFERROR(FIND("~",SUBSTITUTE(P2,";","~",5))-1,LEN(P2))- FIND("~",SUBSTITUTE(P2,";","~",4))),"0")*1</f>
        <v>0</v>
      </c>
      <c r="BP2" s="279">
        <f>IF(I2&gt;=6,MID(P2,FIND("~",SUBSTITUTE(P2,";","~",5))+1,IFERROR(FIND("~",SUBSTITUTE(P2,";","~",6))-1,LEN(P2))- FIND("~",SUBSTITUTE(P2,";","~",5))),"0")*1</f>
        <v>0</v>
      </c>
      <c r="BQ2" s="279" t="str">
        <f>IF(I2&gt;=1,MID(Q2,1,IFERROR(FIND("~",SUBSTITUTE(Q2,";","~",1))-1,LEN(Q2))),"")</f>
        <v>4/4/4</v>
      </c>
      <c r="BR2" s="279">
        <f>IF(BK2&gt;=1,MID(BQ2,1,IFERROR(FIND("~",SUBSTITUTE(BQ2,"/","~",1))-1,LEN(BQ2))),"0")*1</f>
        <v>4</v>
      </c>
      <c r="BS2" s="279">
        <f>IF(BK2&gt;=2,MID(BQ2,FIND("~",SUBSTITUTE(BQ2,"/","~",1))+1,IFERROR(FIND("~",SUBSTITUTE(BQ2,"/","~",2))-1,LEN(BQ2))- FIND("~",SUBSTITUTE(BQ2,"/","~",1))),"0")*1</f>
        <v>4</v>
      </c>
      <c r="BT2" s="279">
        <f>IF(BK2&gt;=3,MID(BQ2,FIND("~",SUBSTITUTE(BQ2,"/","~",2))+1,IFERROR(FIND("~",SUBSTITUTE(BQ2,"/","~",3))-1,LEN(BQ2))- FIND("~",SUBSTITUTE(BQ2,"/","~",2))),"0")*1</f>
        <v>4</v>
      </c>
      <c r="BU2" s="279">
        <f>IF(BK2&gt;=4,MID(BQ2,FIND("~",SUBSTITUTE(BQ2,"/","~",3))+1,IFERROR(FIND("~",SUBSTITUTE(BQ2,"/","~",4))-1,LEN(BQ2))- FIND("~",SUBSTITUTE(BQ2,"/","~",3))),"0")*1</f>
        <v>0</v>
      </c>
      <c r="BV2" s="279" t="str">
        <f>IF(I2&gt;=2,MID(Q2,FIND("~",SUBSTITUTE(Q2,";","~",1))+1,IFERROR(FIND("~",SUBSTITUTE(Q2,";","~",2))-1,LEN(Q2))- FIND("~",SUBSTITUTE(Q2,";","~",1))),"")</f>
        <v>2/2/2</v>
      </c>
      <c r="BW2" s="279">
        <f>IF(BL2&gt;=1,MID(BV2,1,IFERROR(FIND("~",SUBSTITUTE(BV2,"/","~",1))-1,LEN(BV2))),"0")*1</f>
        <v>2</v>
      </c>
      <c r="BX2" s="279">
        <f>IF(BL2&gt;=2,MID(BV2,FIND("~",SUBSTITUTE(BV2,"/","~",1))+1,IFERROR(FIND("~",SUBSTITUTE(BV2,"/","~",2))-1,LEN(BV2))- FIND("~",SUBSTITUTE(BV2,"/","~",1))),"0")*1</f>
        <v>2</v>
      </c>
      <c r="BY2" s="279">
        <f>IF(BL2&gt;=3,MID(BV2,FIND("~",SUBSTITUTE(BV2,"/","~",2))+1,IFERROR(FIND("~",SUBSTITUTE(BV2,"/","~",3))-1,LEN(BV2))- FIND("~",SUBSTITUTE(BV2,"/","~",2))),"0")*1</f>
        <v>2</v>
      </c>
      <c r="BZ2" s="279">
        <f>IF(BL2&gt;=4,MID(BV2,FIND("~",SUBSTITUTE(BV2,"/","~",3))+1,IFERROR(FIND("~",SUBSTITUTE(BV2,"/","~",4))-1,LEN(BV2))- FIND("~",SUBSTITUTE(BV2,"/","~",3))),"0")*1</f>
        <v>0</v>
      </c>
      <c r="CA2" s="279" t="str">
        <f>IF(I2&gt;=3,MID(Q2,FIND("~",SUBSTITUTE(Q2,";","~",2))+1,IFERROR(FIND("~",SUBSTITUTE(Q2,";","~",3))-1,LEN(Q2))- FIND("~",SUBSTITUTE(Q2,";","~",2))),"")</f>
        <v>1/1/1</v>
      </c>
      <c r="CB2" s="279">
        <f>IF(BM2&gt;=1,MID(CA2,1,IFERROR(FIND("~",SUBSTITUTE(CA2,"/","~",1))-1,LEN(CA2))),"0")*1</f>
        <v>1</v>
      </c>
      <c r="CC2" s="279">
        <f>IF(BM2&gt;=2,MID(CA2,FIND("~",SUBSTITUTE(CA2,"/","~",1))+1,IFERROR(FIND("~",SUBSTITUTE(CA2,"/","~",2))-1,LEN(CA2))- FIND("~",SUBSTITUTE(CA2,"/","~",1))),"0")*1</f>
        <v>1</v>
      </c>
      <c r="CD2" s="279">
        <f>IF(BM2&gt;=3,MID(CA2,FIND("~",SUBSTITUTE(CA2,"/","~",2))+1,IFERROR(FIND("~",SUBSTITUTE(CA2,"/","~",3))-1,LEN(CA2))- FIND("~",SUBSTITUTE(CA2,"/","~",2))),"0")*1</f>
        <v>1</v>
      </c>
      <c r="CE2" s="279">
        <f>IF(BM2&gt;=4,MID(CA2,FIND("~",SUBSTITUTE(CA2,"/","~",3))+1,IFERROR(FIND("~",SUBSTITUTE(CA2,"/","~",4))-1,LEN(CA2))- FIND("~",SUBSTITUTE(CA2,"/","~",3))),"0")*1</f>
        <v>0</v>
      </c>
      <c r="CF2" s="279" t="str">
        <f>IF(I2&gt;=4,MID(Q2,FIND("~",SUBSTITUTE(Q2,";","~",3))+1,IFERROR(FIND("~",SUBSTITUTE(Q2,";","~",4))-1,LEN(Q2))- FIND("~",SUBSTITUTE(Q2,";","~",3))),"")</f>
      </c>
      <c r="CG2" s="279">
        <f>IF(BN2&gt;=1,MID(CF2,1,IFERROR(FIND("~",SUBSTITUTE(CF2,"/","~",1))-1,LEN(CF2))),"0")*1</f>
        <v>0</v>
      </c>
      <c r="CH2" s="279">
        <f>IF(BN2&gt;=2,MID(CF2,FIND("~",SUBSTITUTE(CF2,"/","~",1))+1,IFERROR(FIND("~",SUBSTITUTE(CF2,"/","~",2))-1,LEN(CF2))- FIND("~",SUBSTITUTE(CF2,"/","~",1))),"0")*1</f>
        <v>0</v>
      </c>
      <c r="CI2" s="279">
        <f>IF(BN2&gt;=3,MID(CF2,FIND("~",SUBSTITUTE(CF2,"/","~",2))+1,IFERROR(FIND("~",SUBSTITUTE(CF2,"/","~",3))-1,LEN(CF2))- FIND("~",SUBSTITUTE(CF2,"/","~",2))),"0")*1</f>
        <v>0</v>
      </c>
      <c r="CJ2" s="279">
        <f>IF(BN2&gt;=4,MID(CF2,FIND("~",SUBSTITUTE(CF2,"/","~",3))+1,IFERROR(FIND("~",SUBSTITUTE(CF2,"/","~",4))-1,LEN(CF2))- FIND("~",SUBSTITUTE(CF2,"/","~",3))),"0")*1</f>
        <v>0</v>
      </c>
      <c r="CK2" s="279" t="str">
        <f>IF(I2&gt;=5,MID(Q2,FIND("~",SUBSTITUTE(Q2,";","~",4))+1,IFERROR(FIND("~",SUBSTITUTE(Q2,";","~",5))-1,LEN(Q2))- FIND("~",SUBSTITUTE(Q2,";","~",4))),"")</f>
      </c>
      <c r="CL2" s="279">
        <f>IF(BO2&gt;=1,MID(CK2,1,IFERROR(FIND("~",SUBSTITUTE(CK2,"/","~",1))-1,LEN(CK2))),"0")*1</f>
        <v>0</v>
      </c>
      <c r="CM2" s="279">
        <f>IF(BO2&gt;=2,MID(CK2,FIND("~",SUBSTITUTE(CK2,"/","~",1))+1,IFERROR(FIND("~",SUBSTITUTE(CK2,"/","~",2))-1,LEN(CK2))- FIND("~",SUBSTITUTE(CK2,"/","~",1))),"0")*1</f>
        <v>0</v>
      </c>
      <c r="CN2" s="279">
        <f>IF(BO2&gt;=3,MID(CK2,FIND("~",SUBSTITUTE(CK2,"/","~",2))+1,IFERROR(FIND("~",SUBSTITUTE(CK2,"/","~",3))-1,LEN(CK2))- FIND("~",SUBSTITUTE(CK2,"/","~",2))),"0")*1</f>
        <v>0</v>
      </c>
      <c r="CO2" s="279">
        <f>IF(BO2&gt;=4,MID(CK2,FIND("~",SUBSTITUTE(CK2,"/","~",3))+1,IFERROR(FIND("~",SUBSTITUTE(CK2,"/","~",4))-1,LEN(CK2))- FIND("~",SUBSTITUTE(CK2,"/","~",3))),"0")*1</f>
        <v>0</v>
      </c>
      <c r="CP2" s="279" t="str">
        <f>IF(I2&gt;=6,MID(Q2,FIND("~",SUBSTITUTE(Q2,";","~",5))+1,IFERROR(FIND("~",SUBSTITUTE(Q2,";","~",6))-1,LEN(Q2))- FIND("~",SUBSTITUTE(Q2,";","~",5))),"")</f>
      </c>
      <c r="CQ2" s="279">
        <f>IF(BP2&gt;=1,MID(CP2,1,IFERROR(FIND("~",SUBSTITUTE(CP2,"/","~",1))-1,LEN(CP2))),"0")*1</f>
        <v>0</v>
      </c>
      <c r="CR2" s="279">
        <f>IF(BP2&gt;=2,MID(CP2,FIND("~",SUBSTITUTE(CP2,"/","~",1))+1,IFERROR(FIND("~",SUBSTITUTE(CP2,"/","~",2))-1,LEN(CP2))- FIND("~",SUBSTITUTE(CP2,"/","~",1))),"0")*1</f>
        <v>0</v>
      </c>
      <c r="CS2" s="279">
        <f>IF(BP2&gt;=3,MID(CP2,FIND("~",SUBSTITUTE(CP2,"/","~",2))+1,IFERROR(FIND("~",SUBSTITUTE(CP2,"/","~",3))-1,LEN(CP2))- FIND("~",SUBSTITUTE(CP2,"/","~",2))),"0")*1</f>
        <v>0</v>
      </c>
      <c r="CT2" s="279">
        <f>IF(BP2&gt;=4,MID(CP2,FIND("~",SUBSTITUTE(CP2,"/","~",3))+1,IFERROR(FIND("~",SUBSTITUTE(CP2,"/","~",4))-1,LEN(CP2))- FIND("~",SUBSTITUTE(CP2,"/","~",3))),"0")*1</f>
        <v>0</v>
      </c>
      <c r="CU2" s="279" t="str">
        <f>IF(I2&gt;=1,MID(R2,1,IFERROR(FIND("~",SUBSTITUTE(R2,";","~",1))-1,LEN(R2))),"")</f>
        <v>20W/20W/20W</v>
      </c>
      <c r="CV2" s="279">
        <f>SUBSTITUTE(IF(BK2&gt;=1,MID(CU2,1,IFERROR(FIND("~",SUBSTITUTE(CU2,"/","~",1))-1,LEN(CU2))),"0"),"W","")*1</f>
        <v>20</v>
      </c>
      <c r="CW2" s="279">
        <f>SUBSTITUTE(IF(BK2&gt;=2,MID(CU2,FIND("~",SUBSTITUTE(CU2,"/","~",1))+1,IFERROR(FIND("~",SUBSTITUTE(CU2,"/","~",2))-1,LEN(CU2))- FIND("~",SUBSTITUTE(CU2,"/","~",1))),"0"),"W","")*1</f>
        <v>20</v>
      </c>
      <c r="CX2" s="279">
        <f>SUBSTITUTE(IF(BK2&gt;=3,MID(CU2,FIND("~",SUBSTITUTE(CU2,"/","~",2))+1,IFERROR(FIND("~",SUBSTITUTE(CU2,"/","~",3))-1,LEN(CU2))- FIND("~",SUBSTITUTE(CU2,"/","~",2))),"0"),"W","")*1</f>
        <v>20</v>
      </c>
      <c r="CY2" s="279">
        <f>SUBSTITUTE(IF(BK2&gt;=4,MID(CU2,FIND("~",SUBSTITUTE(CU2,"/","~",3))+1,IFERROR(FIND("~",SUBSTITUTE(CU2,"/","~",4))-1,LEN(CU2))- FIND("~",SUBSTITUTE(CU2,"/","~",3))),"0"),"W","")*1</f>
        <v>0</v>
      </c>
      <c r="CZ2" s="279" t="str">
        <f>ConcateMultiple(CV2:CY2,"W/",BK2)</f>
        <v>20W/20W/20W</v>
      </c>
      <c r="DA2" s="279">
        <f>MAX(CV2:CY2)</f>
        <v>20</v>
      </c>
      <c r="DB2" s="279" t="str">
        <f>IF(I2&gt;=2,MID(R2,FIND("~",SUBSTITUTE(R2,";","~",1))+1,IFERROR(FIND("~",SUBSTITUTE(R2,";","~",2))-1,LEN(R2))- FIND("~",SUBSTITUTE(R2,";","~",1))),"")</f>
        <v>60W/60W/60W</v>
      </c>
      <c r="DC2" s="279">
        <f>SUBSTITUTE(IF(BL2&gt;=1,MID(DB2,1,IFERROR(FIND("~",SUBSTITUTE(DB2,"/","~",1))-1,LEN(DB2))),"0"),"W","")*1</f>
        <v>60</v>
      </c>
      <c r="DD2" s="279">
        <f>SUBSTITUTE(IF(BL2&gt;=2,MID(DB2,FIND("~",SUBSTITUTE(DB2,"/","~",1))+1,IFERROR(FIND("~",SUBSTITUTE(DB2,"/","~",2))-1,LEN(DB2))- FIND("~",SUBSTITUTE(DB2,"/","~",1))),"0"),"W","")*1*1</f>
        <v>60</v>
      </c>
      <c r="DE2" s="279">
        <f>SUBSTITUTE(IF(BL2&gt;=3,MID(DB2,FIND("~",SUBSTITUTE(DB2,"/","~",2))+1,IFERROR(FIND("~",SUBSTITUTE(DB2,"/","~",3))-1,LEN(DB2))- FIND("~",SUBSTITUTE(DB2,"/","~",2))),"0"),"W","")*1*1</f>
        <v>60</v>
      </c>
      <c r="DF2" s="279">
        <f>SUBSTITUTE(IF(BL2&gt;=4,MID(DB2,FIND("~",SUBSTITUTE(DB2,"/","~",3))+1,IFERROR(FIND("~",SUBSTITUTE(DB2,"/","~",4))-1,LEN(DB2))- FIND("~",SUBSTITUTE(DB2,"/","~",3))),"0"),"W","")*1*1</f>
        <v>0</v>
      </c>
      <c r="DG2" s="279" t="str">
        <f>ConcateMultiple(DC2:DF2,"W/",BL2)</f>
        <v>60W/60W/60W</v>
      </c>
      <c r="DH2" s="279">
        <f>MAX(DC2:DF2)</f>
        <v>60</v>
      </c>
      <c r="DI2" s="279" t="str">
        <f>IF(I2&gt;=3,MID(R2,FIND("~",SUBSTITUTE(R2,";","~",2))+1,IFERROR(FIND("~",SUBSTITUTE(R2,";","~",3))-1,LEN(R2))- FIND("~",SUBSTITUTE(R2,";","~",2))),"")</f>
        <v>160W/160W/160W</v>
      </c>
      <c r="DJ2" s="279">
        <f>SUBSTITUTE(IF(BM2&gt;=1,MID(DI2,1,IFERROR(FIND("~",SUBSTITUTE(DI2,"/","~",1))-1,LEN(DI2))),"0"),"W","")*1</f>
        <v>160</v>
      </c>
      <c r="DK2" s="279">
        <f>SUBSTITUTE(IF(BM2&gt;=2,MID(DI2,FIND("~",SUBSTITUTE(DI2,"/","~",1))+1,IFERROR(FIND("~",SUBSTITUTE(DI2,"/","~",2))-1,LEN(DI2))- FIND("~",SUBSTITUTE(DI2,"/","~",1))),"0"),"W","")*1</f>
        <v>160</v>
      </c>
      <c r="DL2" s="279">
        <f>SUBSTITUTE(IF(BM2&gt;=3,MID(DI2,FIND("~",SUBSTITUTE(DI2,"/","~",2))+1,IFERROR(FIND("~",SUBSTITUTE(DI2,"/","~",3))-1,LEN(DI2))- FIND("~",SUBSTITUTE(DI2,"/","~",2))),"0"),"W","")*1</f>
        <v>160</v>
      </c>
      <c r="DM2" s="279">
        <f>SUBSTITUTE(IF(BM2&gt;=4,MID(DI2,FIND("~",SUBSTITUTE(DI2,"/","~",3))+1,IFERROR(FIND("~",SUBSTITUTE(DI2,"/","~",4))-1,LEN(DI2))- FIND("~",SUBSTITUTE(DI2,"/","~",3))),"0"),"W","")*1*1</f>
        <v>0</v>
      </c>
      <c r="DN2" s="279" t="str">
        <f>ConcateMultiple(DJ2:DM2,"W/",BM2)</f>
        <v>160W/160W/160W</v>
      </c>
      <c r="DO2" s="279">
        <f>MAX(DJ2:DM2)</f>
        <v>160</v>
      </c>
      <c r="DP2" s="279" t="str">
        <f>IF(I2&gt;=4,MID(R2,FIND("~",SUBSTITUTE(R2,";","~",3))+1,IFERROR(FIND("~",SUBSTITUTE(R2,";","~",4))-1,LEN(R2))- FIND("~",SUBSTITUTE(R2,";","~",3))),"")</f>
      </c>
      <c r="DQ2" s="279">
        <f>SUBSTITUTE(IF(BN2&gt;=1,MID(DP2,1,IFERROR(FIND("~",SUBSTITUTE(DP2,"/","~",1))-1,LEN(DP2))),"0"),"W","")*1</f>
        <v>0</v>
      </c>
      <c r="DR2" s="279">
        <f>SUBSTITUTE(IF(BN2&gt;=2,MID(DP2,FIND("~",SUBSTITUTE(DP2,"/","~",1))+1,IFERROR(FIND("~",SUBSTITUTE(DP2,"/","~",2))-1,LEN(DP2))- FIND("~",SUBSTITUTE(DP2,"/","~",1))),"0"),"W","")*1</f>
        <v>0</v>
      </c>
      <c r="DS2" s="279">
        <f>SUBSTITUTE(IF(BN2&gt;=3,MID(DP2,FIND("~",SUBSTITUTE(DP2,"/","~",2))+1,IFERROR(FIND("~",SUBSTITUTE(DP2,"/","~",3))-1,LEN(DP2))- FIND("~",SUBSTITUTE(DP2,"/","~",2))),"0"),"W","")*1</f>
        <v>0</v>
      </c>
      <c r="DT2" s="279">
        <f>SUBSTITUTE(IF(BN2&gt;=4,MID(DP2,FIND("~",SUBSTITUTE(DP2,"/","~",3))+1,IFERROR(FIND("~",SUBSTITUTE(DP2,"/","~",4))-1,LEN(DP2))- FIND("~",SUBSTITUTE(DP2,"/","~",3))),"0"),"W","")*1</f>
        <v>0</v>
      </c>
      <c r="DU2" s="279" t="str">
        <f>ConcateMultiple(DQ2:DT2,"W/",BN2)</f>
      </c>
      <c r="DV2" s="279">
        <f>MAX(DQ2:DT2)</f>
        <v>0</v>
      </c>
      <c r="DW2" s="279" t="str">
        <f>IF(I2&gt;=5,MID(R2,FIND("~",SUBSTITUTE(R2,";","~",4))+1,IFERROR(FIND("~",SUBSTITUTE(R2,";","~",5))-1,LEN(R2))- FIND("~",SUBSTITUTE(R2,";","~",4))),"")</f>
      </c>
      <c r="DX2" s="279">
        <f>SUBSTITUTE(IF(BO2&gt;=1,MID(DW2,1,IFERROR(FIND("~",SUBSTITUTE(DW2,"/","~",1))-1,LEN(DW2))),"0"),"W","")*1</f>
        <v>0</v>
      </c>
      <c r="DY2" s="279">
        <f>SUBSTITUTE(IF(BO2&gt;=2,MID(DW2,FIND("~",SUBSTITUTE(DW2,"/","~",1))+1,IFERROR(FIND("~",SUBSTITUTE(DW2,"/","~",2))-1,LEN(DW2))- FIND("~",SUBSTITUTE(DW2,"/","~",1))),"0"),"W","")*1</f>
        <v>0</v>
      </c>
      <c r="DZ2" s="279">
        <f>SUBSTITUTE(IF(BO2&gt;=3,MID(DW2,FIND("~",SUBSTITUTE(DW2,"/","~",2))+1,IFERROR(FIND("~",SUBSTITUTE(DW2,"/","~",3))-1,LEN(DW2))- FIND("~",SUBSTITUTE(DW2,"/","~",2))),"0"),"W","")*1</f>
        <v>0</v>
      </c>
      <c r="EA2" s="279">
        <f>SUBSTITUTE(IF(BO2&gt;=4,MID(DW2,FIND("~",SUBSTITUTE(DW2,"/","~",3))+1,IFERROR(FIND("~",SUBSTITUTE(DW2,"/","~",4))-1,LEN(DW2))- FIND("~",SUBSTITUTE(DW2,"/","~",3))),"0"),"W","")*1</f>
        <v>0</v>
      </c>
      <c r="EB2" s="279" t="str">
        <f>ConcateMultiple(DX2:EA2,"W/",BO2)</f>
      </c>
      <c r="EC2" s="279">
        <f>MAX(DX2:EA2)</f>
        <v>0</v>
      </c>
      <c r="ED2" s="279" t="str">
        <f>IF(I2&gt;=6,MID(R2,FIND("~",SUBSTITUTE(R2,";","~",5))+1,IFERROR(FIND("~",SUBSTITUTE(R2,";","~",6))-1,LEN(R2))- FIND("~",SUBSTITUTE(R2,";","~",5))),"")</f>
      </c>
      <c r="EE2" s="279">
        <f>SUBSTITUTE(IF(BP2&gt;=1,MID(ED2,1,IFERROR(FIND("~",SUBSTITUTE(ED2,"/","~",1))-1,LEN(ED2))),"0"),"W","")*1</f>
        <v>0</v>
      </c>
      <c r="EF2" s="279">
        <f>SUBSTITUTE(IF(BP2&gt;=2,MID(ED2,FIND("~",SUBSTITUTE(ED2,"/","~",1))+1,IFERROR(FIND("~",SUBSTITUTE(ED2,"/","~",2))-1,LEN(ED2))- FIND("~",SUBSTITUTE(ED2,"/","~",1))),"0"),"W","")*1</f>
        <v>0</v>
      </c>
      <c r="EG2" s="279">
        <f>SUBSTITUTE(IF(BP2&gt;=3,MID(ED2,FIND("~",SUBSTITUTE(ED2,"/","~",2))+1,IFERROR(FIND("~",SUBSTITUTE(ED2,"/","~",3))-1,LEN(ED2))- FIND("~",SUBSTITUTE(ED2,"/","~",2))),"0"),"W","")*1</f>
        <v>0</v>
      </c>
      <c r="EH2" s="279">
        <f>SUBSTITUTE(IF(BP2&gt;=4,MID(ED2,FIND("~",SUBSTITUTE(ED2,"/","~",3))+1,IFERROR(FIND("~",SUBSTITUTE(ED2,"/","~",4))-1,LEN(ED2))- FIND("~",SUBSTITUTE(ED2,"/","~",3))),"0"),"W","")*1</f>
        <v>0</v>
      </c>
      <c r="EI2" s="279" t="str">
        <f>ConcateMultiple(EE2:EH2,"W/",BP2)</f>
      </c>
      <c r="EJ2" s="279">
        <f>MAX(EE2:EH2)</f>
        <v>0</v>
      </c>
      <c r="EK2" s="279">
        <f>MAX(DA2,DH2,DO2,DV2,EC2,EJ2)</f>
        <v>160</v>
      </c>
      <c r="EL2" s="279" t="str">
        <f>TRIM(IF(I2&gt;=1,MID(S2,1,IFERROR(FIND("~",SUBSTITUTE(S2,";","~",1))-1,LEN(S2))),""))</f>
        <v>G900</v>
      </c>
      <c r="EM2" s="279" t="str">
        <f>TRIM(IF(I2&gt;=2,MID(S2,FIND("~",SUBSTITUTE(S2,";","~",1))+1,IFERROR(FIND("~",SUBSTITUTE(S2,";","~",2))-1,LEN(S2))- FIND("~",SUBSTITUTE(S2,";","~",1))),""))</f>
        <v>U2100</v>
      </c>
      <c r="EN2" s="279" t="str">
        <f>TRIM(IF(I2&gt;=3,MID(S2,FIND("~",SUBSTITUTE(S2,";","~",2))+1,IFERROR(FIND("~",SUBSTITUTE(S2,";","~",3))-1,LEN(S2))- FIND("~",SUBSTITUTE(S2,";","~",2))),""))</f>
        <v>L1800</v>
      </c>
      <c r="EO2" s="279" t="str">
        <f>TRIM(IF(I2&gt;=4,MID(S2,FIND("~",SUBSTITUTE(S2,";","~",3))+1,IFERROR(FIND("~",SUBSTITUTE(S2,";","~",4))-1,LEN(S2))- FIND("~",SUBSTITUTE(S2,";","~",3))),""))</f>
      </c>
      <c r="EP2" s="279" t="str">
        <f>TRIM(IF(I2&gt;=5,MID(S2,FIND("~",SUBSTITUTE(S2,";","~",4))+1,IFERROR(FIND("~",SUBSTITUTE(S2,";","~",5))-1,LEN(S2))- FIND("~",SUBSTITUTE(S2,";","~",4))),""))</f>
      </c>
      <c r="EQ2" s="279" t="str">
        <f>TRIM(IF(I2&gt;=6,MID(S2,FIND("~",SUBSTITUTE(S2,";","~",5))+1,IFERROR(FIND("~",SUBSTITUTE(S2,";","~",6))-1,LEN(S2))- FIND("~",SUBSTITUTE(S2,";","~",5))),""))</f>
      </c>
      <c r="ER2" s="279" t="str">
        <f>TRIM(IF(I2&gt;=1,MID(T2,1,IFERROR(FIND("~",SUBSTITUTE(T2,";","~",1))-1,LEN(T2))),""))</f>
        <v>36m/ 36m/ 36m</v>
      </c>
      <c r="ES2" s="279">
        <f>SUBSTITUTE(IF(BK2&gt;=1,MID(ER2,1,IFERROR(FIND("~",SUBSTITUTE(ER2,"/","~",1))-1,LEN(ER2))),"0"),"m","")*1</f>
        <v>36</v>
      </c>
      <c r="ET2" s="279">
        <f>SUBSTITUTE(TRIM(IF(BK2&gt;=2,MID(ER2,FIND("~",SUBSTITUTE(ER2,"/","~",1))+1,IFERROR(FIND("~",SUBSTITUTE(ER2,"/","~",2))-1,LEN(ER2))- FIND("~",SUBSTITUTE(ER2,"/","~",1))),"0")),"m","")*1</f>
        <v>36</v>
      </c>
      <c r="EU2" s="279">
        <f>SUBSTITUTE(TRIM(IF(BK2&gt;=3,MID(ER2,FIND("~",SUBSTITUTE(ER2,"/","~",2))+1,IFERROR(FIND("~",SUBSTITUTE(ER2,"/","~",3))-1,LEN(ER2))- FIND("~",SUBSTITUTE(ER2,"/","~",2))),"0")),"m","")*1</f>
        <v>36</v>
      </c>
      <c r="EV2" s="279">
        <f>SUBSTITUTE(TRIM(IF(BK2&gt;=4,MID(ER2,FIND("~",SUBSTITUTE(ER2,"/","~",3))+1,IFERROR(FIND("~",SUBSTITUTE(ER2,"/","~",4))-1,LEN(ER2))- FIND("~",SUBSTITUTE(ER2,"/","~",3))),"0")),"m","")*1</f>
        <v>0</v>
      </c>
      <c r="EW2" s="279" t="str">
        <f>ConcateMultiple(ES2:EV2,"m/",BK2)</f>
        <v>36m/36m/36m</v>
      </c>
      <c r="EX2" s="279" t="str">
        <f>TRIM(IF(I2&gt;=2,MID(T2,FIND("~",SUBSTITUTE(T2,";","~",1))+1,IFERROR(FIND("~",SUBSTITUTE(T2,";","~",2))-1,LEN(T2))- FIND("~",SUBSTITUTE(T2,";","~",1))),""))</f>
        <v>36m/ 36m/ 36m</v>
      </c>
      <c r="EY2" s="279">
        <f>SUBSTITUTE(IF(BL2&gt;=1,MID(EX2,1,IFERROR(FIND("~",SUBSTITUTE(EX2,"/","~",1))-1,LEN(EX2))),"0"),"m","")*1</f>
        <v>36</v>
      </c>
      <c r="EZ2" s="279">
        <f>SUBSTITUTE(TRIM(IF(BL2&gt;=2,MID(EX2,FIND("~",SUBSTITUTE(EX2,"/","~",1))+1,IFERROR(FIND("~",SUBSTITUTE(EX2,"/","~",2))-1,LEN(EX2))- FIND("~",SUBSTITUTE(EX2,"/","~",1))),"0")),"m","")*1</f>
        <v>36</v>
      </c>
      <c r="FA2" s="279">
        <f>SUBSTITUTE(TRIM(IF(BL2&gt;=3,MID(EX2,FIND("~",SUBSTITUTE(EX2,"/","~",2))+1,IFERROR(FIND("~",SUBSTITUTE(EX2,"/","~",3))-1,LEN(EX2))- FIND("~",SUBSTITUTE(EX2,"/","~",2))),"0")),"m","")*1</f>
        <v>36</v>
      </c>
      <c r="FB2" s="279">
        <f>SUBSTITUTE(TRIM(IF(BL2&gt;=4,MID(EX2,FIND("~",SUBSTITUTE(EX2,"/","~",3))+1,IFERROR(FIND("~",SUBSTITUTE(EX2,"/","~",4))-1,LEN(EX2))- FIND("~",SUBSTITUTE(EX2,"/","~",3))),"0")),"m","")*1</f>
        <v>0</v>
      </c>
      <c r="FC2" s="279" t="str">
        <f>ConcateMultiple(EY2:FB2,"m/",BL2)</f>
        <v>36m/36m/36m</v>
      </c>
      <c r="FD2" s="279" t="str">
        <f>TRIM(IF(I2&gt;=3,MID(T2,FIND("~",SUBSTITUTE(T2,";","~",2))+1,IFERROR(FIND("~",SUBSTITUTE(T2,";","~",3))-1,LEN(T2))- FIND("~",SUBSTITUTE(T2,";","~",2))),""))</f>
        <v>36m/ 36m/ 36m</v>
      </c>
      <c r="FE2" s="279">
        <f>SUBSTITUTE(IF(BM2&gt;=1,MID(FD2,1,IFERROR(FIND("~",SUBSTITUTE(FD2,"/","~",1))-1,LEN(FD2))),"0"),"m","")*1</f>
        <v>36</v>
      </c>
      <c r="FF2" s="279">
        <f>SUBSTITUTE(TRIM(IF(BM2&gt;=2,MID(FD2,FIND("~",SUBSTITUTE(FD2,"/","~",1))+1,IFERROR(FIND("~",SUBSTITUTE(FD2,"/","~",2))-1,LEN(FD2))- FIND("~",SUBSTITUTE(FD2,"/","~",1))),"0")),"m","")*1</f>
        <v>36</v>
      </c>
      <c r="FG2" s="279">
        <f>SUBSTITUTE(TRIM(IF(BM2&gt;=3,MID(FD2,FIND("~",SUBSTITUTE(FD2,"/","~",2))+1,IFERROR(FIND("~",SUBSTITUTE(FD2,"/","~",3))-1,LEN(FD2))- FIND("~",SUBSTITUTE(FD2,"/","~",2))),"0")),"m","")*1</f>
        <v>36</v>
      </c>
      <c r="FH2" s="279">
        <f>SUBSTITUTE(TRIM(IF(BM2&gt;=4,MID(FD2,FIND("~",SUBSTITUTE(FD2,"/","~",3))+1,IFERROR(FIND("~",SUBSTITUTE(FD2,"/","~",4))-1,LEN(FD2))- FIND("~",SUBSTITUTE(FD2,"/","~",3))),"0")),"m","")*1</f>
        <v>0</v>
      </c>
      <c r="FI2" s="279" t="str">
        <f>ConcateMultiple(FE2:FH2,"m/",BM2)</f>
        <v>36m/36m/36m</v>
      </c>
      <c r="FJ2" s="279" t="str">
        <f>TRIM(IF(I2&gt;=4,MID(T2,FIND("~",SUBSTITUTE(T2,";","~",3))+1,IFERROR(FIND("~",SUBSTITUTE(T2,";","~",4))-1,LEN(T2))- FIND("~",SUBSTITUTE(T2,";","~",3))),""))</f>
      </c>
      <c r="FK2" s="279">
        <f>SUBSTITUTE(IF(BN2&gt;=1,MID(FJ2,1,IFERROR(FIND("~",SUBSTITUTE(FJ2,"/","~",1))-1,LEN(FJ2))),"0"),"m","")*1</f>
        <v>0</v>
      </c>
      <c r="FL2" s="279">
        <f>SUBSTITUTE(TRIM(IF(BN2&gt;=2,MID(FJ2,FIND("~",SUBSTITUTE(FJ2,"/","~",1))+1,IFERROR(FIND("~",SUBSTITUTE(FJ2,"/","~",2))-1,LEN(FJ2))- FIND("~",SUBSTITUTE(FJ2,"/","~",1))),"0")),"m","")*1</f>
        <v>0</v>
      </c>
      <c r="FM2" s="279">
        <f>SUBSTITUTE(TRIM(IF(BN2&gt;=3,MID(FJ2,FIND("~",SUBSTITUTE(FJ2,"/","~",2))+1,IFERROR(FIND("~",SUBSTITUTE(FJ2,"/","~",3))-1,LEN(FJ2))- FIND("~",SUBSTITUTE(FJ2,"/","~",2))),"0")),"m","")*1</f>
        <v>0</v>
      </c>
      <c r="FN2" s="279">
        <f>SUBSTITUTE(TRIM(IF(BN2&gt;=4,MID(FJ2,FIND("~",SUBSTITUTE(FJ2,"/","~",3))+1,IFERROR(FIND("~",SUBSTITUTE(FJ2,"/","~",4))-1,LEN(FJ2))- FIND("~",SUBSTITUTE(FJ2,"/","~",3))),"0")),"m","")*1</f>
        <v>0</v>
      </c>
      <c r="FO2" s="279" t="str">
        <f>ConcateMultiple(FK2:FN2,"m/",BN2)</f>
      </c>
      <c r="FP2" s="279" t="str">
        <f>TRIM(IF(I2&gt;=5,MID(T2,FIND("~",SUBSTITUTE(T2,";","~",4))+1,IFERROR(FIND("~",SUBSTITUTE(T2,";","~",5))-1,LEN(T2))- FIND("~",SUBSTITUTE(T2,";","~",4))),""))</f>
      </c>
      <c r="FQ2" s="279">
        <f>SUBSTITUTE(IF(BO2&gt;=1,MID(FP2,1,IFERROR(FIND("~",SUBSTITUTE(FP2,"/","~",1))-1,LEN(FP2))),"0"),"m","")*1</f>
        <v>0</v>
      </c>
      <c r="FR2" s="279">
        <f>SUBSTITUTE(TRIM(IF(BO2&gt;=2,MID(FP2,FIND("~",SUBSTITUTE(FP2,"/","~",1))+1,IFERROR(FIND("~",SUBSTITUTE(FP2,"/","~",2))-1,LEN(FP2))- FIND("~",SUBSTITUTE(FP2,"/","~",1))),"0")),"m","")*1</f>
        <v>0</v>
      </c>
      <c r="FS2" s="279">
        <f>SUBSTITUTE(TRIM(IF(BO2&gt;=3,MID(FP2,FIND("~",SUBSTITUTE(FP2,"/","~",2))+1,IFERROR(FIND("~",SUBSTITUTE(FP2,"/","~",3))-1,LEN(FP2))- FIND("~",SUBSTITUTE(FP2,"/","~",2))),"0")),"m","")*1</f>
        <v>0</v>
      </c>
      <c r="FT2" s="279">
        <f>SUBSTITUTE(TRIM(IF(BO2&gt;=4,MID(FP2,FIND("~",SUBSTITUTE(FP2,"/","~",3))+1,IFERROR(FIND("~",SUBSTITUTE(FP2,"/","~",4))-1,LEN(FP2))- FIND("~",SUBSTITUTE(FP2,"/","~",3))),"0")),"m","")*1</f>
        <v>0</v>
      </c>
      <c r="FU2" s="279" t="str">
        <f>ConcateMultiple(FQ2:FT2,"m/",BO2)</f>
      </c>
      <c r="FV2" s="279" t="str">
        <f>TRIM(IF(I2&gt;=6,MID(T2,FIND("~",SUBSTITUTE(T2,";","~",5))+1,IFERROR(FIND("~",SUBSTITUTE(T2,";","~",6))-1,LEN(T2))- FIND("~",SUBSTITUTE(T2,";","~",5))),""))</f>
      </c>
      <c r="FW2" s="279">
        <f>SUBSTITUTE(IF(BP2&gt;=1,MID(FV2,1,IFERROR(FIND("~",SUBSTITUTE(FV2,"/","~",1))-1,LEN(FV2))),"0"),"m","")*1</f>
        <v>0</v>
      </c>
      <c r="FX2" s="279">
        <f>SUBSTITUTE(TRIM(IF(BP2&gt;=2,MID(FV2,FIND("~",SUBSTITUTE(FV2,"/","~",1))+1,IFERROR(FIND("~",SUBSTITUTE(FV2,"/","~",2))-1,LEN(FV2))- FIND("~",SUBSTITUTE(FV2,"/","~",1))),"0")),"m","")*1</f>
        <v>0</v>
      </c>
      <c r="FY2" s="279">
        <f>SUBSTITUTE(TRIM(IF(BP2&gt;=3,MID(FV2,FIND("~",SUBSTITUTE(FV2,"/","~",2))+1,IFERROR(FIND("~",SUBSTITUTE(FV2,"/","~",3))-1,LEN(FV2))- FIND("~",SUBSTITUTE(FV2,"/","~",2))),"0")),"m","")*1</f>
        <v>0</v>
      </c>
      <c r="FZ2" s="279">
        <f>SUBSTITUTE(TRIM(IF(BP2&gt;=4,MID(FV2,FIND("~",SUBSTITUTE(FV2,"/","~",3))+1,IFERROR(FIND("~",SUBSTITUTE(FV2,"/","~",4))-1,LEN(FV2))- FIND("~",SUBSTITUTE(FV2,"/","~",3))),"0")),"m","")*1</f>
        <v>0</v>
      </c>
      <c r="GA2" s="279" t="str">
        <f>ConcateMultiple(FW2:FZ2,"m/",BP2)</f>
      </c>
      <c r="GB2" s="279" t="str">
        <f>INDEX(LabNameList,MATCH(AF2,LabIDList,0))</f>
        <v>Trung tâm Kiểm định và Chứng nhận 2</v>
      </c>
      <c r="GC2" s="279">
        <f>MinMultiple(ES2:EV2,BK2)</f>
        <v>36</v>
      </c>
      <c r="GD2" s="279">
        <f>MinMultiple(EY2:FB2,BL2)</f>
        <v>36</v>
      </c>
      <c r="GE2" s="279">
        <f>MinMultiple(FE2:FH2,BM2)</f>
        <v>36</v>
      </c>
      <c r="GF2" s="279">
        <f>MinMultiple(FK2:FN2,BN2)</f>
        <v>0</v>
      </c>
      <c r="GG2" s="279">
        <f>MinMultiple(FQ2:FT2,BO2)</f>
        <v>0</v>
      </c>
      <c r="GH2" s="279">
        <f>MinMultiple(FW2:FZ2,BP2)</f>
        <v>0</v>
      </c>
      <c r="GI2" s="527">
        <f>MinMultiple(GC2:GH2,I2)</f>
        <v>36</v>
      </c>
      <c r="GJ2" s="527">
        <f>GI2-AA2</f>
        <v>36</v>
      </c>
      <c r="GK2" s="279"/>
      <c r="GL2" s="279"/>
      <c r="GM2" s="279"/>
      <c r="GN2" s="279"/>
    </row>
    <row r="3" ht="114.75" s="235" customFormat="1">
      <c r="A3" s="267">
        <f>Input!A3</f>
        <v>2</v>
      </c>
      <c r="B3" s="267" t="str">
        <f>Input!B3</f>
        <v>VNMOBILE-HCM</v>
      </c>
      <c r="C3" s="267" t="str">
        <f>Input!C3</f>
        <v>MOBIFONE</v>
      </c>
      <c r="D3" s="527" t="str">
        <f ref="D3:D11" t="shared" si="0">AY3</f>
        <v>BDGTDM003</v>
      </c>
      <c r="E3" s="267" t="str">
        <f>Input!E3</f>
        <v>Số 10, đường Đinh Bộ Lĩnh, phường Phú Cường, thành phố Thủ Dầu Một, tỉnh Bình Dương.</v>
      </c>
      <c r="F3" s="267" t="str">
        <f>Input!F3</f>
        <v>Bình Dương</v>
      </c>
      <c r="G3" s="527" t="str">
        <f>Input!G3</f>
        <v>106,651585</v>
      </c>
      <c r="H3" s="527" t="str">
        <f>Input!H3</f>
        <v>10,979697</v>
      </c>
      <c r="I3" s="267">
        <f>Input!I3</f>
        <v>4</v>
      </c>
      <c r="J3" s="267" t="str">
        <f>Input!J3</f>
        <v>K00459221018D005</v>
      </c>
      <c r="K3" s="291" t="str">
        <f>TEXT(Input!K3,"dd/mm/yyyy")</f>
        <v>19/11/2018</v>
      </c>
      <c r="L3" s="291" t="str">
        <f>TEXT(Input!L3,"dd/mm/yyyy")</f>
        <v>22/10/2018</v>
      </c>
      <c r="M3" s="267" t="str">
        <f>Input!M3</f>
        <v>TỔNG CÔNG TY HẠ TẦNG MẠNG;TỔNG CÔNG TY HẠ TẦNG MẠNG;TỔNG CÔNG TY HẠ TẦNG MẠNG;TỔNG CÔNG TY HẠ TẦNG MẠNG</v>
      </c>
      <c r="N3" s="267" t="str">
        <f>Input!N3</f>
        <v>BDGTDM003;BDGTDM003;BDGTDM003;BDGTDM003</v>
      </c>
      <c r="O3" s="267" t="str">
        <f>Input!O3</f>
        <v>MOTOROLA HORIZON II MACRO;MOTOROLA HORIZON II MACRO;ERICSSON RBS 3418;NSN FLEXI MULTIRADIO 10 (FHED)</v>
      </c>
      <c r="P3" s="267" t="str">
        <f>Input!P3</f>
        <v>3;3;3;3</v>
      </c>
      <c r="Q3" s="267" t="str">
        <f>Input!Q3</f>
        <v>2/2/4;2/4/2;2/2/2;1/1/1</v>
      </c>
      <c r="R3" s="267" t="str">
        <f>Input!R3</f>
        <v>20W/20W/20W;16W/16W/16W;60W/60W/60W;160W/160W/160W</v>
      </c>
      <c r="S3" s="267" t="str">
        <f>Input!S3</f>
        <v>G900;G1800;U2100;L1800</v>
      </c>
      <c r="T3" s="267" t="str">
        <f>Input!T3</f>
        <v>45m/ 45m/ 45m;45m/ 45m/ 45m;34m/ 34m/ 34m;34m/ 34m/ 34m</v>
      </c>
      <c r="U3" s="267">
        <f>Input!U3</f>
        <v>1</v>
      </c>
      <c r="V3" s="267" t="str">
        <f>Input!V3</f>
        <v>FX-X-CG-00T-900;FX-X-CDG-06T-DB-1800;S-Wave EW/EW/EW-65-18DV2/12I-F-64K-VN;S-Wave EW/EW/EW-65-18DV2/12I-F-64K-VN</v>
      </c>
      <c r="W3" s="267" t="b">
        <f>Input!W3</f>
        <v>0</v>
      </c>
      <c r="X3" s="267" t="b">
        <f>Input!X3</f>
        <v>0</v>
      </c>
      <c r="Y3" s="527">
        <f>Input!Y3</f>
        <v>0</v>
      </c>
      <c r="Z3" s="267" t="b">
        <f>Input!Z3</f>
        <v>1</v>
      </c>
      <c r="AA3" s="527">
        <f>Input!AA3</f>
        <v>0</v>
      </c>
      <c r="AB3" s="267" t="b">
        <f>Input!AB3</f>
        <v>0</v>
      </c>
      <c r="AC3" s="267" t="b">
        <f>Input!AC3</f>
        <v>0</v>
      </c>
      <c r="AD3" s="267">
        <f>Input!AD3</f>
        <v>0</v>
      </c>
      <c r="AE3" s="267">
        <f>Input!AE3</f>
        <v>0</v>
      </c>
      <c r="AF3" s="267" t="str">
        <f>Input!AF3</f>
        <v>VCC2</v>
      </c>
      <c r="AG3" s="267" t="str">
        <f>Input!AG3</f>
        <v>Trạm vi phạm vùng tuân thủ</v>
      </c>
      <c r="AH3" s="279"/>
      <c r="AI3" s="279" t="str">
        <f>INDEX(ApplicantNameList,MATCH(B3,ApplicantIDList,0))</f>
        <v>CHI NHÁNH VNMOBILE TẠI TPHCM</v>
      </c>
      <c r="AJ3" s="279" t="str">
        <f>INDEX(OperatorNameList,MATCH(C3,OperatorIDList,0))</f>
        <v>TỔNG CÔNG TY VIỄN THÔNG MOBIFONE</v>
      </c>
      <c r="AK3" s="267" t="str">
        <f>INDEX(CityIDList,MATCH(F3,CityNameList,0))</f>
        <v>BDG</v>
      </c>
      <c r="AL3" s="279" t="str">
        <f ref="AL3:AL11" t="shared" si="1">TRIM(IF(I3&gt;=1,MID(M3,1,IFERROR(FIND("~",SUBSTITUTE(M3,";","~",1))-1,LEN(M3))),""))</f>
        <v>TỔNG CÔNG TY HẠ TẦNG MẠNG</v>
      </c>
      <c r="AM3" s="279" t="str">
        <f ref="AM3:AM11" t="shared" si="2">TRIM(IF(I3&gt;=2,MID(M3,FIND("~",SUBSTITUTE(M3,";","~",1))+1,IFERROR(FIND("~",SUBSTITUTE(M3,";","~",2))-1,LEN(M3))- FIND("~",SUBSTITUTE(M3,";","~",1))),""))</f>
        <v>TỔNG CÔNG TY HẠ TẦNG MẠNG</v>
      </c>
      <c r="AN3" s="279" t="str">
        <f ref="AN3:AN11" t="shared" si="3">TRIM(IF(I3&gt;=3,MID(M3,FIND("~",SUBSTITUTE(M3,";","~",2))+1,IFERROR(FIND("~",SUBSTITUTE(M3,";","~",3))-1,LEN(M3))- FIND("~",SUBSTITUTE(M3,";","~",2))),""))</f>
        <v>TỔNG CÔNG TY HẠ TẦNG MẠNG</v>
      </c>
      <c r="AO3" s="279" t="str">
        <f ref="AO3:AO11" t="shared" si="4">TRIM(IF(I3&gt;=4,MID(M3,FIND("~",SUBSTITUTE(M3,";","~",3))+1,IFERROR(FIND("~",SUBSTITUTE(M3,";","~",4))-1,LEN(M3))- FIND("~",SUBSTITUTE(M3,";","~",3))),""))</f>
        <v>TỔNG CÔNG TY HẠ TẦNG MẠNG</v>
      </c>
      <c r="AP3" s="279" t="str">
        <f ref="AP3:AP11" t="shared" si="5">TRIM(IF(I3&gt;=5,MID(M3,FIND("~",SUBSTITUTE(M3,";","~",4))+1,IFERROR(FIND("~",SUBSTITUTE(M3,";","~",5))-1,LEN(M3))- FIND("~",SUBSTITUTE(M3,";","~",4))),""))</f>
      </c>
      <c r="AQ3" s="279" t="str">
        <f ref="AQ3:AQ11" t="shared" si="6">TRIM(IF(I3&gt;=6,MID(M3,FIND("~",SUBSTITUTE(M3,";","~",5))+1,IFERROR(FIND("~",SUBSTITUTE(M3,";","~",6))-1,LEN(M3))- FIND("~",SUBSTITUTE(M3,";","~",5))),""))</f>
      </c>
      <c r="AR3" s="279" t="str">
        <f>IF(I3&gt;=1,INDEX(OperatorIDList,MATCH(AL3,OperatorNameList,0)),"")</f>
        <v>VINAPHONE</v>
      </c>
      <c r="AS3" s="279" t="str">
        <f>IF(I3&gt;=2,INDEX(OperatorIDList,MATCH(AM3,OperatorNameList,0)),"")</f>
        <v>VINAPHONE</v>
      </c>
      <c r="AT3" s="279" t="str">
        <f>IF(I3&gt;=3,INDEX(OperatorIDList,MATCH(AN3,OperatorNameList,0)),"")</f>
        <v>VINAPHONE</v>
      </c>
      <c r="AU3" s="279" t="str">
        <f>IF(I3&gt;=4,INDEX(OperatorIDList,MATCH(AO3,OperatorNameList,0)),"")</f>
        <v>VINAPHONE</v>
      </c>
      <c r="AV3" s="279" t="str">
        <f>IF(I3&gt;=5,INDEX(OperatorIDList,MATCH(AP3,OperatorNameList,0)),"")</f>
      </c>
      <c r="AW3" s="279" t="str">
        <f>IF(I3&gt;=6,INDEX(OperatorIDList,MATCH(AQ3,OperatorNameList,0)),"")</f>
      </c>
      <c r="AX3" s="279" t="str">
        <f ref="AX3:AX11" t="shared" si="7">ConcateMultiple(AR3:AW3,";",I3)</f>
        <v>VINAPHONE;VINAPHONE;VINAPHONE;VINAPHONE</v>
      </c>
      <c r="AY3" s="279" t="str">
        <f ref="AY3:AY11" t="shared" si="8">IF(I3&gt;=1,MID(N3,1,IFERROR(FIND("~",SUBSTITUTE(N3,";","~",1))-1,LEN(N3))),"")</f>
        <v>BDGTDM003</v>
      </c>
      <c r="AZ3" s="279" t="str">
        <f ref="AZ3:AZ11" t="shared" si="9">IF(I3&gt;=2,MID(N3,FIND("~",SUBSTITUTE(N3,";","~",1))+1,IFERROR(FIND("~",SUBSTITUTE(N3,";","~",2))-1,LEN(N3))- FIND("~",SUBSTITUTE(N3,";","~",1))),"")</f>
        <v>BDGTDM003</v>
      </c>
      <c r="BA3" s="279" t="str">
        <f ref="BA3:BA11" t="shared" si="10">IF(I3&gt;=3,MID(N3,FIND("~",SUBSTITUTE(N3,";","~",2))+1,IFERROR(FIND("~",SUBSTITUTE(N3,";","~",3))-1,LEN(N3))- FIND("~",SUBSTITUTE(N3,";","~",2))),"")</f>
        <v>BDGTDM003</v>
      </c>
      <c r="BB3" s="279" t="str">
        <f ref="BB3:BB11" t="shared" si="11">IF(I3&gt;=4,MID(N3,FIND("~",SUBSTITUTE(N3,";","~",3))+1,IFERROR(FIND("~",SUBSTITUTE(N3,";","~",4))-1,LEN(N3))- FIND("~",SUBSTITUTE(N3,";","~",3))),"")</f>
        <v>BDGTDM003</v>
      </c>
      <c r="BC3" s="279" t="str">
        <f ref="BC3:BC11" t="shared" si="12">IF(I3&gt;=5,MID(N3,FIND("~",SUBSTITUTE(N3,";","~",4))+1,IFERROR(FIND("~",SUBSTITUTE(N3,";","~",5))-1,LEN(N3))- FIND("~",SUBSTITUTE(N3,";","~",4))),"")</f>
      </c>
      <c r="BD3" s="279" t="str">
        <f ref="BD3:BD11" t="shared" si="13">IF(I3&gt;=6,MID(N3,FIND("~",SUBSTITUTE(N3,";","~",5))+1,IFERROR(FIND("~",SUBSTITUTE(N3,";","~",6))-1,LEN(N3))- FIND("~",SUBSTITUTE(N3,";","~",5))),"")</f>
      </c>
      <c r="BE3" s="279" t="str">
        <f ref="BE3:BE11" t="shared" si="14">IF(I3&gt;=1,MID(O3,1,IFERROR(FIND("~",SUBSTITUTE(O3,";","~",1))-1,LEN(O3))),"")</f>
        <v>MOTOROLA HORIZON II MACRO</v>
      </c>
      <c r="BF3" s="279" t="str">
        <f ref="BF3:BF11" t="shared" si="15">IF(I3&gt;=2,MID(O3,FIND("~",SUBSTITUTE(O3,";","~",1))+1,IFERROR(FIND("~",SUBSTITUTE(O3,";","~",2))-1,LEN(O3))- FIND("~",SUBSTITUTE(O3,";","~",1))),"")</f>
        <v>MOTOROLA HORIZON II MACRO</v>
      </c>
      <c r="BG3" s="279" t="str">
        <f ref="BG3:BG11" t="shared" si="16">IF(I3&gt;=3,MID(O3,FIND("~",SUBSTITUTE(O3,";","~",2))+1,IFERROR(FIND("~",SUBSTITUTE(O3,";","~",3))-1,LEN(O3))- FIND("~",SUBSTITUTE(O3,";","~",2))),"")</f>
        <v>ERICSSON RBS 3418</v>
      </c>
      <c r="BH3" s="279" t="str">
        <f ref="BH3:BH11" t="shared" si="17">IF(I3&gt;=4,MID(O3,FIND("~",SUBSTITUTE(O3,";","~",3))+1,IFERROR(FIND("~",SUBSTITUTE(O3,";","~",4))-1,LEN(O3))- FIND("~",SUBSTITUTE(O3,";","~",3))),"")</f>
        <v>NSN FLEXI MULTIRADIO 10 (FHED)</v>
      </c>
      <c r="BI3" s="279" t="str">
        <f ref="BI3:BI11" t="shared" si="18">IF(I3&gt;=5,MID(O3,FIND("~",SUBSTITUTE(O3,";","~",4))+1,IFERROR(FIND("~",SUBSTITUTE(O3,";","~",5))-1,LEN(O3))- FIND("~",SUBSTITUTE(O3,";","~",4))),"")</f>
      </c>
      <c r="BJ3" s="279" t="str">
        <f ref="BJ3:BJ11" t="shared" si="19">IF(I3&gt;=6,MID(O3,FIND("~",SUBSTITUTE(O3,";","~",5))+1,IFERROR(FIND("~",SUBSTITUTE(O3,";","~",6))-1,LEN(O3))- FIND("~",SUBSTITUTE(O3,";","~",5))),"")</f>
      </c>
      <c r="BK3" s="279">
        <f ref="BK3:BK11" t="shared" si="20">IF(I3&gt;=1,MID(P3,1,IFERROR(FIND("~",SUBSTITUTE(P3,";","~",1))-1,LEN(P3))),"0")*1</f>
        <v>3</v>
      </c>
      <c r="BL3" s="279">
        <f ref="BL3:BL11" t="shared" si="21">IF(I3&gt;=2,MID(P3,FIND("~",SUBSTITUTE(P3,";","~",1))+1,IFERROR(FIND("~",SUBSTITUTE(P3,";","~",2))-1,LEN(P3))- FIND("~",SUBSTITUTE(P3,";","~",1))),"0")*1</f>
        <v>3</v>
      </c>
      <c r="BM3" s="279">
        <f ref="BM3:BM11" t="shared" si="22">IF(I3&gt;=3,MID(P3,FIND("~",SUBSTITUTE(P3,";","~",2))+1,IFERROR(FIND("~",SUBSTITUTE(P3,";","~",3))-1,LEN(P3))- FIND("~",SUBSTITUTE(P3,";","~",2))),"0")*1</f>
        <v>3</v>
      </c>
      <c r="BN3" s="279">
        <f ref="BN3:BN11" t="shared" si="23">IF(I3&gt;=4,MID(P3,FIND("~",SUBSTITUTE(P3,";","~",3))+1,IFERROR(FIND("~",SUBSTITUTE(P3,";","~",4))-1,LEN(P3))- FIND("~",SUBSTITUTE(P3,";","~",3))),"0")*1</f>
        <v>3</v>
      </c>
      <c r="BO3" s="279">
        <f ref="BO3:BO11" t="shared" si="24">IF(I3&gt;=5,MID(P3,FIND("~",SUBSTITUTE(P3,";","~",4))+1,IFERROR(FIND("~",SUBSTITUTE(P3,";","~",5))-1,LEN(P3))- FIND("~",SUBSTITUTE(P3,";","~",4))),"0")*1</f>
        <v>0</v>
      </c>
      <c r="BP3" s="279">
        <f ref="BP3:BP11" t="shared" si="25">IF(I3&gt;=6,MID(P3,FIND("~",SUBSTITUTE(P3,";","~",5))+1,IFERROR(FIND("~",SUBSTITUTE(P3,";","~",6))-1,LEN(P3))- FIND("~",SUBSTITUTE(P3,";","~",5))),"0")*1</f>
        <v>0</v>
      </c>
      <c r="BQ3" s="279" t="str">
        <f ref="BQ3:BQ11" t="shared" si="26">IF(I3&gt;=1,MID(Q3,1,IFERROR(FIND("~",SUBSTITUTE(Q3,";","~",1))-1,LEN(Q3))),"")</f>
        <v>2/2/4</v>
      </c>
      <c r="BR3" s="279">
        <f ref="BR3:BR11" t="shared" si="27">IF(BK3&gt;=1,MID(BQ3,1,IFERROR(FIND("~",SUBSTITUTE(BQ3,"/","~",1))-1,LEN(BQ3))),"0")*1</f>
        <v>2</v>
      </c>
      <c r="BS3" s="279">
        <f ref="BS3:BS11" t="shared" si="28">IF(BK3&gt;=2,MID(BQ3,FIND("~",SUBSTITUTE(BQ3,"/","~",1))+1,IFERROR(FIND("~",SUBSTITUTE(BQ3,"/","~",2))-1,LEN(BQ3))- FIND("~",SUBSTITUTE(BQ3,"/","~",1))),"0")*1</f>
        <v>2</v>
      </c>
      <c r="BT3" s="279">
        <f ref="BT3:BT11" t="shared" si="29">IF(BK3&gt;=3,MID(BQ3,FIND("~",SUBSTITUTE(BQ3,"/","~",2))+1,IFERROR(FIND("~",SUBSTITUTE(BQ3,"/","~",3))-1,LEN(BQ3))- FIND("~",SUBSTITUTE(BQ3,"/","~",2))),"0")*1</f>
        <v>4</v>
      </c>
      <c r="BU3" s="279">
        <f ref="BU3:BU11" t="shared" si="30">IF(BK3&gt;=4,MID(BQ3,FIND("~",SUBSTITUTE(BQ3,"/","~",3))+1,IFERROR(FIND("~",SUBSTITUTE(BQ3,"/","~",4))-1,LEN(BQ3))- FIND("~",SUBSTITUTE(BQ3,"/","~",3))),"0")*1</f>
        <v>0</v>
      </c>
      <c r="BV3" s="279" t="str">
        <f ref="BV3:BV11" t="shared" si="31">IF(I3&gt;=2,MID(Q3,FIND("~",SUBSTITUTE(Q3,";","~",1))+1,IFERROR(FIND("~",SUBSTITUTE(Q3,";","~",2))-1,LEN(Q3))- FIND("~",SUBSTITUTE(Q3,";","~",1))),"")</f>
        <v>2/4/2</v>
      </c>
      <c r="BW3" s="279">
        <f ref="BW3:BW11" t="shared" si="32">IF(BL3&gt;=1,MID(BV3,1,IFERROR(FIND("~",SUBSTITUTE(BV3,"/","~",1))-1,LEN(BV3))),"0")*1</f>
        <v>2</v>
      </c>
      <c r="BX3" s="279">
        <f ref="BX3:BX11" t="shared" si="33">IF(BL3&gt;=2,MID(BV3,FIND("~",SUBSTITUTE(BV3,"/","~",1))+1,IFERROR(FIND("~",SUBSTITUTE(BV3,"/","~",2))-1,LEN(BV3))- FIND("~",SUBSTITUTE(BV3,"/","~",1))),"0")*1</f>
        <v>4</v>
      </c>
      <c r="BY3" s="279">
        <f ref="BY3:BY11" t="shared" si="34">IF(BL3&gt;=3,MID(BV3,FIND("~",SUBSTITUTE(BV3,"/","~",2))+1,IFERROR(FIND("~",SUBSTITUTE(BV3,"/","~",3))-1,LEN(BV3))- FIND("~",SUBSTITUTE(BV3,"/","~",2))),"0")*1</f>
        <v>2</v>
      </c>
      <c r="BZ3" s="279">
        <f ref="BZ3:BZ11" t="shared" si="35">IF(BL3&gt;=4,MID(BV3,FIND("~",SUBSTITUTE(BV3,"/","~",3))+1,IFERROR(FIND("~",SUBSTITUTE(BV3,"/","~",4))-1,LEN(BV3))- FIND("~",SUBSTITUTE(BV3,"/","~",3))),"0")*1</f>
        <v>0</v>
      </c>
      <c r="CA3" s="279" t="str">
        <f ref="CA3:CA11" t="shared" si="36">IF(I3&gt;=3,MID(Q3,FIND("~",SUBSTITUTE(Q3,";","~",2))+1,IFERROR(FIND("~",SUBSTITUTE(Q3,";","~",3))-1,LEN(Q3))- FIND("~",SUBSTITUTE(Q3,";","~",2))),"")</f>
        <v>2/2/2</v>
      </c>
      <c r="CB3" s="279">
        <f ref="CB3:CB11" t="shared" si="37">IF(BM3&gt;=1,MID(CA3,1,IFERROR(FIND("~",SUBSTITUTE(CA3,"/","~",1))-1,LEN(CA3))),"0")*1</f>
        <v>2</v>
      </c>
      <c r="CC3" s="279">
        <f ref="CC3:CC11" t="shared" si="38">IF(BM3&gt;=2,MID(CA3,FIND("~",SUBSTITUTE(CA3,"/","~",1))+1,IFERROR(FIND("~",SUBSTITUTE(CA3,"/","~",2))-1,LEN(CA3))- FIND("~",SUBSTITUTE(CA3,"/","~",1))),"0")*1</f>
        <v>2</v>
      </c>
      <c r="CD3" s="279">
        <f ref="CD3:CD11" t="shared" si="39">IF(BM3&gt;=3,MID(CA3,FIND("~",SUBSTITUTE(CA3,"/","~",2))+1,IFERROR(FIND("~",SUBSTITUTE(CA3,"/","~",3))-1,LEN(CA3))- FIND("~",SUBSTITUTE(CA3,"/","~",2))),"0")*1</f>
        <v>2</v>
      </c>
      <c r="CE3" s="279">
        <f ref="CE3:CE11" t="shared" si="40">IF(BM3&gt;=4,MID(CA3,FIND("~",SUBSTITUTE(CA3,"/","~",3))+1,IFERROR(FIND("~",SUBSTITUTE(CA3,"/","~",4))-1,LEN(CA3))- FIND("~",SUBSTITUTE(CA3,"/","~",3))),"0")*1</f>
        <v>0</v>
      </c>
      <c r="CF3" s="279" t="str">
        <f ref="CF3:CF11" t="shared" si="41">IF(I3&gt;=4,MID(Q3,FIND("~",SUBSTITUTE(Q3,";","~",3))+1,IFERROR(FIND("~",SUBSTITUTE(Q3,";","~",4))-1,LEN(Q3))- FIND("~",SUBSTITUTE(Q3,";","~",3))),"")</f>
        <v>1/1/1</v>
      </c>
      <c r="CG3" s="279">
        <f ref="CG3:CG11" t="shared" si="42">IF(BN3&gt;=1,MID(CF3,1,IFERROR(FIND("~",SUBSTITUTE(CF3,"/","~",1))-1,LEN(CF3))),"0")*1</f>
        <v>1</v>
      </c>
      <c r="CH3" s="279">
        <f ref="CH3:CH11" t="shared" si="43">IF(BN3&gt;=2,MID(CF3,FIND("~",SUBSTITUTE(CF3,"/","~",1))+1,IFERROR(FIND("~",SUBSTITUTE(CF3,"/","~",2))-1,LEN(CF3))- FIND("~",SUBSTITUTE(CF3,"/","~",1))),"0")*1</f>
        <v>1</v>
      </c>
      <c r="CI3" s="279">
        <f ref="CI3:CI11" t="shared" si="44">IF(BN3&gt;=3,MID(CF3,FIND("~",SUBSTITUTE(CF3,"/","~",2))+1,IFERROR(FIND("~",SUBSTITUTE(CF3,"/","~",3))-1,LEN(CF3))- FIND("~",SUBSTITUTE(CF3,"/","~",2))),"0")*1</f>
        <v>1</v>
      </c>
      <c r="CJ3" s="279">
        <f ref="CJ3:CJ11" t="shared" si="45">IF(BN3&gt;=4,MID(CF3,FIND("~",SUBSTITUTE(CF3,"/","~",3))+1,IFERROR(FIND("~",SUBSTITUTE(CF3,"/","~",4))-1,LEN(CF3))- FIND("~",SUBSTITUTE(CF3,"/","~",3))),"0")*1</f>
        <v>0</v>
      </c>
      <c r="CK3" s="279" t="str">
        <f ref="CK3:CK11" t="shared" si="46">IF(I3&gt;=5,MID(Q3,FIND("~",SUBSTITUTE(Q3,";","~",4))+1,IFERROR(FIND("~",SUBSTITUTE(Q3,";","~",5))-1,LEN(Q3))- FIND("~",SUBSTITUTE(Q3,";","~",4))),"")</f>
      </c>
      <c r="CL3" s="279">
        <f ref="CL3:CL11" t="shared" si="47">IF(BO3&gt;=1,MID(CK3,1,IFERROR(FIND("~",SUBSTITUTE(CK3,"/","~",1))-1,LEN(CK3))),"0")*1</f>
        <v>0</v>
      </c>
      <c r="CM3" s="279">
        <f ref="CM3:CM11" t="shared" si="48">IF(BO3&gt;=2,MID(CK3,FIND("~",SUBSTITUTE(CK3,"/","~",1))+1,IFERROR(FIND("~",SUBSTITUTE(CK3,"/","~",2))-1,LEN(CK3))- FIND("~",SUBSTITUTE(CK3,"/","~",1))),"0")*1</f>
        <v>0</v>
      </c>
      <c r="CN3" s="279">
        <f ref="CN3:CN11" t="shared" si="49">IF(BO3&gt;=3,MID(CK3,FIND("~",SUBSTITUTE(CK3,"/","~",2))+1,IFERROR(FIND("~",SUBSTITUTE(CK3,"/","~",3))-1,LEN(CK3))- FIND("~",SUBSTITUTE(CK3,"/","~",2))),"0")*1</f>
        <v>0</v>
      </c>
      <c r="CO3" s="279">
        <f ref="CO3:CO11" t="shared" si="50">IF(BO3&gt;=4,MID(CK3,FIND("~",SUBSTITUTE(CK3,"/","~",3))+1,IFERROR(FIND("~",SUBSTITUTE(CK3,"/","~",4))-1,LEN(CK3))- FIND("~",SUBSTITUTE(CK3,"/","~",3))),"0")*1</f>
        <v>0</v>
      </c>
      <c r="CP3" s="279" t="str">
        <f ref="CP3:CP11" t="shared" si="51">IF(I3&gt;=6,MID(Q3,FIND("~",SUBSTITUTE(Q3,";","~",5))+1,IFERROR(FIND("~",SUBSTITUTE(Q3,";","~",6))-1,LEN(Q3))- FIND("~",SUBSTITUTE(Q3,";","~",5))),"")</f>
      </c>
      <c r="CQ3" s="279">
        <f ref="CQ3:CQ11" t="shared" si="52">IF(BP3&gt;=1,MID(CP3,1,IFERROR(FIND("~",SUBSTITUTE(CP3,"/","~",1))-1,LEN(CP3))),"0")*1</f>
        <v>0</v>
      </c>
      <c r="CR3" s="279">
        <f ref="CR3:CR11" t="shared" si="53">IF(BP3&gt;=2,MID(CP3,FIND("~",SUBSTITUTE(CP3,"/","~",1))+1,IFERROR(FIND("~",SUBSTITUTE(CP3,"/","~",2))-1,LEN(CP3))- FIND("~",SUBSTITUTE(CP3,"/","~",1))),"0")*1</f>
        <v>0</v>
      </c>
      <c r="CS3" s="279">
        <f ref="CS3:CS11" t="shared" si="54">IF(BP3&gt;=3,MID(CP3,FIND("~",SUBSTITUTE(CP3,"/","~",2))+1,IFERROR(FIND("~",SUBSTITUTE(CP3,"/","~",3))-1,LEN(CP3))- FIND("~",SUBSTITUTE(CP3,"/","~",2))),"0")*1</f>
        <v>0</v>
      </c>
      <c r="CT3" s="279">
        <f ref="CT3:CT11" t="shared" si="55">IF(BP3&gt;=4,MID(CP3,FIND("~",SUBSTITUTE(CP3,"/","~",3))+1,IFERROR(FIND("~",SUBSTITUTE(CP3,"/","~",4))-1,LEN(CP3))- FIND("~",SUBSTITUTE(CP3,"/","~",3))),"0")*1</f>
        <v>0</v>
      </c>
      <c r="CU3" s="279" t="str">
        <f ref="CU3:CU11" t="shared" si="56">IF(I3&gt;=1,MID(R3,1,IFERROR(FIND("~",SUBSTITUTE(R3,";","~",1))-1,LEN(R3))),"")</f>
        <v>20W/20W/20W</v>
      </c>
      <c r="CV3" s="279">
        <f ref="CV3:CV11" t="shared" si="57">SUBSTITUTE(IF(BK3&gt;=1,MID(CU3,1,IFERROR(FIND("~",SUBSTITUTE(CU3,"/","~",1))-1,LEN(CU3))),"0"),"W","")*1</f>
        <v>20</v>
      </c>
      <c r="CW3" s="279">
        <f ref="CW3:CW11" t="shared" si="58">SUBSTITUTE(IF(BK3&gt;=2,MID(CU3,FIND("~",SUBSTITUTE(CU3,"/","~",1))+1,IFERROR(FIND("~",SUBSTITUTE(CU3,"/","~",2))-1,LEN(CU3))- FIND("~",SUBSTITUTE(CU3,"/","~",1))),"0"),"W","")*1</f>
        <v>20</v>
      </c>
      <c r="CX3" s="279">
        <f ref="CX3:CX11" t="shared" si="59">SUBSTITUTE(IF(BK3&gt;=3,MID(CU3,FIND("~",SUBSTITUTE(CU3,"/","~",2))+1,IFERROR(FIND("~",SUBSTITUTE(CU3,"/","~",3))-1,LEN(CU3))- FIND("~",SUBSTITUTE(CU3,"/","~",2))),"0"),"W","")*1</f>
        <v>20</v>
      </c>
      <c r="CY3" s="279">
        <f ref="CY3:CY11" t="shared" si="60">SUBSTITUTE(IF(BK3&gt;=4,MID(CU3,FIND("~",SUBSTITUTE(CU3,"/","~",3))+1,IFERROR(FIND("~",SUBSTITUTE(CU3,"/","~",4))-1,LEN(CU3))- FIND("~",SUBSTITUTE(CU3,"/","~",3))),"0"),"W","")*1</f>
        <v>0</v>
      </c>
      <c r="CZ3" s="279" t="str">
        <f ref="CZ3:CZ11" t="shared" si="61">ConcateMultiple(CV3:CY3,"W/",BK3)</f>
        <v>20W/20W/20W</v>
      </c>
      <c r="DA3" s="279">
        <f ref="DA3:DA11" t="shared" si="62">MAX(CV3:CY3)</f>
        <v>20</v>
      </c>
      <c r="DB3" s="279" t="str">
        <f ref="DB3:DB11" t="shared" si="63">IF(I3&gt;=2,MID(R3,FIND("~",SUBSTITUTE(R3,";","~",1))+1,IFERROR(FIND("~",SUBSTITUTE(R3,";","~",2))-1,LEN(R3))- FIND("~",SUBSTITUTE(R3,";","~",1))),"")</f>
        <v>16W/16W/16W</v>
      </c>
      <c r="DC3" s="279">
        <f ref="DC3:DC11" t="shared" si="64">SUBSTITUTE(IF(BL3&gt;=1,MID(DB3,1,IFERROR(FIND("~",SUBSTITUTE(DB3,"/","~",1))-1,LEN(DB3))),"0"),"W","")*1</f>
        <v>16</v>
      </c>
      <c r="DD3" s="279">
        <f ref="DD3:DD11" t="shared" si="65">SUBSTITUTE(IF(BL3&gt;=2,MID(DB3,FIND("~",SUBSTITUTE(DB3,"/","~",1))+1,IFERROR(FIND("~",SUBSTITUTE(DB3,"/","~",2))-1,LEN(DB3))- FIND("~",SUBSTITUTE(DB3,"/","~",1))),"0"),"W","")*1*1</f>
        <v>16</v>
      </c>
      <c r="DE3" s="279">
        <f ref="DE3:DE11" t="shared" si="66">SUBSTITUTE(IF(BL3&gt;=3,MID(DB3,FIND("~",SUBSTITUTE(DB3,"/","~",2))+1,IFERROR(FIND("~",SUBSTITUTE(DB3,"/","~",3))-1,LEN(DB3))- FIND("~",SUBSTITUTE(DB3,"/","~",2))),"0"),"W","")*1*1</f>
        <v>16</v>
      </c>
      <c r="DF3" s="279">
        <f ref="DF3:DF11" t="shared" si="67">SUBSTITUTE(IF(BL3&gt;=4,MID(DB3,FIND("~",SUBSTITUTE(DB3,"/","~",3))+1,IFERROR(FIND("~",SUBSTITUTE(DB3,"/","~",4))-1,LEN(DB3))- FIND("~",SUBSTITUTE(DB3,"/","~",3))),"0"),"W","")*1*1</f>
        <v>0</v>
      </c>
      <c r="DG3" s="279" t="str">
        <f ref="DG3:DG11" t="shared" si="68">ConcateMultiple(DC3:DF3,"W/",BL3)</f>
        <v>16W/16W/16W</v>
      </c>
      <c r="DH3" s="279">
        <f ref="DH3:DH11" t="shared" si="69">MAX(DC3:DF3)</f>
        <v>16</v>
      </c>
      <c r="DI3" s="279" t="str">
        <f ref="DI3:DI11" t="shared" si="70">IF(I3&gt;=3,MID(R3,FIND("~",SUBSTITUTE(R3,";","~",2))+1,IFERROR(FIND("~",SUBSTITUTE(R3,";","~",3))-1,LEN(R3))- FIND("~",SUBSTITUTE(R3,";","~",2))),"")</f>
        <v>60W/60W/60W</v>
      </c>
      <c r="DJ3" s="279">
        <f ref="DJ3:DJ11" t="shared" si="71">SUBSTITUTE(IF(BM3&gt;=1,MID(DI3,1,IFERROR(FIND("~",SUBSTITUTE(DI3,"/","~",1))-1,LEN(DI3))),"0"),"W","")*1</f>
        <v>60</v>
      </c>
      <c r="DK3" s="279">
        <f ref="DK3:DK11" t="shared" si="72">SUBSTITUTE(IF(BM3&gt;=2,MID(DI3,FIND("~",SUBSTITUTE(DI3,"/","~",1))+1,IFERROR(FIND("~",SUBSTITUTE(DI3,"/","~",2))-1,LEN(DI3))- FIND("~",SUBSTITUTE(DI3,"/","~",1))),"0"),"W","")*1</f>
        <v>60</v>
      </c>
      <c r="DL3" s="279">
        <f ref="DL3:DL11" t="shared" si="73">SUBSTITUTE(IF(BM3&gt;=3,MID(DI3,FIND("~",SUBSTITUTE(DI3,"/","~",2))+1,IFERROR(FIND("~",SUBSTITUTE(DI3,"/","~",3))-1,LEN(DI3))- FIND("~",SUBSTITUTE(DI3,"/","~",2))),"0"),"W","")*1</f>
        <v>60</v>
      </c>
      <c r="DM3" s="279">
        <f ref="DM3:DM11" t="shared" si="74">SUBSTITUTE(IF(BM3&gt;=4,MID(DI3,FIND("~",SUBSTITUTE(DI3,"/","~",3))+1,IFERROR(FIND("~",SUBSTITUTE(DI3,"/","~",4))-1,LEN(DI3))- FIND("~",SUBSTITUTE(DI3,"/","~",3))),"0"),"W","")*1*1</f>
        <v>0</v>
      </c>
      <c r="DN3" s="279" t="str">
        <f ref="DN3:DN11" t="shared" si="75">ConcateMultiple(DJ3:DM3,"W/",BM3)</f>
        <v>60W/60W/60W</v>
      </c>
      <c r="DO3" s="279">
        <f ref="DO3:DO11" t="shared" si="76">MAX(DJ3:DM3)</f>
        <v>60</v>
      </c>
      <c r="DP3" s="279" t="str">
        <f ref="DP3:DP11" t="shared" si="77">IF(I3&gt;=4,MID(R3,FIND("~",SUBSTITUTE(R3,";","~",3))+1,IFERROR(FIND("~",SUBSTITUTE(R3,";","~",4))-1,LEN(R3))- FIND("~",SUBSTITUTE(R3,";","~",3))),"")</f>
        <v>160W/160W/160W</v>
      </c>
      <c r="DQ3" s="279">
        <f ref="DQ3:DQ11" t="shared" si="78">SUBSTITUTE(IF(BN3&gt;=1,MID(DP3,1,IFERROR(FIND("~",SUBSTITUTE(DP3,"/","~",1))-1,LEN(DP3))),"0"),"W","")*1</f>
        <v>160</v>
      </c>
      <c r="DR3" s="279">
        <f ref="DR3:DR11" t="shared" si="79">SUBSTITUTE(IF(BN3&gt;=2,MID(DP3,FIND("~",SUBSTITUTE(DP3,"/","~",1))+1,IFERROR(FIND("~",SUBSTITUTE(DP3,"/","~",2))-1,LEN(DP3))- FIND("~",SUBSTITUTE(DP3,"/","~",1))),"0"),"W","")*1</f>
        <v>160</v>
      </c>
      <c r="DS3" s="279">
        <f ref="DS3:DS11" t="shared" si="80">SUBSTITUTE(IF(BN3&gt;=3,MID(DP3,FIND("~",SUBSTITUTE(DP3,"/","~",2))+1,IFERROR(FIND("~",SUBSTITUTE(DP3,"/","~",3))-1,LEN(DP3))- FIND("~",SUBSTITUTE(DP3,"/","~",2))),"0"),"W","")*1</f>
        <v>160</v>
      </c>
      <c r="DT3" s="279">
        <f ref="DT3:DT11" t="shared" si="81">SUBSTITUTE(IF(BN3&gt;=4,MID(DP3,FIND("~",SUBSTITUTE(DP3,"/","~",3))+1,IFERROR(FIND("~",SUBSTITUTE(DP3,"/","~",4))-1,LEN(DP3))- FIND("~",SUBSTITUTE(DP3,"/","~",3))),"0"),"W","")*1</f>
        <v>0</v>
      </c>
      <c r="DU3" s="279" t="str">
        <f ref="DU3:DU11" t="shared" si="82">ConcateMultiple(DQ3:DT3,"W/",BN3)</f>
        <v>160W/160W/160W</v>
      </c>
      <c r="DV3" s="279">
        <f ref="DV3:DV11" t="shared" si="83">MAX(DQ3:DT3)</f>
        <v>160</v>
      </c>
      <c r="DW3" s="279" t="str">
        <f ref="DW3:DW11" t="shared" si="84">IF(I3&gt;=5,MID(R3,FIND("~",SUBSTITUTE(R3,";","~",4))+1,IFERROR(FIND("~",SUBSTITUTE(R3,";","~",5))-1,LEN(R3))- FIND("~",SUBSTITUTE(R3,";","~",4))),"")</f>
      </c>
      <c r="DX3" s="279">
        <f ref="DX3:DX11" t="shared" si="85">SUBSTITUTE(IF(BO3&gt;=1,MID(DW3,1,IFERROR(FIND("~",SUBSTITUTE(DW3,"/","~",1))-1,LEN(DW3))),"0"),"W","")*1</f>
        <v>0</v>
      </c>
      <c r="DY3" s="279">
        <f ref="DY3:DY11" t="shared" si="86">SUBSTITUTE(IF(BO3&gt;=2,MID(DW3,FIND("~",SUBSTITUTE(DW3,"/","~",1))+1,IFERROR(FIND("~",SUBSTITUTE(DW3,"/","~",2))-1,LEN(DW3))- FIND("~",SUBSTITUTE(DW3,"/","~",1))),"0"),"W","")*1</f>
        <v>0</v>
      </c>
      <c r="DZ3" s="279">
        <f ref="DZ3:DZ11" t="shared" si="87">SUBSTITUTE(IF(BO3&gt;=3,MID(DW3,FIND("~",SUBSTITUTE(DW3,"/","~",2))+1,IFERROR(FIND("~",SUBSTITUTE(DW3,"/","~",3))-1,LEN(DW3))- FIND("~",SUBSTITUTE(DW3,"/","~",2))),"0"),"W","")*1</f>
        <v>0</v>
      </c>
      <c r="EA3" s="279">
        <f ref="EA3:EA11" t="shared" si="88">SUBSTITUTE(IF(BO3&gt;=4,MID(DW3,FIND("~",SUBSTITUTE(DW3,"/","~",3))+1,IFERROR(FIND("~",SUBSTITUTE(DW3,"/","~",4))-1,LEN(DW3))- FIND("~",SUBSTITUTE(DW3,"/","~",3))),"0"),"W","")*1</f>
        <v>0</v>
      </c>
      <c r="EB3" s="279" t="str">
        <f ref="EB3:EB11" t="shared" si="89">ConcateMultiple(DX3:EA3,"W/",BO3)</f>
      </c>
      <c r="EC3" s="279">
        <f ref="EC3:EC11" t="shared" si="90">MAX(DX3:EA3)</f>
        <v>0</v>
      </c>
      <c r="ED3" s="279" t="str">
        <f ref="ED3:ED11" t="shared" si="91">IF(I3&gt;=6,MID(R3,FIND("~",SUBSTITUTE(R3,";","~",5))+1,IFERROR(FIND("~",SUBSTITUTE(R3,";","~",6))-1,LEN(R3))- FIND("~",SUBSTITUTE(R3,";","~",5))),"")</f>
      </c>
      <c r="EE3" s="279">
        <f ref="EE3:EE11" t="shared" si="92">SUBSTITUTE(IF(BP3&gt;=1,MID(ED3,1,IFERROR(FIND("~",SUBSTITUTE(ED3,"/","~",1))-1,LEN(ED3))),"0"),"W","")*1</f>
        <v>0</v>
      </c>
      <c r="EF3" s="279">
        <f ref="EF3:EF11" t="shared" si="93">SUBSTITUTE(IF(BP3&gt;=2,MID(ED3,FIND("~",SUBSTITUTE(ED3,"/","~",1))+1,IFERROR(FIND("~",SUBSTITUTE(ED3,"/","~",2))-1,LEN(ED3))- FIND("~",SUBSTITUTE(ED3,"/","~",1))),"0"),"W","")*1</f>
        <v>0</v>
      </c>
      <c r="EG3" s="279">
        <f ref="EG3:EG11" t="shared" si="94">SUBSTITUTE(IF(BP3&gt;=3,MID(ED3,FIND("~",SUBSTITUTE(ED3,"/","~",2))+1,IFERROR(FIND("~",SUBSTITUTE(ED3,"/","~",3))-1,LEN(ED3))- FIND("~",SUBSTITUTE(ED3,"/","~",2))),"0"),"W","")*1</f>
        <v>0</v>
      </c>
      <c r="EH3" s="279">
        <f ref="EH3:EH11" t="shared" si="95">SUBSTITUTE(IF(BP3&gt;=4,MID(ED3,FIND("~",SUBSTITUTE(ED3,"/","~",3))+1,IFERROR(FIND("~",SUBSTITUTE(ED3,"/","~",4))-1,LEN(ED3))- FIND("~",SUBSTITUTE(ED3,"/","~",3))),"0"),"W","")*1</f>
        <v>0</v>
      </c>
      <c r="EI3" s="279" t="str">
        <f ref="EI3:EI11" t="shared" si="96">ConcateMultiple(EE3:EH3,"W/",BP3)</f>
      </c>
      <c r="EJ3" s="279">
        <f ref="EJ3:EJ11" t="shared" si="97">MAX(EE3:EH3)</f>
        <v>0</v>
      </c>
      <c r="EK3" s="279">
        <f ref="EK3:EK11" t="shared" si="98">MAX(DA3,DH3,DO3,DV3,EC3,EJ3)</f>
        <v>160</v>
      </c>
      <c r="EL3" s="279" t="str">
        <f ref="EL3:EL11" t="shared" si="99">TRIM(IF(I3&gt;=1,MID(S3,1,IFERROR(FIND("~",SUBSTITUTE(S3,";","~",1))-1,LEN(S3))),""))</f>
        <v>G900</v>
      </c>
      <c r="EM3" s="279" t="str">
        <f ref="EM3:EM11" t="shared" si="100">TRIM(IF(I3&gt;=2,MID(S3,FIND("~",SUBSTITUTE(S3,";","~",1))+1,IFERROR(FIND("~",SUBSTITUTE(S3,";","~",2))-1,LEN(S3))- FIND("~",SUBSTITUTE(S3,";","~",1))),""))</f>
        <v>G1800</v>
      </c>
      <c r="EN3" s="279" t="str">
        <f ref="EN3:EN11" t="shared" si="101">TRIM(IF(I3&gt;=3,MID(S3,FIND("~",SUBSTITUTE(S3,";","~",2))+1,IFERROR(FIND("~",SUBSTITUTE(S3,";","~",3))-1,LEN(S3))- FIND("~",SUBSTITUTE(S3,";","~",2))),""))</f>
        <v>U2100</v>
      </c>
      <c r="EO3" s="279" t="str">
        <f ref="EO3:EO11" t="shared" si="102">TRIM(IF(I3&gt;=4,MID(S3,FIND("~",SUBSTITUTE(S3,";","~",3))+1,IFERROR(FIND("~",SUBSTITUTE(S3,";","~",4))-1,LEN(S3))- FIND("~",SUBSTITUTE(S3,";","~",3))),""))</f>
        <v>L1800</v>
      </c>
      <c r="EP3" s="279" t="str">
        <f ref="EP3:EP11" t="shared" si="103">TRIM(IF(I3&gt;=5,MID(S3,FIND("~",SUBSTITUTE(S3,";","~",4))+1,IFERROR(FIND("~",SUBSTITUTE(S3,";","~",5))-1,LEN(S3))- FIND("~",SUBSTITUTE(S3,";","~",4))),""))</f>
      </c>
      <c r="EQ3" s="279" t="str">
        <f ref="EQ3:EQ11" t="shared" si="104">TRIM(IF(I3&gt;=6,MID(S3,FIND("~",SUBSTITUTE(S3,";","~",5))+1,IFERROR(FIND("~",SUBSTITUTE(S3,";","~",6))-1,LEN(S3))- FIND("~",SUBSTITUTE(S3,";","~",5))),""))</f>
      </c>
      <c r="ER3" s="279" t="str">
        <f ref="ER3:ER11" t="shared" si="105">TRIM(IF(I3&gt;=1,MID(T3,1,IFERROR(FIND("~",SUBSTITUTE(T3,";","~",1))-1,LEN(T3))),""))</f>
        <v>45m/ 45m/ 45m</v>
      </c>
      <c r="ES3" s="279">
        <f ref="ES3:ES11" t="shared" si="106">SUBSTITUTE(IF(BK3&gt;=1,MID(ER3,1,IFERROR(FIND("~",SUBSTITUTE(ER3,"/","~",1))-1,LEN(ER3))),"0"),"m","")*1</f>
        <v>45</v>
      </c>
      <c r="ET3" s="279">
        <f ref="ET3:ET11" t="shared" si="107">SUBSTITUTE(TRIM(IF(BK3&gt;=2,MID(ER3,FIND("~",SUBSTITUTE(ER3,"/","~",1))+1,IFERROR(FIND("~",SUBSTITUTE(ER3,"/","~",2))-1,LEN(ER3))- FIND("~",SUBSTITUTE(ER3,"/","~",1))),"0")),"m","")*1</f>
        <v>45</v>
      </c>
      <c r="EU3" s="279">
        <f ref="EU3:EU11" t="shared" si="108">SUBSTITUTE(TRIM(IF(BK3&gt;=3,MID(ER3,FIND("~",SUBSTITUTE(ER3,"/","~",2))+1,IFERROR(FIND("~",SUBSTITUTE(ER3,"/","~",3))-1,LEN(ER3))- FIND("~",SUBSTITUTE(ER3,"/","~",2))),"0")),"m","")*1</f>
        <v>45</v>
      </c>
      <c r="EV3" s="279">
        <f ref="EV3:EV11" t="shared" si="109">SUBSTITUTE(TRIM(IF(BK3&gt;=4,MID(ER3,FIND("~",SUBSTITUTE(ER3,"/","~",3))+1,IFERROR(FIND("~",SUBSTITUTE(ER3,"/","~",4))-1,LEN(ER3))- FIND("~",SUBSTITUTE(ER3,"/","~",3))),"0")),"m","")*1</f>
        <v>0</v>
      </c>
      <c r="EW3" s="279" t="str">
        <f ref="EW3:EW11" t="shared" si="110">ConcateMultiple(ES3:EV3,"m/",BK3)</f>
        <v>45m/45m/45m</v>
      </c>
      <c r="EX3" s="279" t="str">
        <f ref="EX3:EX11" t="shared" si="111">TRIM(IF(I3&gt;=2,MID(T3,FIND("~",SUBSTITUTE(T3,";","~",1))+1,IFERROR(FIND("~",SUBSTITUTE(T3,";","~",2))-1,LEN(T3))- FIND("~",SUBSTITUTE(T3,";","~",1))),""))</f>
        <v>45m/ 45m/ 45m</v>
      </c>
      <c r="EY3" s="279">
        <f ref="EY3:EY11" t="shared" si="112">SUBSTITUTE(IF(BL3&gt;=1,MID(EX3,1,IFERROR(FIND("~",SUBSTITUTE(EX3,"/","~",1))-1,LEN(EX3))),"0"),"m","")*1</f>
        <v>45</v>
      </c>
      <c r="EZ3" s="279">
        <f ref="EZ3:EZ11" t="shared" si="113">SUBSTITUTE(TRIM(IF(BL3&gt;=2,MID(EX3,FIND("~",SUBSTITUTE(EX3,"/","~",1))+1,IFERROR(FIND("~",SUBSTITUTE(EX3,"/","~",2))-1,LEN(EX3))- FIND("~",SUBSTITUTE(EX3,"/","~",1))),"0")),"m","")*1</f>
        <v>45</v>
      </c>
      <c r="FA3" s="279">
        <f ref="FA3:FA11" t="shared" si="114">SUBSTITUTE(TRIM(IF(BL3&gt;=3,MID(EX3,FIND("~",SUBSTITUTE(EX3,"/","~",2))+1,IFERROR(FIND("~",SUBSTITUTE(EX3,"/","~",3))-1,LEN(EX3))- FIND("~",SUBSTITUTE(EX3,"/","~",2))),"0")),"m","")*1</f>
        <v>45</v>
      </c>
      <c r="FB3" s="279">
        <f ref="FB3:FB11" t="shared" si="115">SUBSTITUTE(TRIM(IF(BL3&gt;=4,MID(EX3,FIND("~",SUBSTITUTE(EX3,"/","~",3))+1,IFERROR(FIND("~",SUBSTITUTE(EX3,"/","~",4))-1,LEN(EX3))- FIND("~",SUBSTITUTE(EX3,"/","~",3))),"0")),"m","")*1</f>
        <v>0</v>
      </c>
      <c r="FC3" s="279" t="str">
        <f ref="FC3:FC11" t="shared" si="116">ConcateMultiple(EY3:FB3,"m/",BL3)</f>
        <v>45m/45m/45m</v>
      </c>
      <c r="FD3" s="279" t="str">
        <f ref="FD3:FD11" t="shared" si="117">TRIM(IF(I3&gt;=3,MID(T3,FIND("~",SUBSTITUTE(T3,";","~",2))+1,IFERROR(FIND("~",SUBSTITUTE(T3,";","~",3))-1,LEN(T3))- FIND("~",SUBSTITUTE(T3,";","~",2))),""))</f>
        <v>34m/ 34m/ 34m</v>
      </c>
      <c r="FE3" s="279">
        <f ref="FE3:FE11" t="shared" si="118">SUBSTITUTE(IF(BM3&gt;=1,MID(FD3,1,IFERROR(FIND("~",SUBSTITUTE(FD3,"/","~",1))-1,LEN(FD3))),"0"),"m","")*1</f>
        <v>34</v>
      </c>
      <c r="FF3" s="279">
        <f ref="FF3:FF11" t="shared" si="119">SUBSTITUTE(TRIM(IF(BM3&gt;=2,MID(FD3,FIND("~",SUBSTITUTE(FD3,"/","~",1))+1,IFERROR(FIND("~",SUBSTITUTE(FD3,"/","~",2))-1,LEN(FD3))- FIND("~",SUBSTITUTE(FD3,"/","~",1))),"0")),"m","")*1</f>
        <v>34</v>
      </c>
      <c r="FG3" s="279">
        <f ref="FG3:FG11" t="shared" si="120">SUBSTITUTE(TRIM(IF(BM3&gt;=3,MID(FD3,FIND("~",SUBSTITUTE(FD3,"/","~",2))+1,IFERROR(FIND("~",SUBSTITUTE(FD3,"/","~",3))-1,LEN(FD3))- FIND("~",SUBSTITUTE(FD3,"/","~",2))),"0")),"m","")*1</f>
        <v>34</v>
      </c>
      <c r="FH3" s="279">
        <f ref="FH3:FH11" t="shared" si="121">SUBSTITUTE(TRIM(IF(BM3&gt;=4,MID(FD3,FIND("~",SUBSTITUTE(FD3,"/","~",3))+1,IFERROR(FIND("~",SUBSTITUTE(FD3,"/","~",4))-1,LEN(FD3))- FIND("~",SUBSTITUTE(FD3,"/","~",3))),"0")),"m","")*1</f>
        <v>0</v>
      </c>
      <c r="FI3" s="279" t="str">
        <f ref="FI3:FI11" t="shared" si="122">ConcateMultiple(FE3:FH3,"m/",BM3)</f>
        <v>34m/34m/34m</v>
      </c>
      <c r="FJ3" s="279" t="str">
        <f ref="FJ3:FJ11" t="shared" si="123">TRIM(IF(I3&gt;=4,MID(T3,FIND("~",SUBSTITUTE(T3,";","~",3))+1,IFERROR(FIND("~",SUBSTITUTE(T3,";","~",4))-1,LEN(T3))- FIND("~",SUBSTITUTE(T3,";","~",3))),""))</f>
        <v>34m/ 34m/ 34m</v>
      </c>
      <c r="FK3" s="279">
        <f ref="FK3:FK11" t="shared" si="124">SUBSTITUTE(IF(BN3&gt;=1,MID(FJ3,1,IFERROR(FIND("~",SUBSTITUTE(FJ3,"/","~",1))-1,LEN(FJ3))),"0"),"m","")*1</f>
        <v>34</v>
      </c>
      <c r="FL3" s="279">
        <f ref="FL3:FL11" t="shared" si="125">SUBSTITUTE(TRIM(IF(BN3&gt;=2,MID(FJ3,FIND("~",SUBSTITUTE(FJ3,"/","~",1))+1,IFERROR(FIND("~",SUBSTITUTE(FJ3,"/","~",2))-1,LEN(FJ3))- FIND("~",SUBSTITUTE(FJ3,"/","~",1))),"0")),"m","")*1</f>
        <v>34</v>
      </c>
      <c r="FM3" s="279">
        <f ref="FM3:FM11" t="shared" si="126">SUBSTITUTE(TRIM(IF(BN3&gt;=3,MID(FJ3,FIND("~",SUBSTITUTE(FJ3,"/","~",2))+1,IFERROR(FIND("~",SUBSTITUTE(FJ3,"/","~",3))-1,LEN(FJ3))- FIND("~",SUBSTITUTE(FJ3,"/","~",2))),"0")),"m","")*1</f>
        <v>34</v>
      </c>
      <c r="FN3" s="279">
        <f ref="FN3:FN11" t="shared" si="127">SUBSTITUTE(TRIM(IF(BN3&gt;=4,MID(FJ3,FIND("~",SUBSTITUTE(FJ3,"/","~",3))+1,IFERROR(FIND("~",SUBSTITUTE(FJ3,"/","~",4))-1,LEN(FJ3))- FIND("~",SUBSTITUTE(FJ3,"/","~",3))),"0")),"m","")*1</f>
        <v>0</v>
      </c>
      <c r="FO3" s="279" t="str">
        <f ref="FO3:FO11" t="shared" si="128">ConcateMultiple(FK3:FN3,"m/",BN3)</f>
        <v>34m/34m/34m</v>
      </c>
      <c r="FP3" s="279" t="str">
        <f ref="FP3:FP11" t="shared" si="129">TRIM(IF(I3&gt;=5,MID(T3,FIND("~",SUBSTITUTE(T3,";","~",4))+1,IFERROR(FIND("~",SUBSTITUTE(T3,";","~",5))-1,LEN(T3))- FIND("~",SUBSTITUTE(T3,";","~",4))),""))</f>
      </c>
      <c r="FQ3" s="279">
        <f ref="FQ3:FQ11" t="shared" si="130">SUBSTITUTE(IF(BO3&gt;=1,MID(FP3,1,IFERROR(FIND("~",SUBSTITUTE(FP3,"/","~",1))-1,LEN(FP3))),"0"),"m","")*1</f>
        <v>0</v>
      </c>
      <c r="FR3" s="279">
        <f ref="FR3:FR11" t="shared" si="131">SUBSTITUTE(TRIM(IF(BO3&gt;=2,MID(FP3,FIND("~",SUBSTITUTE(FP3,"/","~",1))+1,IFERROR(FIND("~",SUBSTITUTE(FP3,"/","~",2))-1,LEN(FP3))- FIND("~",SUBSTITUTE(FP3,"/","~",1))),"0")),"m","")*1</f>
        <v>0</v>
      </c>
      <c r="FS3" s="279">
        <f ref="FS3:FS11" t="shared" si="132">SUBSTITUTE(TRIM(IF(BO3&gt;=3,MID(FP3,FIND("~",SUBSTITUTE(FP3,"/","~",2))+1,IFERROR(FIND("~",SUBSTITUTE(FP3,"/","~",3))-1,LEN(FP3))- FIND("~",SUBSTITUTE(FP3,"/","~",2))),"0")),"m","")*1</f>
        <v>0</v>
      </c>
      <c r="FT3" s="279">
        <f ref="FT3:FT11" t="shared" si="133">SUBSTITUTE(TRIM(IF(BO3&gt;=4,MID(FP3,FIND("~",SUBSTITUTE(FP3,"/","~",3))+1,IFERROR(FIND("~",SUBSTITUTE(FP3,"/","~",4))-1,LEN(FP3))- FIND("~",SUBSTITUTE(FP3,"/","~",3))),"0")),"m","")*1</f>
        <v>0</v>
      </c>
      <c r="FU3" s="279" t="str">
        <f ref="FU3:FU11" t="shared" si="134">ConcateMultiple(FQ3:FT3,"m/",BO3)</f>
      </c>
      <c r="FV3" s="279" t="str">
        <f ref="FV3:FV11" t="shared" si="135">TRIM(IF(I3&gt;=6,MID(T3,FIND("~",SUBSTITUTE(T3,";","~",5))+1,IFERROR(FIND("~",SUBSTITUTE(T3,";","~",6))-1,LEN(T3))- FIND("~",SUBSTITUTE(T3,";","~",5))),""))</f>
      </c>
      <c r="FW3" s="279">
        <f ref="FW3:FW11" t="shared" si="136">SUBSTITUTE(IF(BP3&gt;=1,MID(FV3,1,IFERROR(FIND("~",SUBSTITUTE(FV3,"/","~",1))-1,LEN(FV3))),"0"),"m","")*1</f>
        <v>0</v>
      </c>
      <c r="FX3" s="279">
        <f ref="FX3:FX11" t="shared" si="137">SUBSTITUTE(TRIM(IF(BP3&gt;=2,MID(FV3,FIND("~",SUBSTITUTE(FV3,"/","~",1))+1,IFERROR(FIND("~",SUBSTITUTE(FV3,"/","~",2))-1,LEN(FV3))- FIND("~",SUBSTITUTE(FV3,"/","~",1))),"0")),"m","")*1</f>
        <v>0</v>
      </c>
      <c r="FY3" s="279">
        <f ref="FY3:FY11" t="shared" si="138">SUBSTITUTE(TRIM(IF(BP3&gt;=3,MID(FV3,FIND("~",SUBSTITUTE(FV3,"/","~",2))+1,IFERROR(FIND("~",SUBSTITUTE(FV3,"/","~",3))-1,LEN(FV3))- FIND("~",SUBSTITUTE(FV3,"/","~",2))),"0")),"m","")*1</f>
        <v>0</v>
      </c>
      <c r="FZ3" s="279">
        <f ref="FZ3:FZ11" t="shared" si="139">SUBSTITUTE(TRIM(IF(BP3&gt;=4,MID(FV3,FIND("~",SUBSTITUTE(FV3,"/","~",3))+1,IFERROR(FIND("~",SUBSTITUTE(FV3,"/","~",4))-1,LEN(FV3))- FIND("~",SUBSTITUTE(FV3,"/","~",3))),"0")),"m","")*1</f>
        <v>0</v>
      </c>
      <c r="GA3" s="279" t="str">
        <f ref="GA3:GA11" t="shared" si="140">ConcateMultiple(FW3:FZ3,"m/",BP3)</f>
      </c>
      <c r="GB3" s="279" t="str">
        <f>INDEX(LabNameList,MATCH(AF3,LabIDList,0))</f>
        <v>Trung tâm Kiểm định và Chứng nhận 2</v>
      </c>
      <c r="GC3" s="279">
        <f ref="GC3:GC11" t="shared" si="141">MinMultiple(ES3:EV3,BK3)</f>
        <v>45</v>
      </c>
      <c r="GD3" s="279">
        <f ref="GD3:GD11" t="shared" si="142">MinMultiple(EY3:FB3,BL3)</f>
        <v>45</v>
      </c>
      <c r="GE3" s="279">
        <f ref="GE3:GE11" t="shared" si="143">MinMultiple(FE3:FH3,BM3)</f>
        <v>34</v>
      </c>
      <c r="GF3" s="279">
        <f ref="GF3:GF11" t="shared" si="144">MinMultiple(FK3:FN3,BN3)</f>
        <v>34</v>
      </c>
      <c r="GG3" s="279">
        <f ref="GG3:GG11" t="shared" si="145">MinMultiple(FQ3:FT3,BO3)</f>
        <v>0</v>
      </c>
      <c r="GH3" s="279">
        <f ref="GH3:GH11" t="shared" si="146">MinMultiple(FW3:FZ3,BP3)</f>
        <v>0</v>
      </c>
      <c r="GI3" s="527">
        <f ref="GI3:GI11" t="shared" si="147">MinMultiple(GC3:GH3,I3)</f>
        <v>34</v>
      </c>
      <c r="GJ3" s="527">
        <f ref="GJ3:GJ11" t="shared" si="148">GI3-AA3</f>
        <v>34</v>
      </c>
      <c r="GK3" s="279"/>
      <c r="GL3" s="279"/>
      <c r="GM3" s="279"/>
      <c r="GN3" s="279"/>
    </row>
    <row r="4" ht="89.25" s="235" customFormat="1">
      <c r="A4" s="267">
        <f>Input!A4</f>
        <v>3</v>
      </c>
      <c r="B4" s="267" t="str">
        <f>Input!B4</f>
        <v>VNMOBILE-HCM</v>
      </c>
      <c r="C4" s="267" t="str">
        <f>Input!C4</f>
        <v>MOBIFONE</v>
      </c>
      <c r="D4" s="527" t="str">
        <f t="shared" si="0"/>
        <v>BDGTDM004</v>
      </c>
      <c r="E4" s="267" t="str">
        <f>Input!E4</f>
        <v>Số 117, đường Phan Đình Giót, phường Chánh Nghĩa, thành phố Thủ Dầu Một, tỉnh Bình Dương.</v>
      </c>
      <c r="F4" s="267" t="str">
        <f>Input!F4</f>
        <v>Bình Dương</v>
      </c>
      <c r="G4" s="527" t="str">
        <f>Input!G4</f>
        <v>106,660063</v>
      </c>
      <c r="H4" s="527" t="str">
        <f>Input!H4</f>
        <v>10,97715</v>
      </c>
      <c r="I4" s="267">
        <f>Input!I4</f>
        <v>3</v>
      </c>
      <c r="J4" s="267" t="str">
        <f>Input!J4</f>
        <v>K00460221018D005</v>
      </c>
      <c r="K4" s="291" t="str">
        <f>TEXT(Input!K4,"dd/mm/yyyy")</f>
        <v>19/11/2018</v>
      </c>
      <c r="L4" s="291" t="str">
        <f>TEXT(Input!L4,"dd/mm/yyyy")</f>
        <v>22/10/2018</v>
      </c>
      <c r="M4" s="267" t="str">
        <f>Input!M4</f>
        <v>TỔNG CÔNG TY HẠ TẦNG MẠNG;TỔNG CÔNG TY HẠ TẦNG MẠNG;TỔNG CÔNG TY HẠ TẦNG MẠNG</v>
      </c>
      <c r="N4" s="267" t="str">
        <f>Input!N4</f>
        <v>BDGTDM004;BDGTDM004;BDGTDM004</v>
      </c>
      <c r="O4" s="267" t="str">
        <f>Input!O4</f>
        <v>MOTOROLA HORIZON II MACRO;ERICSSON RBS 3418;NSN FLEXI MULTIRADIO 10 (FHED)</v>
      </c>
      <c r="P4" s="267" t="str">
        <f>Input!P4</f>
        <v>3;3;3</v>
      </c>
      <c r="Q4" s="267" t="str">
        <f>Input!Q4</f>
        <v>4/4/4;2/2/2;1/1/1</v>
      </c>
      <c r="R4" s="267" t="str">
        <f>Input!R4</f>
        <v>20W/20W/20W;60W/60W/60W;160W/160W/160W</v>
      </c>
      <c r="S4" s="267" t="str">
        <f>Input!S4</f>
        <v>G900;U2100;L1800</v>
      </c>
      <c r="T4" s="267" t="str">
        <f>Input!T4</f>
        <v>35m/ 35m/ 35m;28m/ 28m/ 28m;28m/ 28m/ 28m</v>
      </c>
      <c r="U4" s="267">
        <f>Input!U4</f>
        <v>1</v>
      </c>
      <c r="V4" s="267" t="str">
        <f>Input!V4</f>
        <v>FX-X-CG-00T-900;S-Wave EW/EW/EW-65-18DV2/12I-F-64K-VN;S-Wave EW/EW/EW-65-18DV2/12I-F-64K-VN</v>
      </c>
      <c r="W4" s="267" t="b">
        <f>Input!W4</f>
        <v>0</v>
      </c>
      <c r="X4" s="267" t="b">
        <f>Input!X4</f>
        <v>0</v>
      </c>
      <c r="Y4" s="527">
        <f>Input!Y4</f>
        <v>0</v>
      </c>
      <c r="Z4" s="267" t="b">
        <f>Input!Z4</f>
        <v>1</v>
      </c>
      <c r="AA4" s="527">
        <f>Input!AA4</f>
        <v>0</v>
      </c>
      <c r="AB4" s="267" t="b">
        <f>Input!AB4</f>
        <v>0</v>
      </c>
      <c r="AC4" s="267" t="b">
        <f>Input!AC4</f>
        <v>0</v>
      </c>
      <c r="AD4" s="267">
        <f>Input!AD4</f>
        <v>0</v>
      </c>
      <c r="AE4" s="267">
        <f>Input!AE4</f>
        <v>0</v>
      </c>
      <c r="AF4" s="267" t="str">
        <f>Input!AF4</f>
        <v>VCC2</v>
      </c>
      <c r="AG4" s="267" t="str">
        <f>Input!AG4</f>
        <v>Trạm không còn hoạt động</v>
      </c>
      <c r="AH4" s="279"/>
      <c r="AI4" s="279" t="str">
        <f>INDEX(ApplicantNameList,MATCH(B4,ApplicantIDList,0))</f>
        <v>CHI NHÁNH VNMOBILE TẠI TPHCM</v>
      </c>
      <c r="AJ4" s="279" t="str">
        <f>INDEX(OperatorNameList,MATCH(C4,OperatorIDList,0))</f>
        <v>TỔNG CÔNG TY VIỄN THÔNG MOBIFONE</v>
      </c>
      <c r="AK4" s="267" t="str">
        <f>INDEX(CityIDList,MATCH(F4,CityNameList,0))</f>
        <v>BDG</v>
      </c>
      <c r="AL4" s="279" t="str">
        <f t="shared" si="1"/>
        <v>TỔNG CÔNG TY HẠ TẦNG MẠNG</v>
      </c>
      <c r="AM4" s="279" t="str">
        <f t="shared" si="2"/>
        <v>TỔNG CÔNG TY HẠ TẦNG MẠNG</v>
      </c>
      <c r="AN4" s="279" t="str">
        <f t="shared" si="3"/>
        <v>TỔNG CÔNG TY HẠ TẦNG MẠNG</v>
      </c>
      <c r="AO4" s="279" t="str">
        <f t="shared" si="4"/>
      </c>
      <c r="AP4" s="279" t="str">
        <f t="shared" si="5"/>
      </c>
      <c r="AQ4" s="279" t="str">
        <f t="shared" si="6"/>
      </c>
      <c r="AR4" s="279" t="str">
        <f>IF(I4&gt;=1,INDEX(OperatorIDList,MATCH(AL4,OperatorNameList,0)),"")</f>
        <v>VINAPHONE</v>
      </c>
      <c r="AS4" s="279" t="str">
        <f>IF(I4&gt;=2,INDEX(OperatorIDList,MATCH(AM4,OperatorNameList,0)),"")</f>
        <v>VINAPHONE</v>
      </c>
      <c r="AT4" s="279" t="str">
        <f>IF(I4&gt;=3,INDEX(OperatorIDList,MATCH(AN4,OperatorNameList,0)),"")</f>
        <v>VINAPHONE</v>
      </c>
      <c r="AU4" s="279" t="str">
        <f>IF(I4&gt;=4,INDEX(OperatorIDList,MATCH(AO4,OperatorNameList,0)),"")</f>
      </c>
      <c r="AV4" s="279" t="str">
        <f>IF(I4&gt;=5,INDEX(OperatorIDList,MATCH(AP4,OperatorNameList,0)),"")</f>
      </c>
      <c r="AW4" s="279" t="str">
        <f>IF(I4&gt;=6,INDEX(OperatorIDList,MATCH(AQ4,OperatorNameList,0)),"")</f>
      </c>
      <c r="AX4" s="279" t="str">
        <f t="shared" si="7"/>
        <v>VINAPHONE;VINAPHONE;VINAPHONE</v>
      </c>
      <c r="AY4" s="279" t="str">
        <f t="shared" si="8"/>
        <v>BDGTDM004</v>
      </c>
      <c r="AZ4" s="279" t="str">
        <f t="shared" si="9"/>
        <v>BDGTDM004</v>
      </c>
      <c r="BA4" s="279" t="str">
        <f t="shared" si="10"/>
        <v>BDGTDM004</v>
      </c>
      <c r="BB4" s="279" t="str">
        <f t="shared" si="11"/>
      </c>
      <c r="BC4" s="279" t="str">
        <f t="shared" si="12"/>
      </c>
      <c r="BD4" s="279" t="str">
        <f t="shared" si="13"/>
      </c>
      <c r="BE4" s="279" t="str">
        <f t="shared" si="14"/>
        <v>MOTOROLA HORIZON II MACRO</v>
      </c>
      <c r="BF4" s="279" t="str">
        <f t="shared" si="15"/>
        <v>ERICSSON RBS 3418</v>
      </c>
      <c r="BG4" s="279" t="str">
        <f t="shared" si="16"/>
        <v>NSN FLEXI MULTIRADIO 10 (FHED)</v>
      </c>
      <c r="BH4" s="279" t="str">
        <f t="shared" si="17"/>
      </c>
      <c r="BI4" s="279" t="str">
        <f t="shared" si="18"/>
      </c>
      <c r="BJ4" s="279" t="str">
        <f t="shared" si="19"/>
      </c>
      <c r="BK4" s="279">
        <f t="shared" si="20"/>
        <v>3</v>
      </c>
      <c r="BL4" s="279">
        <f t="shared" si="21"/>
        <v>3</v>
      </c>
      <c r="BM4" s="279">
        <f t="shared" si="22"/>
        <v>3</v>
      </c>
      <c r="BN4" s="279">
        <f t="shared" si="23"/>
        <v>0</v>
      </c>
      <c r="BO4" s="279">
        <f t="shared" si="24"/>
        <v>0</v>
      </c>
      <c r="BP4" s="279">
        <f t="shared" si="25"/>
        <v>0</v>
      </c>
      <c r="BQ4" s="279" t="str">
        <f t="shared" si="26"/>
        <v>4/4/4</v>
      </c>
      <c r="BR4" s="279">
        <f t="shared" si="27"/>
        <v>4</v>
      </c>
      <c r="BS4" s="279">
        <f t="shared" si="28"/>
        <v>4</v>
      </c>
      <c r="BT4" s="279">
        <f t="shared" si="29"/>
        <v>4</v>
      </c>
      <c r="BU4" s="279">
        <f t="shared" si="30"/>
        <v>0</v>
      </c>
      <c r="BV4" s="279" t="str">
        <f t="shared" si="31"/>
        <v>2/2/2</v>
      </c>
      <c r="BW4" s="279">
        <f t="shared" si="32"/>
        <v>2</v>
      </c>
      <c r="BX4" s="279">
        <f t="shared" si="33"/>
        <v>2</v>
      </c>
      <c r="BY4" s="279">
        <f t="shared" si="34"/>
        <v>2</v>
      </c>
      <c r="BZ4" s="279">
        <f t="shared" si="35"/>
        <v>0</v>
      </c>
      <c r="CA4" s="279" t="str">
        <f t="shared" si="36"/>
        <v>1/1/1</v>
      </c>
      <c r="CB4" s="279">
        <f t="shared" si="37"/>
        <v>1</v>
      </c>
      <c r="CC4" s="279">
        <f t="shared" si="38"/>
        <v>1</v>
      </c>
      <c r="CD4" s="279">
        <f t="shared" si="39"/>
        <v>1</v>
      </c>
      <c r="CE4" s="279">
        <f t="shared" si="40"/>
        <v>0</v>
      </c>
      <c r="CF4" s="279" t="str">
        <f t="shared" si="41"/>
      </c>
      <c r="CG4" s="279">
        <f t="shared" si="42"/>
        <v>0</v>
      </c>
      <c r="CH4" s="279">
        <f t="shared" si="43"/>
        <v>0</v>
      </c>
      <c r="CI4" s="279">
        <f t="shared" si="44"/>
        <v>0</v>
      </c>
      <c r="CJ4" s="279">
        <f t="shared" si="45"/>
        <v>0</v>
      </c>
      <c r="CK4" s="279" t="str">
        <f t="shared" si="46"/>
      </c>
      <c r="CL4" s="279">
        <f t="shared" si="47"/>
        <v>0</v>
      </c>
      <c r="CM4" s="279">
        <f t="shared" si="48"/>
        <v>0</v>
      </c>
      <c r="CN4" s="279">
        <f t="shared" si="49"/>
        <v>0</v>
      </c>
      <c r="CO4" s="279">
        <f t="shared" si="50"/>
        <v>0</v>
      </c>
      <c r="CP4" s="279" t="str">
        <f t="shared" si="51"/>
      </c>
      <c r="CQ4" s="279">
        <f t="shared" si="52"/>
        <v>0</v>
      </c>
      <c r="CR4" s="279">
        <f t="shared" si="53"/>
        <v>0</v>
      </c>
      <c r="CS4" s="279">
        <f t="shared" si="54"/>
        <v>0</v>
      </c>
      <c r="CT4" s="279">
        <f t="shared" si="55"/>
        <v>0</v>
      </c>
      <c r="CU4" s="279" t="str">
        <f t="shared" si="56"/>
        <v>20W/20W/20W</v>
      </c>
      <c r="CV4" s="279">
        <f t="shared" si="57"/>
        <v>20</v>
      </c>
      <c r="CW4" s="279">
        <f t="shared" si="58"/>
        <v>20</v>
      </c>
      <c r="CX4" s="279">
        <f t="shared" si="59"/>
        <v>20</v>
      </c>
      <c r="CY4" s="279">
        <f t="shared" si="60"/>
        <v>0</v>
      </c>
      <c r="CZ4" s="279" t="str">
        <f t="shared" si="61"/>
        <v>20W/20W/20W</v>
      </c>
      <c r="DA4" s="279">
        <f t="shared" si="62"/>
        <v>20</v>
      </c>
      <c r="DB4" s="279" t="str">
        <f t="shared" si="63"/>
        <v>60W/60W/60W</v>
      </c>
      <c r="DC4" s="279">
        <f t="shared" si="64"/>
        <v>60</v>
      </c>
      <c r="DD4" s="279">
        <f t="shared" si="65"/>
        <v>60</v>
      </c>
      <c r="DE4" s="279">
        <f t="shared" si="66"/>
        <v>60</v>
      </c>
      <c r="DF4" s="279">
        <f t="shared" si="67"/>
        <v>0</v>
      </c>
      <c r="DG4" s="279" t="str">
        <f t="shared" si="68"/>
        <v>60W/60W/60W</v>
      </c>
      <c r="DH4" s="279">
        <f t="shared" si="69"/>
        <v>60</v>
      </c>
      <c r="DI4" s="279" t="str">
        <f t="shared" si="70"/>
        <v>160W/160W/160W</v>
      </c>
      <c r="DJ4" s="279">
        <f t="shared" si="71"/>
        <v>160</v>
      </c>
      <c r="DK4" s="279">
        <f t="shared" si="72"/>
        <v>160</v>
      </c>
      <c r="DL4" s="279">
        <f t="shared" si="73"/>
        <v>160</v>
      </c>
      <c r="DM4" s="279">
        <f t="shared" si="74"/>
        <v>0</v>
      </c>
      <c r="DN4" s="279" t="str">
        <f t="shared" si="75"/>
        <v>160W/160W/160W</v>
      </c>
      <c r="DO4" s="279">
        <f t="shared" si="76"/>
        <v>160</v>
      </c>
      <c r="DP4" s="279" t="str">
        <f t="shared" si="77"/>
      </c>
      <c r="DQ4" s="279">
        <f t="shared" si="78"/>
        <v>0</v>
      </c>
      <c r="DR4" s="279">
        <f t="shared" si="79"/>
        <v>0</v>
      </c>
      <c r="DS4" s="279">
        <f t="shared" si="80"/>
        <v>0</v>
      </c>
      <c r="DT4" s="279">
        <f t="shared" si="81"/>
        <v>0</v>
      </c>
      <c r="DU4" s="279" t="str">
        <f t="shared" si="82"/>
      </c>
      <c r="DV4" s="279">
        <f t="shared" si="83"/>
        <v>0</v>
      </c>
      <c r="DW4" s="279" t="str">
        <f t="shared" si="84"/>
      </c>
      <c r="DX4" s="279">
        <f t="shared" si="85"/>
        <v>0</v>
      </c>
      <c r="DY4" s="279">
        <f t="shared" si="86"/>
        <v>0</v>
      </c>
      <c r="DZ4" s="279">
        <f t="shared" si="87"/>
        <v>0</v>
      </c>
      <c r="EA4" s="279">
        <f t="shared" si="88"/>
        <v>0</v>
      </c>
      <c r="EB4" s="279" t="str">
        <f t="shared" si="89"/>
      </c>
      <c r="EC4" s="279">
        <f t="shared" si="90"/>
        <v>0</v>
      </c>
      <c r="ED4" s="279" t="str">
        <f t="shared" si="91"/>
      </c>
      <c r="EE4" s="279">
        <f t="shared" si="92"/>
        <v>0</v>
      </c>
      <c r="EF4" s="279">
        <f t="shared" si="93"/>
        <v>0</v>
      </c>
      <c r="EG4" s="279">
        <f t="shared" si="94"/>
        <v>0</v>
      </c>
      <c r="EH4" s="279">
        <f t="shared" si="95"/>
        <v>0</v>
      </c>
      <c r="EI4" s="279" t="str">
        <f t="shared" si="96"/>
      </c>
      <c r="EJ4" s="279">
        <f t="shared" si="97"/>
        <v>0</v>
      </c>
      <c r="EK4" s="279">
        <f t="shared" si="98"/>
        <v>160</v>
      </c>
      <c r="EL4" s="279" t="str">
        <f t="shared" si="99"/>
        <v>G900</v>
      </c>
      <c r="EM4" s="279" t="str">
        <f t="shared" si="100"/>
        <v>U2100</v>
      </c>
      <c r="EN4" s="279" t="str">
        <f t="shared" si="101"/>
        <v>L1800</v>
      </c>
      <c r="EO4" s="279" t="str">
        <f t="shared" si="102"/>
      </c>
      <c r="EP4" s="279" t="str">
        <f t="shared" si="103"/>
      </c>
      <c r="EQ4" s="279" t="str">
        <f t="shared" si="104"/>
      </c>
      <c r="ER4" s="279" t="str">
        <f t="shared" si="105"/>
        <v>35m/ 35m/ 35m</v>
      </c>
      <c r="ES4" s="279">
        <f t="shared" si="106"/>
        <v>35</v>
      </c>
      <c r="ET4" s="279">
        <f t="shared" si="107"/>
        <v>35</v>
      </c>
      <c r="EU4" s="279">
        <f t="shared" si="108"/>
        <v>35</v>
      </c>
      <c r="EV4" s="279">
        <f t="shared" si="109"/>
        <v>0</v>
      </c>
      <c r="EW4" s="279" t="str">
        <f t="shared" si="110"/>
        <v>35m/35m/35m</v>
      </c>
      <c r="EX4" s="279" t="str">
        <f t="shared" si="111"/>
        <v>28m/ 28m/ 28m</v>
      </c>
      <c r="EY4" s="279">
        <f t="shared" si="112"/>
        <v>28</v>
      </c>
      <c r="EZ4" s="279">
        <f t="shared" si="113"/>
        <v>28</v>
      </c>
      <c r="FA4" s="279">
        <f t="shared" si="114"/>
        <v>28</v>
      </c>
      <c r="FB4" s="279">
        <f t="shared" si="115"/>
        <v>0</v>
      </c>
      <c r="FC4" s="279" t="str">
        <f t="shared" si="116"/>
        <v>28m/28m/28m</v>
      </c>
      <c r="FD4" s="279" t="str">
        <f t="shared" si="117"/>
        <v>28m/ 28m/ 28m</v>
      </c>
      <c r="FE4" s="279">
        <f t="shared" si="118"/>
        <v>28</v>
      </c>
      <c r="FF4" s="279">
        <f t="shared" si="119"/>
        <v>28</v>
      </c>
      <c r="FG4" s="279">
        <f t="shared" si="120"/>
        <v>28</v>
      </c>
      <c r="FH4" s="279">
        <f t="shared" si="121"/>
        <v>0</v>
      </c>
      <c r="FI4" s="279" t="str">
        <f t="shared" si="122"/>
        <v>28m/28m/28m</v>
      </c>
      <c r="FJ4" s="279" t="str">
        <f t="shared" si="123"/>
      </c>
      <c r="FK4" s="279">
        <f t="shared" si="124"/>
        <v>0</v>
      </c>
      <c r="FL4" s="279">
        <f t="shared" si="125"/>
        <v>0</v>
      </c>
      <c r="FM4" s="279">
        <f t="shared" si="126"/>
        <v>0</v>
      </c>
      <c r="FN4" s="279">
        <f t="shared" si="127"/>
        <v>0</v>
      </c>
      <c r="FO4" s="279" t="str">
        <f t="shared" si="128"/>
      </c>
      <c r="FP4" s="279" t="str">
        <f t="shared" si="129"/>
      </c>
      <c r="FQ4" s="279">
        <f t="shared" si="130"/>
        <v>0</v>
      </c>
      <c r="FR4" s="279">
        <f t="shared" si="131"/>
        <v>0</v>
      </c>
      <c r="FS4" s="279">
        <f t="shared" si="132"/>
        <v>0</v>
      </c>
      <c r="FT4" s="279">
        <f t="shared" si="133"/>
        <v>0</v>
      </c>
      <c r="FU4" s="279" t="str">
        <f t="shared" si="134"/>
      </c>
      <c r="FV4" s="279" t="str">
        <f t="shared" si="135"/>
      </c>
      <c r="FW4" s="279">
        <f t="shared" si="136"/>
        <v>0</v>
      </c>
      <c r="FX4" s="279">
        <f t="shared" si="137"/>
        <v>0</v>
      </c>
      <c r="FY4" s="279">
        <f t="shared" si="138"/>
        <v>0</v>
      </c>
      <c r="FZ4" s="279">
        <f t="shared" si="139"/>
        <v>0</v>
      </c>
      <c r="GA4" s="279" t="str">
        <f t="shared" si="140"/>
      </c>
      <c r="GB4" s="279" t="str">
        <f>INDEX(LabNameList,MATCH(AF4,LabIDList,0))</f>
        <v>Trung tâm Kiểm định và Chứng nhận 2</v>
      </c>
      <c r="GC4" s="279">
        <f t="shared" si="141"/>
        <v>35</v>
      </c>
      <c r="GD4" s="279">
        <f t="shared" si="142"/>
        <v>28</v>
      </c>
      <c r="GE4" s="279">
        <f t="shared" si="143"/>
        <v>28</v>
      </c>
      <c r="GF4" s="279">
        <f t="shared" si="144"/>
        <v>0</v>
      </c>
      <c r="GG4" s="279">
        <f t="shared" si="145"/>
        <v>0</v>
      </c>
      <c r="GH4" s="279">
        <f t="shared" si="146"/>
        <v>0</v>
      </c>
      <c r="GI4" s="527">
        <f t="shared" si="147"/>
        <v>28</v>
      </c>
      <c r="GJ4" s="527">
        <f t="shared" si="148"/>
        <v>28</v>
      </c>
      <c r="GK4" s="279"/>
      <c r="GL4" s="279"/>
      <c r="GM4" s="279"/>
      <c r="GN4" s="279"/>
    </row>
    <row r="5" ht="89.25" s="235" customFormat="1">
      <c r="A5" s="267">
        <f>Input!A5</f>
        <v>4</v>
      </c>
      <c r="B5" s="267" t="str">
        <f>Input!B5</f>
        <v>VNMOBILE-HCM</v>
      </c>
      <c r="C5" s="267" t="str">
        <f>Input!C5</f>
        <v>MOBIFONE</v>
      </c>
      <c r="D5" s="527" t="str">
        <f t="shared" si="0"/>
        <v>BDGTDM007</v>
      </c>
      <c r="E5" s="267" t="str">
        <f>Input!E5</f>
        <v>Số 47, đường Hoàng Văn Thụ, khu dân cư Chánh Nghĩa, phường Chánh Nghĩa, thành phố Thủ Dầu Một, tỉnh Bình Dương.</v>
      </c>
      <c r="F5" s="267" t="str">
        <f>Input!F5</f>
        <v>Bình Dương</v>
      </c>
      <c r="G5" s="527" t="str">
        <f>Input!G5</f>
        <v>106,665231</v>
      </c>
      <c r="H5" s="527" t="str">
        <f>Input!H5</f>
        <v>10,975973</v>
      </c>
      <c r="I5" s="267">
        <f>Input!I5</f>
        <v>3</v>
      </c>
      <c r="J5" s="267" t="str">
        <f>Input!J5</f>
        <v>K00461221018D005</v>
      </c>
      <c r="K5" s="291" t="str">
        <f>TEXT(Input!K5,"dd/mm/yyyy")</f>
        <v>19/11/2018</v>
      </c>
      <c r="L5" s="291" t="str">
        <f>TEXT(Input!L5,"dd/mm/yyyy")</f>
        <v>22/10/2018</v>
      </c>
      <c r="M5" s="267" t="str">
        <f>Input!M5</f>
        <v>TỔNG CÔNG TY HẠ TẦNG MẠNG;TỔNG CÔNG TY HẠ TẦNG MẠNG;TỔNG CÔNG TY HẠ TẦNG MẠNG</v>
      </c>
      <c r="N5" s="267" t="str">
        <f>Input!N5</f>
        <v>BDGTDM007;BDGTDM007;BDGTDM007</v>
      </c>
      <c r="O5" s="267" t="str">
        <f>Input!O5</f>
        <v>MOTOROLA HORIZON II MACRO;ERICSSON RBS 6601;NSN FLEXI MULTIRADIO 10 (FHED)</v>
      </c>
      <c r="P5" s="267" t="str">
        <f>Input!P5</f>
        <v>3;3;3</v>
      </c>
      <c r="Q5" s="267" t="str">
        <f>Input!Q5</f>
        <v>3/3/3;2/2/2;1/1/1</v>
      </c>
      <c r="R5" s="267" t="str">
        <f>Input!R5</f>
        <v>16W/16W/16W;60W/60W/60W;160W/160W/160W</v>
      </c>
      <c r="S5" s="267" t="str">
        <f>Input!S5</f>
        <v>G1800;U2100;L1800</v>
      </c>
      <c r="T5" s="267" t="str">
        <f>Input!T5</f>
        <v>27m/ 27m/ 27m;25m/ 25m/ 25m;25m/ 25m/ 25m</v>
      </c>
      <c r="U5" s="267">
        <f>Input!U5</f>
        <v>1</v>
      </c>
      <c r="V5" s="267" t="str">
        <f>Input!V5</f>
        <v>FX-X-CDG-06T-DB-1800;S-Wave EW/EW/EW-65-18DV2/12I-F-64K-VN;S-Wave EW/EW/EW-65-18DV2/12I-F-64K-VN</v>
      </c>
      <c r="W5" s="267" t="b">
        <f>Input!W5</f>
        <v>0</v>
      </c>
      <c r="X5" s="267" t="b">
        <f>Input!X5</f>
        <v>0</v>
      </c>
      <c r="Y5" s="527">
        <f>Input!Y5</f>
        <v>0</v>
      </c>
      <c r="Z5" s="267" t="b">
        <f>Input!Z5</f>
        <v>1</v>
      </c>
      <c r="AA5" s="527">
        <f>Input!AA5</f>
        <v>0</v>
      </c>
      <c r="AB5" s="267" t="b">
        <f>Input!AB5</f>
        <v>0</v>
      </c>
      <c r="AC5" s="267" t="b">
        <f>Input!AC5</f>
        <v>1</v>
      </c>
      <c r="AD5" s="267">
        <f>Input!AD5</f>
        <v>0</v>
      </c>
      <c r="AE5" s="267">
        <f>Input!AE5</f>
        <v>0</v>
      </c>
      <c r="AF5" s="267" t="str">
        <f>Input!AF5</f>
        <v>VCC2</v>
      </c>
      <c r="AG5" s="267">
        <f>Input!AG5</f>
        <v>0</v>
      </c>
      <c r="AH5" s="279"/>
      <c r="AI5" s="279" t="str">
        <f>INDEX(ApplicantNameList,MATCH(B5,ApplicantIDList,0))</f>
        <v>CHI NHÁNH VNMOBILE TẠI TPHCM</v>
      </c>
      <c r="AJ5" s="279" t="str">
        <f>INDEX(OperatorNameList,MATCH(C5,OperatorIDList,0))</f>
        <v>TỔNG CÔNG TY VIỄN THÔNG MOBIFONE</v>
      </c>
      <c r="AK5" s="267" t="str">
        <f>INDEX(CityIDList,MATCH(F5,CityNameList,0))</f>
        <v>BDG</v>
      </c>
      <c r="AL5" s="279" t="str">
        <f t="shared" si="1"/>
        <v>TỔNG CÔNG TY HẠ TẦNG MẠNG</v>
      </c>
      <c r="AM5" s="279" t="str">
        <f t="shared" si="2"/>
        <v>TỔNG CÔNG TY HẠ TẦNG MẠNG</v>
      </c>
      <c r="AN5" s="279" t="str">
        <f t="shared" si="3"/>
        <v>TỔNG CÔNG TY HẠ TẦNG MẠNG</v>
      </c>
      <c r="AO5" s="279" t="str">
        <f t="shared" si="4"/>
      </c>
      <c r="AP5" s="279" t="str">
        <f t="shared" si="5"/>
      </c>
      <c r="AQ5" s="279" t="str">
        <f t="shared" si="6"/>
      </c>
      <c r="AR5" s="279" t="str">
        <f>IF(I5&gt;=1,INDEX(OperatorIDList,MATCH(AL5,OperatorNameList,0)),"")</f>
        <v>VINAPHONE</v>
      </c>
      <c r="AS5" s="279" t="str">
        <f>IF(I5&gt;=2,INDEX(OperatorIDList,MATCH(AM5,OperatorNameList,0)),"")</f>
        <v>VINAPHONE</v>
      </c>
      <c r="AT5" s="279" t="str">
        <f>IF(I5&gt;=3,INDEX(OperatorIDList,MATCH(AN5,OperatorNameList,0)),"")</f>
        <v>VINAPHONE</v>
      </c>
      <c r="AU5" s="279" t="str">
        <f>IF(I5&gt;=4,INDEX(OperatorIDList,MATCH(AO5,OperatorNameList,0)),"")</f>
      </c>
      <c r="AV5" s="279" t="str">
        <f>IF(I5&gt;=5,INDEX(OperatorIDList,MATCH(AP5,OperatorNameList,0)),"")</f>
      </c>
      <c r="AW5" s="279" t="str">
        <f>IF(I5&gt;=6,INDEX(OperatorIDList,MATCH(AQ5,OperatorNameList,0)),"")</f>
      </c>
      <c r="AX5" s="279" t="str">
        <f t="shared" si="7"/>
        <v>VINAPHONE;VINAPHONE;VINAPHONE</v>
      </c>
      <c r="AY5" s="279" t="str">
        <f t="shared" si="8"/>
        <v>BDGTDM007</v>
      </c>
      <c r="AZ5" s="279" t="str">
        <f t="shared" si="9"/>
        <v>BDGTDM007</v>
      </c>
      <c r="BA5" s="279" t="str">
        <f t="shared" si="10"/>
        <v>BDGTDM007</v>
      </c>
      <c r="BB5" s="279" t="str">
        <f t="shared" si="11"/>
      </c>
      <c r="BC5" s="279" t="str">
        <f t="shared" si="12"/>
      </c>
      <c r="BD5" s="279" t="str">
        <f t="shared" si="13"/>
      </c>
      <c r="BE5" s="279" t="str">
        <f t="shared" si="14"/>
        <v>MOTOROLA HORIZON II MACRO</v>
      </c>
      <c r="BF5" s="279" t="str">
        <f t="shared" si="15"/>
        <v>ERICSSON RBS 6601</v>
      </c>
      <c r="BG5" s="279" t="str">
        <f t="shared" si="16"/>
        <v>NSN FLEXI MULTIRADIO 10 (FHED)</v>
      </c>
      <c r="BH5" s="279" t="str">
        <f t="shared" si="17"/>
      </c>
      <c r="BI5" s="279" t="str">
        <f t="shared" si="18"/>
      </c>
      <c r="BJ5" s="279" t="str">
        <f t="shared" si="19"/>
      </c>
      <c r="BK5" s="279">
        <f t="shared" si="20"/>
        <v>3</v>
      </c>
      <c r="BL5" s="279">
        <f t="shared" si="21"/>
        <v>3</v>
      </c>
      <c r="BM5" s="279">
        <f t="shared" si="22"/>
        <v>3</v>
      </c>
      <c r="BN5" s="279">
        <f t="shared" si="23"/>
        <v>0</v>
      </c>
      <c r="BO5" s="279">
        <f t="shared" si="24"/>
        <v>0</v>
      </c>
      <c r="BP5" s="279">
        <f t="shared" si="25"/>
        <v>0</v>
      </c>
      <c r="BQ5" s="279" t="str">
        <f t="shared" si="26"/>
        <v>3/3/3</v>
      </c>
      <c r="BR5" s="279">
        <f t="shared" si="27"/>
        <v>3</v>
      </c>
      <c r="BS5" s="279">
        <f t="shared" si="28"/>
        <v>3</v>
      </c>
      <c r="BT5" s="279">
        <f t="shared" si="29"/>
        <v>3</v>
      </c>
      <c r="BU5" s="279">
        <f t="shared" si="30"/>
        <v>0</v>
      </c>
      <c r="BV5" s="279" t="str">
        <f t="shared" si="31"/>
        <v>2/2/2</v>
      </c>
      <c r="BW5" s="279">
        <f t="shared" si="32"/>
        <v>2</v>
      </c>
      <c r="BX5" s="279">
        <f t="shared" si="33"/>
        <v>2</v>
      </c>
      <c r="BY5" s="279">
        <f t="shared" si="34"/>
        <v>2</v>
      </c>
      <c r="BZ5" s="279">
        <f t="shared" si="35"/>
        <v>0</v>
      </c>
      <c r="CA5" s="279" t="str">
        <f t="shared" si="36"/>
        <v>1/1/1</v>
      </c>
      <c r="CB5" s="279">
        <f t="shared" si="37"/>
        <v>1</v>
      </c>
      <c r="CC5" s="279">
        <f t="shared" si="38"/>
        <v>1</v>
      </c>
      <c r="CD5" s="279">
        <f t="shared" si="39"/>
        <v>1</v>
      </c>
      <c r="CE5" s="279">
        <f t="shared" si="40"/>
        <v>0</v>
      </c>
      <c r="CF5" s="279" t="str">
        <f t="shared" si="41"/>
      </c>
      <c r="CG5" s="279">
        <f t="shared" si="42"/>
        <v>0</v>
      </c>
      <c r="CH5" s="279">
        <f t="shared" si="43"/>
        <v>0</v>
      </c>
      <c r="CI5" s="279">
        <f t="shared" si="44"/>
        <v>0</v>
      </c>
      <c r="CJ5" s="279">
        <f t="shared" si="45"/>
        <v>0</v>
      </c>
      <c r="CK5" s="279" t="str">
        <f t="shared" si="46"/>
      </c>
      <c r="CL5" s="279">
        <f t="shared" si="47"/>
        <v>0</v>
      </c>
      <c r="CM5" s="279">
        <f t="shared" si="48"/>
        <v>0</v>
      </c>
      <c r="CN5" s="279">
        <f t="shared" si="49"/>
        <v>0</v>
      </c>
      <c r="CO5" s="279">
        <f t="shared" si="50"/>
        <v>0</v>
      </c>
      <c r="CP5" s="279" t="str">
        <f t="shared" si="51"/>
      </c>
      <c r="CQ5" s="279">
        <f t="shared" si="52"/>
        <v>0</v>
      </c>
      <c r="CR5" s="279">
        <f t="shared" si="53"/>
        <v>0</v>
      </c>
      <c r="CS5" s="279">
        <f t="shared" si="54"/>
        <v>0</v>
      </c>
      <c r="CT5" s="279">
        <f t="shared" si="55"/>
        <v>0</v>
      </c>
      <c r="CU5" s="279" t="str">
        <f t="shared" si="56"/>
        <v>16W/16W/16W</v>
      </c>
      <c r="CV5" s="279">
        <f t="shared" si="57"/>
        <v>16</v>
      </c>
      <c r="CW5" s="279">
        <f t="shared" si="58"/>
        <v>16</v>
      </c>
      <c r="CX5" s="279">
        <f t="shared" si="59"/>
        <v>16</v>
      </c>
      <c r="CY5" s="279">
        <f t="shared" si="60"/>
        <v>0</v>
      </c>
      <c r="CZ5" s="279" t="str">
        <f t="shared" si="61"/>
        <v>16W/16W/16W</v>
      </c>
      <c r="DA5" s="279">
        <f t="shared" si="62"/>
        <v>16</v>
      </c>
      <c r="DB5" s="279" t="str">
        <f t="shared" si="63"/>
        <v>60W/60W/60W</v>
      </c>
      <c r="DC5" s="279">
        <f t="shared" si="64"/>
        <v>60</v>
      </c>
      <c r="DD5" s="279">
        <f t="shared" si="65"/>
        <v>60</v>
      </c>
      <c r="DE5" s="279">
        <f t="shared" si="66"/>
        <v>60</v>
      </c>
      <c r="DF5" s="279">
        <f t="shared" si="67"/>
        <v>0</v>
      </c>
      <c r="DG5" s="279" t="str">
        <f t="shared" si="68"/>
        <v>60W/60W/60W</v>
      </c>
      <c r="DH5" s="279">
        <f t="shared" si="69"/>
        <v>60</v>
      </c>
      <c r="DI5" s="279" t="str">
        <f t="shared" si="70"/>
        <v>160W/160W/160W</v>
      </c>
      <c r="DJ5" s="279">
        <f t="shared" si="71"/>
        <v>160</v>
      </c>
      <c r="DK5" s="279">
        <f t="shared" si="72"/>
        <v>160</v>
      </c>
      <c r="DL5" s="279">
        <f t="shared" si="73"/>
        <v>160</v>
      </c>
      <c r="DM5" s="279">
        <f t="shared" si="74"/>
        <v>0</v>
      </c>
      <c r="DN5" s="279" t="str">
        <f t="shared" si="75"/>
        <v>160W/160W/160W</v>
      </c>
      <c r="DO5" s="279">
        <f t="shared" si="76"/>
        <v>160</v>
      </c>
      <c r="DP5" s="279" t="str">
        <f t="shared" si="77"/>
      </c>
      <c r="DQ5" s="279">
        <f t="shared" si="78"/>
        <v>0</v>
      </c>
      <c r="DR5" s="279">
        <f t="shared" si="79"/>
        <v>0</v>
      </c>
      <c r="DS5" s="279">
        <f t="shared" si="80"/>
        <v>0</v>
      </c>
      <c r="DT5" s="279">
        <f t="shared" si="81"/>
        <v>0</v>
      </c>
      <c r="DU5" s="279" t="str">
        <f t="shared" si="82"/>
      </c>
      <c r="DV5" s="279">
        <f t="shared" si="83"/>
        <v>0</v>
      </c>
      <c r="DW5" s="279" t="str">
        <f t="shared" si="84"/>
      </c>
      <c r="DX5" s="279">
        <f t="shared" si="85"/>
        <v>0</v>
      </c>
      <c r="DY5" s="279">
        <f t="shared" si="86"/>
        <v>0</v>
      </c>
      <c r="DZ5" s="279">
        <f t="shared" si="87"/>
        <v>0</v>
      </c>
      <c r="EA5" s="279">
        <f t="shared" si="88"/>
        <v>0</v>
      </c>
      <c r="EB5" s="279" t="str">
        <f t="shared" si="89"/>
      </c>
      <c r="EC5" s="279">
        <f t="shared" si="90"/>
        <v>0</v>
      </c>
      <c r="ED5" s="279" t="str">
        <f t="shared" si="91"/>
      </c>
      <c r="EE5" s="279">
        <f t="shared" si="92"/>
        <v>0</v>
      </c>
      <c r="EF5" s="279">
        <f t="shared" si="93"/>
        <v>0</v>
      </c>
      <c r="EG5" s="279">
        <f t="shared" si="94"/>
        <v>0</v>
      </c>
      <c r="EH5" s="279">
        <f t="shared" si="95"/>
        <v>0</v>
      </c>
      <c r="EI5" s="279" t="str">
        <f t="shared" si="96"/>
      </c>
      <c r="EJ5" s="279">
        <f t="shared" si="97"/>
        <v>0</v>
      </c>
      <c r="EK5" s="279">
        <f t="shared" si="98"/>
        <v>160</v>
      </c>
      <c r="EL5" s="279" t="str">
        <f t="shared" si="99"/>
        <v>G1800</v>
      </c>
      <c r="EM5" s="279" t="str">
        <f t="shared" si="100"/>
        <v>U2100</v>
      </c>
      <c r="EN5" s="279" t="str">
        <f t="shared" si="101"/>
        <v>L1800</v>
      </c>
      <c r="EO5" s="279" t="str">
        <f t="shared" si="102"/>
      </c>
      <c r="EP5" s="279" t="str">
        <f t="shared" si="103"/>
      </c>
      <c r="EQ5" s="279" t="str">
        <f t="shared" si="104"/>
      </c>
      <c r="ER5" s="279" t="str">
        <f t="shared" si="105"/>
        <v>27m/ 27m/ 27m</v>
      </c>
      <c r="ES5" s="279">
        <f t="shared" si="106"/>
        <v>27</v>
      </c>
      <c r="ET5" s="279">
        <f t="shared" si="107"/>
        <v>27</v>
      </c>
      <c r="EU5" s="279">
        <f t="shared" si="108"/>
        <v>27</v>
      </c>
      <c r="EV5" s="279">
        <f t="shared" si="109"/>
        <v>0</v>
      </c>
      <c r="EW5" s="279" t="str">
        <f t="shared" si="110"/>
        <v>27m/27m/27m</v>
      </c>
      <c r="EX5" s="279" t="str">
        <f t="shared" si="111"/>
        <v>25m/ 25m/ 25m</v>
      </c>
      <c r="EY5" s="279">
        <f t="shared" si="112"/>
        <v>25</v>
      </c>
      <c r="EZ5" s="279">
        <f t="shared" si="113"/>
        <v>25</v>
      </c>
      <c r="FA5" s="279">
        <f t="shared" si="114"/>
        <v>25</v>
      </c>
      <c r="FB5" s="279">
        <f t="shared" si="115"/>
        <v>0</v>
      </c>
      <c r="FC5" s="279" t="str">
        <f t="shared" si="116"/>
        <v>25m/25m/25m</v>
      </c>
      <c r="FD5" s="279" t="str">
        <f t="shared" si="117"/>
        <v>25m/ 25m/ 25m</v>
      </c>
      <c r="FE5" s="279">
        <f t="shared" si="118"/>
        <v>25</v>
      </c>
      <c r="FF5" s="279">
        <f t="shared" si="119"/>
        <v>25</v>
      </c>
      <c r="FG5" s="279">
        <f t="shared" si="120"/>
        <v>25</v>
      </c>
      <c r="FH5" s="279">
        <f t="shared" si="121"/>
        <v>0</v>
      </c>
      <c r="FI5" s="279" t="str">
        <f t="shared" si="122"/>
        <v>25m/25m/25m</v>
      </c>
      <c r="FJ5" s="279" t="str">
        <f t="shared" si="123"/>
      </c>
      <c r="FK5" s="279">
        <f t="shared" si="124"/>
        <v>0</v>
      </c>
      <c r="FL5" s="279">
        <f t="shared" si="125"/>
        <v>0</v>
      </c>
      <c r="FM5" s="279">
        <f t="shared" si="126"/>
        <v>0</v>
      </c>
      <c r="FN5" s="279">
        <f t="shared" si="127"/>
        <v>0</v>
      </c>
      <c r="FO5" s="279" t="str">
        <f t="shared" si="128"/>
      </c>
      <c r="FP5" s="279" t="str">
        <f t="shared" si="129"/>
      </c>
      <c r="FQ5" s="279">
        <f t="shared" si="130"/>
        <v>0</v>
      </c>
      <c r="FR5" s="279">
        <f t="shared" si="131"/>
        <v>0</v>
      </c>
      <c r="FS5" s="279">
        <f t="shared" si="132"/>
        <v>0</v>
      </c>
      <c r="FT5" s="279">
        <f t="shared" si="133"/>
        <v>0</v>
      </c>
      <c r="FU5" s="279" t="str">
        <f t="shared" si="134"/>
      </c>
      <c r="FV5" s="279" t="str">
        <f t="shared" si="135"/>
      </c>
      <c r="FW5" s="279">
        <f t="shared" si="136"/>
        <v>0</v>
      </c>
      <c r="FX5" s="279">
        <f t="shared" si="137"/>
        <v>0</v>
      </c>
      <c r="FY5" s="279">
        <f t="shared" si="138"/>
        <v>0</v>
      </c>
      <c r="FZ5" s="279">
        <f t="shared" si="139"/>
        <v>0</v>
      </c>
      <c r="GA5" s="279" t="str">
        <f t="shared" si="140"/>
      </c>
      <c r="GB5" s="279" t="str">
        <f>INDEX(LabNameList,MATCH(AF5,LabIDList,0))</f>
        <v>Trung tâm Kiểm định và Chứng nhận 2</v>
      </c>
      <c r="GC5" s="279">
        <f t="shared" si="141"/>
        <v>27</v>
      </c>
      <c r="GD5" s="279">
        <f t="shared" si="142"/>
        <v>25</v>
      </c>
      <c r="GE5" s="279">
        <f t="shared" si="143"/>
        <v>25</v>
      </c>
      <c r="GF5" s="279">
        <f t="shared" si="144"/>
        <v>0</v>
      </c>
      <c r="GG5" s="279">
        <f t="shared" si="145"/>
        <v>0</v>
      </c>
      <c r="GH5" s="279">
        <f t="shared" si="146"/>
        <v>0</v>
      </c>
      <c r="GI5" s="527">
        <f t="shared" si="147"/>
        <v>25</v>
      </c>
      <c r="GJ5" s="527">
        <f t="shared" si="148"/>
        <v>25</v>
      </c>
      <c r="GK5" s="279"/>
      <c r="GL5" s="279"/>
      <c r="GM5" s="279"/>
      <c r="GN5" s="279"/>
    </row>
    <row r="6" ht="89.25" s="235" customFormat="1">
      <c r="A6" s="267">
        <f>Input!A6</f>
        <v>5</v>
      </c>
      <c r="B6" s="267" t="str">
        <f>Input!B6</f>
        <v>VNMOBILE-HCM</v>
      </c>
      <c r="C6" s="267" t="str">
        <f>Input!C6</f>
        <v>MOBIFONE</v>
      </c>
      <c r="D6" s="527" t="str">
        <f t="shared" si="0"/>
        <v>BDGTDM013</v>
      </c>
      <c r="E6" s="267" t="str">
        <f>Input!E6</f>
        <v>Số 74, đường Bùi Quốc Khánh, phường Chánh Nghĩa, thành phố Thủ Dầu Một, tỉnh Bình Dương.</v>
      </c>
      <c r="F6" s="267" t="str">
        <f>Input!F6</f>
        <v>Bình Dương</v>
      </c>
      <c r="G6" s="527" t="str">
        <f>Input!G6</f>
        <v>106,66202</v>
      </c>
      <c r="H6" s="527" t="str">
        <f>Input!H6</f>
        <v>10,9625</v>
      </c>
      <c r="I6" s="267">
        <f>Input!I6</f>
        <v>3</v>
      </c>
      <c r="J6" s="267" t="str">
        <f>Input!J6</f>
        <v>K00462221018D005</v>
      </c>
      <c r="K6" s="291" t="str">
        <f>TEXT(Input!K6,"dd/mm/yyyy")</f>
        <v>19/11/2018</v>
      </c>
      <c r="L6" s="291" t="str">
        <f>TEXT(Input!L6,"dd/mm/yyyy")</f>
        <v>22/10/2018</v>
      </c>
      <c r="M6" s="267" t="str">
        <f>Input!M6</f>
        <v>TỔNG CÔNG TY HẠ TẦNG MẠNG;TỔNG CÔNG TY HẠ TẦNG MẠNG;TỔNG CÔNG TY HẠ TẦNG MẠNG</v>
      </c>
      <c r="N6" s="267" t="str">
        <f>Input!N6</f>
        <v>BDGTDM013;BDGTDM013;BDGTDM013</v>
      </c>
      <c r="O6" s="267" t="str">
        <f>Input!O6</f>
        <v>MOTOROLA HORIZON II MACRO;ERICSSON RBS 3206;NSN FLEXI MULTIRADIO 10 (FHED)</v>
      </c>
      <c r="P6" s="267" t="str">
        <f>Input!P6</f>
        <v>3;3;3</v>
      </c>
      <c r="Q6" s="267" t="str">
        <f>Input!Q6</f>
        <v>2/2/2;2/2/2;1/1/1</v>
      </c>
      <c r="R6" s="267" t="str">
        <f>Input!R6</f>
        <v>20W/20W/20W;40W/40W/40W;160W/160W/160W</v>
      </c>
      <c r="S6" s="267" t="str">
        <f>Input!S6</f>
        <v>G900;U2100;L1800</v>
      </c>
      <c r="T6" s="267" t="str">
        <f>Input!T6</f>
        <v>47m/ 47m/ 47m;35m/ 35m/ 35m;35m/ 35m/ 35m</v>
      </c>
      <c r="U6" s="267">
        <f>Input!U6</f>
        <v>1</v>
      </c>
      <c r="V6" s="267" t="str">
        <f>Input!V6</f>
        <v>FX-X-CG-00T-900;S-Wave EW/EW/EW-65-18DV2/12I-F-64K-VN;S-Wave EW/EW/EW-65-18DV2/12I-F-64K-VN</v>
      </c>
      <c r="W6" s="267" t="b">
        <f>Input!W6</f>
        <v>0</v>
      </c>
      <c r="X6" s="267" t="b">
        <f>Input!X6</f>
        <v>0</v>
      </c>
      <c r="Y6" s="527">
        <f>Input!Y6</f>
        <v>0</v>
      </c>
      <c r="Z6" s="267" t="b">
        <f>Input!Z6</f>
        <v>1</v>
      </c>
      <c r="AA6" s="527">
        <f>Input!AA6</f>
        <v>0</v>
      </c>
      <c r="AB6" s="267" t="b">
        <f>Input!AB6</f>
        <v>0</v>
      </c>
      <c r="AC6" s="267" t="b">
        <f>Input!AC6</f>
        <v>1</v>
      </c>
      <c r="AD6" s="267">
        <f>Input!AD6</f>
        <v>0</v>
      </c>
      <c r="AE6" s="267">
        <f>Input!AE6</f>
        <v>0</v>
      </c>
      <c r="AF6" s="267" t="str">
        <f>Input!AF6</f>
        <v>VCC2</v>
      </c>
      <c r="AG6" s="267">
        <f>Input!AG6</f>
        <v>0</v>
      </c>
      <c r="AH6" s="279"/>
      <c r="AI6" s="279" t="str">
        <f>INDEX(ApplicantNameList,MATCH(B6,ApplicantIDList,0))</f>
        <v>CHI NHÁNH VNMOBILE TẠI TPHCM</v>
      </c>
      <c r="AJ6" s="279" t="str">
        <f>INDEX(OperatorNameList,MATCH(C6,OperatorIDList,0))</f>
        <v>TỔNG CÔNG TY VIỄN THÔNG MOBIFONE</v>
      </c>
      <c r="AK6" s="267" t="str">
        <f>INDEX(CityIDList,MATCH(F6,CityNameList,0))</f>
        <v>BDG</v>
      </c>
      <c r="AL6" s="279" t="str">
        <f t="shared" si="1"/>
        <v>TỔNG CÔNG TY HẠ TẦNG MẠNG</v>
      </c>
      <c r="AM6" s="279" t="str">
        <f t="shared" si="2"/>
        <v>TỔNG CÔNG TY HẠ TẦNG MẠNG</v>
      </c>
      <c r="AN6" s="279" t="str">
        <f t="shared" si="3"/>
        <v>TỔNG CÔNG TY HẠ TẦNG MẠNG</v>
      </c>
      <c r="AO6" s="279" t="str">
        <f t="shared" si="4"/>
      </c>
      <c r="AP6" s="279" t="str">
        <f t="shared" si="5"/>
      </c>
      <c r="AQ6" s="279" t="str">
        <f t="shared" si="6"/>
      </c>
      <c r="AR6" s="279" t="str">
        <f>IF(I6&gt;=1,INDEX(OperatorIDList,MATCH(AL6,OperatorNameList,0)),"")</f>
        <v>VINAPHONE</v>
      </c>
      <c r="AS6" s="279" t="str">
        <f>IF(I6&gt;=2,INDEX(OperatorIDList,MATCH(AM6,OperatorNameList,0)),"")</f>
        <v>VINAPHONE</v>
      </c>
      <c r="AT6" s="279" t="str">
        <f>IF(I6&gt;=3,INDEX(OperatorIDList,MATCH(AN6,OperatorNameList,0)),"")</f>
        <v>VINAPHONE</v>
      </c>
      <c r="AU6" s="279" t="str">
        <f>IF(I6&gt;=4,INDEX(OperatorIDList,MATCH(AO6,OperatorNameList,0)),"")</f>
      </c>
      <c r="AV6" s="279" t="str">
        <f>IF(I6&gt;=5,INDEX(OperatorIDList,MATCH(AP6,OperatorNameList,0)),"")</f>
      </c>
      <c r="AW6" s="279" t="str">
        <f>IF(I6&gt;=6,INDEX(OperatorIDList,MATCH(AQ6,OperatorNameList,0)),"")</f>
      </c>
      <c r="AX6" s="279" t="str">
        <f t="shared" si="7"/>
        <v>VINAPHONE;VINAPHONE;VINAPHONE</v>
      </c>
      <c r="AY6" s="279" t="str">
        <f t="shared" si="8"/>
        <v>BDGTDM013</v>
      </c>
      <c r="AZ6" s="279" t="str">
        <f t="shared" si="9"/>
        <v>BDGTDM013</v>
      </c>
      <c r="BA6" s="279" t="str">
        <f t="shared" si="10"/>
        <v>BDGTDM013</v>
      </c>
      <c r="BB6" s="279" t="str">
        <f t="shared" si="11"/>
      </c>
      <c r="BC6" s="279" t="str">
        <f t="shared" si="12"/>
      </c>
      <c r="BD6" s="279" t="str">
        <f t="shared" si="13"/>
      </c>
      <c r="BE6" s="279" t="str">
        <f t="shared" si="14"/>
        <v>MOTOROLA HORIZON II MACRO</v>
      </c>
      <c r="BF6" s="279" t="str">
        <f t="shared" si="15"/>
        <v>ERICSSON RBS 3206</v>
      </c>
      <c r="BG6" s="279" t="str">
        <f t="shared" si="16"/>
        <v>NSN FLEXI MULTIRADIO 10 (FHED)</v>
      </c>
      <c r="BH6" s="279" t="str">
        <f t="shared" si="17"/>
      </c>
      <c r="BI6" s="279" t="str">
        <f t="shared" si="18"/>
      </c>
      <c r="BJ6" s="279" t="str">
        <f t="shared" si="19"/>
      </c>
      <c r="BK6" s="279">
        <f t="shared" si="20"/>
        <v>3</v>
      </c>
      <c r="BL6" s="279">
        <f t="shared" si="21"/>
        <v>3</v>
      </c>
      <c r="BM6" s="279">
        <f t="shared" si="22"/>
        <v>3</v>
      </c>
      <c r="BN6" s="279">
        <f t="shared" si="23"/>
        <v>0</v>
      </c>
      <c r="BO6" s="279">
        <f t="shared" si="24"/>
        <v>0</v>
      </c>
      <c r="BP6" s="279">
        <f t="shared" si="25"/>
        <v>0</v>
      </c>
      <c r="BQ6" s="279" t="str">
        <f t="shared" si="26"/>
        <v>2/2/2</v>
      </c>
      <c r="BR6" s="279">
        <f t="shared" si="27"/>
        <v>2</v>
      </c>
      <c r="BS6" s="279">
        <f t="shared" si="28"/>
        <v>2</v>
      </c>
      <c r="BT6" s="279">
        <f t="shared" si="29"/>
        <v>2</v>
      </c>
      <c r="BU6" s="279">
        <f t="shared" si="30"/>
        <v>0</v>
      </c>
      <c r="BV6" s="279" t="str">
        <f t="shared" si="31"/>
        <v>2/2/2</v>
      </c>
      <c r="BW6" s="279">
        <f t="shared" si="32"/>
        <v>2</v>
      </c>
      <c r="BX6" s="279">
        <f t="shared" si="33"/>
        <v>2</v>
      </c>
      <c r="BY6" s="279">
        <f t="shared" si="34"/>
        <v>2</v>
      </c>
      <c r="BZ6" s="279">
        <f t="shared" si="35"/>
        <v>0</v>
      </c>
      <c r="CA6" s="279" t="str">
        <f t="shared" si="36"/>
        <v>1/1/1</v>
      </c>
      <c r="CB6" s="279">
        <f t="shared" si="37"/>
        <v>1</v>
      </c>
      <c r="CC6" s="279">
        <f t="shared" si="38"/>
        <v>1</v>
      </c>
      <c r="CD6" s="279">
        <f t="shared" si="39"/>
        <v>1</v>
      </c>
      <c r="CE6" s="279">
        <f t="shared" si="40"/>
        <v>0</v>
      </c>
      <c r="CF6" s="279" t="str">
        <f t="shared" si="41"/>
      </c>
      <c r="CG6" s="279">
        <f t="shared" si="42"/>
        <v>0</v>
      </c>
      <c r="CH6" s="279">
        <f t="shared" si="43"/>
        <v>0</v>
      </c>
      <c r="CI6" s="279">
        <f t="shared" si="44"/>
        <v>0</v>
      </c>
      <c r="CJ6" s="279">
        <f t="shared" si="45"/>
        <v>0</v>
      </c>
      <c r="CK6" s="279" t="str">
        <f t="shared" si="46"/>
      </c>
      <c r="CL6" s="279">
        <f t="shared" si="47"/>
        <v>0</v>
      </c>
      <c r="CM6" s="279">
        <f t="shared" si="48"/>
        <v>0</v>
      </c>
      <c r="CN6" s="279">
        <f t="shared" si="49"/>
        <v>0</v>
      </c>
      <c r="CO6" s="279">
        <f t="shared" si="50"/>
        <v>0</v>
      </c>
      <c r="CP6" s="279" t="str">
        <f t="shared" si="51"/>
      </c>
      <c r="CQ6" s="279">
        <f t="shared" si="52"/>
        <v>0</v>
      </c>
      <c r="CR6" s="279">
        <f t="shared" si="53"/>
        <v>0</v>
      </c>
      <c r="CS6" s="279">
        <f t="shared" si="54"/>
        <v>0</v>
      </c>
      <c r="CT6" s="279">
        <f t="shared" si="55"/>
        <v>0</v>
      </c>
      <c r="CU6" s="279" t="str">
        <f t="shared" si="56"/>
        <v>20W/20W/20W</v>
      </c>
      <c r="CV6" s="279">
        <f t="shared" si="57"/>
        <v>20</v>
      </c>
      <c r="CW6" s="279">
        <f t="shared" si="58"/>
        <v>20</v>
      </c>
      <c r="CX6" s="279">
        <f t="shared" si="59"/>
        <v>20</v>
      </c>
      <c r="CY6" s="279">
        <f t="shared" si="60"/>
        <v>0</v>
      </c>
      <c r="CZ6" s="279" t="str">
        <f t="shared" si="61"/>
        <v>20W/20W/20W</v>
      </c>
      <c r="DA6" s="279">
        <f t="shared" si="62"/>
        <v>20</v>
      </c>
      <c r="DB6" s="279" t="str">
        <f t="shared" si="63"/>
        <v>40W/40W/40W</v>
      </c>
      <c r="DC6" s="279">
        <f t="shared" si="64"/>
        <v>40</v>
      </c>
      <c r="DD6" s="279">
        <f t="shared" si="65"/>
        <v>40</v>
      </c>
      <c r="DE6" s="279">
        <f t="shared" si="66"/>
        <v>40</v>
      </c>
      <c r="DF6" s="279">
        <f t="shared" si="67"/>
        <v>0</v>
      </c>
      <c r="DG6" s="279" t="str">
        <f t="shared" si="68"/>
        <v>40W/40W/40W</v>
      </c>
      <c r="DH6" s="279">
        <f t="shared" si="69"/>
        <v>40</v>
      </c>
      <c r="DI6" s="279" t="str">
        <f t="shared" si="70"/>
        <v>160W/160W/160W</v>
      </c>
      <c r="DJ6" s="279">
        <f t="shared" si="71"/>
        <v>160</v>
      </c>
      <c r="DK6" s="279">
        <f t="shared" si="72"/>
        <v>160</v>
      </c>
      <c r="DL6" s="279">
        <f t="shared" si="73"/>
        <v>160</v>
      </c>
      <c r="DM6" s="279">
        <f t="shared" si="74"/>
        <v>0</v>
      </c>
      <c r="DN6" s="279" t="str">
        <f t="shared" si="75"/>
        <v>160W/160W/160W</v>
      </c>
      <c r="DO6" s="279">
        <f t="shared" si="76"/>
        <v>160</v>
      </c>
      <c r="DP6" s="279" t="str">
        <f t="shared" si="77"/>
      </c>
      <c r="DQ6" s="279">
        <f t="shared" si="78"/>
        <v>0</v>
      </c>
      <c r="DR6" s="279">
        <f t="shared" si="79"/>
        <v>0</v>
      </c>
      <c r="DS6" s="279">
        <f t="shared" si="80"/>
        <v>0</v>
      </c>
      <c r="DT6" s="279">
        <f t="shared" si="81"/>
        <v>0</v>
      </c>
      <c r="DU6" s="279" t="str">
        <f t="shared" si="82"/>
      </c>
      <c r="DV6" s="279">
        <f t="shared" si="83"/>
        <v>0</v>
      </c>
      <c r="DW6" s="279" t="str">
        <f t="shared" si="84"/>
      </c>
      <c r="DX6" s="279">
        <f t="shared" si="85"/>
        <v>0</v>
      </c>
      <c r="DY6" s="279">
        <f t="shared" si="86"/>
        <v>0</v>
      </c>
      <c r="DZ6" s="279">
        <f t="shared" si="87"/>
        <v>0</v>
      </c>
      <c r="EA6" s="279">
        <f t="shared" si="88"/>
        <v>0</v>
      </c>
      <c r="EB6" s="279" t="str">
        <f t="shared" si="89"/>
      </c>
      <c r="EC6" s="279">
        <f t="shared" si="90"/>
        <v>0</v>
      </c>
      <c r="ED6" s="279" t="str">
        <f t="shared" si="91"/>
      </c>
      <c r="EE6" s="279">
        <f t="shared" si="92"/>
        <v>0</v>
      </c>
      <c r="EF6" s="279">
        <f t="shared" si="93"/>
        <v>0</v>
      </c>
      <c r="EG6" s="279">
        <f t="shared" si="94"/>
        <v>0</v>
      </c>
      <c r="EH6" s="279">
        <f t="shared" si="95"/>
        <v>0</v>
      </c>
      <c r="EI6" s="279" t="str">
        <f t="shared" si="96"/>
      </c>
      <c r="EJ6" s="279">
        <f t="shared" si="97"/>
        <v>0</v>
      </c>
      <c r="EK6" s="279">
        <f t="shared" si="98"/>
        <v>160</v>
      </c>
      <c r="EL6" s="279" t="str">
        <f t="shared" si="99"/>
        <v>G900</v>
      </c>
      <c r="EM6" s="279" t="str">
        <f t="shared" si="100"/>
        <v>U2100</v>
      </c>
      <c r="EN6" s="279" t="str">
        <f t="shared" si="101"/>
        <v>L1800</v>
      </c>
      <c r="EO6" s="279" t="str">
        <f t="shared" si="102"/>
      </c>
      <c r="EP6" s="279" t="str">
        <f t="shared" si="103"/>
      </c>
      <c r="EQ6" s="279" t="str">
        <f t="shared" si="104"/>
      </c>
      <c r="ER6" s="279" t="str">
        <f t="shared" si="105"/>
        <v>47m/ 47m/ 47m</v>
      </c>
      <c r="ES6" s="279">
        <f t="shared" si="106"/>
        <v>47</v>
      </c>
      <c r="ET6" s="279">
        <f t="shared" si="107"/>
        <v>47</v>
      </c>
      <c r="EU6" s="279">
        <f t="shared" si="108"/>
        <v>47</v>
      </c>
      <c r="EV6" s="279">
        <f t="shared" si="109"/>
        <v>0</v>
      </c>
      <c r="EW6" s="279" t="str">
        <f t="shared" si="110"/>
        <v>47m/47m/47m</v>
      </c>
      <c r="EX6" s="279" t="str">
        <f t="shared" si="111"/>
        <v>35m/ 35m/ 35m</v>
      </c>
      <c r="EY6" s="279">
        <f t="shared" si="112"/>
        <v>35</v>
      </c>
      <c r="EZ6" s="279">
        <f t="shared" si="113"/>
        <v>35</v>
      </c>
      <c r="FA6" s="279">
        <f t="shared" si="114"/>
        <v>35</v>
      </c>
      <c r="FB6" s="279">
        <f t="shared" si="115"/>
        <v>0</v>
      </c>
      <c r="FC6" s="279" t="str">
        <f t="shared" si="116"/>
        <v>35m/35m/35m</v>
      </c>
      <c r="FD6" s="279" t="str">
        <f t="shared" si="117"/>
        <v>35m/ 35m/ 35m</v>
      </c>
      <c r="FE6" s="279">
        <f t="shared" si="118"/>
        <v>35</v>
      </c>
      <c r="FF6" s="279">
        <f t="shared" si="119"/>
        <v>35</v>
      </c>
      <c r="FG6" s="279">
        <f t="shared" si="120"/>
        <v>35</v>
      </c>
      <c r="FH6" s="279">
        <f t="shared" si="121"/>
        <v>0</v>
      </c>
      <c r="FI6" s="279" t="str">
        <f t="shared" si="122"/>
        <v>35m/35m/35m</v>
      </c>
      <c r="FJ6" s="279" t="str">
        <f t="shared" si="123"/>
      </c>
      <c r="FK6" s="279">
        <f t="shared" si="124"/>
        <v>0</v>
      </c>
      <c r="FL6" s="279">
        <f t="shared" si="125"/>
        <v>0</v>
      </c>
      <c r="FM6" s="279">
        <f t="shared" si="126"/>
        <v>0</v>
      </c>
      <c r="FN6" s="279">
        <f t="shared" si="127"/>
        <v>0</v>
      </c>
      <c r="FO6" s="279" t="str">
        <f t="shared" si="128"/>
      </c>
      <c r="FP6" s="279" t="str">
        <f t="shared" si="129"/>
      </c>
      <c r="FQ6" s="279">
        <f t="shared" si="130"/>
        <v>0</v>
      </c>
      <c r="FR6" s="279">
        <f t="shared" si="131"/>
        <v>0</v>
      </c>
      <c r="FS6" s="279">
        <f t="shared" si="132"/>
        <v>0</v>
      </c>
      <c r="FT6" s="279">
        <f t="shared" si="133"/>
        <v>0</v>
      </c>
      <c r="FU6" s="279" t="str">
        <f t="shared" si="134"/>
      </c>
      <c r="FV6" s="279" t="str">
        <f t="shared" si="135"/>
      </c>
      <c r="FW6" s="279">
        <f t="shared" si="136"/>
        <v>0</v>
      </c>
      <c r="FX6" s="279">
        <f t="shared" si="137"/>
        <v>0</v>
      </c>
      <c r="FY6" s="279">
        <f t="shared" si="138"/>
        <v>0</v>
      </c>
      <c r="FZ6" s="279">
        <f t="shared" si="139"/>
        <v>0</v>
      </c>
      <c r="GA6" s="279" t="str">
        <f t="shared" si="140"/>
      </c>
      <c r="GB6" s="279" t="str">
        <f>INDEX(LabNameList,MATCH(AF6,LabIDList,0))</f>
        <v>Trung tâm Kiểm định và Chứng nhận 2</v>
      </c>
      <c r="GC6" s="279">
        <f t="shared" si="141"/>
        <v>47</v>
      </c>
      <c r="GD6" s="279">
        <f t="shared" si="142"/>
        <v>35</v>
      </c>
      <c r="GE6" s="279">
        <f t="shared" si="143"/>
        <v>35</v>
      </c>
      <c r="GF6" s="279">
        <f t="shared" si="144"/>
        <v>0</v>
      </c>
      <c r="GG6" s="279">
        <f t="shared" si="145"/>
        <v>0</v>
      </c>
      <c r="GH6" s="279">
        <f t="shared" si="146"/>
        <v>0</v>
      </c>
      <c r="GI6" s="527">
        <f t="shared" si="147"/>
        <v>35</v>
      </c>
      <c r="GJ6" s="527">
        <f t="shared" si="148"/>
        <v>35</v>
      </c>
      <c r="GK6" s="279"/>
      <c r="GL6" s="279"/>
      <c r="GM6" s="279"/>
      <c r="GN6" s="279"/>
    </row>
    <row r="7" ht="89.25" s="235" customFormat="1">
      <c r="A7" s="267">
        <f>Input!A7</f>
        <v>6</v>
      </c>
      <c r="B7" s="267" t="str">
        <f>Input!B7</f>
        <v>VNMOBILE-HCM</v>
      </c>
      <c r="C7" s="267" t="str">
        <f>Input!C7</f>
        <v>MOBIFONE</v>
      </c>
      <c r="D7" s="527" t="str">
        <f t="shared" si="0"/>
        <v>BDGTDM014</v>
      </c>
      <c r="E7" s="267" t="str">
        <f>Input!E7</f>
        <v>Số 104/6, đường Bàu Bàng, phường Chánh Nghĩa, thành phố Thủ Dầu Một, tỉnh Bình Dương.</v>
      </c>
      <c r="F7" s="267" t="str">
        <f>Input!F7</f>
        <v>Bình Dương</v>
      </c>
      <c r="G7" s="527" t="str">
        <f>Input!G7</f>
        <v>106,656244</v>
      </c>
      <c r="H7" s="527" t="str">
        <f>Input!H7</f>
        <v>10,973269</v>
      </c>
      <c r="I7" s="267">
        <f>Input!I7</f>
        <v>3</v>
      </c>
      <c r="J7" s="267" t="str">
        <f>Input!J7</f>
        <v>K00463221018D005</v>
      </c>
      <c r="K7" s="291" t="str">
        <f>TEXT(Input!K7,"dd/mm/yyyy")</f>
        <v>19/11/2018</v>
      </c>
      <c r="L7" s="291" t="str">
        <f>TEXT(Input!L7,"dd/mm/yyyy")</f>
        <v>22/10/2018</v>
      </c>
      <c r="M7" s="267" t="str">
        <f>Input!M7</f>
        <v>TỔNG CÔNG TY HẠ TẦNG MẠNG;TỔNG CÔNG TY HẠ TẦNG MẠNG;TỔNG CÔNG TY HẠ TẦNG MẠNG</v>
      </c>
      <c r="N7" s="267" t="str">
        <f>Input!N7</f>
        <v>BDGTDM014;BDGTDM014;BDGTDM014</v>
      </c>
      <c r="O7" s="267" t="str">
        <f>Input!O7</f>
        <v>MOTOROLA HORIZON II MACRO;ERICSSON RBS 3206;NSN FLEXI MULTIRADIO 10 (FHED)</v>
      </c>
      <c r="P7" s="267" t="str">
        <f>Input!P7</f>
        <v>3;3;3</v>
      </c>
      <c r="Q7" s="267" t="str">
        <f>Input!Q7</f>
        <v>2/2/2;2/2/2;1/1/1</v>
      </c>
      <c r="R7" s="267" t="str">
        <f>Input!R7</f>
        <v>20W/20W/20W;40W/40W/40W;160W/160W/160W</v>
      </c>
      <c r="S7" s="267" t="str">
        <f>Input!S7</f>
        <v>G900;U2100;L1800</v>
      </c>
      <c r="T7" s="267" t="str">
        <f>Input!T7</f>
        <v>33m/ 33m/ 33m;26m/ 26m/ 26m;26m/ 26m/ 26m</v>
      </c>
      <c r="U7" s="267">
        <f>Input!U7</f>
        <v>1</v>
      </c>
      <c r="V7" s="267" t="str">
        <f>Input!V7</f>
        <v>FX-X-CG-00T-900;S-Wave EW/EW/EW-65-18DV2/12I-F-64K-VN;S-Wave EW/EW/EW-65-18DV2/12I-F-64K-VN</v>
      </c>
      <c r="W7" s="267" t="b">
        <f>Input!W7</f>
        <v>0</v>
      </c>
      <c r="X7" s="267" t="b">
        <f>Input!X7</f>
        <v>0</v>
      </c>
      <c r="Y7" s="527">
        <f>Input!Y7</f>
        <v>0</v>
      </c>
      <c r="Z7" s="267" t="b">
        <f>Input!Z7</f>
        <v>1</v>
      </c>
      <c r="AA7" s="527">
        <f>Input!AA7</f>
        <v>0</v>
      </c>
      <c r="AB7" s="267" t="b">
        <f>Input!AB7</f>
        <v>0</v>
      </c>
      <c r="AC7" s="267" t="b">
        <f>Input!AC7</f>
        <v>1</v>
      </c>
      <c r="AD7" s="267">
        <f>Input!AD7</f>
        <v>0</v>
      </c>
      <c r="AE7" s="267">
        <f>Input!AE7</f>
        <v>0</v>
      </c>
      <c r="AF7" s="267" t="str">
        <f>Input!AF7</f>
        <v>VCC2</v>
      </c>
      <c r="AG7" s="267">
        <f>Input!AG7</f>
        <v>0</v>
      </c>
      <c r="AH7" s="279"/>
      <c r="AI7" s="279" t="str">
        <f>INDEX(ApplicantNameList,MATCH(B7,ApplicantIDList,0))</f>
        <v>CHI NHÁNH VNMOBILE TẠI TPHCM</v>
      </c>
      <c r="AJ7" s="279" t="str">
        <f>INDEX(OperatorNameList,MATCH(C7,OperatorIDList,0))</f>
        <v>TỔNG CÔNG TY VIỄN THÔNG MOBIFONE</v>
      </c>
      <c r="AK7" s="267" t="str">
        <f>INDEX(CityIDList,MATCH(F7,CityNameList,0))</f>
        <v>BDG</v>
      </c>
      <c r="AL7" s="279" t="str">
        <f t="shared" si="1"/>
        <v>TỔNG CÔNG TY HẠ TẦNG MẠNG</v>
      </c>
      <c r="AM7" s="279" t="str">
        <f t="shared" si="2"/>
        <v>TỔNG CÔNG TY HẠ TẦNG MẠNG</v>
      </c>
      <c r="AN7" s="279" t="str">
        <f t="shared" si="3"/>
        <v>TỔNG CÔNG TY HẠ TẦNG MẠNG</v>
      </c>
      <c r="AO7" s="279" t="str">
        <f t="shared" si="4"/>
      </c>
      <c r="AP7" s="279" t="str">
        <f t="shared" si="5"/>
      </c>
      <c r="AQ7" s="279" t="str">
        <f t="shared" si="6"/>
      </c>
      <c r="AR7" s="279" t="str">
        <f>IF(I7&gt;=1,INDEX(OperatorIDList,MATCH(AL7,OperatorNameList,0)),"")</f>
        <v>VINAPHONE</v>
      </c>
      <c r="AS7" s="279" t="str">
        <f>IF(I7&gt;=2,INDEX(OperatorIDList,MATCH(AM7,OperatorNameList,0)),"")</f>
        <v>VINAPHONE</v>
      </c>
      <c r="AT7" s="279" t="str">
        <f>IF(I7&gt;=3,INDEX(OperatorIDList,MATCH(AN7,OperatorNameList,0)),"")</f>
        <v>VINAPHONE</v>
      </c>
      <c r="AU7" s="279" t="str">
        <f>IF(I7&gt;=4,INDEX(OperatorIDList,MATCH(AO7,OperatorNameList,0)),"")</f>
      </c>
      <c r="AV7" s="279" t="str">
        <f>IF(I7&gt;=5,INDEX(OperatorIDList,MATCH(AP7,OperatorNameList,0)),"")</f>
      </c>
      <c r="AW7" s="279" t="str">
        <f>IF(I7&gt;=6,INDEX(OperatorIDList,MATCH(AQ7,OperatorNameList,0)),"")</f>
      </c>
      <c r="AX7" s="279" t="str">
        <f t="shared" si="7"/>
        <v>VINAPHONE;VINAPHONE;VINAPHONE</v>
      </c>
      <c r="AY7" s="279" t="str">
        <f t="shared" si="8"/>
        <v>BDGTDM014</v>
      </c>
      <c r="AZ7" s="279" t="str">
        <f t="shared" si="9"/>
        <v>BDGTDM014</v>
      </c>
      <c r="BA7" s="279" t="str">
        <f t="shared" si="10"/>
        <v>BDGTDM014</v>
      </c>
      <c r="BB7" s="279" t="str">
        <f t="shared" si="11"/>
      </c>
      <c r="BC7" s="279" t="str">
        <f t="shared" si="12"/>
      </c>
      <c r="BD7" s="279" t="str">
        <f t="shared" si="13"/>
      </c>
      <c r="BE7" s="279" t="str">
        <f t="shared" si="14"/>
        <v>MOTOROLA HORIZON II MACRO</v>
      </c>
      <c r="BF7" s="279" t="str">
        <f t="shared" si="15"/>
        <v>ERICSSON RBS 3206</v>
      </c>
      <c r="BG7" s="279" t="str">
        <f t="shared" si="16"/>
        <v>NSN FLEXI MULTIRADIO 10 (FHED)</v>
      </c>
      <c r="BH7" s="279" t="str">
        <f t="shared" si="17"/>
      </c>
      <c r="BI7" s="279" t="str">
        <f t="shared" si="18"/>
      </c>
      <c r="BJ7" s="279" t="str">
        <f t="shared" si="19"/>
      </c>
      <c r="BK7" s="279">
        <f t="shared" si="20"/>
        <v>3</v>
      </c>
      <c r="BL7" s="279">
        <f t="shared" si="21"/>
        <v>3</v>
      </c>
      <c r="BM7" s="279">
        <f t="shared" si="22"/>
        <v>3</v>
      </c>
      <c r="BN7" s="279">
        <f t="shared" si="23"/>
        <v>0</v>
      </c>
      <c r="BO7" s="279">
        <f t="shared" si="24"/>
        <v>0</v>
      </c>
      <c r="BP7" s="279">
        <f t="shared" si="25"/>
        <v>0</v>
      </c>
      <c r="BQ7" s="279" t="str">
        <f t="shared" si="26"/>
        <v>2/2/2</v>
      </c>
      <c r="BR7" s="279">
        <f t="shared" si="27"/>
        <v>2</v>
      </c>
      <c r="BS7" s="279">
        <f t="shared" si="28"/>
        <v>2</v>
      </c>
      <c r="BT7" s="279">
        <f t="shared" si="29"/>
        <v>2</v>
      </c>
      <c r="BU7" s="279">
        <f t="shared" si="30"/>
        <v>0</v>
      </c>
      <c r="BV7" s="279" t="str">
        <f t="shared" si="31"/>
        <v>2/2/2</v>
      </c>
      <c r="BW7" s="279">
        <f t="shared" si="32"/>
        <v>2</v>
      </c>
      <c r="BX7" s="279">
        <f t="shared" si="33"/>
        <v>2</v>
      </c>
      <c r="BY7" s="279">
        <f t="shared" si="34"/>
        <v>2</v>
      </c>
      <c r="BZ7" s="279">
        <f t="shared" si="35"/>
        <v>0</v>
      </c>
      <c r="CA7" s="279" t="str">
        <f t="shared" si="36"/>
        <v>1/1/1</v>
      </c>
      <c r="CB7" s="279">
        <f t="shared" si="37"/>
        <v>1</v>
      </c>
      <c r="CC7" s="279">
        <f t="shared" si="38"/>
        <v>1</v>
      </c>
      <c r="CD7" s="279">
        <f t="shared" si="39"/>
        <v>1</v>
      </c>
      <c r="CE7" s="279">
        <f t="shared" si="40"/>
        <v>0</v>
      </c>
      <c r="CF7" s="279" t="str">
        <f t="shared" si="41"/>
      </c>
      <c r="CG7" s="279">
        <f t="shared" si="42"/>
        <v>0</v>
      </c>
      <c r="CH7" s="279">
        <f t="shared" si="43"/>
        <v>0</v>
      </c>
      <c r="CI7" s="279">
        <f t="shared" si="44"/>
        <v>0</v>
      </c>
      <c r="CJ7" s="279">
        <f t="shared" si="45"/>
        <v>0</v>
      </c>
      <c r="CK7" s="279" t="str">
        <f t="shared" si="46"/>
      </c>
      <c r="CL7" s="279">
        <f t="shared" si="47"/>
        <v>0</v>
      </c>
      <c r="CM7" s="279">
        <f t="shared" si="48"/>
        <v>0</v>
      </c>
      <c r="CN7" s="279">
        <f t="shared" si="49"/>
        <v>0</v>
      </c>
      <c r="CO7" s="279">
        <f t="shared" si="50"/>
        <v>0</v>
      </c>
      <c r="CP7" s="279" t="str">
        <f t="shared" si="51"/>
      </c>
      <c r="CQ7" s="279">
        <f t="shared" si="52"/>
        <v>0</v>
      </c>
      <c r="CR7" s="279">
        <f t="shared" si="53"/>
        <v>0</v>
      </c>
      <c r="CS7" s="279">
        <f t="shared" si="54"/>
        <v>0</v>
      </c>
      <c r="CT7" s="279">
        <f t="shared" si="55"/>
        <v>0</v>
      </c>
      <c r="CU7" s="279" t="str">
        <f t="shared" si="56"/>
        <v>20W/20W/20W</v>
      </c>
      <c r="CV7" s="279">
        <f t="shared" si="57"/>
        <v>20</v>
      </c>
      <c r="CW7" s="279">
        <f t="shared" si="58"/>
        <v>20</v>
      </c>
      <c r="CX7" s="279">
        <f t="shared" si="59"/>
        <v>20</v>
      </c>
      <c r="CY7" s="279">
        <f t="shared" si="60"/>
        <v>0</v>
      </c>
      <c r="CZ7" s="279" t="str">
        <f t="shared" si="61"/>
        <v>20W/20W/20W</v>
      </c>
      <c r="DA7" s="279">
        <f t="shared" si="62"/>
        <v>20</v>
      </c>
      <c r="DB7" s="279" t="str">
        <f t="shared" si="63"/>
        <v>40W/40W/40W</v>
      </c>
      <c r="DC7" s="279">
        <f t="shared" si="64"/>
        <v>40</v>
      </c>
      <c r="DD7" s="279">
        <f t="shared" si="65"/>
        <v>40</v>
      </c>
      <c r="DE7" s="279">
        <f t="shared" si="66"/>
        <v>40</v>
      </c>
      <c r="DF7" s="279">
        <f t="shared" si="67"/>
        <v>0</v>
      </c>
      <c r="DG7" s="279" t="str">
        <f t="shared" si="68"/>
        <v>40W/40W/40W</v>
      </c>
      <c r="DH7" s="279">
        <f t="shared" si="69"/>
        <v>40</v>
      </c>
      <c r="DI7" s="279" t="str">
        <f t="shared" si="70"/>
        <v>160W/160W/160W</v>
      </c>
      <c r="DJ7" s="279">
        <f t="shared" si="71"/>
        <v>160</v>
      </c>
      <c r="DK7" s="279">
        <f t="shared" si="72"/>
        <v>160</v>
      </c>
      <c r="DL7" s="279">
        <f t="shared" si="73"/>
        <v>160</v>
      </c>
      <c r="DM7" s="279">
        <f t="shared" si="74"/>
        <v>0</v>
      </c>
      <c r="DN7" s="279" t="str">
        <f t="shared" si="75"/>
        <v>160W/160W/160W</v>
      </c>
      <c r="DO7" s="279">
        <f t="shared" si="76"/>
        <v>160</v>
      </c>
      <c r="DP7" s="279" t="str">
        <f t="shared" si="77"/>
      </c>
      <c r="DQ7" s="279">
        <f t="shared" si="78"/>
        <v>0</v>
      </c>
      <c r="DR7" s="279">
        <f t="shared" si="79"/>
        <v>0</v>
      </c>
      <c r="DS7" s="279">
        <f t="shared" si="80"/>
        <v>0</v>
      </c>
      <c r="DT7" s="279">
        <f t="shared" si="81"/>
        <v>0</v>
      </c>
      <c r="DU7" s="279" t="str">
        <f t="shared" si="82"/>
      </c>
      <c r="DV7" s="279">
        <f t="shared" si="83"/>
        <v>0</v>
      </c>
      <c r="DW7" s="279" t="str">
        <f t="shared" si="84"/>
      </c>
      <c r="DX7" s="279">
        <f t="shared" si="85"/>
        <v>0</v>
      </c>
      <c r="DY7" s="279">
        <f t="shared" si="86"/>
        <v>0</v>
      </c>
      <c r="DZ7" s="279">
        <f t="shared" si="87"/>
        <v>0</v>
      </c>
      <c r="EA7" s="279">
        <f t="shared" si="88"/>
        <v>0</v>
      </c>
      <c r="EB7" s="279" t="str">
        <f t="shared" si="89"/>
      </c>
      <c r="EC7" s="279">
        <f t="shared" si="90"/>
        <v>0</v>
      </c>
      <c r="ED7" s="279" t="str">
        <f t="shared" si="91"/>
      </c>
      <c r="EE7" s="279">
        <f t="shared" si="92"/>
        <v>0</v>
      </c>
      <c r="EF7" s="279">
        <f t="shared" si="93"/>
        <v>0</v>
      </c>
      <c r="EG7" s="279">
        <f t="shared" si="94"/>
        <v>0</v>
      </c>
      <c r="EH7" s="279">
        <f t="shared" si="95"/>
        <v>0</v>
      </c>
      <c r="EI7" s="279" t="str">
        <f t="shared" si="96"/>
      </c>
      <c r="EJ7" s="279">
        <f t="shared" si="97"/>
        <v>0</v>
      </c>
      <c r="EK7" s="279">
        <f t="shared" si="98"/>
        <v>160</v>
      </c>
      <c r="EL7" s="279" t="str">
        <f t="shared" si="99"/>
        <v>G900</v>
      </c>
      <c r="EM7" s="279" t="str">
        <f t="shared" si="100"/>
        <v>U2100</v>
      </c>
      <c r="EN7" s="279" t="str">
        <f t="shared" si="101"/>
        <v>L1800</v>
      </c>
      <c r="EO7" s="279" t="str">
        <f t="shared" si="102"/>
      </c>
      <c r="EP7" s="279" t="str">
        <f t="shared" si="103"/>
      </c>
      <c r="EQ7" s="279" t="str">
        <f t="shared" si="104"/>
      </c>
      <c r="ER7" s="279" t="str">
        <f t="shared" si="105"/>
        <v>33m/ 33m/ 33m</v>
      </c>
      <c r="ES7" s="279">
        <f t="shared" si="106"/>
        <v>33</v>
      </c>
      <c r="ET7" s="279">
        <f t="shared" si="107"/>
        <v>33</v>
      </c>
      <c r="EU7" s="279">
        <f t="shared" si="108"/>
        <v>33</v>
      </c>
      <c r="EV7" s="279">
        <f t="shared" si="109"/>
        <v>0</v>
      </c>
      <c r="EW7" s="279" t="str">
        <f t="shared" si="110"/>
        <v>33m/33m/33m</v>
      </c>
      <c r="EX7" s="279" t="str">
        <f t="shared" si="111"/>
        <v>26m/ 26m/ 26m</v>
      </c>
      <c r="EY7" s="279">
        <f t="shared" si="112"/>
        <v>26</v>
      </c>
      <c r="EZ7" s="279">
        <f t="shared" si="113"/>
        <v>26</v>
      </c>
      <c r="FA7" s="279">
        <f t="shared" si="114"/>
        <v>26</v>
      </c>
      <c r="FB7" s="279">
        <f t="shared" si="115"/>
        <v>0</v>
      </c>
      <c r="FC7" s="279" t="str">
        <f t="shared" si="116"/>
        <v>26m/26m/26m</v>
      </c>
      <c r="FD7" s="279" t="str">
        <f t="shared" si="117"/>
        <v>26m/ 26m/ 26m</v>
      </c>
      <c r="FE7" s="279">
        <f t="shared" si="118"/>
        <v>26</v>
      </c>
      <c r="FF7" s="279">
        <f t="shared" si="119"/>
        <v>26</v>
      </c>
      <c r="FG7" s="279">
        <f t="shared" si="120"/>
        <v>26</v>
      </c>
      <c r="FH7" s="279">
        <f t="shared" si="121"/>
        <v>0</v>
      </c>
      <c r="FI7" s="279" t="str">
        <f t="shared" si="122"/>
        <v>26m/26m/26m</v>
      </c>
      <c r="FJ7" s="279" t="str">
        <f t="shared" si="123"/>
      </c>
      <c r="FK7" s="279">
        <f t="shared" si="124"/>
        <v>0</v>
      </c>
      <c r="FL7" s="279">
        <f t="shared" si="125"/>
        <v>0</v>
      </c>
      <c r="FM7" s="279">
        <f t="shared" si="126"/>
        <v>0</v>
      </c>
      <c r="FN7" s="279">
        <f t="shared" si="127"/>
        <v>0</v>
      </c>
      <c r="FO7" s="279" t="str">
        <f t="shared" si="128"/>
      </c>
      <c r="FP7" s="279" t="str">
        <f t="shared" si="129"/>
      </c>
      <c r="FQ7" s="279">
        <f t="shared" si="130"/>
        <v>0</v>
      </c>
      <c r="FR7" s="279">
        <f t="shared" si="131"/>
        <v>0</v>
      </c>
      <c r="FS7" s="279">
        <f t="shared" si="132"/>
        <v>0</v>
      </c>
      <c r="FT7" s="279">
        <f t="shared" si="133"/>
        <v>0</v>
      </c>
      <c r="FU7" s="279" t="str">
        <f t="shared" si="134"/>
      </c>
      <c r="FV7" s="279" t="str">
        <f t="shared" si="135"/>
      </c>
      <c r="FW7" s="279">
        <f t="shared" si="136"/>
        <v>0</v>
      </c>
      <c r="FX7" s="279">
        <f t="shared" si="137"/>
        <v>0</v>
      </c>
      <c r="FY7" s="279">
        <f t="shared" si="138"/>
        <v>0</v>
      </c>
      <c r="FZ7" s="279">
        <f t="shared" si="139"/>
        <v>0</v>
      </c>
      <c r="GA7" s="279" t="str">
        <f t="shared" si="140"/>
      </c>
      <c r="GB7" s="279" t="str">
        <f>INDEX(LabNameList,MATCH(AF7,LabIDList,0))</f>
        <v>Trung tâm Kiểm định và Chứng nhận 2</v>
      </c>
      <c r="GC7" s="279">
        <f t="shared" si="141"/>
        <v>33</v>
      </c>
      <c r="GD7" s="279">
        <f t="shared" si="142"/>
        <v>26</v>
      </c>
      <c r="GE7" s="279">
        <f t="shared" si="143"/>
        <v>26</v>
      </c>
      <c r="GF7" s="279">
        <f t="shared" si="144"/>
        <v>0</v>
      </c>
      <c r="GG7" s="279">
        <f t="shared" si="145"/>
        <v>0</v>
      </c>
      <c r="GH7" s="279">
        <f t="shared" si="146"/>
        <v>0</v>
      </c>
      <c r="GI7" s="527">
        <f t="shared" si="147"/>
        <v>26</v>
      </c>
      <c r="GJ7" s="527">
        <f t="shared" si="148"/>
        <v>26</v>
      </c>
      <c r="GK7" s="279"/>
      <c r="GL7" s="279"/>
      <c r="GM7" s="279"/>
      <c r="GN7" s="279"/>
    </row>
    <row r="8" ht="89.25" s="235" customFormat="1">
      <c r="A8" s="267">
        <f>Input!A8</f>
        <v>7</v>
      </c>
      <c r="B8" s="267" t="str">
        <f>Input!B8</f>
        <v>VNMOBILE-HCM</v>
      </c>
      <c r="C8" s="267" t="str">
        <f>Input!C8</f>
        <v>MOBIFONE</v>
      </c>
      <c r="D8" s="527" t="str">
        <f t="shared" si="0"/>
        <v>BDGTDM017</v>
      </c>
      <c r="E8" s="267" t="str">
        <f>Input!E8</f>
        <v>Số 3, đường Chùa Hội Khánh, phường Phú Cường, thành phố Thủ Dầu Một, tỉnh Bình Dương.</v>
      </c>
      <c r="F8" s="267" t="str">
        <f>Input!F8</f>
        <v>Bình Dương</v>
      </c>
      <c r="G8" s="527" t="str">
        <f>Input!G8</f>
        <v>106,658003</v>
      </c>
      <c r="H8" s="527" t="str">
        <f>Input!H8</f>
        <v>10,981745</v>
      </c>
      <c r="I8" s="267">
        <f>Input!I8</f>
        <v>3</v>
      </c>
      <c r="J8" s="267" t="str">
        <f>Input!J8</f>
        <v>K00464221018D005</v>
      </c>
      <c r="K8" s="291" t="str">
        <f>TEXT(Input!K8,"dd/mm/yyyy")</f>
        <v>19/11/2018</v>
      </c>
      <c r="L8" s="291" t="str">
        <f>TEXT(Input!L8,"dd/mm/yyyy")</f>
        <v>22/10/2018</v>
      </c>
      <c r="M8" s="267" t="str">
        <f>Input!M8</f>
        <v>TỔNG CÔNG TY HẠ TẦNG MẠNG;TỔNG CÔNG TY HẠ TẦNG MẠNG;TỔNG CÔNG TY HẠ TẦNG MẠNG</v>
      </c>
      <c r="N8" s="267" t="str">
        <f>Input!N8</f>
        <v>BDGTDM017;BDGTDM017;BDGTDM017</v>
      </c>
      <c r="O8" s="267" t="str">
        <f>Input!O8</f>
        <v>MOTOROLA HORIZON II MACRO;ERICSSON RBS 3418;NSN FLEXI MULTIRADIO 10 (FHED)</v>
      </c>
      <c r="P8" s="267" t="str">
        <f>Input!P8</f>
        <v>3;3;3</v>
      </c>
      <c r="Q8" s="267" t="str">
        <f>Input!Q8</f>
        <v>4/4/4;2/2/2;1/1/1</v>
      </c>
      <c r="R8" s="267" t="str">
        <f>Input!R8</f>
        <v>20W/20W/20W;60W/60W/60W;160W/160W/160W</v>
      </c>
      <c r="S8" s="267" t="str">
        <f>Input!S8</f>
        <v>G900;U2100;L1800</v>
      </c>
      <c r="T8" s="267" t="str">
        <f>Input!T8</f>
        <v>27m/ 27m/ 27m;24m/ 24m/ 24m;24m/ 24m/ 24m</v>
      </c>
      <c r="U8" s="267">
        <f>Input!U8</f>
        <v>1</v>
      </c>
      <c r="V8" s="267" t="str">
        <f>Input!V8</f>
        <v>FX-X-CG-00T-900;S-Wave EW/EW/EW-65-18DV2/12I-F-64K-VN;S-Wave EW/EW/EW-65-18DV2/12I-F-64K-VN</v>
      </c>
      <c r="W8" s="267" t="b">
        <f>Input!W8</f>
        <v>0</v>
      </c>
      <c r="X8" s="267" t="b">
        <f>Input!X8</f>
        <v>0</v>
      </c>
      <c r="Y8" s="527">
        <f>Input!Y8</f>
        <v>0</v>
      </c>
      <c r="Z8" s="267" t="b">
        <f>Input!Z8</f>
        <v>1</v>
      </c>
      <c r="AA8" s="527">
        <f>Input!AA8</f>
        <v>0</v>
      </c>
      <c r="AB8" s="267" t="b">
        <f>Input!AB8</f>
        <v>0</v>
      </c>
      <c r="AC8" s="267" t="b">
        <f>Input!AC8</f>
        <v>1</v>
      </c>
      <c r="AD8" s="267">
        <f>Input!AD8</f>
        <v>0</v>
      </c>
      <c r="AE8" s="267">
        <f>Input!AE8</f>
        <v>0</v>
      </c>
      <c r="AF8" s="267" t="str">
        <f>Input!AF8</f>
        <v>VCC2</v>
      </c>
      <c r="AG8" s="267">
        <f>Input!AG8</f>
        <v>0</v>
      </c>
      <c r="AH8" s="279"/>
      <c r="AI8" s="279" t="str">
        <f>INDEX(ApplicantNameList,MATCH(B8,ApplicantIDList,0))</f>
        <v>CHI NHÁNH VNMOBILE TẠI TPHCM</v>
      </c>
      <c r="AJ8" s="279" t="str">
        <f>INDEX(OperatorNameList,MATCH(C8,OperatorIDList,0))</f>
        <v>TỔNG CÔNG TY VIỄN THÔNG MOBIFONE</v>
      </c>
      <c r="AK8" s="267" t="str">
        <f>INDEX(CityIDList,MATCH(F8,CityNameList,0))</f>
        <v>BDG</v>
      </c>
      <c r="AL8" s="279" t="str">
        <f t="shared" si="1"/>
        <v>TỔNG CÔNG TY HẠ TẦNG MẠNG</v>
      </c>
      <c r="AM8" s="279" t="str">
        <f t="shared" si="2"/>
        <v>TỔNG CÔNG TY HẠ TẦNG MẠNG</v>
      </c>
      <c r="AN8" s="279" t="str">
        <f t="shared" si="3"/>
        <v>TỔNG CÔNG TY HẠ TẦNG MẠNG</v>
      </c>
      <c r="AO8" s="279" t="str">
        <f t="shared" si="4"/>
      </c>
      <c r="AP8" s="279" t="str">
        <f t="shared" si="5"/>
      </c>
      <c r="AQ8" s="279" t="str">
        <f t="shared" si="6"/>
      </c>
      <c r="AR8" s="279" t="str">
        <f>IF(I8&gt;=1,INDEX(OperatorIDList,MATCH(AL8,OperatorNameList,0)),"")</f>
        <v>VINAPHONE</v>
      </c>
      <c r="AS8" s="279" t="str">
        <f>IF(I8&gt;=2,INDEX(OperatorIDList,MATCH(AM8,OperatorNameList,0)),"")</f>
        <v>VINAPHONE</v>
      </c>
      <c r="AT8" s="279" t="str">
        <f>IF(I8&gt;=3,INDEX(OperatorIDList,MATCH(AN8,OperatorNameList,0)),"")</f>
        <v>VINAPHONE</v>
      </c>
      <c r="AU8" s="279" t="str">
        <f>IF(I8&gt;=4,INDEX(OperatorIDList,MATCH(AO8,OperatorNameList,0)),"")</f>
      </c>
      <c r="AV8" s="279" t="str">
        <f>IF(I8&gt;=5,INDEX(OperatorIDList,MATCH(AP8,OperatorNameList,0)),"")</f>
      </c>
      <c r="AW8" s="279" t="str">
        <f>IF(I8&gt;=6,INDEX(OperatorIDList,MATCH(AQ8,OperatorNameList,0)),"")</f>
      </c>
      <c r="AX8" s="279" t="str">
        <f t="shared" si="7"/>
        <v>VINAPHONE;VINAPHONE;VINAPHONE</v>
      </c>
      <c r="AY8" s="279" t="str">
        <f t="shared" si="8"/>
        <v>BDGTDM017</v>
      </c>
      <c r="AZ8" s="279" t="str">
        <f t="shared" si="9"/>
        <v>BDGTDM017</v>
      </c>
      <c r="BA8" s="279" t="str">
        <f t="shared" si="10"/>
        <v>BDGTDM017</v>
      </c>
      <c r="BB8" s="279" t="str">
        <f t="shared" si="11"/>
      </c>
      <c r="BC8" s="279" t="str">
        <f t="shared" si="12"/>
      </c>
      <c r="BD8" s="279" t="str">
        <f t="shared" si="13"/>
      </c>
      <c r="BE8" s="279" t="str">
        <f t="shared" si="14"/>
        <v>MOTOROLA HORIZON II MACRO</v>
      </c>
      <c r="BF8" s="279" t="str">
        <f t="shared" si="15"/>
        <v>ERICSSON RBS 3418</v>
      </c>
      <c r="BG8" s="279" t="str">
        <f t="shared" si="16"/>
        <v>NSN FLEXI MULTIRADIO 10 (FHED)</v>
      </c>
      <c r="BH8" s="279" t="str">
        <f t="shared" si="17"/>
      </c>
      <c r="BI8" s="279" t="str">
        <f t="shared" si="18"/>
      </c>
      <c r="BJ8" s="279" t="str">
        <f t="shared" si="19"/>
      </c>
      <c r="BK8" s="279">
        <f t="shared" si="20"/>
        <v>3</v>
      </c>
      <c r="BL8" s="279">
        <f t="shared" si="21"/>
        <v>3</v>
      </c>
      <c r="BM8" s="279">
        <f t="shared" si="22"/>
        <v>3</v>
      </c>
      <c r="BN8" s="279">
        <f t="shared" si="23"/>
        <v>0</v>
      </c>
      <c r="BO8" s="279">
        <f t="shared" si="24"/>
        <v>0</v>
      </c>
      <c r="BP8" s="279">
        <f t="shared" si="25"/>
        <v>0</v>
      </c>
      <c r="BQ8" s="279" t="str">
        <f t="shared" si="26"/>
        <v>4/4/4</v>
      </c>
      <c r="BR8" s="279">
        <f t="shared" si="27"/>
        <v>4</v>
      </c>
      <c r="BS8" s="279">
        <f t="shared" si="28"/>
        <v>4</v>
      </c>
      <c r="BT8" s="279">
        <f t="shared" si="29"/>
        <v>4</v>
      </c>
      <c r="BU8" s="279">
        <f t="shared" si="30"/>
        <v>0</v>
      </c>
      <c r="BV8" s="279" t="str">
        <f t="shared" si="31"/>
        <v>2/2/2</v>
      </c>
      <c r="BW8" s="279">
        <f t="shared" si="32"/>
        <v>2</v>
      </c>
      <c r="BX8" s="279">
        <f t="shared" si="33"/>
        <v>2</v>
      </c>
      <c r="BY8" s="279">
        <f t="shared" si="34"/>
        <v>2</v>
      </c>
      <c r="BZ8" s="279">
        <f t="shared" si="35"/>
        <v>0</v>
      </c>
      <c r="CA8" s="279" t="str">
        <f t="shared" si="36"/>
        <v>1/1/1</v>
      </c>
      <c r="CB8" s="279">
        <f t="shared" si="37"/>
        <v>1</v>
      </c>
      <c r="CC8" s="279">
        <f t="shared" si="38"/>
        <v>1</v>
      </c>
      <c r="CD8" s="279">
        <f t="shared" si="39"/>
        <v>1</v>
      </c>
      <c r="CE8" s="279">
        <f t="shared" si="40"/>
        <v>0</v>
      </c>
      <c r="CF8" s="279" t="str">
        <f t="shared" si="41"/>
      </c>
      <c r="CG8" s="279">
        <f t="shared" si="42"/>
        <v>0</v>
      </c>
      <c r="CH8" s="279">
        <f t="shared" si="43"/>
        <v>0</v>
      </c>
      <c r="CI8" s="279">
        <f t="shared" si="44"/>
        <v>0</v>
      </c>
      <c r="CJ8" s="279">
        <f t="shared" si="45"/>
        <v>0</v>
      </c>
      <c r="CK8" s="279" t="str">
        <f t="shared" si="46"/>
      </c>
      <c r="CL8" s="279">
        <f t="shared" si="47"/>
        <v>0</v>
      </c>
      <c r="CM8" s="279">
        <f t="shared" si="48"/>
        <v>0</v>
      </c>
      <c r="CN8" s="279">
        <f t="shared" si="49"/>
        <v>0</v>
      </c>
      <c r="CO8" s="279">
        <f t="shared" si="50"/>
        <v>0</v>
      </c>
      <c r="CP8" s="279" t="str">
        <f t="shared" si="51"/>
      </c>
      <c r="CQ8" s="279">
        <f t="shared" si="52"/>
        <v>0</v>
      </c>
      <c r="CR8" s="279">
        <f t="shared" si="53"/>
        <v>0</v>
      </c>
      <c r="CS8" s="279">
        <f t="shared" si="54"/>
        <v>0</v>
      </c>
      <c r="CT8" s="279">
        <f t="shared" si="55"/>
        <v>0</v>
      </c>
      <c r="CU8" s="279" t="str">
        <f t="shared" si="56"/>
        <v>20W/20W/20W</v>
      </c>
      <c r="CV8" s="279">
        <f t="shared" si="57"/>
        <v>20</v>
      </c>
      <c r="CW8" s="279">
        <f t="shared" si="58"/>
        <v>20</v>
      </c>
      <c r="CX8" s="279">
        <f t="shared" si="59"/>
        <v>20</v>
      </c>
      <c r="CY8" s="279">
        <f t="shared" si="60"/>
        <v>0</v>
      </c>
      <c r="CZ8" s="279" t="str">
        <f t="shared" si="61"/>
        <v>20W/20W/20W</v>
      </c>
      <c r="DA8" s="279">
        <f t="shared" si="62"/>
        <v>20</v>
      </c>
      <c r="DB8" s="279" t="str">
        <f t="shared" si="63"/>
        <v>60W/60W/60W</v>
      </c>
      <c r="DC8" s="279">
        <f t="shared" si="64"/>
        <v>60</v>
      </c>
      <c r="DD8" s="279">
        <f t="shared" si="65"/>
        <v>60</v>
      </c>
      <c r="DE8" s="279">
        <f t="shared" si="66"/>
        <v>60</v>
      </c>
      <c r="DF8" s="279">
        <f t="shared" si="67"/>
        <v>0</v>
      </c>
      <c r="DG8" s="279" t="str">
        <f t="shared" si="68"/>
        <v>60W/60W/60W</v>
      </c>
      <c r="DH8" s="279">
        <f t="shared" si="69"/>
        <v>60</v>
      </c>
      <c r="DI8" s="279" t="str">
        <f t="shared" si="70"/>
        <v>160W/160W/160W</v>
      </c>
      <c r="DJ8" s="279">
        <f t="shared" si="71"/>
        <v>160</v>
      </c>
      <c r="DK8" s="279">
        <f t="shared" si="72"/>
        <v>160</v>
      </c>
      <c r="DL8" s="279">
        <f t="shared" si="73"/>
        <v>160</v>
      </c>
      <c r="DM8" s="279">
        <f t="shared" si="74"/>
        <v>0</v>
      </c>
      <c r="DN8" s="279" t="str">
        <f t="shared" si="75"/>
        <v>160W/160W/160W</v>
      </c>
      <c r="DO8" s="279">
        <f t="shared" si="76"/>
        <v>160</v>
      </c>
      <c r="DP8" s="279" t="str">
        <f t="shared" si="77"/>
      </c>
      <c r="DQ8" s="279">
        <f t="shared" si="78"/>
        <v>0</v>
      </c>
      <c r="DR8" s="279">
        <f t="shared" si="79"/>
        <v>0</v>
      </c>
      <c r="DS8" s="279">
        <f t="shared" si="80"/>
        <v>0</v>
      </c>
      <c r="DT8" s="279">
        <f t="shared" si="81"/>
        <v>0</v>
      </c>
      <c r="DU8" s="279" t="str">
        <f t="shared" si="82"/>
      </c>
      <c r="DV8" s="279">
        <f t="shared" si="83"/>
        <v>0</v>
      </c>
      <c r="DW8" s="279" t="str">
        <f t="shared" si="84"/>
      </c>
      <c r="DX8" s="279">
        <f t="shared" si="85"/>
        <v>0</v>
      </c>
      <c r="DY8" s="279">
        <f t="shared" si="86"/>
        <v>0</v>
      </c>
      <c r="DZ8" s="279">
        <f t="shared" si="87"/>
        <v>0</v>
      </c>
      <c r="EA8" s="279">
        <f t="shared" si="88"/>
        <v>0</v>
      </c>
      <c r="EB8" s="279" t="str">
        <f t="shared" si="89"/>
      </c>
      <c r="EC8" s="279">
        <f t="shared" si="90"/>
        <v>0</v>
      </c>
      <c r="ED8" s="279" t="str">
        <f t="shared" si="91"/>
      </c>
      <c r="EE8" s="279">
        <f t="shared" si="92"/>
        <v>0</v>
      </c>
      <c r="EF8" s="279">
        <f t="shared" si="93"/>
        <v>0</v>
      </c>
      <c r="EG8" s="279">
        <f t="shared" si="94"/>
        <v>0</v>
      </c>
      <c r="EH8" s="279">
        <f t="shared" si="95"/>
        <v>0</v>
      </c>
      <c r="EI8" s="279" t="str">
        <f t="shared" si="96"/>
      </c>
      <c r="EJ8" s="279">
        <f t="shared" si="97"/>
        <v>0</v>
      </c>
      <c r="EK8" s="279">
        <f t="shared" si="98"/>
        <v>160</v>
      </c>
      <c r="EL8" s="279" t="str">
        <f t="shared" si="99"/>
        <v>G900</v>
      </c>
      <c r="EM8" s="279" t="str">
        <f t="shared" si="100"/>
        <v>U2100</v>
      </c>
      <c r="EN8" s="279" t="str">
        <f t="shared" si="101"/>
        <v>L1800</v>
      </c>
      <c r="EO8" s="279" t="str">
        <f t="shared" si="102"/>
      </c>
      <c r="EP8" s="279" t="str">
        <f t="shared" si="103"/>
      </c>
      <c r="EQ8" s="279" t="str">
        <f t="shared" si="104"/>
      </c>
      <c r="ER8" s="279" t="str">
        <f t="shared" si="105"/>
        <v>27m/ 27m/ 27m</v>
      </c>
      <c r="ES8" s="279">
        <f t="shared" si="106"/>
        <v>27</v>
      </c>
      <c r="ET8" s="279">
        <f t="shared" si="107"/>
        <v>27</v>
      </c>
      <c r="EU8" s="279">
        <f t="shared" si="108"/>
        <v>27</v>
      </c>
      <c r="EV8" s="279">
        <f t="shared" si="109"/>
        <v>0</v>
      </c>
      <c r="EW8" s="279" t="str">
        <f t="shared" si="110"/>
        <v>27m/27m/27m</v>
      </c>
      <c r="EX8" s="279" t="str">
        <f t="shared" si="111"/>
        <v>24m/ 24m/ 24m</v>
      </c>
      <c r="EY8" s="279">
        <f t="shared" si="112"/>
        <v>24</v>
      </c>
      <c r="EZ8" s="279">
        <f t="shared" si="113"/>
        <v>24</v>
      </c>
      <c r="FA8" s="279">
        <f t="shared" si="114"/>
        <v>24</v>
      </c>
      <c r="FB8" s="279">
        <f t="shared" si="115"/>
        <v>0</v>
      </c>
      <c r="FC8" s="279" t="str">
        <f t="shared" si="116"/>
        <v>24m/24m/24m</v>
      </c>
      <c r="FD8" s="279" t="str">
        <f t="shared" si="117"/>
        <v>24m/ 24m/ 24m</v>
      </c>
      <c r="FE8" s="279">
        <f t="shared" si="118"/>
        <v>24</v>
      </c>
      <c r="FF8" s="279">
        <f t="shared" si="119"/>
        <v>24</v>
      </c>
      <c r="FG8" s="279">
        <f t="shared" si="120"/>
        <v>24</v>
      </c>
      <c r="FH8" s="279">
        <f t="shared" si="121"/>
        <v>0</v>
      </c>
      <c r="FI8" s="279" t="str">
        <f t="shared" si="122"/>
        <v>24m/24m/24m</v>
      </c>
      <c r="FJ8" s="279" t="str">
        <f t="shared" si="123"/>
      </c>
      <c r="FK8" s="279">
        <f t="shared" si="124"/>
        <v>0</v>
      </c>
      <c r="FL8" s="279">
        <f t="shared" si="125"/>
        <v>0</v>
      </c>
      <c r="FM8" s="279">
        <f t="shared" si="126"/>
        <v>0</v>
      </c>
      <c r="FN8" s="279">
        <f t="shared" si="127"/>
        <v>0</v>
      </c>
      <c r="FO8" s="279" t="str">
        <f t="shared" si="128"/>
      </c>
      <c r="FP8" s="279" t="str">
        <f t="shared" si="129"/>
      </c>
      <c r="FQ8" s="279">
        <f t="shared" si="130"/>
        <v>0</v>
      </c>
      <c r="FR8" s="279">
        <f t="shared" si="131"/>
        <v>0</v>
      </c>
      <c r="FS8" s="279">
        <f t="shared" si="132"/>
        <v>0</v>
      </c>
      <c r="FT8" s="279">
        <f t="shared" si="133"/>
        <v>0</v>
      </c>
      <c r="FU8" s="279" t="str">
        <f t="shared" si="134"/>
      </c>
      <c r="FV8" s="279" t="str">
        <f t="shared" si="135"/>
      </c>
      <c r="FW8" s="279">
        <f t="shared" si="136"/>
        <v>0</v>
      </c>
      <c r="FX8" s="279">
        <f t="shared" si="137"/>
        <v>0</v>
      </c>
      <c r="FY8" s="279">
        <f t="shared" si="138"/>
        <v>0</v>
      </c>
      <c r="FZ8" s="279">
        <f t="shared" si="139"/>
        <v>0</v>
      </c>
      <c r="GA8" s="279" t="str">
        <f t="shared" si="140"/>
      </c>
      <c r="GB8" s="279" t="str">
        <f>INDEX(LabNameList,MATCH(AF8,LabIDList,0))</f>
        <v>Trung tâm Kiểm định và Chứng nhận 2</v>
      </c>
      <c r="GC8" s="279">
        <f t="shared" si="141"/>
        <v>27</v>
      </c>
      <c r="GD8" s="279">
        <f t="shared" si="142"/>
        <v>24</v>
      </c>
      <c r="GE8" s="279">
        <f t="shared" si="143"/>
        <v>24</v>
      </c>
      <c r="GF8" s="279">
        <f t="shared" si="144"/>
        <v>0</v>
      </c>
      <c r="GG8" s="279">
        <f t="shared" si="145"/>
        <v>0</v>
      </c>
      <c r="GH8" s="279">
        <f t="shared" si="146"/>
        <v>0</v>
      </c>
      <c r="GI8" s="527">
        <f t="shared" si="147"/>
        <v>24</v>
      </c>
      <c r="GJ8" s="527">
        <f t="shared" si="148"/>
        <v>24</v>
      </c>
      <c r="GK8" s="279"/>
      <c r="GL8" s="279"/>
      <c r="GM8" s="279"/>
      <c r="GN8" s="279"/>
    </row>
    <row r="9" ht="89.25" s="235" customFormat="1">
      <c r="A9" s="267">
        <f>Input!A9</f>
        <v>8</v>
      </c>
      <c r="B9" s="267" t="str">
        <f>Input!B9</f>
        <v>VNMOBILE-HCM</v>
      </c>
      <c r="C9" s="267" t="str">
        <f>Input!C9</f>
        <v>MOBIFONE</v>
      </c>
      <c r="D9" s="527" t="str">
        <f t="shared" si="0"/>
        <v>BDGTDM022</v>
      </c>
      <c r="E9" s="267" t="str">
        <f>Input!E9</f>
        <v>Số 54-D2, khu dân cư Phú Hòa, phường Phú Hòa, thành phố Thủ Dầu Một, tỉnh Bình Dương.</v>
      </c>
      <c r="F9" s="267" t="str">
        <f>Input!F9</f>
        <v>Bình Dương</v>
      </c>
      <c r="G9" s="527" t="str">
        <f>Input!G9</f>
        <v>106,67883</v>
      </c>
      <c r="H9" s="527" t="str">
        <f>Input!H9</f>
        <v>10,97394</v>
      </c>
      <c r="I9" s="267">
        <f>Input!I9</f>
        <v>3</v>
      </c>
      <c r="J9" s="267" t="str">
        <f>Input!J9</f>
        <v>K00465221018D005</v>
      </c>
      <c r="K9" s="291" t="str">
        <f>TEXT(Input!K9,"dd/mm/yyyy")</f>
        <v>19/11/2018</v>
      </c>
      <c r="L9" s="291" t="str">
        <f>TEXT(Input!L9,"dd/mm/yyyy")</f>
        <v>22/10/2018</v>
      </c>
      <c r="M9" s="267" t="str">
        <f>Input!M9</f>
        <v>TỔNG CÔNG TY HẠ TẦNG MẠNG;TỔNG CÔNG TY HẠ TẦNG MẠNG;TỔNG CÔNG TY HẠ TẦNG MẠNG</v>
      </c>
      <c r="N9" s="267" t="str">
        <f>Input!N9</f>
        <v>BDGTDM022;BDGTDM022;BDGTDM022</v>
      </c>
      <c r="O9" s="267" t="str">
        <f>Input!O9</f>
        <v>MOTOROLA HORIZON II MACRO;ERICSSON RBS 3206;NSN FLEXI MULTIRADIO 10 (FHED)</v>
      </c>
      <c r="P9" s="267" t="str">
        <f>Input!P9</f>
        <v>3;3;3</v>
      </c>
      <c r="Q9" s="267" t="str">
        <f>Input!Q9</f>
        <v>2/2/2;2/2/2;1/1/1</v>
      </c>
      <c r="R9" s="267" t="str">
        <f>Input!R9</f>
        <v>20W/20W/20W;40W/40W/40W;160W/160W/160W</v>
      </c>
      <c r="S9" s="267" t="str">
        <f>Input!S9</f>
        <v>G900;U2100;L1800</v>
      </c>
      <c r="T9" s="267" t="str">
        <f>Input!T9</f>
        <v>28m/ 28m/ 28m;30m/ 30m/ 30m;30m/ 30m/ 30m</v>
      </c>
      <c r="U9" s="267">
        <f>Input!U9</f>
        <v>1</v>
      </c>
      <c r="V9" s="267" t="str">
        <f>Input!V9</f>
        <v>FX-X-CG-00T-900;S-Wave EW/EW/EW-65-18DV2/12I-F-64K-VN;S-Wave EW/EW/EW-65-18DV2/12I-F-64K-VN</v>
      </c>
      <c r="W9" s="267" t="b">
        <f>Input!W9</f>
        <v>0</v>
      </c>
      <c r="X9" s="267" t="b">
        <f>Input!X9</f>
        <v>0</v>
      </c>
      <c r="Y9" s="527">
        <f>Input!Y9</f>
        <v>0</v>
      </c>
      <c r="Z9" s="267" t="b">
        <f>Input!Z9</f>
        <v>1</v>
      </c>
      <c r="AA9" s="527">
        <f>Input!AA9</f>
        <v>0</v>
      </c>
      <c r="AB9" s="267" t="b">
        <f>Input!AB9</f>
        <v>0</v>
      </c>
      <c r="AC9" s="267" t="b">
        <f>Input!AC9</f>
        <v>1</v>
      </c>
      <c r="AD9" s="267">
        <f>Input!AD9</f>
        <v>0</v>
      </c>
      <c r="AE9" s="267">
        <f>Input!AE9</f>
        <v>0</v>
      </c>
      <c r="AF9" s="267" t="str">
        <f>Input!AF9</f>
        <v>VCC2</v>
      </c>
      <c r="AG9" s="267">
        <f>Input!AG9</f>
        <v>0</v>
      </c>
      <c r="AH9" s="279"/>
      <c r="AI9" s="279" t="str">
        <f>INDEX(ApplicantNameList,MATCH(B9,ApplicantIDList,0))</f>
        <v>CHI NHÁNH VNMOBILE TẠI TPHCM</v>
      </c>
      <c r="AJ9" s="279" t="str">
        <f>INDEX(OperatorNameList,MATCH(C9,OperatorIDList,0))</f>
        <v>TỔNG CÔNG TY VIỄN THÔNG MOBIFONE</v>
      </c>
      <c r="AK9" s="267" t="str">
        <f>INDEX(CityIDList,MATCH(F9,CityNameList,0))</f>
        <v>BDG</v>
      </c>
      <c r="AL9" s="279" t="str">
        <f t="shared" si="1"/>
        <v>TỔNG CÔNG TY HẠ TẦNG MẠNG</v>
      </c>
      <c r="AM9" s="279" t="str">
        <f t="shared" si="2"/>
        <v>TỔNG CÔNG TY HẠ TẦNG MẠNG</v>
      </c>
      <c r="AN9" s="279" t="str">
        <f t="shared" si="3"/>
        <v>TỔNG CÔNG TY HẠ TẦNG MẠNG</v>
      </c>
      <c r="AO9" s="279" t="str">
        <f t="shared" si="4"/>
      </c>
      <c r="AP9" s="279" t="str">
        <f t="shared" si="5"/>
      </c>
      <c r="AQ9" s="279" t="str">
        <f t="shared" si="6"/>
      </c>
      <c r="AR9" s="279" t="str">
        <f>IF(I9&gt;=1,INDEX(OperatorIDList,MATCH(AL9,OperatorNameList,0)),"")</f>
        <v>VINAPHONE</v>
      </c>
      <c r="AS9" s="279" t="str">
        <f>IF(I9&gt;=2,INDEX(OperatorIDList,MATCH(AM9,OperatorNameList,0)),"")</f>
        <v>VINAPHONE</v>
      </c>
      <c r="AT9" s="279" t="str">
        <f>IF(I9&gt;=3,INDEX(OperatorIDList,MATCH(AN9,OperatorNameList,0)),"")</f>
        <v>VINAPHONE</v>
      </c>
      <c r="AU9" s="279" t="str">
        <f>IF(I9&gt;=4,INDEX(OperatorIDList,MATCH(AO9,OperatorNameList,0)),"")</f>
      </c>
      <c r="AV9" s="279" t="str">
        <f>IF(I9&gt;=5,INDEX(OperatorIDList,MATCH(AP9,OperatorNameList,0)),"")</f>
      </c>
      <c r="AW9" s="279" t="str">
        <f>IF(I9&gt;=6,INDEX(OperatorIDList,MATCH(AQ9,OperatorNameList,0)),"")</f>
      </c>
      <c r="AX9" s="279" t="str">
        <f t="shared" si="7"/>
        <v>VINAPHONE;VINAPHONE;VINAPHONE</v>
      </c>
      <c r="AY9" s="279" t="str">
        <f t="shared" si="8"/>
        <v>BDGTDM022</v>
      </c>
      <c r="AZ9" s="279" t="str">
        <f t="shared" si="9"/>
        <v>BDGTDM022</v>
      </c>
      <c r="BA9" s="279" t="str">
        <f t="shared" si="10"/>
        <v>BDGTDM022</v>
      </c>
      <c r="BB9" s="279" t="str">
        <f t="shared" si="11"/>
      </c>
      <c r="BC9" s="279" t="str">
        <f t="shared" si="12"/>
      </c>
      <c r="BD9" s="279" t="str">
        <f t="shared" si="13"/>
      </c>
      <c r="BE9" s="279" t="str">
        <f t="shared" si="14"/>
        <v>MOTOROLA HORIZON II MACRO</v>
      </c>
      <c r="BF9" s="279" t="str">
        <f t="shared" si="15"/>
        <v>ERICSSON RBS 3206</v>
      </c>
      <c r="BG9" s="279" t="str">
        <f t="shared" si="16"/>
        <v>NSN FLEXI MULTIRADIO 10 (FHED)</v>
      </c>
      <c r="BH9" s="279" t="str">
        <f t="shared" si="17"/>
      </c>
      <c r="BI9" s="279" t="str">
        <f t="shared" si="18"/>
      </c>
      <c r="BJ9" s="279" t="str">
        <f t="shared" si="19"/>
      </c>
      <c r="BK9" s="279">
        <f t="shared" si="20"/>
        <v>3</v>
      </c>
      <c r="BL9" s="279">
        <f t="shared" si="21"/>
        <v>3</v>
      </c>
      <c r="BM9" s="279">
        <f t="shared" si="22"/>
        <v>3</v>
      </c>
      <c r="BN9" s="279">
        <f t="shared" si="23"/>
        <v>0</v>
      </c>
      <c r="BO9" s="279">
        <f t="shared" si="24"/>
        <v>0</v>
      </c>
      <c r="BP9" s="279">
        <f t="shared" si="25"/>
        <v>0</v>
      </c>
      <c r="BQ9" s="279" t="str">
        <f t="shared" si="26"/>
        <v>2/2/2</v>
      </c>
      <c r="BR9" s="279">
        <f t="shared" si="27"/>
        <v>2</v>
      </c>
      <c r="BS9" s="279">
        <f t="shared" si="28"/>
        <v>2</v>
      </c>
      <c r="BT9" s="279">
        <f t="shared" si="29"/>
        <v>2</v>
      </c>
      <c r="BU9" s="279">
        <f t="shared" si="30"/>
        <v>0</v>
      </c>
      <c r="BV9" s="279" t="str">
        <f t="shared" si="31"/>
        <v>2/2/2</v>
      </c>
      <c r="BW9" s="279">
        <f t="shared" si="32"/>
        <v>2</v>
      </c>
      <c r="BX9" s="279">
        <f t="shared" si="33"/>
        <v>2</v>
      </c>
      <c r="BY9" s="279">
        <f t="shared" si="34"/>
        <v>2</v>
      </c>
      <c r="BZ9" s="279">
        <f t="shared" si="35"/>
        <v>0</v>
      </c>
      <c r="CA9" s="279" t="str">
        <f t="shared" si="36"/>
        <v>1/1/1</v>
      </c>
      <c r="CB9" s="279">
        <f t="shared" si="37"/>
        <v>1</v>
      </c>
      <c r="CC9" s="279">
        <f t="shared" si="38"/>
        <v>1</v>
      </c>
      <c r="CD9" s="279">
        <f t="shared" si="39"/>
        <v>1</v>
      </c>
      <c r="CE9" s="279">
        <f t="shared" si="40"/>
        <v>0</v>
      </c>
      <c r="CF9" s="279" t="str">
        <f t="shared" si="41"/>
      </c>
      <c r="CG9" s="279">
        <f t="shared" si="42"/>
        <v>0</v>
      </c>
      <c r="CH9" s="279">
        <f t="shared" si="43"/>
        <v>0</v>
      </c>
      <c r="CI9" s="279">
        <f t="shared" si="44"/>
        <v>0</v>
      </c>
      <c r="CJ9" s="279">
        <f t="shared" si="45"/>
        <v>0</v>
      </c>
      <c r="CK9" s="279" t="str">
        <f t="shared" si="46"/>
      </c>
      <c r="CL9" s="279">
        <f t="shared" si="47"/>
        <v>0</v>
      </c>
      <c r="CM9" s="279">
        <f t="shared" si="48"/>
        <v>0</v>
      </c>
      <c r="CN9" s="279">
        <f t="shared" si="49"/>
        <v>0</v>
      </c>
      <c r="CO9" s="279">
        <f t="shared" si="50"/>
        <v>0</v>
      </c>
      <c r="CP9" s="279" t="str">
        <f t="shared" si="51"/>
      </c>
      <c r="CQ9" s="279">
        <f t="shared" si="52"/>
        <v>0</v>
      </c>
      <c r="CR9" s="279">
        <f t="shared" si="53"/>
        <v>0</v>
      </c>
      <c r="CS9" s="279">
        <f t="shared" si="54"/>
        <v>0</v>
      </c>
      <c r="CT9" s="279">
        <f t="shared" si="55"/>
        <v>0</v>
      </c>
      <c r="CU9" s="279" t="str">
        <f t="shared" si="56"/>
        <v>20W/20W/20W</v>
      </c>
      <c r="CV9" s="279">
        <f t="shared" si="57"/>
        <v>20</v>
      </c>
      <c r="CW9" s="279">
        <f t="shared" si="58"/>
        <v>20</v>
      </c>
      <c r="CX9" s="279">
        <f t="shared" si="59"/>
        <v>20</v>
      </c>
      <c r="CY9" s="279">
        <f t="shared" si="60"/>
        <v>0</v>
      </c>
      <c r="CZ9" s="279" t="str">
        <f t="shared" si="61"/>
        <v>20W/20W/20W</v>
      </c>
      <c r="DA9" s="279">
        <f t="shared" si="62"/>
        <v>20</v>
      </c>
      <c r="DB9" s="279" t="str">
        <f t="shared" si="63"/>
        <v>40W/40W/40W</v>
      </c>
      <c r="DC9" s="279">
        <f t="shared" si="64"/>
        <v>40</v>
      </c>
      <c r="DD9" s="279">
        <f t="shared" si="65"/>
        <v>40</v>
      </c>
      <c r="DE9" s="279">
        <f t="shared" si="66"/>
        <v>40</v>
      </c>
      <c r="DF9" s="279">
        <f t="shared" si="67"/>
        <v>0</v>
      </c>
      <c r="DG9" s="279" t="str">
        <f t="shared" si="68"/>
        <v>40W/40W/40W</v>
      </c>
      <c r="DH9" s="279">
        <f t="shared" si="69"/>
        <v>40</v>
      </c>
      <c r="DI9" s="279" t="str">
        <f t="shared" si="70"/>
        <v>160W/160W/160W</v>
      </c>
      <c r="DJ9" s="279">
        <f t="shared" si="71"/>
        <v>160</v>
      </c>
      <c r="DK9" s="279">
        <f t="shared" si="72"/>
        <v>160</v>
      </c>
      <c r="DL9" s="279">
        <f t="shared" si="73"/>
        <v>160</v>
      </c>
      <c r="DM9" s="279">
        <f t="shared" si="74"/>
        <v>0</v>
      </c>
      <c r="DN9" s="279" t="str">
        <f t="shared" si="75"/>
        <v>160W/160W/160W</v>
      </c>
      <c r="DO9" s="279">
        <f t="shared" si="76"/>
        <v>160</v>
      </c>
      <c r="DP9" s="279" t="str">
        <f t="shared" si="77"/>
      </c>
      <c r="DQ9" s="279">
        <f t="shared" si="78"/>
        <v>0</v>
      </c>
      <c r="DR9" s="279">
        <f t="shared" si="79"/>
        <v>0</v>
      </c>
      <c r="DS9" s="279">
        <f t="shared" si="80"/>
        <v>0</v>
      </c>
      <c r="DT9" s="279">
        <f t="shared" si="81"/>
        <v>0</v>
      </c>
      <c r="DU9" s="279" t="str">
        <f t="shared" si="82"/>
      </c>
      <c r="DV9" s="279">
        <f t="shared" si="83"/>
        <v>0</v>
      </c>
      <c r="DW9" s="279" t="str">
        <f t="shared" si="84"/>
      </c>
      <c r="DX9" s="279">
        <f t="shared" si="85"/>
        <v>0</v>
      </c>
      <c r="DY9" s="279">
        <f t="shared" si="86"/>
        <v>0</v>
      </c>
      <c r="DZ9" s="279">
        <f t="shared" si="87"/>
        <v>0</v>
      </c>
      <c r="EA9" s="279">
        <f t="shared" si="88"/>
        <v>0</v>
      </c>
      <c r="EB9" s="279" t="str">
        <f t="shared" si="89"/>
      </c>
      <c r="EC9" s="279">
        <f t="shared" si="90"/>
        <v>0</v>
      </c>
      <c r="ED9" s="279" t="str">
        <f t="shared" si="91"/>
      </c>
      <c r="EE9" s="279">
        <f t="shared" si="92"/>
        <v>0</v>
      </c>
      <c r="EF9" s="279">
        <f t="shared" si="93"/>
        <v>0</v>
      </c>
      <c r="EG9" s="279">
        <f t="shared" si="94"/>
        <v>0</v>
      </c>
      <c r="EH9" s="279">
        <f t="shared" si="95"/>
        <v>0</v>
      </c>
      <c r="EI9" s="279" t="str">
        <f t="shared" si="96"/>
      </c>
      <c r="EJ9" s="279">
        <f t="shared" si="97"/>
        <v>0</v>
      </c>
      <c r="EK9" s="279">
        <f t="shared" si="98"/>
        <v>160</v>
      </c>
      <c r="EL9" s="279" t="str">
        <f t="shared" si="99"/>
        <v>G900</v>
      </c>
      <c r="EM9" s="279" t="str">
        <f t="shared" si="100"/>
        <v>U2100</v>
      </c>
      <c r="EN9" s="279" t="str">
        <f t="shared" si="101"/>
        <v>L1800</v>
      </c>
      <c r="EO9" s="279" t="str">
        <f t="shared" si="102"/>
      </c>
      <c r="EP9" s="279" t="str">
        <f t="shared" si="103"/>
      </c>
      <c r="EQ9" s="279" t="str">
        <f t="shared" si="104"/>
      </c>
      <c r="ER9" s="279" t="str">
        <f t="shared" si="105"/>
        <v>28m/ 28m/ 28m</v>
      </c>
      <c r="ES9" s="279">
        <f t="shared" si="106"/>
        <v>28</v>
      </c>
      <c r="ET9" s="279">
        <f t="shared" si="107"/>
        <v>28</v>
      </c>
      <c r="EU9" s="279">
        <f t="shared" si="108"/>
        <v>28</v>
      </c>
      <c r="EV9" s="279">
        <f t="shared" si="109"/>
        <v>0</v>
      </c>
      <c r="EW9" s="279" t="str">
        <f t="shared" si="110"/>
        <v>28m/28m/28m</v>
      </c>
      <c r="EX9" s="279" t="str">
        <f t="shared" si="111"/>
        <v>30m/ 30m/ 30m</v>
      </c>
      <c r="EY9" s="279">
        <f t="shared" si="112"/>
        <v>30</v>
      </c>
      <c r="EZ9" s="279">
        <f t="shared" si="113"/>
        <v>30</v>
      </c>
      <c r="FA9" s="279">
        <f t="shared" si="114"/>
        <v>30</v>
      </c>
      <c r="FB9" s="279">
        <f t="shared" si="115"/>
        <v>0</v>
      </c>
      <c r="FC9" s="279" t="str">
        <f t="shared" si="116"/>
        <v>30m/30m/30m</v>
      </c>
      <c r="FD9" s="279" t="str">
        <f t="shared" si="117"/>
        <v>30m/ 30m/ 30m</v>
      </c>
      <c r="FE9" s="279">
        <f t="shared" si="118"/>
        <v>30</v>
      </c>
      <c r="FF9" s="279">
        <f t="shared" si="119"/>
        <v>30</v>
      </c>
      <c r="FG9" s="279">
        <f t="shared" si="120"/>
        <v>30</v>
      </c>
      <c r="FH9" s="279">
        <f t="shared" si="121"/>
        <v>0</v>
      </c>
      <c r="FI9" s="279" t="str">
        <f t="shared" si="122"/>
        <v>30m/30m/30m</v>
      </c>
      <c r="FJ9" s="279" t="str">
        <f t="shared" si="123"/>
      </c>
      <c r="FK9" s="279">
        <f t="shared" si="124"/>
        <v>0</v>
      </c>
      <c r="FL9" s="279">
        <f t="shared" si="125"/>
        <v>0</v>
      </c>
      <c r="FM9" s="279">
        <f t="shared" si="126"/>
        <v>0</v>
      </c>
      <c r="FN9" s="279">
        <f t="shared" si="127"/>
        <v>0</v>
      </c>
      <c r="FO9" s="279" t="str">
        <f t="shared" si="128"/>
      </c>
      <c r="FP9" s="279" t="str">
        <f t="shared" si="129"/>
      </c>
      <c r="FQ9" s="279">
        <f t="shared" si="130"/>
        <v>0</v>
      </c>
      <c r="FR9" s="279">
        <f t="shared" si="131"/>
        <v>0</v>
      </c>
      <c r="FS9" s="279">
        <f t="shared" si="132"/>
        <v>0</v>
      </c>
      <c r="FT9" s="279">
        <f t="shared" si="133"/>
        <v>0</v>
      </c>
      <c r="FU9" s="279" t="str">
        <f t="shared" si="134"/>
      </c>
      <c r="FV9" s="279" t="str">
        <f t="shared" si="135"/>
      </c>
      <c r="FW9" s="279">
        <f t="shared" si="136"/>
        <v>0</v>
      </c>
      <c r="FX9" s="279">
        <f t="shared" si="137"/>
        <v>0</v>
      </c>
      <c r="FY9" s="279">
        <f t="shared" si="138"/>
        <v>0</v>
      </c>
      <c r="FZ9" s="279">
        <f t="shared" si="139"/>
        <v>0</v>
      </c>
      <c r="GA9" s="279" t="str">
        <f t="shared" si="140"/>
      </c>
      <c r="GB9" s="279" t="str">
        <f>INDEX(LabNameList,MATCH(AF9,LabIDList,0))</f>
        <v>Trung tâm Kiểm định và Chứng nhận 2</v>
      </c>
      <c r="GC9" s="279">
        <f t="shared" si="141"/>
        <v>28</v>
      </c>
      <c r="GD9" s="279">
        <f t="shared" si="142"/>
        <v>30</v>
      </c>
      <c r="GE9" s="279">
        <f t="shared" si="143"/>
        <v>30</v>
      </c>
      <c r="GF9" s="279">
        <f t="shared" si="144"/>
        <v>0</v>
      </c>
      <c r="GG9" s="279">
        <f t="shared" si="145"/>
        <v>0</v>
      </c>
      <c r="GH9" s="279">
        <f t="shared" si="146"/>
        <v>0</v>
      </c>
      <c r="GI9" s="527">
        <f t="shared" si="147"/>
        <v>28</v>
      </c>
      <c r="GJ9" s="527">
        <f t="shared" si="148"/>
        <v>28</v>
      </c>
      <c r="GK9" s="279"/>
      <c r="GL9" s="279"/>
      <c r="GM9" s="279"/>
      <c r="GN9" s="279"/>
    </row>
    <row r="10" ht="114.75" s="235" customFormat="1">
      <c r="A10" s="267">
        <f>Input!A10</f>
        <v>9</v>
      </c>
      <c r="B10" s="267" t="str">
        <f>Input!B10</f>
        <v>VNMOBILE-HCM</v>
      </c>
      <c r="C10" s="267" t="str">
        <f>Input!C10</f>
        <v>MOBIFONE</v>
      </c>
      <c r="D10" s="527" t="str">
        <f t="shared" si="0"/>
        <v>BDGTDM025</v>
      </c>
      <c r="E10" s="267" t="str">
        <f>Input!E10</f>
        <v>Số 37, khu 8, đường Hoàng Hoa Thám, phường Hiệp Thành, thành phố Thủ Dầu Một, tỉnh Bình Dương.</v>
      </c>
      <c r="F10" s="267" t="str">
        <f>Input!F10</f>
        <v>Bình Dương</v>
      </c>
      <c r="G10" s="527" t="str">
        <f>Input!G10</f>
        <v>106,663203</v>
      </c>
      <c r="H10" s="527" t="str">
        <f>Input!H10</f>
        <v>10,99383</v>
      </c>
      <c r="I10" s="267">
        <f>Input!I10</f>
        <v>4</v>
      </c>
      <c r="J10" s="267" t="str">
        <f>Input!J10</f>
        <v>K00466231018D005</v>
      </c>
      <c r="K10" s="291" t="str">
        <f>TEXT(Input!K10,"dd/mm/yyyy")</f>
        <v>19/11/2018</v>
      </c>
      <c r="L10" s="291" t="str">
        <f>TEXT(Input!L10,"dd/mm/yyyy")</f>
        <v>23/10/2018</v>
      </c>
      <c r="M10" s="267" t="str">
        <f>Input!M10</f>
        <v>TỔNG CÔNG TY HẠ TẦNG MẠNG;TỔNG CÔNG TY HẠ TẦNG MẠNG;TỔNG CÔNG TY HẠ TẦNG MẠNG;TỔNG CÔNG TY HẠ TẦNG MẠNG</v>
      </c>
      <c r="N10" s="267" t="str">
        <f>Input!N10</f>
        <v>BDGTDM025;BDGTDM025;BDGTDM025;BDGTDM025</v>
      </c>
      <c r="O10" s="267" t="str">
        <f>Input!O10</f>
        <v>MOTOROLA HORIZON II MACRO;MOTOROLA HORIZON II MACRO;ERICSSON RBS 3418;NSN FLEXI MULTIRADIO 10 (FHED)</v>
      </c>
      <c r="P10" s="267" t="str">
        <f>Input!P10</f>
        <v>3;3;3;3</v>
      </c>
      <c r="Q10" s="267" t="str">
        <f>Input!Q10</f>
        <v>2/2/2;2/2/2;2/2/2;1/1/1</v>
      </c>
      <c r="R10" s="267" t="str">
        <f>Input!R10</f>
        <v>20W/20W/20W;16W/16W/16W;60W/60W/60W;160W/160W/160W</v>
      </c>
      <c r="S10" s="267" t="str">
        <f>Input!S10</f>
        <v>G900;G1800;U2100;L1800</v>
      </c>
      <c r="T10" s="267" t="str">
        <f>Input!T10</f>
        <v>37m/ 37m/ 37m;34m/ 34m/ 34m;34m/ 34m/ 34m;34m/ 34m/ 34m</v>
      </c>
      <c r="U10" s="267">
        <f>Input!U10</f>
        <v>1</v>
      </c>
      <c r="V10" s="267" t="str">
        <f>Input!V10</f>
        <v>FX-X-CG-00T-900;FX-X-CDG-06T-DB-1800;S-Wave EW/EW/EW-65-18DV2/12I-F-64K-VN;S-Wave EW/EW/EW-65-18DV2/12I-F-64K-VN</v>
      </c>
      <c r="W10" s="267" t="b">
        <f>Input!W10</f>
        <v>0</v>
      </c>
      <c r="X10" s="267" t="b">
        <f>Input!X10</f>
        <v>0</v>
      </c>
      <c r="Y10" s="527">
        <f>Input!Y10</f>
        <v>0</v>
      </c>
      <c r="Z10" s="267" t="b">
        <f>Input!Z10</f>
        <v>1</v>
      </c>
      <c r="AA10" s="527">
        <f>Input!AA10</f>
        <v>0</v>
      </c>
      <c r="AB10" s="267" t="b">
        <f>Input!AB10</f>
        <v>0</v>
      </c>
      <c r="AC10" s="267" t="b">
        <f>Input!AC10</f>
        <v>0</v>
      </c>
      <c r="AD10" s="267">
        <f>Input!AD10</f>
        <v>0</v>
      </c>
      <c r="AE10" s="267">
        <f>Input!AE10</f>
        <v>0</v>
      </c>
      <c r="AF10" s="267" t="str">
        <f>Input!AF10</f>
        <v>VCC2</v>
      </c>
      <c r="AG10" s="267" t="str">
        <f>Input!AG10</f>
        <v>Trạm vi phạm vùng tuân thủ</v>
      </c>
      <c r="AH10" s="279"/>
      <c r="AI10" s="279" t="str">
        <f>INDEX(ApplicantNameList,MATCH(B10,ApplicantIDList,0))</f>
        <v>CHI NHÁNH VNMOBILE TẠI TPHCM</v>
      </c>
      <c r="AJ10" s="279" t="str">
        <f>INDEX(OperatorNameList,MATCH(C10,OperatorIDList,0))</f>
        <v>TỔNG CÔNG TY VIỄN THÔNG MOBIFONE</v>
      </c>
      <c r="AK10" s="267" t="str">
        <f>INDEX(CityIDList,MATCH(F10,CityNameList,0))</f>
        <v>BDG</v>
      </c>
      <c r="AL10" s="279" t="str">
        <f t="shared" si="1"/>
        <v>TỔNG CÔNG TY HẠ TẦNG MẠNG</v>
      </c>
      <c r="AM10" s="279" t="str">
        <f t="shared" si="2"/>
        <v>TỔNG CÔNG TY HẠ TẦNG MẠNG</v>
      </c>
      <c r="AN10" s="279" t="str">
        <f t="shared" si="3"/>
        <v>TỔNG CÔNG TY HẠ TẦNG MẠNG</v>
      </c>
      <c r="AO10" s="279" t="str">
        <f t="shared" si="4"/>
        <v>TỔNG CÔNG TY HẠ TẦNG MẠNG</v>
      </c>
      <c r="AP10" s="279" t="str">
        <f t="shared" si="5"/>
      </c>
      <c r="AQ10" s="279" t="str">
        <f t="shared" si="6"/>
      </c>
      <c r="AR10" s="279" t="str">
        <f>IF(I10&gt;=1,INDEX(OperatorIDList,MATCH(AL10,OperatorNameList,0)),"")</f>
        <v>VINAPHONE</v>
      </c>
      <c r="AS10" s="279" t="str">
        <f>IF(I10&gt;=2,INDEX(OperatorIDList,MATCH(AM10,OperatorNameList,0)),"")</f>
        <v>VINAPHONE</v>
      </c>
      <c r="AT10" s="279" t="str">
        <f>IF(I10&gt;=3,INDEX(OperatorIDList,MATCH(AN10,OperatorNameList,0)),"")</f>
        <v>VINAPHONE</v>
      </c>
      <c r="AU10" s="279" t="str">
        <f>IF(I10&gt;=4,INDEX(OperatorIDList,MATCH(AO10,OperatorNameList,0)),"")</f>
        <v>VINAPHONE</v>
      </c>
      <c r="AV10" s="279" t="str">
        <f>IF(I10&gt;=5,INDEX(OperatorIDList,MATCH(AP10,OperatorNameList,0)),"")</f>
      </c>
      <c r="AW10" s="279" t="str">
        <f>IF(I10&gt;=6,INDEX(OperatorIDList,MATCH(AQ10,OperatorNameList,0)),"")</f>
      </c>
      <c r="AX10" s="279" t="str">
        <f t="shared" si="7"/>
        <v>VINAPHONE;VINAPHONE;VINAPHONE;VINAPHONE</v>
      </c>
      <c r="AY10" s="279" t="str">
        <f t="shared" si="8"/>
        <v>BDGTDM025</v>
      </c>
      <c r="AZ10" s="279" t="str">
        <f t="shared" si="9"/>
        <v>BDGTDM025</v>
      </c>
      <c r="BA10" s="279" t="str">
        <f t="shared" si="10"/>
        <v>BDGTDM025</v>
      </c>
      <c r="BB10" s="279" t="str">
        <f t="shared" si="11"/>
        <v>BDGTDM025</v>
      </c>
      <c r="BC10" s="279" t="str">
        <f t="shared" si="12"/>
      </c>
      <c r="BD10" s="279" t="str">
        <f t="shared" si="13"/>
      </c>
      <c r="BE10" s="279" t="str">
        <f t="shared" si="14"/>
        <v>MOTOROLA HORIZON II MACRO</v>
      </c>
      <c r="BF10" s="279" t="str">
        <f t="shared" si="15"/>
        <v>MOTOROLA HORIZON II MACRO</v>
      </c>
      <c r="BG10" s="279" t="str">
        <f t="shared" si="16"/>
        <v>ERICSSON RBS 3418</v>
      </c>
      <c r="BH10" s="279" t="str">
        <f t="shared" si="17"/>
        <v>NSN FLEXI MULTIRADIO 10 (FHED)</v>
      </c>
      <c r="BI10" s="279" t="str">
        <f t="shared" si="18"/>
      </c>
      <c r="BJ10" s="279" t="str">
        <f t="shared" si="19"/>
      </c>
      <c r="BK10" s="279">
        <f t="shared" si="20"/>
        <v>3</v>
      </c>
      <c r="BL10" s="279">
        <f t="shared" si="21"/>
        <v>3</v>
      </c>
      <c r="BM10" s="279">
        <f t="shared" si="22"/>
        <v>3</v>
      </c>
      <c r="BN10" s="279">
        <f t="shared" si="23"/>
        <v>3</v>
      </c>
      <c r="BO10" s="279">
        <f t="shared" si="24"/>
        <v>0</v>
      </c>
      <c r="BP10" s="279">
        <f t="shared" si="25"/>
        <v>0</v>
      </c>
      <c r="BQ10" s="279" t="str">
        <f t="shared" si="26"/>
        <v>2/2/2</v>
      </c>
      <c r="BR10" s="279">
        <f t="shared" si="27"/>
        <v>2</v>
      </c>
      <c r="BS10" s="279">
        <f t="shared" si="28"/>
        <v>2</v>
      </c>
      <c r="BT10" s="279">
        <f t="shared" si="29"/>
        <v>2</v>
      </c>
      <c r="BU10" s="279">
        <f t="shared" si="30"/>
        <v>0</v>
      </c>
      <c r="BV10" s="279" t="str">
        <f t="shared" si="31"/>
        <v>2/2/2</v>
      </c>
      <c r="BW10" s="279">
        <f t="shared" si="32"/>
        <v>2</v>
      </c>
      <c r="BX10" s="279">
        <f t="shared" si="33"/>
        <v>2</v>
      </c>
      <c r="BY10" s="279">
        <f t="shared" si="34"/>
        <v>2</v>
      </c>
      <c r="BZ10" s="279">
        <f t="shared" si="35"/>
        <v>0</v>
      </c>
      <c r="CA10" s="279" t="str">
        <f t="shared" si="36"/>
        <v>2/2/2</v>
      </c>
      <c r="CB10" s="279">
        <f t="shared" si="37"/>
        <v>2</v>
      </c>
      <c r="CC10" s="279">
        <f t="shared" si="38"/>
        <v>2</v>
      </c>
      <c r="CD10" s="279">
        <f t="shared" si="39"/>
        <v>2</v>
      </c>
      <c r="CE10" s="279">
        <f t="shared" si="40"/>
        <v>0</v>
      </c>
      <c r="CF10" s="279" t="str">
        <f t="shared" si="41"/>
        <v>1/1/1</v>
      </c>
      <c r="CG10" s="279">
        <f t="shared" si="42"/>
        <v>1</v>
      </c>
      <c r="CH10" s="279">
        <f t="shared" si="43"/>
        <v>1</v>
      </c>
      <c r="CI10" s="279">
        <f t="shared" si="44"/>
        <v>1</v>
      </c>
      <c r="CJ10" s="279">
        <f t="shared" si="45"/>
        <v>0</v>
      </c>
      <c r="CK10" s="279" t="str">
        <f t="shared" si="46"/>
      </c>
      <c r="CL10" s="279">
        <f t="shared" si="47"/>
        <v>0</v>
      </c>
      <c r="CM10" s="279">
        <f t="shared" si="48"/>
        <v>0</v>
      </c>
      <c r="CN10" s="279">
        <f t="shared" si="49"/>
        <v>0</v>
      </c>
      <c r="CO10" s="279">
        <f t="shared" si="50"/>
        <v>0</v>
      </c>
      <c r="CP10" s="279" t="str">
        <f t="shared" si="51"/>
      </c>
      <c r="CQ10" s="279">
        <f t="shared" si="52"/>
        <v>0</v>
      </c>
      <c r="CR10" s="279">
        <f t="shared" si="53"/>
        <v>0</v>
      </c>
      <c r="CS10" s="279">
        <f t="shared" si="54"/>
        <v>0</v>
      </c>
      <c r="CT10" s="279">
        <f t="shared" si="55"/>
        <v>0</v>
      </c>
      <c r="CU10" s="279" t="str">
        <f t="shared" si="56"/>
        <v>20W/20W/20W</v>
      </c>
      <c r="CV10" s="279">
        <f t="shared" si="57"/>
        <v>20</v>
      </c>
      <c r="CW10" s="279">
        <f t="shared" si="58"/>
        <v>20</v>
      </c>
      <c r="CX10" s="279">
        <f t="shared" si="59"/>
        <v>20</v>
      </c>
      <c r="CY10" s="279">
        <f t="shared" si="60"/>
        <v>0</v>
      </c>
      <c r="CZ10" s="279" t="str">
        <f t="shared" si="61"/>
        <v>20W/20W/20W</v>
      </c>
      <c r="DA10" s="279">
        <f t="shared" si="62"/>
        <v>20</v>
      </c>
      <c r="DB10" s="279" t="str">
        <f t="shared" si="63"/>
        <v>16W/16W/16W</v>
      </c>
      <c r="DC10" s="279">
        <f t="shared" si="64"/>
        <v>16</v>
      </c>
      <c r="DD10" s="279">
        <f t="shared" si="65"/>
        <v>16</v>
      </c>
      <c r="DE10" s="279">
        <f t="shared" si="66"/>
        <v>16</v>
      </c>
      <c r="DF10" s="279">
        <f t="shared" si="67"/>
        <v>0</v>
      </c>
      <c r="DG10" s="279" t="str">
        <f t="shared" si="68"/>
        <v>16W/16W/16W</v>
      </c>
      <c r="DH10" s="279">
        <f t="shared" si="69"/>
        <v>16</v>
      </c>
      <c r="DI10" s="279" t="str">
        <f t="shared" si="70"/>
        <v>60W/60W/60W</v>
      </c>
      <c r="DJ10" s="279">
        <f t="shared" si="71"/>
        <v>60</v>
      </c>
      <c r="DK10" s="279">
        <f t="shared" si="72"/>
        <v>60</v>
      </c>
      <c r="DL10" s="279">
        <f t="shared" si="73"/>
        <v>60</v>
      </c>
      <c r="DM10" s="279">
        <f t="shared" si="74"/>
        <v>0</v>
      </c>
      <c r="DN10" s="279" t="str">
        <f t="shared" si="75"/>
        <v>60W/60W/60W</v>
      </c>
      <c r="DO10" s="279">
        <f t="shared" si="76"/>
        <v>60</v>
      </c>
      <c r="DP10" s="279" t="str">
        <f t="shared" si="77"/>
        <v>160W/160W/160W</v>
      </c>
      <c r="DQ10" s="279">
        <f t="shared" si="78"/>
        <v>160</v>
      </c>
      <c r="DR10" s="279">
        <f t="shared" si="79"/>
        <v>160</v>
      </c>
      <c r="DS10" s="279">
        <f t="shared" si="80"/>
        <v>160</v>
      </c>
      <c r="DT10" s="279">
        <f t="shared" si="81"/>
        <v>0</v>
      </c>
      <c r="DU10" s="279" t="str">
        <f t="shared" si="82"/>
        <v>160W/160W/160W</v>
      </c>
      <c r="DV10" s="279">
        <f t="shared" si="83"/>
        <v>160</v>
      </c>
      <c r="DW10" s="279" t="str">
        <f t="shared" si="84"/>
      </c>
      <c r="DX10" s="279">
        <f t="shared" si="85"/>
        <v>0</v>
      </c>
      <c r="DY10" s="279">
        <f t="shared" si="86"/>
        <v>0</v>
      </c>
      <c r="DZ10" s="279">
        <f t="shared" si="87"/>
        <v>0</v>
      </c>
      <c r="EA10" s="279">
        <f t="shared" si="88"/>
        <v>0</v>
      </c>
      <c r="EB10" s="279" t="str">
        <f t="shared" si="89"/>
      </c>
      <c r="EC10" s="279">
        <f t="shared" si="90"/>
        <v>0</v>
      </c>
      <c r="ED10" s="279" t="str">
        <f t="shared" si="91"/>
      </c>
      <c r="EE10" s="279">
        <f t="shared" si="92"/>
        <v>0</v>
      </c>
      <c r="EF10" s="279">
        <f t="shared" si="93"/>
        <v>0</v>
      </c>
      <c r="EG10" s="279">
        <f t="shared" si="94"/>
        <v>0</v>
      </c>
      <c r="EH10" s="279">
        <f t="shared" si="95"/>
        <v>0</v>
      </c>
      <c r="EI10" s="279" t="str">
        <f t="shared" si="96"/>
      </c>
      <c r="EJ10" s="279">
        <f t="shared" si="97"/>
        <v>0</v>
      </c>
      <c r="EK10" s="279">
        <f t="shared" si="98"/>
        <v>160</v>
      </c>
      <c r="EL10" s="279" t="str">
        <f t="shared" si="99"/>
        <v>G900</v>
      </c>
      <c r="EM10" s="279" t="str">
        <f t="shared" si="100"/>
        <v>G1800</v>
      </c>
      <c r="EN10" s="279" t="str">
        <f t="shared" si="101"/>
        <v>U2100</v>
      </c>
      <c r="EO10" s="279" t="str">
        <f t="shared" si="102"/>
        <v>L1800</v>
      </c>
      <c r="EP10" s="279" t="str">
        <f t="shared" si="103"/>
      </c>
      <c r="EQ10" s="279" t="str">
        <f t="shared" si="104"/>
      </c>
      <c r="ER10" s="279" t="str">
        <f t="shared" si="105"/>
        <v>37m/ 37m/ 37m</v>
      </c>
      <c r="ES10" s="279">
        <f t="shared" si="106"/>
        <v>37</v>
      </c>
      <c r="ET10" s="279">
        <f t="shared" si="107"/>
        <v>37</v>
      </c>
      <c r="EU10" s="279">
        <f t="shared" si="108"/>
        <v>37</v>
      </c>
      <c r="EV10" s="279">
        <f t="shared" si="109"/>
        <v>0</v>
      </c>
      <c r="EW10" s="279" t="str">
        <f t="shared" si="110"/>
        <v>37m/37m/37m</v>
      </c>
      <c r="EX10" s="279" t="str">
        <f t="shared" si="111"/>
        <v>34m/ 34m/ 34m</v>
      </c>
      <c r="EY10" s="279">
        <f t="shared" si="112"/>
        <v>34</v>
      </c>
      <c r="EZ10" s="279">
        <f t="shared" si="113"/>
        <v>34</v>
      </c>
      <c r="FA10" s="279">
        <f t="shared" si="114"/>
        <v>34</v>
      </c>
      <c r="FB10" s="279">
        <f t="shared" si="115"/>
        <v>0</v>
      </c>
      <c r="FC10" s="279" t="str">
        <f t="shared" si="116"/>
        <v>34m/34m/34m</v>
      </c>
      <c r="FD10" s="279" t="str">
        <f t="shared" si="117"/>
        <v>34m/ 34m/ 34m</v>
      </c>
      <c r="FE10" s="279">
        <f t="shared" si="118"/>
        <v>34</v>
      </c>
      <c r="FF10" s="279">
        <f t="shared" si="119"/>
        <v>34</v>
      </c>
      <c r="FG10" s="279">
        <f t="shared" si="120"/>
        <v>34</v>
      </c>
      <c r="FH10" s="279">
        <f t="shared" si="121"/>
        <v>0</v>
      </c>
      <c r="FI10" s="279" t="str">
        <f t="shared" si="122"/>
        <v>34m/34m/34m</v>
      </c>
      <c r="FJ10" s="279" t="str">
        <f t="shared" si="123"/>
        <v>34m/ 34m/ 34m</v>
      </c>
      <c r="FK10" s="279">
        <f t="shared" si="124"/>
        <v>34</v>
      </c>
      <c r="FL10" s="279">
        <f t="shared" si="125"/>
        <v>34</v>
      </c>
      <c r="FM10" s="279">
        <f t="shared" si="126"/>
        <v>34</v>
      </c>
      <c r="FN10" s="279">
        <f t="shared" si="127"/>
        <v>0</v>
      </c>
      <c r="FO10" s="279" t="str">
        <f t="shared" si="128"/>
        <v>34m/34m/34m</v>
      </c>
      <c r="FP10" s="279" t="str">
        <f t="shared" si="129"/>
      </c>
      <c r="FQ10" s="279">
        <f t="shared" si="130"/>
        <v>0</v>
      </c>
      <c r="FR10" s="279">
        <f t="shared" si="131"/>
        <v>0</v>
      </c>
      <c r="FS10" s="279">
        <f t="shared" si="132"/>
        <v>0</v>
      </c>
      <c r="FT10" s="279">
        <f t="shared" si="133"/>
        <v>0</v>
      </c>
      <c r="FU10" s="279" t="str">
        <f t="shared" si="134"/>
      </c>
      <c r="FV10" s="279" t="str">
        <f t="shared" si="135"/>
      </c>
      <c r="FW10" s="279">
        <f t="shared" si="136"/>
        <v>0</v>
      </c>
      <c r="FX10" s="279">
        <f t="shared" si="137"/>
        <v>0</v>
      </c>
      <c r="FY10" s="279">
        <f t="shared" si="138"/>
        <v>0</v>
      </c>
      <c r="FZ10" s="279">
        <f t="shared" si="139"/>
        <v>0</v>
      </c>
      <c r="GA10" s="279" t="str">
        <f t="shared" si="140"/>
      </c>
      <c r="GB10" s="279" t="str">
        <f>INDEX(LabNameList,MATCH(AF10,LabIDList,0))</f>
        <v>Trung tâm Kiểm định và Chứng nhận 2</v>
      </c>
      <c r="GC10" s="279">
        <f t="shared" si="141"/>
        <v>37</v>
      </c>
      <c r="GD10" s="279">
        <f t="shared" si="142"/>
        <v>34</v>
      </c>
      <c r="GE10" s="279">
        <f t="shared" si="143"/>
        <v>34</v>
      </c>
      <c r="GF10" s="279">
        <f t="shared" si="144"/>
        <v>34</v>
      </c>
      <c r="GG10" s="279">
        <f t="shared" si="145"/>
        <v>0</v>
      </c>
      <c r="GH10" s="279">
        <f t="shared" si="146"/>
        <v>0</v>
      </c>
      <c r="GI10" s="527">
        <f t="shared" si="147"/>
        <v>34</v>
      </c>
      <c r="GJ10" s="527">
        <f t="shared" si="148"/>
        <v>34</v>
      </c>
      <c r="GK10" s="279"/>
      <c r="GL10" s="279"/>
      <c r="GM10" s="279"/>
      <c r="GN10" s="279"/>
    </row>
    <row r="11" ht="89.25" s="235" customFormat="1">
      <c r="A11" s="267">
        <f>Input!A11</f>
        <v>10</v>
      </c>
      <c r="B11" s="267" t="str">
        <f>Input!B11</f>
        <v>VNMOBILE-HCM</v>
      </c>
      <c r="C11" s="267" t="str">
        <f>Input!C11</f>
        <v>MOBIFONE</v>
      </c>
      <c r="D11" s="527" t="str">
        <f t="shared" si="0"/>
        <v>BDGTDM036</v>
      </c>
      <c r="E11" s="267" t="str">
        <f>Input!E11</f>
        <v>Số 108/15, đường 30 Tháng 4, khu phố 2, phường Phú Hòa, thành phố Thủ Dầu Một, tỉnh Bình Dương.</v>
      </c>
      <c r="F11" s="267" t="str">
        <f>Input!F11</f>
        <v>Bình Dương</v>
      </c>
      <c r="G11" s="527" t="str">
        <f>Input!G11</f>
        <v>106,671208</v>
      </c>
      <c r="H11" s="527" t="str">
        <f>Input!H11</f>
        <v>10,97728</v>
      </c>
      <c r="I11" s="267">
        <f>Input!I11</f>
        <v>3</v>
      </c>
      <c r="J11" s="267" t="str">
        <f>Input!J11</f>
        <v>K00476241018D005</v>
      </c>
      <c r="K11" s="291" t="str">
        <f>TEXT(Input!K11,"dd/mm/yyyy")</f>
        <v>19/11/2018</v>
      </c>
      <c r="L11" s="291" t="str">
        <f>TEXT(Input!L11,"dd/mm/yyyy")</f>
        <v>24/10/2018</v>
      </c>
      <c r="M11" s="267" t="str">
        <f>Input!M11</f>
        <v>TỔNG CÔNG TY HẠ TẦNG MẠNG;TỔNG CÔNG TY HẠ TẦNG MẠNG;TỔNG CÔNG TY HẠ TẦNG MẠNG</v>
      </c>
      <c r="N11" s="267" t="str">
        <f>Input!N11</f>
        <v>BDGTDM036;BDGTDM036;BDGTDM036</v>
      </c>
      <c r="O11" s="267" t="str">
        <f>Input!O11</f>
        <v>MOTOROLA HORIZON II MACRO;ERICSSON RBS 3206;NSN FLEXI MULTIRADIO 10 (FHED)</v>
      </c>
      <c r="P11" s="267" t="str">
        <f>Input!P11</f>
        <v>3;3;3</v>
      </c>
      <c r="Q11" s="267" t="str">
        <f>Input!Q11</f>
        <v>2/4/4;2/2/2;1/1/1</v>
      </c>
      <c r="R11" s="267" t="str">
        <f>Input!R11</f>
        <v>20W/20W/20W;40W/40W/40W;160W/160W/160W</v>
      </c>
      <c r="S11" s="267" t="str">
        <f>Input!S11</f>
        <v>G900;U2100;L1800</v>
      </c>
      <c r="T11" s="267" t="str">
        <f>Input!T11</f>
        <v>23m/ 23m/ 23m;28,5m/ 28,5m/ 28,5m;28m/ 28m/ 28m</v>
      </c>
      <c r="U11" s="267">
        <f>Input!U11</f>
        <v>1</v>
      </c>
      <c r="V11" s="267" t="str">
        <f>Input!V11</f>
        <v>FX-X-CG-00T-900;S-Wave EW/EW/EW-65-18DV2/12I-F-64K-VN;S-Wave EW/EW/EW-65-18DV2/12I-F-64K-VN</v>
      </c>
      <c r="W11" s="267" t="b">
        <f>Input!W11</f>
        <v>0</v>
      </c>
      <c r="X11" s="267" t="b">
        <f>Input!X11</f>
        <v>0</v>
      </c>
      <c r="Y11" s="527">
        <f>Input!Y11</f>
        <v>0</v>
      </c>
      <c r="Z11" s="267" t="b">
        <f>Input!Z11</f>
        <v>1</v>
      </c>
      <c r="AA11" s="527">
        <f>Input!AA11</f>
        <v>0</v>
      </c>
      <c r="AB11" s="267" t="b">
        <f>Input!AB11</f>
        <v>0</v>
      </c>
      <c r="AC11" s="267" t="b">
        <f>Input!AC11</f>
        <v>1</v>
      </c>
      <c r="AD11" s="267">
        <f>Input!AD11</f>
        <v>0</v>
      </c>
      <c r="AE11" s="267">
        <f>Input!AE11</f>
        <v>0</v>
      </c>
      <c r="AF11" s="267" t="str">
        <f>Input!AF11</f>
        <v>VCC2</v>
      </c>
      <c r="AG11" s="267">
        <f>Input!AG11</f>
        <v>0</v>
      </c>
      <c r="AH11" s="279"/>
      <c r="AI11" s="279" t="str">
        <f>INDEX(ApplicantNameList,MATCH(B11,ApplicantIDList,0))</f>
        <v>CHI NHÁNH VNMOBILE TẠI TPHCM</v>
      </c>
      <c r="AJ11" s="279" t="str">
        <f>INDEX(OperatorNameList,MATCH(C11,OperatorIDList,0))</f>
        <v>TỔNG CÔNG TY VIỄN THÔNG MOBIFONE</v>
      </c>
      <c r="AK11" s="267" t="str">
        <f>INDEX(CityIDList,MATCH(F11,CityNameList,0))</f>
        <v>BDG</v>
      </c>
      <c r="AL11" s="279" t="str">
        <f t="shared" si="1"/>
        <v>TỔNG CÔNG TY HẠ TẦNG MẠNG</v>
      </c>
      <c r="AM11" s="279" t="str">
        <f t="shared" si="2"/>
        <v>TỔNG CÔNG TY HẠ TẦNG MẠNG</v>
      </c>
      <c r="AN11" s="279" t="str">
        <f t="shared" si="3"/>
        <v>TỔNG CÔNG TY HẠ TẦNG MẠNG</v>
      </c>
      <c r="AO11" s="279" t="str">
        <f t="shared" si="4"/>
      </c>
      <c r="AP11" s="279" t="str">
        <f t="shared" si="5"/>
      </c>
      <c r="AQ11" s="279" t="str">
        <f t="shared" si="6"/>
      </c>
      <c r="AR11" s="279" t="str">
        <f>IF(I11&gt;=1,INDEX(OperatorIDList,MATCH(AL11,OperatorNameList,0)),"")</f>
        <v>VINAPHONE</v>
      </c>
      <c r="AS11" s="279" t="str">
        <f>IF(I11&gt;=2,INDEX(OperatorIDList,MATCH(AM11,OperatorNameList,0)),"")</f>
        <v>VINAPHONE</v>
      </c>
      <c r="AT11" s="279" t="str">
        <f>IF(I11&gt;=3,INDEX(OperatorIDList,MATCH(AN11,OperatorNameList,0)),"")</f>
        <v>VINAPHONE</v>
      </c>
      <c r="AU11" s="279" t="str">
        <f>IF(I11&gt;=4,INDEX(OperatorIDList,MATCH(AO11,OperatorNameList,0)),"")</f>
      </c>
      <c r="AV11" s="279" t="str">
        <f>IF(I11&gt;=5,INDEX(OperatorIDList,MATCH(AP11,OperatorNameList,0)),"")</f>
      </c>
      <c r="AW11" s="279" t="str">
        <f>IF(I11&gt;=6,INDEX(OperatorIDList,MATCH(AQ11,OperatorNameList,0)),"")</f>
      </c>
      <c r="AX11" s="279" t="str">
        <f t="shared" si="7"/>
        <v>VINAPHONE;VINAPHONE;VINAPHONE</v>
      </c>
      <c r="AY11" s="279" t="str">
        <f t="shared" si="8"/>
        <v>BDGTDM036</v>
      </c>
      <c r="AZ11" s="279" t="str">
        <f t="shared" si="9"/>
        <v>BDGTDM036</v>
      </c>
      <c r="BA11" s="279" t="str">
        <f t="shared" si="10"/>
        <v>BDGTDM036</v>
      </c>
      <c r="BB11" s="279" t="str">
        <f t="shared" si="11"/>
      </c>
      <c r="BC11" s="279" t="str">
        <f t="shared" si="12"/>
      </c>
      <c r="BD11" s="279" t="str">
        <f t="shared" si="13"/>
      </c>
      <c r="BE11" s="279" t="str">
        <f t="shared" si="14"/>
        <v>MOTOROLA HORIZON II MACRO</v>
      </c>
      <c r="BF11" s="279" t="str">
        <f t="shared" si="15"/>
        <v>ERICSSON RBS 3206</v>
      </c>
      <c r="BG11" s="279" t="str">
        <f t="shared" si="16"/>
        <v>NSN FLEXI MULTIRADIO 10 (FHED)</v>
      </c>
      <c r="BH11" s="279" t="str">
        <f t="shared" si="17"/>
      </c>
      <c r="BI11" s="279" t="str">
        <f t="shared" si="18"/>
      </c>
      <c r="BJ11" s="279" t="str">
        <f t="shared" si="19"/>
      </c>
      <c r="BK11" s="279">
        <f t="shared" si="20"/>
        <v>3</v>
      </c>
      <c r="BL11" s="279">
        <f t="shared" si="21"/>
        <v>3</v>
      </c>
      <c r="BM11" s="279">
        <f t="shared" si="22"/>
        <v>3</v>
      </c>
      <c r="BN11" s="279">
        <f t="shared" si="23"/>
        <v>0</v>
      </c>
      <c r="BO11" s="279">
        <f t="shared" si="24"/>
        <v>0</v>
      </c>
      <c r="BP11" s="279">
        <f t="shared" si="25"/>
        <v>0</v>
      </c>
      <c r="BQ11" s="279" t="str">
        <f t="shared" si="26"/>
        <v>2/4/4</v>
      </c>
      <c r="BR11" s="279">
        <f t="shared" si="27"/>
        <v>2</v>
      </c>
      <c r="BS11" s="279">
        <f t="shared" si="28"/>
        <v>4</v>
      </c>
      <c r="BT11" s="279">
        <f t="shared" si="29"/>
        <v>4</v>
      </c>
      <c r="BU11" s="279">
        <f t="shared" si="30"/>
        <v>0</v>
      </c>
      <c r="BV11" s="279" t="str">
        <f t="shared" si="31"/>
        <v>2/2/2</v>
      </c>
      <c r="BW11" s="279">
        <f t="shared" si="32"/>
        <v>2</v>
      </c>
      <c r="BX11" s="279">
        <f t="shared" si="33"/>
        <v>2</v>
      </c>
      <c r="BY11" s="279">
        <f t="shared" si="34"/>
        <v>2</v>
      </c>
      <c r="BZ11" s="279">
        <f t="shared" si="35"/>
        <v>0</v>
      </c>
      <c r="CA11" s="279" t="str">
        <f t="shared" si="36"/>
        <v>1/1/1</v>
      </c>
      <c r="CB11" s="279">
        <f t="shared" si="37"/>
        <v>1</v>
      </c>
      <c r="CC11" s="279">
        <f t="shared" si="38"/>
        <v>1</v>
      </c>
      <c r="CD11" s="279">
        <f t="shared" si="39"/>
        <v>1</v>
      </c>
      <c r="CE11" s="279">
        <f t="shared" si="40"/>
        <v>0</v>
      </c>
      <c r="CF11" s="279" t="str">
        <f t="shared" si="41"/>
      </c>
      <c r="CG11" s="279">
        <f t="shared" si="42"/>
        <v>0</v>
      </c>
      <c r="CH11" s="279">
        <f t="shared" si="43"/>
        <v>0</v>
      </c>
      <c r="CI11" s="279">
        <f t="shared" si="44"/>
        <v>0</v>
      </c>
      <c r="CJ11" s="279">
        <f t="shared" si="45"/>
        <v>0</v>
      </c>
      <c r="CK11" s="279" t="str">
        <f t="shared" si="46"/>
      </c>
      <c r="CL11" s="279">
        <f t="shared" si="47"/>
        <v>0</v>
      </c>
      <c r="CM11" s="279">
        <f t="shared" si="48"/>
        <v>0</v>
      </c>
      <c r="CN11" s="279">
        <f t="shared" si="49"/>
        <v>0</v>
      </c>
      <c r="CO11" s="279">
        <f t="shared" si="50"/>
        <v>0</v>
      </c>
      <c r="CP11" s="279" t="str">
        <f t="shared" si="51"/>
      </c>
      <c r="CQ11" s="279">
        <f t="shared" si="52"/>
        <v>0</v>
      </c>
      <c r="CR11" s="279">
        <f t="shared" si="53"/>
        <v>0</v>
      </c>
      <c r="CS11" s="279">
        <f t="shared" si="54"/>
        <v>0</v>
      </c>
      <c r="CT11" s="279">
        <f t="shared" si="55"/>
        <v>0</v>
      </c>
      <c r="CU11" s="279" t="str">
        <f t="shared" si="56"/>
        <v>20W/20W/20W</v>
      </c>
      <c r="CV11" s="279">
        <f t="shared" si="57"/>
        <v>20</v>
      </c>
      <c r="CW11" s="279">
        <f t="shared" si="58"/>
        <v>20</v>
      </c>
      <c r="CX11" s="279">
        <f t="shared" si="59"/>
        <v>20</v>
      </c>
      <c r="CY11" s="279">
        <f t="shared" si="60"/>
        <v>0</v>
      </c>
      <c r="CZ11" s="279" t="str">
        <f t="shared" si="61"/>
        <v>20W/20W/20W</v>
      </c>
      <c r="DA11" s="279">
        <f t="shared" si="62"/>
        <v>20</v>
      </c>
      <c r="DB11" s="279" t="str">
        <f t="shared" si="63"/>
        <v>40W/40W/40W</v>
      </c>
      <c r="DC11" s="279">
        <f t="shared" si="64"/>
        <v>40</v>
      </c>
      <c r="DD11" s="279">
        <f t="shared" si="65"/>
        <v>40</v>
      </c>
      <c r="DE11" s="279">
        <f t="shared" si="66"/>
        <v>40</v>
      </c>
      <c r="DF11" s="279">
        <f t="shared" si="67"/>
        <v>0</v>
      </c>
      <c r="DG11" s="279" t="str">
        <f t="shared" si="68"/>
        <v>40W/40W/40W</v>
      </c>
      <c r="DH11" s="279">
        <f t="shared" si="69"/>
        <v>40</v>
      </c>
      <c r="DI11" s="279" t="str">
        <f t="shared" si="70"/>
        <v>160W/160W/160W</v>
      </c>
      <c r="DJ11" s="279">
        <f t="shared" si="71"/>
        <v>160</v>
      </c>
      <c r="DK11" s="279">
        <f t="shared" si="72"/>
        <v>160</v>
      </c>
      <c r="DL11" s="279">
        <f t="shared" si="73"/>
        <v>160</v>
      </c>
      <c r="DM11" s="279">
        <f t="shared" si="74"/>
        <v>0</v>
      </c>
      <c r="DN11" s="279" t="str">
        <f t="shared" si="75"/>
        <v>160W/160W/160W</v>
      </c>
      <c r="DO11" s="279">
        <f t="shared" si="76"/>
        <v>160</v>
      </c>
      <c r="DP11" s="279" t="str">
        <f t="shared" si="77"/>
      </c>
      <c r="DQ11" s="279">
        <f t="shared" si="78"/>
        <v>0</v>
      </c>
      <c r="DR11" s="279">
        <f t="shared" si="79"/>
        <v>0</v>
      </c>
      <c r="DS11" s="279">
        <f t="shared" si="80"/>
        <v>0</v>
      </c>
      <c r="DT11" s="279">
        <f t="shared" si="81"/>
        <v>0</v>
      </c>
      <c r="DU11" s="279" t="str">
        <f t="shared" si="82"/>
      </c>
      <c r="DV11" s="279">
        <f t="shared" si="83"/>
        <v>0</v>
      </c>
      <c r="DW11" s="279" t="str">
        <f t="shared" si="84"/>
      </c>
      <c r="DX11" s="279">
        <f t="shared" si="85"/>
        <v>0</v>
      </c>
      <c r="DY11" s="279">
        <f t="shared" si="86"/>
        <v>0</v>
      </c>
      <c r="DZ11" s="279">
        <f t="shared" si="87"/>
        <v>0</v>
      </c>
      <c r="EA11" s="279">
        <f t="shared" si="88"/>
        <v>0</v>
      </c>
      <c r="EB11" s="279" t="str">
        <f t="shared" si="89"/>
      </c>
      <c r="EC11" s="279">
        <f t="shared" si="90"/>
        <v>0</v>
      </c>
      <c r="ED11" s="279" t="str">
        <f t="shared" si="91"/>
      </c>
      <c r="EE11" s="279">
        <f t="shared" si="92"/>
        <v>0</v>
      </c>
      <c r="EF11" s="279">
        <f t="shared" si="93"/>
        <v>0</v>
      </c>
      <c r="EG11" s="279">
        <f t="shared" si="94"/>
        <v>0</v>
      </c>
      <c r="EH11" s="279">
        <f t="shared" si="95"/>
        <v>0</v>
      </c>
      <c r="EI11" s="279" t="str">
        <f t="shared" si="96"/>
      </c>
      <c r="EJ11" s="279">
        <f t="shared" si="97"/>
        <v>0</v>
      </c>
      <c r="EK11" s="279">
        <f t="shared" si="98"/>
        <v>160</v>
      </c>
      <c r="EL11" s="279" t="str">
        <f t="shared" si="99"/>
        <v>G900</v>
      </c>
      <c r="EM11" s="279" t="str">
        <f t="shared" si="100"/>
        <v>U2100</v>
      </c>
      <c r="EN11" s="279" t="str">
        <f t="shared" si="101"/>
        <v>L1800</v>
      </c>
      <c r="EO11" s="279" t="str">
        <f t="shared" si="102"/>
      </c>
      <c r="EP11" s="279" t="str">
        <f t="shared" si="103"/>
      </c>
      <c r="EQ11" s="279" t="str">
        <f t="shared" si="104"/>
      </c>
      <c r="ER11" s="279" t="str">
        <f t="shared" si="105"/>
        <v>23m/ 23m/ 23m</v>
      </c>
      <c r="ES11" s="279">
        <f t="shared" si="106"/>
        <v>23</v>
      </c>
      <c r="ET11" s="279">
        <f t="shared" si="107"/>
        <v>23</v>
      </c>
      <c r="EU11" s="279">
        <f t="shared" si="108"/>
        <v>23</v>
      </c>
      <c r="EV11" s="279">
        <f t="shared" si="109"/>
        <v>0</v>
      </c>
      <c r="EW11" s="279" t="str">
        <f t="shared" si="110"/>
        <v>23m/23m/23m</v>
      </c>
      <c r="EX11" s="279" t="str">
        <f t="shared" si="111"/>
        <v>28,5m/ 28,5m/ 28,5m</v>
      </c>
      <c r="EY11" s="279">
        <f t="shared" si="112"/>
        <v>28.5</v>
      </c>
      <c r="EZ11" s="279">
        <f t="shared" si="113"/>
        <v>28.5</v>
      </c>
      <c r="FA11" s="279">
        <f t="shared" si="114"/>
        <v>28.5</v>
      </c>
      <c r="FB11" s="279">
        <f t="shared" si="115"/>
        <v>0</v>
      </c>
      <c r="FC11" s="279" t="str">
        <f t="shared" si="116"/>
        <v>28,5m/28,5m/28,5m</v>
      </c>
      <c r="FD11" s="279" t="str">
        <f t="shared" si="117"/>
        <v>28m/ 28m/ 28m</v>
      </c>
      <c r="FE11" s="279">
        <f t="shared" si="118"/>
        <v>28</v>
      </c>
      <c r="FF11" s="279">
        <f t="shared" si="119"/>
        <v>28</v>
      </c>
      <c r="FG11" s="279">
        <f t="shared" si="120"/>
        <v>28</v>
      </c>
      <c r="FH11" s="279">
        <f t="shared" si="121"/>
        <v>0</v>
      </c>
      <c r="FI11" s="279" t="str">
        <f t="shared" si="122"/>
        <v>28m/28m/28m</v>
      </c>
      <c r="FJ11" s="279" t="str">
        <f t="shared" si="123"/>
      </c>
      <c r="FK11" s="279">
        <f t="shared" si="124"/>
        <v>0</v>
      </c>
      <c r="FL11" s="279">
        <f t="shared" si="125"/>
        <v>0</v>
      </c>
      <c r="FM11" s="279">
        <f t="shared" si="126"/>
        <v>0</v>
      </c>
      <c r="FN11" s="279">
        <f t="shared" si="127"/>
        <v>0</v>
      </c>
      <c r="FO11" s="279" t="str">
        <f t="shared" si="128"/>
      </c>
      <c r="FP11" s="279" t="str">
        <f t="shared" si="129"/>
      </c>
      <c r="FQ11" s="279">
        <f t="shared" si="130"/>
        <v>0</v>
      </c>
      <c r="FR11" s="279">
        <f t="shared" si="131"/>
        <v>0</v>
      </c>
      <c r="FS11" s="279">
        <f t="shared" si="132"/>
        <v>0</v>
      </c>
      <c r="FT11" s="279">
        <f t="shared" si="133"/>
        <v>0</v>
      </c>
      <c r="FU11" s="279" t="str">
        <f t="shared" si="134"/>
      </c>
      <c r="FV11" s="279" t="str">
        <f t="shared" si="135"/>
      </c>
      <c r="FW11" s="279">
        <f t="shared" si="136"/>
        <v>0</v>
      </c>
      <c r="FX11" s="279">
        <f t="shared" si="137"/>
        <v>0</v>
      </c>
      <c r="FY11" s="279">
        <f t="shared" si="138"/>
        <v>0</v>
      </c>
      <c r="FZ11" s="279">
        <f t="shared" si="139"/>
        <v>0</v>
      </c>
      <c r="GA11" s="279" t="str">
        <f t="shared" si="140"/>
      </c>
      <c r="GB11" s="279" t="str">
        <f>INDEX(LabNameList,MATCH(AF11,LabIDList,0))</f>
        <v>Trung tâm Kiểm định và Chứng nhận 2</v>
      </c>
      <c r="GC11" s="279">
        <f t="shared" si="141"/>
        <v>23</v>
      </c>
      <c r="GD11" s="279">
        <f t="shared" si="142"/>
        <v>28.5</v>
      </c>
      <c r="GE11" s="279">
        <f t="shared" si="143"/>
        <v>28</v>
      </c>
      <c r="GF11" s="279">
        <f t="shared" si="144"/>
        <v>0</v>
      </c>
      <c r="GG11" s="279">
        <f t="shared" si="145"/>
        <v>0</v>
      </c>
      <c r="GH11" s="279">
        <f t="shared" si="146"/>
        <v>0</v>
      </c>
      <c r="GI11" s="527">
        <f t="shared" si="147"/>
        <v>23</v>
      </c>
      <c r="GJ11" s="527">
        <f t="shared" si="148"/>
        <v>23</v>
      </c>
      <c r="GK11" s="279"/>
      <c r="GL11" s="279"/>
      <c r="GM11" s="279"/>
      <c r="GN11" s="279"/>
    </row>
  </sheetData>
  <autoFilter ref="AI1:GN2"/>
  <conditionalFormatting sqref="W3:X1048576">
    <cfRule type="containsText" dxfId="0" priority="4" operator="containsText" text="no">
      <formula>NOT(ISERROR(SEARCH("no",W3)))</formula>
    </cfRule>
  </conditionalFormatting>
  <conditionalFormatting sqref="GO1:XFD1 A1:V1 AD1 AF1:GJ1 A2:XFD1048576">
    <cfRule type="containsErrors" dxfId="0" priority="2">
      <formula>ISERROR(A1)</formula>
    </cfRule>
  </conditionalFormatting>
  <conditionalFormatting sqref="X1 AC1">
    <cfRule type="containsText" dxfId="0" priority="1" operator="containsText" text="no">
      <formula>NOT(ISERROR(SEARCH("no",X1)))</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K7"/>
  <sheetViews>
    <sheetView topLeftCell="GD1" zoomScale="85" zoomScaleNormal="85" workbookViewId="0">
      <selection activeCell="GR2" sqref="GR2"/>
    </sheetView>
  </sheetViews>
  <sheetFormatPr defaultColWidth="9.140625" defaultRowHeight="12.75"/>
  <cols>
    <col min="1" max="1" bestFit="1" width="5" customWidth="1" style="201"/>
    <col min="2" max="2" bestFit="1" width="17.140625" customWidth="1" style="211"/>
    <col min="3" max="3" bestFit="1" width="16.7109375" customWidth="1" style="201"/>
    <col min="4" max="4" width="9.140625" customWidth="1" style="525"/>
    <col min="5" max="5" width="54.140625" customWidth="1" style="201"/>
    <col min="6" max="6" width="16.5703125" customWidth="1" style="201"/>
    <col min="7" max="7" bestFit="1" width="9.140625" customWidth="1" style="525"/>
    <col min="8" max="8" bestFit="1" width="9.140625" customWidth="1" style="393"/>
    <col min="9" max="9" width="10.5703125" customWidth="1" style="213"/>
    <col min="10" max="10" width="23.140625" customWidth="1" style="127"/>
    <col min="11" max="12" bestFit="1" width="11.28515625" customWidth="1" style="393"/>
    <col min="13" max="13" width="33.28515625" customWidth="1" style="127"/>
    <col min="14" max="15" width="15.28515625" customWidth="1" style="127"/>
    <col min="16" max="16" width="9.140625" customWidth="1" style="127"/>
    <col min="17" max="17" bestFit="1" width="15.42578125" customWidth="1" style="127"/>
    <col min="18" max="18" width="42.140625" customWidth="1" style="127"/>
    <col min="19" max="19" width="27.28515625" customWidth="1" style="127"/>
    <col min="20" max="20" width="14.28515625" customWidth="1" style="127"/>
    <col min="21" max="21" width="7.7109375" customWidth="1" style="127"/>
    <col min="22" max="22" width="20.42578125" customWidth="1" style="127"/>
    <col min="23" max="24" width="10.5703125" customWidth="1" style="127"/>
    <col min="25" max="25" width="9.140625" customWidth="1" style="393"/>
    <col min="26" max="26" width="13" customWidth="1" style="127"/>
    <col min="27" max="27" width="9.140625" customWidth="1" style="393"/>
    <col min="28" max="29" width="13" customWidth="1" style="127"/>
    <col min="30" max="30" width="32.28515625" customWidth="1" style="127"/>
    <col min="31" max="31" width="14.140625" customWidth="1" style="127"/>
    <col min="32" max="32" width="10.7109375" customWidth="1" style="127"/>
    <col min="33" max="33" width="24.7109375" customWidth="1" style="127"/>
    <col min="34" max="34" width="4.7109375" customWidth="1" style="127"/>
    <col min="35" max="35" bestFit="1" width="15.42578125" customWidth="1" style="127"/>
    <col min="36" max="36" width="15.85546875" customWidth="1" style="127"/>
    <col min="37" max="37" width="9.140625" customWidth="1" style="201"/>
    <col min="38" max="183" width="9.140625" customWidth="1" style="127"/>
    <col min="184" max="184" bestFit="1" width="9.5703125" customWidth="1" style="127"/>
    <col min="185" max="190" width="9.140625" customWidth="1" style="127"/>
    <col min="191" max="191" width="9.140625" customWidth="1" style="393"/>
    <col min="192" max="192" width="9.140625" customWidth="1" style="393"/>
    <col min="193" max="198" width="9.140625" customWidth="1" style="127"/>
    <col min="199" max="202" width="15.140625" customWidth="1" style="127"/>
    <col min="203" max="219" width="14.140625" customWidth="1" style="127"/>
    <col min="220" max="16384" width="9.140625" customWidth="1" style="127"/>
  </cols>
  <sheetData>
    <row r="1" ht="63" s="201" customFormat="1">
      <c r="A1" s="280" t="s">
        <v>0</v>
      </c>
      <c r="B1" s="280" t="s">
        <v>254</v>
      </c>
      <c r="C1" s="280" t="s">
        <v>255</v>
      </c>
      <c r="D1" s="392" t="s">
        <v>256</v>
      </c>
      <c r="E1" s="280" t="s">
        <v>47</v>
      </c>
      <c r="F1" s="280" t="s">
        <v>257</v>
      </c>
      <c r="G1" s="392" t="s">
        <v>258</v>
      </c>
      <c r="H1" s="392" t="s">
        <v>259</v>
      </c>
      <c r="I1" s="281" t="s">
        <v>260</v>
      </c>
      <c r="J1" s="281" t="s">
        <v>261</v>
      </c>
      <c r="K1" s="392" t="s">
        <v>262</v>
      </c>
      <c r="L1" s="392" t="s">
        <v>263</v>
      </c>
      <c r="M1" s="281" t="s">
        <v>264</v>
      </c>
      <c r="N1" s="281" t="s">
        <v>265</v>
      </c>
      <c r="O1" s="281" t="s">
        <v>266</v>
      </c>
      <c r="P1" s="281" t="s">
        <v>267</v>
      </c>
      <c r="Q1" s="281" t="s">
        <v>268</v>
      </c>
      <c r="R1" s="281" t="s">
        <v>269</v>
      </c>
      <c r="S1" s="281" t="s">
        <v>270</v>
      </c>
      <c r="T1" s="281" t="s">
        <v>271</v>
      </c>
      <c r="U1" s="281" t="s">
        <v>272</v>
      </c>
      <c r="V1" s="281" t="s">
        <v>273</v>
      </c>
      <c r="W1" s="266" t="s">
        <v>274</v>
      </c>
      <c r="X1" s="266" t="s">
        <v>275</v>
      </c>
      <c r="Y1" s="530" t="s">
        <v>276</v>
      </c>
      <c r="Z1" s="266" t="s">
        <v>277</v>
      </c>
      <c r="AA1" s="530" t="s">
        <v>278</v>
      </c>
      <c r="AB1" s="266" t="s">
        <v>279</v>
      </c>
      <c r="AC1" s="266" t="s">
        <v>280</v>
      </c>
      <c r="AD1" s="233" t="s">
        <v>281</v>
      </c>
      <c r="AE1" s="264" t="s">
        <v>282</v>
      </c>
      <c r="AF1" s="280" t="s">
        <v>283</v>
      </c>
      <c r="AG1" s="280" t="s">
        <v>284</v>
      </c>
      <c r="AH1" s="234"/>
      <c r="AI1" s="283" t="s">
        <v>285</v>
      </c>
      <c r="AJ1" s="283" t="s">
        <v>286</v>
      </c>
      <c r="AK1" s="284" t="s">
        <v>287</v>
      </c>
      <c r="AL1" s="285" t="s">
        <v>288</v>
      </c>
      <c r="AM1" s="285" t="s">
        <v>289</v>
      </c>
      <c r="AN1" s="285" t="s">
        <v>290</v>
      </c>
      <c r="AO1" s="285" t="s">
        <v>291</v>
      </c>
      <c r="AP1" s="285" t="s">
        <v>292</v>
      </c>
      <c r="AQ1" s="285" t="s">
        <v>293</v>
      </c>
      <c r="AR1" s="284" t="s">
        <v>294</v>
      </c>
      <c r="AS1" s="284" t="s">
        <v>295</v>
      </c>
      <c r="AT1" s="284" t="s">
        <v>296</v>
      </c>
      <c r="AU1" s="284" t="s">
        <v>297</v>
      </c>
      <c r="AV1" s="284" t="s">
        <v>298</v>
      </c>
      <c r="AW1" s="284" t="s">
        <v>299</v>
      </c>
      <c r="AX1" s="285" t="s">
        <v>300</v>
      </c>
      <c r="AY1" s="284" t="s">
        <v>301</v>
      </c>
      <c r="AZ1" s="284" t="s">
        <v>302</v>
      </c>
      <c r="BA1" s="284" t="s">
        <v>303</v>
      </c>
      <c r="BB1" s="284" t="s">
        <v>304</v>
      </c>
      <c r="BC1" s="284" t="s">
        <v>305</v>
      </c>
      <c r="BD1" s="284" t="s">
        <v>306</v>
      </c>
      <c r="BE1" s="285" t="s">
        <v>307</v>
      </c>
      <c r="BF1" s="285" t="s">
        <v>308</v>
      </c>
      <c r="BG1" s="285" t="s">
        <v>309</v>
      </c>
      <c r="BH1" s="285" t="s">
        <v>310</v>
      </c>
      <c r="BI1" s="285" t="s">
        <v>311</v>
      </c>
      <c r="BJ1" s="285" t="s">
        <v>312</v>
      </c>
      <c r="BK1" s="284" t="s">
        <v>313</v>
      </c>
      <c r="BL1" s="284" t="s">
        <v>314</v>
      </c>
      <c r="BM1" s="284" t="s">
        <v>315</v>
      </c>
      <c r="BN1" s="284" t="s">
        <v>316</v>
      </c>
      <c r="BO1" s="284" t="s">
        <v>317</v>
      </c>
      <c r="BP1" s="284" t="s">
        <v>318</v>
      </c>
      <c r="BQ1" s="285" t="s">
        <v>319</v>
      </c>
      <c r="BR1" s="284" t="s">
        <v>320</v>
      </c>
      <c r="BS1" s="284" t="s">
        <v>321</v>
      </c>
      <c r="BT1" s="284" t="s">
        <v>322</v>
      </c>
      <c r="BU1" s="284" t="s">
        <v>323</v>
      </c>
      <c r="BV1" s="285" t="s">
        <v>324</v>
      </c>
      <c r="BW1" s="284" t="s">
        <v>325</v>
      </c>
      <c r="BX1" s="284" t="s">
        <v>326</v>
      </c>
      <c r="BY1" s="284" t="s">
        <v>327</v>
      </c>
      <c r="BZ1" s="284" t="s">
        <v>328</v>
      </c>
      <c r="CA1" s="285" t="s">
        <v>329</v>
      </c>
      <c r="CB1" s="284" t="s">
        <v>330</v>
      </c>
      <c r="CC1" s="284" t="s">
        <v>331</v>
      </c>
      <c r="CD1" s="284" t="s">
        <v>332</v>
      </c>
      <c r="CE1" s="284" t="s">
        <v>333</v>
      </c>
      <c r="CF1" s="285" t="s">
        <v>334</v>
      </c>
      <c r="CG1" s="284" t="s">
        <v>335</v>
      </c>
      <c r="CH1" s="284" t="s">
        <v>336</v>
      </c>
      <c r="CI1" s="284" t="s">
        <v>337</v>
      </c>
      <c r="CJ1" s="284" t="s">
        <v>338</v>
      </c>
      <c r="CK1" s="285" t="s">
        <v>339</v>
      </c>
      <c r="CL1" s="284" t="s">
        <v>340</v>
      </c>
      <c r="CM1" s="284" t="s">
        <v>341</v>
      </c>
      <c r="CN1" s="284" t="s">
        <v>342</v>
      </c>
      <c r="CO1" s="284" t="s">
        <v>343</v>
      </c>
      <c r="CP1" s="285" t="s">
        <v>344</v>
      </c>
      <c r="CQ1" s="284" t="s">
        <v>345</v>
      </c>
      <c r="CR1" s="284" t="s">
        <v>346</v>
      </c>
      <c r="CS1" s="284" t="s">
        <v>347</v>
      </c>
      <c r="CT1" s="284" t="s">
        <v>348</v>
      </c>
      <c r="CU1" s="285" t="s">
        <v>349</v>
      </c>
      <c r="CV1" s="284" t="s">
        <v>350</v>
      </c>
      <c r="CW1" s="284" t="s">
        <v>351</v>
      </c>
      <c r="CX1" s="284" t="s">
        <v>352</v>
      </c>
      <c r="CY1" s="284" t="s">
        <v>353</v>
      </c>
      <c r="CZ1" s="286" t="s">
        <v>354</v>
      </c>
      <c r="DA1" s="286" t="s">
        <v>355</v>
      </c>
      <c r="DB1" s="285" t="s">
        <v>356</v>
      </c>
      <c r="DC1" s="284" t="s">
        <v>357</v>
      </c>
      <c r="DD1" s="284" t="s">
        <v>358</v>
      </c>
      <c r="DE1" s="284" t="s">
        <v>359</v>
      </c>
      <c r="DF1" s="284" t="s">
        <v>360</v>
      </c>
      <c r="DG1" s="286" t="s">
        <v>361</v>
      </c>
      <c r="DH1" s="286" t="s">
        <v>362</v>
      </c>
      <c r="DI1" s="285" t="s">
        <v>363</v>
      </c>
      <c r="DJ1" s="284" t="s">
        <v>364</v>
      </c>
      <c r="DK1" s="284" t="s">
        <v>365</v>
      </c>
      <c r="DL1" s="284" t="s">
        <v>366</v>
      </c>
      <c r="DM1" s="284" t="s">
        <v>367</v>
      </c>
      <c r="DN1" s="286" t="s">
        <v>368</v>
      </c>
      <c r="DO1" s="286" t="s">
        <v>369</v>
      </c>
      <c r="DP1" s="285" t="s">
        <v>370</v>
      </c>
      <c r="DQ1" s="284" t="s">
        <v>371</v>
      </c>
      <c r="DR1" s="284" t="s">
        <v>372</v>
      </c>
      <c r="DS1" s="284" t="s">
        <v>373</v>
      </c>
      <c r="DT1" s="284" t="s">
        <v>374</v>
      </c>
      <c r="DU1" s="286" t="s">
        <v>375</v>
      </c>
      <c r="DV1" s="286" t="s">
        <v>376</v>
      </c>
      <c r="DW1" s="285" t="s">
        <v>377</v>
      </c>
      <c r="DX1" s="284" t="s">
        <v>378</v>
      </c>
      <c r="DY1" s="284" t="s">
        <v>379</v>
      </c>
      <c r="DZ1" s="284" t="s">
        <v>380</v>
      </c>
      <c r="EA1" s="284" t="s">
        <v>381</v>
      </c>
      <c r="EB1" s="286" t="s">
        <v>382</v>
      </c>
      <c r="EC1" s="286" t="s">
        <v>383</v>
      </c>
      <c r="ED1" s="285" t="s">
        <v>384</v>
      </c>
      <c r="EE1" s="284" t="s">
        <v>385</v>
      </c>
      <c r="EF1" s="284" t="s">
        <v>386</v>
      </c>
      <c r="EG1" s="284" t="s">
        <v>387</v>
      </c>
      <c r="EH1" s="284" t="s">
        <v>388</v>
      </c>
      <c r="EI1" s="286" t="s">
        <v>389</v>
      </c>
      <c r="EJ1" s="286" t="s">
        <v>390</v>
      </c>
      <c r="EK1" s="286" t="s">
        <v>391</v>
      </c>
      <c r="EL1" s="287" t="s">
        <v>392</v>
      </c>
      <c r="EM1" s="287" t="s">
        <v>393</v>
      </c>
      <c r="EN1" s="287" t="s">
        <v>394</v>
      </c>
      <c r="EO1" s="287" t="s">
        <v>395</v>
      </c>
      <c r="EP1" s="287" t="s">
        <v>396</v>
      </c>
      <c r="EQ1" s="287" t="s">
        <v>397</v>
      </c>
      <c r="ER1" s="285" t="s">
        <v>398</v>
      </c>
      <c r="ES1" s="284" t="s">
        <v>399</v>
      </c>
      <c r="ET1" s="284" t="s">
        <v>400</v>
      </c>
      <c r="EU1" s="284" t="s">
        <v>401</v>
      </c>
      <c r="EV1" s="284" t="s">
        <v>402</v>
      </c>
      <c r="EW1" s="286" t="s">
        <v>403</v>
      </c>
      <c r="EX1" s="285" t="s">
        <v>404</v>
      </c>
      <c r="EY1" s="284" t="s">
        <v>405</v>
      </c>
      <c r="EZ1" s="284" t="s">
        <v>406</v>
      </c>
      <c r="FA1" s="284" t="s">
        <v>407</v>
      </c>
      <c r="FB1" s="284" t="s">
        <v>408</v>
      </c>
      <c r="FC1" s="286" t="s">
        <v>409</v>
      </c>
      <c r="FD1" s="285" t="s">
        <v>410</v>
      </c>
      <c r="FE1" s="284" t="s">
        <v>411</v>
      </c>
      <c r="FF1" s="284" t="s">
        <v>412</v>
      </c>
      <c r="FG1" s="284" t="s">
        <v>413</v>
      </c>
      <c r="FH1" s="284" t="s">
        <v>414</v>
      </c>
      <c r="FI1" s="286" t="s">
        <v>415</v>
      </c>
      <c r="FJ1" s="285" t="s">
        <v>416</v>
      </c>
      <c r="FK1" s="284" t="s">
        <v>417</v>
      </c>
      <c r="FL1" s="284" t="s">
        <v>418</v>
      </c>
      <c r="FM1" s="284" t="s">
        <v>419</v>
      </c>
      <c r="FN1" s="284" t="s">
        <v>420</v>
      </c>
      <c r="FO1" s="286" t="s">
        <v>421</v>
      </c>
      <c r="FP1" s="285" t="s">
        <v>422</v>
      </c>
      <c r="FQ1" s="284" t="s">
        <v>423</v>
      </c>
      <c r="FR1" s="284" t="s">
        <v>424</v>
      </c>
      <c r="FS1" s="284" t="s">
        <v>425</v>
      </c>
      <c r="FT1" s="284" t="s">
        <v>426</v>
      </c>
      <c r="FU1" s="286" t="s">
        <v>427</v>
      </c>
      <c r="FV1" s="285" t="s">
        <v>428</v>
      </c>
      <c r="FW1" s="284" t="s">
        <v>429</v>
      </c>
      <c r="FX1" s="284" t="s">
        <v>430</v>
      </c>
      <c r="FY1" s="284" t="s">
        <v>431</v>
      </c>
      <c r="FZ1" s="284" t="s">
        <v>432</v>
      </c>
      <c r="GA1" s="286" t="s">
        <v>433</v>
      </c>
      <c r="GB1" s="285" t="s">
        <v>434</v>
      </c>
      <c r="GC1" s="292" t="s">
        <v>435</v>
      </c>
      <c r="GD1" s="292" t="s">
        <v>436</v>
      </c>
      <c r="GE1" s="292" t="s">
        <v>437</v>
      </c>
      <c r="GF1" s="292" t="s">
        <v>438</v>
      </c>
      <c r="GG1" s="292" t="s">
        <v>439</v>
      </c>
      <c r="GH1" s="292" t="s">
        <v>440</v>
      </c>
      <c r="GI1" s="533" t="s">
        <v>441</v>
      </c>
      <c r="GJ1" s="533" t="s">
        <v>442</v>
      </c>
      <c r="GK1" s="289" t="s">
        <v>443</v>
      </c>
      <c r="GL1" s="290">
        <f>Check!GL1</f>
        <v>10</v>
      </c>
      <c r="GM1" s="289" t="s">
        <v>444</v>
      </c>
      <c r="GN1" s="290">
        <f>Check!GN1</f>
        <v>6</v>
      </c>
      <c r="GO1" s="293" t="s">
        <v>445</v>
      </c>
      <c r="GP1" s="293" t="s">
        <v>446</v>
      </c>
      <c r="GQ1" s="293" t="s">
        <v>447</v>
      </c>
      <c r="GR1" s="293" t="s">
        <v>448</v>
      </c>
      <c r="GS1" s="294" t="s">
        <v>449</v>
      </c>
      <c r="GT1" s="293" t="s">
        <v>450</v>
      </c>
      <c r="GU1" s="293" t="s">
        <v>451</v>
      </c>
      <c r="GV1" s="293" t="s">
        <v>452</v>
      </c>
      <c r="GW1" s="293" t="s">
        <v>453</v>
      </c>
      <c r="GX1" s="293" t="s">
        <v>454</v>
      </c>
      <c r="GY1" s="295" t="s">
        <v>455</v>
      </c>
      <c r="GZ1" s="295" t="s">
        <v>456</v>
      </c>
      <c r="HA1" s="296" t="s">
        <v>457</v>
      </c>
      <c r="HB1" s="296" t="s">
        <v>458</v>
      </c>
      <c r="HC1" s="296" t="s">
        <v>459</v>
      </c>
      <c r="HD1" s="296" t="s">
        <v>460</v>
      </c>
      <c r="HE1" s="296" t="s">
        <v>461</v>
      </c>
      <c r="HF1" s="296" t="s">
        <v>462</v>
      </c>
      <c r="HG1" s="296" t="s">
        <v>463</v>
      </c>
      <c r="HH1" s="296" t="s">
        <v>464</v>
      </c>
      <c r="HI1" s="296" t="s">
        <v>465</v>
      </c>
      <c r="HJ1" s="296" t="s">
        <v>466</v>
      </c>
      <c r="HK1" s="296" t="s">
        <v>467</v>
      </c>
    </row>
    <row r="2" ht="89.25" s="219" customFormat="1">
      <c r="A2" s="267">
        <v>1</v>
      </c>
      <c r="B2" s="267" t="s">
        <v>468</v>
      </c>
      <c r="C2" s="267" t="s">
        <v>469</v>
      </c>
      <c r="D2" s="527" t="s">
        <v>97</v>
      </c>
      <c r="E2" s="267" t="s">
        <v>98</v>
      </c>
      <c r="F2" s="267" t="s">
        <v>6</v>
      </c>
      <c r="G2" s="527" t="s">
        <v>566</v>
      </c>
      <c r="H2" s="527" t="s">
        <v>567</v>
      </c>
      <c r="I2" s="267">
        <v>3</v>
      </c>
      <c r="J2" s="267" t="s">
        <v>100</v>
      </c>
      <c r="K2" s="291" t="s">
        <v>472</v>
      </c>
      <c r="L2" s="291" t="s">
        <v>473</v>
      </c>
      <c r="M2" s="267" t="s">
        <v>474</v>
      </c>
      <c r="N2" s="267" t="s">
        <v>568</v>
      </c>
      <c r="O2" s="267" t="s">
        <v>476</v>
      </c>
      <c r="P2" s="267" t="s">
        <v>477</v>
      </c>
      <c r="Q2" s="267" t="s">
        <v>569</v>
      </c>
      <c r="R2" s="267" t="s">
        <v>570</v>
      </c>
      <c r="S2" s="267" t="s">
        <v>571</v>
      </c>
      <c r="T2" s="267" t="s">
        <v>572</v>
      </c>
      <c r="U2" s="267">
        <v>1</v>
      </c>
      <c r="V2" s="267" t="s">
        <v>573</v>
      </c>
      <c r="W2" s="267" t="b">
        <v>0</v>
      </c>
      <c r="X2" s="267" t="b">
        <v>0</v>
      </c>
      <c r="Y2" s="527">
        <v>0</v>
      </c>
      <c r="Z2" s="267" t="b">
        <v>1</v>
      </c>
      <c r="AA2" s="527">
        <v>0</v>
      </c>
      <c r="AB2" s="267" t="b">
        <v>0</v>
      </c>
      <c r="AC2" s="267" t="b">
        <v>1</v>
      </c>
      <c r="AD2" s="267">
        <v>0</v>
      </c>
      <c r="AE2" s="267">
        <v>0</v>
      </c>
      <c r="AF2" s="267" t="s">
        <v>50</v>
      </c>
      <c r="AG2" s="267">
        <v>0</v>
      </c>
      <c r="AH2" s="279"/>
      <c r="AI2" s="279" t="s">
        <v>483</v>
      </c>
      <c r="AJ2" s="279" t="s">
        <v>484</v>
      </c>
      <c r="AK2" s="267" t="s">
        <v>5</v>
      </c>
      <c r="AL2" s="279" t="s">
        <v>485</v>
      </c>
      <c r="AM2" s="279" t="s">
        <v>485</v>
      </c>
      <c r="AN2" s="279" t="s">
        <v>485</v>
      </c>
      <c r="AO2" s="279" t="s">
        <v>486</v>
      </c>
      <c r="AP2" s="279" t="s">
        <v>486</v>
      </c>
      <c r="AQ2" s="279" t="s">
        <v>486</v>
      </c>
      <c r="AR2" s="279" t="s">
        <v>487</v>
      </c>
      <c r="AS2" s="279" t="s">
        <v>487</v>
      </c>
      <c r="AT2" s="279" t="s">
        <v>487</v>
      </c>
      <c r="AU2" s="279" t="s">
        <v>486</v>
      </c>
      <c r="AV2" s="279" t="s">
        <v>486</v>
      </c>
      <c r="AW2" s="279" t="s">
        <v>486</v>
      </c>
      <c r="AX2" s="279" t="s">
        <v>488</v>
      </c>
      <c r="AY2" s="279" t="s">
        <v>97</v>
      </c>
      <c r="AZ2" s="279" t="s">
        <v>97</v>
      </c>
      <c r="BA2" s="279" t="s">
        <v>97</v>
      </c>
      <c r="BB2" s="279" t="s">
        <v>486</v>
      </c>
      <c r="BC2" s="279" t="s">
        <v>486</v>
      </c>
      <c r="BD2" s="279" t="s">
        <v>486</v>
      </c>
      <c r="BE2" s="279" t="s">
        <v>205</v>
      </c>
      <c r="BF2" s="279" t="s">
        <v>489</v>
      </c>
      <c r="BG2" s="279" t="s">
        <v>490</v>
      </c>
      <c r="BH2" s="279" t="s">
        <v>486</v>
      </c>
      <c r="BI2" s="279" t="s">
        <v>486</v>
      </c>
      <c r="BJ2" s="279" t="s">
        <v>486</v>
      </c>
      <c r="BK2" s="279">
        <v>3</v>
      </c>
      <c r="BL2" s="279">
        <v>3</v>
      </c>
      <c r="BM2" s="279">
        <v>3</v>
      </c>
      <c r="BN2" s="279">
        <v>0</v>
      </c>
      <c r="BO2" s="279">
        <v>0</v>
      </c>
      <c r="BP2" s="279">
        <v>0</v>
      </c>
      <c r="BQ2" s="279" t="s">
        <v>598</v>
      </c>
      <c r="BR2" s="279">
        <v>3</v>
      </c>
      <c r="BS2" s="279">
        <v>3</v>
      </c>
      <c r="BT2" s="279">
        <v>3</v>
      </c>
      <c r="BU2" s="279">
        <v>0</v>
      </c>
      <c r="BV2" s="279" t="s">
        <v>169</v>
      </c>
      <c r="BW2" s="279">
        <v>2</v>
      </c>
      <c r="BX2" s="279">
        <v>2</v>
      </c>
      <c r="BY2" s="279">
        <v>2</v>
      </c>
      <c r="BZ2" s="279">
        <v>0</v>
      </c>
      <c r="CA2" s="279" t="s">
        <v>491</v>
      </c>
      <c r="CB2" s="279">
        <v>1</v>
      </c>
      <c r="CC2" s="279">
        <v>1</v>
      </c>
      <c r="CD2" s="279">
        <v>1</v>
      </c>
      <c r="CE2" s="279">
        <v>0</v>
      </c>
      <c r="CF2" s="279" t="s">
        <v>486</v>
      </c>
      <c r="CG2" s="279">
        <v>0</v>
      </c>
      <c r="CH2" s="279">
        <v>0</v>
      </c>
      <c r="CI2" s="279">
        <v>0</v>
      </c>
      <c r="CJ2" s="279">
        <v>0</v>
      </c>
      <c r="CK2" s="279" t="s">
        <v>486</v>
      </c>
      <c r="CL2" s="279">
        <v>0</v>
      </c>
      <c r="CM2" s="279">
        <v>0</v>
      </c>
      <c r="CN2" s="279">
        <v>0</v>
      </c>
      <c r="CO2" s="279">
        <v>0</v>
      </c>
      <c r="CP2" s="279" t="s">
        <v>486</v>
      </c>
      <c r="CQ2" s="279">
        <v>0</v>
      </c>
      <c r="CR2" s="279">
        <v>0</v>
      </c>
      <c r="CS2" s="279">
        <v>0</v>
      </c>
      <c r="CT2" s="279">
        <v>0</v>
      </c>
      <c r="CU2" s="279" t="s">
        <v>517</v>
      </c>
      <c r="CV2" s="279">
        <v>16</v>
      </c>
      <c r="CW2" s="279">
        <v>16</v>
      </c>
      <c r="CX2" s="279">
        <v>16</v>
      </c>
      <c r="CY2" s="279">
        <v>0</v>
      </c>
      <c r="CZ2" s="279" t="s">
        <v>517</v>
      </c>
      <c r="DA2" s="279">
        <v>16</v>
      </c>
      <c r="DB2" s="279" t="s">
        <v>493</v>
      </c>
      <c r="DC2" s="279">
        <v>60</v>
      </c>
      <c r="DD2" s="279">
        <v>60</v>
      </c>
      <c r="DE2" s="279">
        <v>60</v>
      </c>
      <c r="DF2" s="279">
        <v>0</v>
      </c>
      <c r="DG2" s="279" t="s">
        <v>493</v>
      </c>
      <c r="DH2" s="279">
        <v>60</v>
      </c>
      <c r="DI2" s="279" t="s">
        <v>494</v>
      </c>
      <c r="DJ2" s="279">
        <v>160</v>
      </c>
      <c r="DK2" s="279">
        <v>160</v>
      </c>
      <c r="DL2" s="279">
        <v>160</v>
      </c>
      <c r="DM2" s="279">
        <v>0</v>
      </c>
      <c r="DN2" s="279" t="s">
        <v>494</v>
      </c>
      <c r="DO2" s="279">
        <v>160</v>
      </c>
      <c r="DP2" s="279" t="s">
        <v>486</v>
      </c>
      <c r="DQ2" s="279">
        <v>0</v>
      </c>
      <c r="DR2" s="279">
        <v>0</v>
      </c>
      <c r="DS2" s="279">
        <v>0</v>
      </c>
      <c r="DT2" s="279">
        <v>0</v>
      </c>
      <c r="DU2" s="279" t="s">
        <v>486</v>
      </c>
      <c r="DV2" s="279">
        <v>0</v>
      </c>
      <c r="DW2" s="279" t="s">
        <v>486</v>
      </c>
      <c r="DX2" s="279">
        <v>0</v>
      </c>
      <c r="DY2" s="279">
        <v>0</v>
      </c>
      <c r="DZ2" s="279">
        <v>0</v>
      </c>
      <c r="EA2" s="279">
        <v>0</v>
      </c>
      <c r="EB2" s="279" t="s">
        <v>486</v>
      </c>
      <c r="EC2" s="279">
        <v>0</v>
      </c>
      <c r="ED2" s="279" t="s">
        <v>486</v>
      </c>
      <c r="EE2" s="279">
        <v>0</v>
      </c>
      <c r="EF2" s="279">
        <v>0</v>
      </c>
      <c r="EG2" s="279">
        <v>0</v>
      </c>
      <c r="EH2" s="279">
        <v>0</v>
      </c>
      <c r="EI2" s="279" t="s">
        <v>486</v>
      </c>
      <c r="EJ2" s="279">
        <v>0</v>
      </c>
      <c r="EK2" s="279">
        <v>160</v>
      </c>
      <c r="EL2" s="279" t="s">
        <v>518</v>
      </c>
      <c r="EM2" s="279" t="s">
        <v>496</v>
      </c>
      <c r="EN2" s="279" t="s">
        <v>497</v>
      </c>
      <c r="EO2" s="279" t="s">
        <v>486</v>
      </c>
      <c r="EP2" s="279" t="s">
        <v>486</v>
      </c>
      <c r="EQ2" s="279" t="s">
        <v>486</v>
      </c>
      <c r="ER2" s="279" t="s">
        <v>599</v>
      </c>
      <c r="ES2" s="279">
        <v>27</v>
      </c>
      <c r="ET2" s="279">
        <v>27</v>
      </c>
      <c r="EU2" s="279">
        <v>27</v>
      </c>
      <c r="EV2" s="279">
        <v>0</v>
      </c>
      <c r="EW2" s="279" t="s">
        <v>600</v>
      </c>
      <c r="EX2" s="279" t="s">
        <v>601</v>
      </c>
      <c r="EY2" s="279">
        <v>25</v>
      </c>
      <c r="EZ2" s="279">
        <v>25</v>
      </c>
      <c r="FA2" s="279">
        <v>25</v>
      </c>
      <c r="FB2" s="279">
        <v>0</v>
      </c>
      <c r="FC2" s="279" t="s">
        <v>602</v>
      </c>
      <c r="FD2" s="279" t="s">
        <v>601</v>
      </c>
      <c r="FE2" s="279">
        <v>25</v>
      </c>
      <c r="FF2" s="279">
        <v>25</v>
      </c>
      <c r="FG2" s="279">
        <v>25</v>
      </c>
      <c r="FH2" s="279">
        <v>0</v>
      </c>
      <c r="FI2" s="279" t="s">
        <v>602</v>
      </c>
      <c r="FJ2" s="279" t="s">
        <v>486</v>
      </c>
      <c r="FK2" s="279">
        <v>0</v>
      </c>
      <c r="FL2" s="279">
        <v>0</v>
      </c>
      <c r="FM2" s="279">
        <v>0</v>
      </c>
      <c r="FN2" s="279">
        <v>0</v>
      </c>
      <c r="FO2" s="279" t="s">
        <v>486</v>
      </c>
      <c r="FP2" s="279" t="s">
        <v>486</v>
      </c>
      <c r="FQ2" s="279">
        <v>0</v>
      </c>
      <c r="FR2" s="279">
        <v>0</v>
      </c>
      <c r="FS2" s="279">
        <v>0</v>
      </c>
      <c r="FT2" s="279">
        <v>0</v>
      </c>
      <c r="FU2" s="279" t="s">
        <v>486</v>
      </c>
      <c r="FV2" s="279" t="s">
        <v>486</v>
      </c>
      <c r="FW2" s="279">
        <v>0</v>
      </c>
      <c r="FX2" s="279">
        <v>0</v>
      </c>
      <c r="FY2" s="279">
        <v>0</v>
      </c>
      <c r="FZ2" s="279">
        <v>0</v>
      </c>
      <c r="GA2" s="279" t="s">
        <v>486</v>
      </c>
      <c r="GB2" s="279" t="s">
        <v>51</v>
      </c>
      <c r="GC2" s="279">
        <v>27</v>
      </c>
      <c r="GD2" s="279">
        <v>25</v>
      </c>
      <c r="GE2" s="279">
        <v>25</v>
      </c>
      <c r="GF2" s="279">
        <v>0</v>
      </c>
      <c r="GG2" s="279">
        <v>0</v>
      </c>
      <c r="GH2" s="279">
        <v>0</v>
      </c>
      <c r="GI2" s="527">
        <v>25</v>
      </c>
      <c r="GJ2" s="527">
        <v>25</v>
      </c>
      <c r="GK2" s="279"/>
      <c r="GL2" s="279"/>
      <c r="GM2" s="279"/>
      <c r="GN2" s="279"/>
      <c r="GO2" s="279"/>
      <c r="GP2" s="279"/>
      <c r="GQ2" s="297" t="str">
        <f>IF(LEN(GR2)=4,"B0"&amp;GR2&amp;GS2&amp;GT2,IF(LEN(GR2)=3,"B00"&amp;GR2&amp;GS2&amp;GT2,IF(LEN(GR2)=2,"B000"&amp;GR2&amp;GS2&amp;GT2,IF(LEN(GR2)=1,"B0000"&amp;GR2&amp;GS2&amp;GT2,"B"&amp;GR2&amp;GS2&amp;GT2))))</f>
        <v>B00012070319TG05</v>
      </c>
      <c r="GR2" s="298">
        <v>12</v>
      </c>
      <c r="GS2" s="299" t="str">
        <f>TEXT(GW2,"ddmmyy")</f>
        <v>070319</v>
      </c>
      <c r="GT2" s="297" t="s">
        <v>500</v>
      </c>
      <c r="GU2" s="299" t="str">
        <f ref="GU2:GV2" t="shared" si="1">TEXT(GW2,"dd/mm/yyyy")</f>
        <v>07/03/2019</v>
      </c>
      <c r="GV2" s="299" t="str">
        <f t="shared" si="1"/>
        <v>07/03/2024</v>
      </c>
      <c r="GW2" s="300" t="s">
        <v>603</v>
      </c>
      <c r="GX2" s="299">
        <f>DATE(YEAR(GW2) + 5,MONTH(GW2),DAY(GW2))</f>
        <v>45358</v>
      </c>
      <c r="GY2" s="299" t="b">
        <f>RIGHT(E2,LEN(F2)+1)=(F2&amp;".")</f>
        <v>1</v>
      </c>
      <c r="GZ2" s="299" t="b">
        <f> IF((K2-L2)&gt;120,FALSE,TRUE)</f>
        <v>1</v>
      </c>
      <c r="HA2" s="301">
        <f>IFERROR(MATCH("",AL2:AQ2,0)-1,6)</f>
        <v>3</v>
      </c>
      <c r="HB2" s="302" t="str">
        <f>HA2&amp;"-"&amp;HH2</f>
        <v>3-3</v>
      </c>
      <c r="HC2" s="302" t="str">
        <f>IF(AM2&lt;&gt;"",IF(AM2=AL2,"CHUNG","KHAC"),"")</f>
        <v>CHUNG</v>
      </c>
      <c r="HD2" s="302" t="str">
        <f>IF(AN2&lt;&gt;"",IF(AN2=AL2,"CHUNG","KHAC"),"")</f>
        <v>CHUNG</v>
      </c>
      <c r="HE2" s="302" t="str">
        <f>IF(AO2&lt;&gt;"",IF(AO2=AL2,"CHUNG","KHAC"),"")</f>
      </c>
      <c r="HF2" s="302" t="str">
        <f>IF(AP2&lt;&gt;"",IF(AP2=AL2,"CHUNG","KHAC"),"")</f>
      </c>
      <c r="HG2" s="302" t="str">
        <f>IF(AQ2&lt;&gt;"",IF(AQ2=AL2,"CHUNG","KHAC"),"")</f>
      </c>
      <c r="HH2" s="302">
        <f>IF(COUNTIF(HC2:HG2,"CHUNG")=0,1,COUNTIF(HC2:HG2,"CHUNG")+1)</f>
        <v>3</v>
      </c>
      <c r="HI2" s="303">
        <f>HA2-HH2</f>
        <v>0</v>
      </c>
      <c r="HJ2" s="303" t="str">
        <f>IF(HI2=0,"No","Yes")</f>
        <v>No</v>
      </c>
      <c r="HK2" s="303" t="str">
        <f>IF(HI2=0,"No","Yes")</f>
        <v>No</v>
      </c>
    </row>
    <row r="3" ht="89.25">
      <c r="A3" s="267">
        <v>2</v>
      </c>
      <c r="B3" s="267" t="s">
        <v>468</v>
      </c>
      <c r="C3" s="267" t="s">
        <v>469</v>
      </c>
      <c r="D3" s="527" t="s">
        <v>101</v>
      </c>
      <c r="E3" s="267" t="s">
        <v>102</v>
      </c>
      <c r="F3" s="267" t="s">
        <v>6</v>
      </c>
      <c r="G3" s="527" t="s">
        <v>574</v>
      </c>
      <c r="H3" s="527" t="s">
        <v>575</v>
      </c>
      <c r="I3" s="267">
        <v>3</v>
      </c>
      <c r="J3" s="267" t="s">
        <v>104</v>
      </c>
      <c r="K3" s="291" t="s">
        <v>472</v>
      </c>
      <c r="L3" s="291" t="s">
        <v>473</v>
      </c>
      <c r="M3" s="267" t="s">
        <v>474</v>
      </c>
      <c r="N3" s="267" t="s">
        <v>576</v>
      </c>
      <c r="O3" s="267" t="s">
        <v>577</v>
      </c>
      <c r="P3" s="267" t="s">
        <v>477</v>
      </c>
      <c r="Q3" s="267" t="s">
        <v>578</v>
      </c>
      <c r="R3" s="267" t="s">
        <v>579</v>
      </c>
      <c r="S3" s="267" t="s">
        <v>480</v>
      </c>
      <c r="T3" s="267" t="s">
        <v>580</v>
      </c>
      <c r="U3" s="267">
        <v>1</v>
      </c>
      <c r="V3" s="267" t="s">
        <v>482</v>
      </c>
      <c r="W3" s="267" t="b">
        <v>0</v>
      </c>
      <c r="X3" s="267" t="b">
        <v>0</v>
      </c>
      <c r="Y3" s="527">
        <v>0</v>
      </c>
      <c r="Z3" s="267" t="b">
        <v>1</v>
      </c>
      <c r="AA3" s="527">
        <v>0</v>
      </c>
      <c r="AB3" s="267" t="b">
        <v>0</v>
      </c>
      <c r="AC3" s="267" t="b">
        <v>1</v>
      </c>
      <c r="AD3" s="267">
        <v>0</v>
      </c>
      <c r="AE3" s="267">
        <v>0</v>
      </c>
      <c r="AF3" s="267" t="s">
        <v>50</v>
      </c>
      <c r="AG3" s="267">
        <v>0</v>
      </c>
      <c r="AH3" s="279"/>
      <c r="AI3" s="279" t="s">
        <v>483</v>
      </c>
      <c r="AJ3" s="279" t="s">
        <v>484</v>
      </c>
      <c r="AK3" s="267" t="s">
        <v>5</v>
      </c>
      <c r="AL3" s="279" t="s">
        <v>485</v>
      </c>
      <c r="AM3" s="279" t="s">
        <v>485</v>
      </c>
      <c r="AN3" s="279" t="s">
        <v>485</v>
      </c>
      <c r="AO3" s="279" t="s">
        <v>486</v>
      </c>
      <c r="AP3" s="279" t="s">
        <v>486</v>
      </c>
      <c r="AQ3" s="279" t="s">
        <v>486</v>
      </c>
      <c r="AR3" s="279" t="s">
        <v>487</v>
      </c>
      <c r="AS3" s="279" t="s">
        <v>487</v>
      </c>
      <c r="AT3" s="279" t="s">
        <v>487</v>
      </c>
      <c r="AU3" s="279" t="s">
        <v>486</v>
      </c>
      <c r="AV3" s="279" t="s">
        <v>486</v>
      </c>
      <c r="AW3" s="279" t="s">
        <v>486</v>
      </c>
      <c r="AX3" s="279" t="s">
        <v>488</v>
      </c>
      <c r="AY3" s="279" t="s">
        <v>101</v>
      </c>
      <c r="AZ3" s="279" t="s">
        <v>101</v>
      </c>
      <c r="BA3" s="279" t="s">
        <v>101</v>
      </c>
      <c r="BB3" s="279" t="s">
        <v>486</v>
      </c>
      <c r="BC3" s="279" t="s">
        <v>486</v>
      </c>
      <c r="BD3" s="279" t="s">
        <v>486</v>
      </c>
      <c r="BE3" s="279" t="s">
        <v>205</v>
      </c>
      <c r="BF3" s="279" t="s">
        <v>604</v>
      </c>
      <c r="BG3" s="279" t="s">
        <v>490</v>
      </c>
      <c r="BH3" s="279" t="s">
        <v>486</v>
      </c>
      <c r="BI3" s="279" t="s">
        <v>486</v>
      </c>
      <c r="BJ3" s="279" t="s">
        <v>486</v>
      </c>
      <c r="BK3" s="279">
        <v>3</v>
      </c>
      <c r="BL3" s="279">
        <v>3</v>
      </c>
      <c r="BM3" s="279">
        <v>3</v>
      </c>
      <c r="BN3" s="279">
        <v>0</v>
      </c>
      <c r="BO3" s="279">
        <v>0</v>
      </c>
      <c r="BP3" s="279">
        <v>0</v>
      </c>
      <c r="BQ3" s="279" t="s">
        <v>169</v>
      </c>
      <c r="BR3" s="279">
        <v>2</v>
      </c>
      <c r="BS3" s="279">
        <v>2</v>
      </c>
      <c r="BT3" s="279">
        <v>2</v>
      </c>
      <c r="BU3" s="279">
        <v>0</v>
      </c>
      <c r="BV3" s="279" t="s">
        <v>169</v>
      </c>
      <c r="BW3" s="279">
        <v>2</v>
      </c>
      <c r="BX3" s="279">
        <v>2</v>
      </c>
      <c r="BY3" s="279">
        <v>2</v>
      </c>
      <c r="BZ3" s="279">
        <v>0</v>
      </c>
      <c r="CA3" s="279" t="s">
        <v>491</v>
      </c>
      <c r="CB3" s="279">
        <v>1</v>
      </c>
      <c r="CC3" s="279">
        <v>1</v>
      </c>
      <c r="CD3" s="279">
        <v>1</v>
      </c>
      <c r="CE3" s="279">
        <v>0</v>
      </c>
      <c r="CF3" s="279" t="s">
        <v>486</v>
      </c>
      <c r="CG3" s="279">
        <v>0</v>
      </c>
      <c r="CH3" s="279">
        <v>0</v>
      </c>
      <c r="CI3" s="279">
        <v>0</v>
      </c>
      <c r="CJ3" s="279">
        <v>0</v>
      </c>
      <c r="CK3" s="279" t="s">
        <v>486</v>
      </c>
      <c r="CL3" s="279">
        <v>0</v>
      </c>
      <c r="CM3" s="279">
        <v>0</v>
      </c>
      <c r="CN3" s="279">
        <v>0</v>
      </c>
      <c r="CO3" s="279">
        <v>0</v>
      </c>
      <c r="CP3" s="279" t="s">
        <v>486</v>
      </c>
      <c r="CQ3" s="279">
        <v>0</v>
      </c>
      <c r="CR3" s="279">
        <v>0</v>
      </c>
      <c r="CS3" s="279">
        <v>0</v>
      </c>
      <c r="CT3" s="279">
        <v>0</v>
      </c>
      <c r="CU3" s="279" t="s">
        <v>492</v>
      </c>
      <c r="CV3" s="279">
        <v>20</v>
      </c>
      <c r="CW3" s="279">
        <v>20</v>
      </c>
      <c r="CX3" s="279">
        <v>20</v>
      </c>
      <c r="CY3" s="279">
        <v>0</v>
      </c>
      <c r="CZ3" s="279" t="s">
        <v>492</v>
      </c>
      <c r="DA3" s="279">
        <v>20</v>
      </c>
      <c r="DB3" s="279" t="s">
        <v>605</v>
      </c>
      <c r="DC3" s="279">
        <v>40</v>
      </c>
      <c r="DD3" s="279">
        <v>40</v>
      </c>
      <c r="DE3" s="279">
        <v>40</v>
      </c>
      <c r="DF3" s="279">
        <v>0</v>
      </c>
      <c r="DG3" s="279" t="s">
        <v>605</v>
      </c>
      <c r="DH3" s="279">
        <v>40</v>
      </c>
      <c r="DI3" s="279" t="s">
        <v>494</v>
      </c>
      <c r="DJ3" s="279">
        <v>160</v>
      </c>
      <c r="DK3" s="279">
        <v>160</v>
      </c>
      <c r="DL3" s="279">
        <v>160</v>
      </c>
      <c r="DM3" s="279">
        <v>0</v>
      </c>
      <c r="DN3" s="279" t="s">
        <v>494</v>
      </c>
      <c r="DO3" s="279">
        <v>160</v>
      </c>
      <c r="DP3" s="279" t="s">
        <v>486</v>
      </c>
      <c r="DQ3" s="279">
        <v>0</v>
      </c>
      <c r="DR3" s="279">
        <v>0</v>
      </c>
      <c r="DS3" s="279">
        <v>0</v>
      </c>
      <c r="DT3" s="279">
        <v>0</v>
      </c>
      <c r="DU3" s="279" t="s">
        <v>486</v>
      </c>
      <c r="DV3" s="279">
        <v>0</v>
      </c>
      <c r="DW3" s="279" t="s">
        <v>486</v>
      </c>
      <c r="DX3" s="279">
        <v>0</v>
      </c>
      <c r="DY3" s="279">
        <v>0</v>
      </c>
      <c r="DZ3" s="279">
        <v>0</v>
      </c>
      <c r="EA3" s="279">
        <v>0</v>
      </c>
      <c r="EB3" s="279" t="s">
        <v>486</v>
      </c>
      <c r="EC3" s="279">
        <v>0</v>
      </c>
      <c r="ED3" s="279" t="s">
        <v>486</v>
      </c>
      <c r="EE3" s="279">
        <v>0</v>
      </c>
      <c r="EF3" s="279">
        <v>0</v>
      </c>
      <c r="EG3" s="279">
        <v>0</v>
      </c>
      <c r="EH3" s="279">
        <v>0</v>
      </c>
      <c r="EI3" s="279" t="s">
        <v>486</v>
      </c>
      <c r="EJ3" s="279">
        <v>0</v>
      </c>
      <c r="EK3" s="279">
        <v>160</v>
      </c>
      <c r="EL3" s="279" t="s">
        <v>495</v>
      </c>
      <c r="EM3" s="279" t="s">
        <v>496</v>
      </c>
      <c r="EN3" s="279" t="s">
        <v>497</v>
      </c>
      <c r="EO3" s="279" t="s">
        <v>486</v>
      </c>
      <c r="EP3" s="279" t="s">
        <v>486</v>
      </c>
      <c r="EQ3" s="279" t="s">
        <v>486</v>
      </c>
      <c r="ER3" s="279" t="s">
        <v>606</v>
      </c>
      <c r="ES3" s="279">
        <v>47</v>
      </c>
      <c r="ET3" s="279">
        <v>47</v>
      </c>
      <c r="EU3" s="279">
        <v>47</v>
      </c>
      <c r="EV3" s="279">
        <v>0</v>
      </c>
      <c r="EW3" s="279" t="s">
        <v>607</v>
      </c>
      <c r="EX3" s="279" t="s">
        <v>528</v>
      </c>
      <c r="EY3" s="279">
        <v>35</v>
      </c>
      <c r="EZ3" s="279">
        <v>35</v>
      </c>
      <c r="FA3" s="279">
        <v>35</v>
      </c>
      <c r="FB3" s="279">
        <v>0</v>
      </c>
      <c r="FC3" s="279" t="s">
        <v>529</v>
      </c>
      <c r="FD3" s="279" t="s">
        <v>528</v>
      </c>
      <c r="FE3" s="279">
        <v>35</v>
      </c>
      <c r="FF3" s="279">
        <v>35</v>
      </c>
      <c r="FG3" s="279">
        <v>35</v>
      </c>
      <c r="FH3" s="279">
        <v>0</v>
      </c>
      <c r="FI3" s="279" t="s">
        <v>529</v>
      </c>
      <c r="FJ3" s="279" t="s">
        <v>486</v>
      </c>
      <c r="FK3" s="279">
        <v>0</v>
      </c>
      <c r="FL3" s="279">
        <v>0</v>
      </c>
      <c r="FM3" s="279">
        <v>0</v>
      </c>
      <c r="FN3" s="279">
        <v>0</v>
      </c>
      <c r="FO3" s="279" t="s">
        <v>486</v>
      </c>
      <c r="FP3" s="279" t="s">
        <v>486</v>
      </c>
      <c r="FQ3" s="279">
        <v>0</v>
      </c>
      <c r="FR3" s="279">
        <v>0</v>
      </c>
      <c r="FS3" s="279">
        <v>0</v>
      </c>
      <c r="FT3" s="279">
        <v>0</v>
      </c>
      <c r="FU3" s="279" t="s">
        <v>486</v>
      </c>
      <c r="FV3" s="279" t="s">
        <v>486</v>
      </c>
      <c r="FW3" s="279">
        <v>0</v>
      </c>
      <c r="FX3" s="279">
        <v>0</v>
      </c>
      <c r="FY3" s="279">
        <v>0</v>
      </c>
      <c r="FZ3" s="279">
        <v>0</v>
      </c>
      <c r="GA3" s="279" t="s">
        <v>486</v>
      </c>
      <c r="GB3" s="279" t="s">
        <v>51</v>
      </c>
      <c r="GC3" s="279">
        <v>47</v>
      </c>
      <c r="GD3" s="279">
        <v>35</v>
      </c>
      <c r="GE3" s="279">
        <v>35</v>
      </c>
      <c r="GF3" s="279">
        <v>0</v>
      </c>
      <c r="GG3" s="279">
        <v>0</v>
      </c>
      <c r="GH3" s="279">
        <v>0</v>
      </c>
      <c r="GI3" s="527">
        <v>35</v>
      </c>
      <c r="GJ3" s="527">
        <v>35</v>
      </c>
      <c r="GK3" s="279"/>
      <c r="GL3" s="279"/>
      <c r="GM3" s="279"/>
      <c r="GN3" s="279"/>
      <c r="GO3" s="279"/>
      <c r="GP3" s="279"/>
      <c r="GQ3" s="297" t="str">
        <f ref="GQ3:GQ7" t="shared" si="4">IF(LEN(GR3)=4,"B0"&amp;GR3&amp;GS3&amp;GT3,IF(LEN(GR3)=3,"B00"&amp;GR3&amp;GS3&amp;GT3,IF(LEN(GR3)=2,"B000"&amp;GR3&amp;GS3&amp;GT3,IF(LEN(GR3)=1,"B0000"&amp;GR3&amp;GS3&amp;GT3,"B"&amp;GR3&amp;GS3&amp;GT3))))</f>
        <v>B00013070319TG05</v>
      </c>
      <c r="GR3" s="298">
        <v>13</v>
      </c>
      <c r="GS3" s="299" t="str">
        <f ref="GS3:GS7" t="shared" si="5">TEXT(GW3,"ddmmyy")</f>
        <v>070319</v>
      </c>
      <c r="GT3" s="297" t="s">
        <v>500</v>
      </c>
      <c r="GU3" s="299" t="str">
        <f ref="GU3:GU7" t="shared" si="6">TEXT(GW3,"dd/mm/yyyy")</f>
        <v>07/03/2019</v>
      </c>
      <c r="GV3" s="299" t="str">
        <f ref="GV3:GV7" t="shared" si="7">TEXT(GX3,"dd/mm/yyyy")</f>
        <v>07/03/2024</v>
      </c>
      <c r="GW3" s="300" t="s">
        <v>603</v>
      </c>
      <c r="GX3" s="299">
        <f ref="GX3:GX7" t="shared" si="8">DATE(YEAR(GW3) + 5,MONTH(GW3),DAY(GW3))</f>
        <v>45358</v>
      </c>
      <c r="GY3" s="299" t="b">
        <f ref="GY3:GY7" t="shared" si="9">RIGHT(E3,LEN(F3)+1)=(F3&amp;".")</f>
        <v>1</v>
      </c>
      <c r="GZ3" s="299" t="b">
        <f ref="GZ3:GZ7" t="shared" si="10"> IF((K3-L3)&gt;120,FALSE,TRUE)</f>
        <v>1</v>
      </c>
      <c r="HA3" s="301">
        <f ref="HA3:HA7" t="shared" si="11">IFERROR(MATCH("",AL3:AQ3,0)-1,6)</f>
        <v>3</v>
      </c>
      <c r="HB3" s="302" t="str">
        <f ref="HB3:HB7" t="shared" si="12">HA3&amp;"-"&amp;HH3</f>
        <v>3-3</v>
      </c>
      <c r="HC3" s="302" t="str">
        <f ref="HC3:HC7" t="shared" si="13">IF(AM3&lt;&gt;"",IF(AM3=AL3,"CHUNG","KHAC"),"")</f>
        <v>CHUNG</v>
      </c>
      <c r="HD3" s="302" t="str">
        <f ref="HD3:HD7" t="shared" si="14">IF(AN3&lt;&gt;"",IF(AN3=AL3,"CHUNG","KHAC"),"")</f>
        <v>CHUNG</v>
      </c>
      <c r="HE3" s="302" t="str">
        <f ref="HE3:HE7" t="shared" si="15">IF(AO3&lt;&gt;"",IF(AO3=AL3,"CHUNG","KHAC"),"")</f>
      </c>
      <c r="HF3" s="302" t="str">
        <f ref="HF3:HF7" t="shared" si="16">IF(AP3&lt;&gt;"",IF(AP3=AL3,"CHUNG","KHAC"),"")</f>
      </c>
      <c r="HG3" s="302" t="str">
        <f ref="HG3:HG7" t="shared" si="17">IF(AQ3&lt;&gt;"",IF(AQ3=AL3,"CHUNG","KHAC"),"")</f>
      </c>
      <c r="HH3" s="302">
        <f ref="HH3:HH7" t="shared" si="18">IF(COUNTIF(HC3:HG3,"CHUNG")=0,1,COUNTIF(HC3:HG3,"CHUNG")+1)</f>
        <v>3</v>
      </c>
      <c r="HI3" s="303">
        <f ref="HI3:HI7" t="shared" si="19">HA3-HH3</f>
        <v>0</v>
      </c>
      <c r="HJ3" s="303" t="str">
        <f ref="HJ3:HJ7" t="shared" si="20">IF(HI3=0,"No","Yes")</f>
        <v>No</v>
      </c>
      <c r="HK3" s="303" t="str">
        <f ref="HK3:HK7" t="shared" si="21">IF(HI3=0,"No","Yes")</f>
        <v>No</v>
      </c>
    </row>
    <row r="4" ht="89.25">
      <c r="A4" s="267">
        <v>3</v>
      </c>
      <c r="B4" s="267" t="s">
        <v>468</v>
      </c>
      <c r="C4" s="267" t="s">
        <v>469</v>
      </c>
      <c r="D4" s="527" t="s">
        <v>105</v>
      </c>
      <c r="E4" s="267" t="s">
        <v>106</v>
      </c>
      <c r="F4" s="267" t="s">
        <v>6</v>
      </c>
      <c r="G4" s="527" t="s">
        <v>581</v>
      </c>
      <c r="H4" s="527" t="s">
        <v>582</v>
      </c>
      <c r="I4" s="267">
        <v>3</v>
      </c>
      <c r="J4" s="267" t="s">
        <v>108</v>
      </c>
      <c r="K4" s="291" t="s">
        <v>472</v>
      </c>
      <c r="L4" s="291" t="s">
        <v>473</v>
      </c>
      <c r="M4" s="267" t="s">
        <v>474</v>
      </c>
      <c r="N4" s="267" t="s">
        <v>583</v>
      </c>
      <c r="O4" s="267" t="s">
        <v>577</v>
      </c>
      <c r="P4" s="267" t="s">
        <v>477</v>
      </c>
      <c r="Q4" s="267" t="s">
        <v>578</v>
      </c>
      <c r="R4" s="267" t="s">
        <v>579</v>
      </c>
      <c r="S4" s="267" t="s">
        <v>480</v>
      </c>
      <c r="T4" s="267" t="s">
        <v>584</v>
      </c>
      <c r="U4" s="267">
        <v>1</v>
      </c>
      <c r="V4" s="267" t="s">
        <v>482</v>
      </c>
      <c r="W4" s="267" t="b">
        <v>0</v>
      </c>
      <c r="X4" s="267" t="b">
        <v>0</v>
      </c>
      <c r="Y4" s="527">
        <v>0</v>
      </c>
      <c r="Z4" s="267" t="b">
        <v>1</v>
      </c>
      <c r="AA4" s="527">
        <v>0</v>
      </c>
      <c r="AB4" s="267" t="b">
        <v>0</v>
      </c>
      <c r="AC4" s="267" t="b">
        <v>1</v>
      </c>
      <c r="AD4" s="267">
        <v>0</v>
      </c>
      <c r="AE4" s="267">
        <v>0</v>
      </c>
      <c r="AF4" s="267" t="s">
        <v>50</v>
      </c>
      <c r="AG4" s="267">
        <v>0</v>
      </c>
      <c r="AH4" s="279"/>
      <c r="AI4" s="279" t="s">
        <v>483</v>
      </c>
      <c r="AJ4" s="279" t="s">
        <v>484</v>
      </c>
      <c r="AK4" s="267" t="s">
        <v>5</v>
      </c>
      <c r="AL4" s="279" t="s">
        <v>485</v>
      </c>
      <c r="AM4" s="279" t="s">
        <v>485</v>
      </c>
      <c r="AN4" s="279" t="s">
        <v>485</v>
      </c>
      <c r="AO4" s="279" t="s">
        <v>486</v>
      </c>
      <c r="AP4" s="279" t="s">
        <v>486</v>
      </c>
      <c r="AQ4" s="279" t="s">
        <v>486</v>
      </c>
      <c r="AR4" s="279" t="s">
        <v>487</v>
      </c>
      <c r="AS4" s="279" t="s">
        <v>487</v>
      </c>
      <c r="AT4" s="279" t="s">
        <v>487</v>
      </c>
      <c r="AU4" s="279" t="s">
        <v>486</v>
      </c>
      <c r="AV4" s="279" t="s">
        <v>486</v>
      </c>
      <c r="AW4" s="279" t="s">
        <v>486</v>
      </c>
      <c r="AX4" s="279" t="s">
        <v>488</v>
      </c>
      <c r="AY4" s="279" t="s">
        <v>105</v>
      </c>
      <c r="AZ4" s="279" t="s">
        <v>105</v>
      </c>
      <c r="BA4" s="279" t="s">
        <v>105</v>
      </c>
      <c r="BB4" s="279" t="s">
        <v>486</v>
      </c>
      <c r="BC4" s="279" t="s">
        <v>486</v>
      </c>
      <c r="BD4" s="279" t="s">
        <v>486</v>
      </c>
      <c r="BE4" s="279" t="s">
        <v>205</v>
      </c>
      <c r="BF4" s="279" t="s">
        <v>604</v>
      </c>
      <c r="BG4" s="279" t="s">
        <v>490</v>
      </c>
      <c r="BH4" s="279" t="s">
        <v>486</v>
      </c>
      <c r="BI4" s="279" t="s">
        <v>486</v>
      </c>
      <c r="BJ4" s="279" t="s">
        <v>486</v>
      </c>
      <c r="BK4" s="279">
        <v>3</v>
      </c>
      <c r="BL4" s="279">
        <v>3</v>
      </c>
      <c r="BM4" s="279">
        <v>3</v>
      </c>
      <c r="BN4" s="279">
        <v>0</v>
      </c>
      <c r="BO4" s="279">
        <v>0</v>
      </c>
      <c r="BP4" s="279">
        <v>0</v>
      </c>
      <c r="BQ4" s="279" t="s">
        <v>169</v>
      </c>
      <c r="BR4" s="279">
        <v>2</v>
      </c>
      <c r="BS4" s="279">
        <v>2</v>
      </c>
      <c r="BT4" s="279">
        <v>2</v>
      </c>
      <c r="BU4" s="279">
        <v>0</v>
      </c>
      <c r="BV4" s="279" t="s">
        <v>169</v>
      </c>
      <c r="BW4" s="279">
        <v>2</v>
      </c>
      <c r="BX4" s="279">
        <v>2</v>
      </c>
      <c r="BY4" s="279">
        <v>2</v>
      </c>
      <c r="BZ4" s="279">
        <v>0</v>
      </c>
      <c r="CA4" s="279" t="s">
        <v>491</v>
      </c>
      <c r="CB4" s="279">
        <v>1</v>
      </c>
      <c r="CC4" s="279">
        <v>1</v>
      </c>
      <c r="CD4" s="279">
        <v>1</v>
      </c>
      <c r="CE4" s="279">
        <v>0</v>
      </c>
      <c r="CF4" s="279" t="s">
        <v>486</v>
      </c>
      <c r="CG4" s="279">
        <v>0</v>
      </c>
      <c r="CH4" s="279">
        <v>0</v>
      </c>
      <c r="CI4" s="279">
        <v>0</v>
      </c>
      <c r="CJ4" s="279">
        <v>0</v>
      </c>
      <c r="CK4" s="279" t="s">
        <v>486</v>
      </c>
      <c r="CL4" s="279">
        <v>0</v>
      </c>
      <c r="CM4" s="279">
        <v>0</v>
      </c>
      <c r="CN4" s="279">
        <v>0</v>
      </c>
      <c r="CO4" s="279">
        <v>0</v>
      </c>
      <c r="CP4" s="279" t="s">
        <v>486</v>
      </c>
      <c r="CQ4" s="279">
        <v>0</v>
      </c>
      <c r="CR4" s="279">
        <v>0</v>
      </c>
      <c r="CS4" s="279">
        <v>0</v>
      </c>
      <c r="CT4" s="279">
        <v>0</v>
      </c>
      <c r="CU4" s="279" t="s">
        <v>492</v>
      </c>
      <c r="CV4" s="279">
        <v>20</v>
      </c>
      <c r="CW4" s="279">
        <v>20</v>
      </c>
      <c r="CX4" s="279">
        <v>20</v>
      </c>
      <c r="CY4" s="279">
        <v>0</v>
      </c>
      <c r="CZ4" s="279" t="s">
        <v>492</v>
      </c>
      <c r="DA4" s="279">
        <v>20</v>
      </c>
      <c r="DB4" s="279" t="s">
        <v>605</v>
      </c>
      <c r="DC4" s="279">
        <v>40</v>
      </c>
      <c r="DD4" s="279">
        <v>40</v>
      </c>
      <c r="DE4" s="279">
        <v>40</v>
      </c>
      <c r="DF4" s="279">
        <v>0</v>
      </c>
      <c r="DG4" s="279" t="s">
        <v>605</v>
      </c>
      <c r="DH4" s="279">
        <v>40</v>
      </c>
      <c r="DI4" s="279" t="s">
        <v>494</v>
      </c>
      <c r="DJ4" s="279">
        <v>160</v>
      </c>
      <c r="DK4" s="279">
        <v>160</v>
      </c>
      <c r="DL4" s="279">
        <v>160</v>
      </c>
      <c r="DM4" s="279">
        <v>0</v>
      </c>
      <c r="DN4" s="279" t="s">
        <v>494</v>
      </c>
      <c r="DO4" s="279">
        <v>160</v>
      </c>
      <c r="DP4" s="279" t="s">
        <v>486</v>
      </c>
      <c r="DQ4" s="279">
        <v>0</v>
      </c>
      <c r="DR4" s="279">
        <v>0</v>
      </c>
      <c r="DS4" s="279">
        <v>0</v>
      </c>
      <c r="DT4" s="279">
        <v>0</v>
      </c>
      <c r="DU4" s="279" t="s">
        <v>486</v>
      </c>
      <c r="DV4" s="279">
        <v>0</v>
      </c>
      <c r="DW4" s="279" t="s">
        <v>486</v>
      </c>
      <c r="DX4" s="279">
        <v>0</v>
      </c>
      <c r="DY4" s="279">
        <v>0</v>
      </c>
      <c r="DZ4" s="279">
        <v>0</v>
      </c>
      <c r="EA4" s="279">
        <v>0</v>
      </c>
      <c r="EB4" s="279" t="s">
        <v>486</v>
      </c>
      <c r="EC4" s="279">
        <v>0</v>
      </c>
      <c r="ED4" s="279" t="s">
        <v>486</v>
      </c>
      <c r="EE4" s="279">
        <v>0</v>
      </c>
      <c r="EF4" s="279">
        <v>0</v>
      </c>
      <c r="EG4" s="279">
        <v>0</v>
      </c>
      <c r="EH4" s="279">
        <v>0</v>
      </c>
      <c r="EI4" s="279" t="s">
        <v>486</v>
      </c>
      <c r="EJ4" s="279">
        <v>0</v>
      </c>
      <c r="EK4" s="279">
        <v>160</v>
      </c>
      <c r="EL4" s="279" t="s">
        <v>495</v>
      </c>
      <c r="EM4" s="279" t="s">
        <v>496</v>
      </c>
      <c r="EN4" s="279" t="s">
        <v>497</v>
      </c>
      <c r="EO4" s="279" t="s">
        <v>486</v>
      </c>
      <c r="EP4" s="279" t="s">
        <v>486</v>
      </c>
      <c r="EQ4" s="279" t="s">
        <v>486</v>
      </c>
      <c r="ER4" s="279" t="s">
        <v>608</v>
      </c>
      <c r="ES4" s="279">
        <v>33</v>
      </c>
      <c r="ET4" s="279">
        <v>33</v>
      </c>
      <c r="EU4" s="279">
        <v>33</v>
      </c>
      <c r="EV4" s="279">
        <v>0</v>
      </c>
      <c r="EW4" s="279" t="s">
        <v>609</v>
      </c>
      <c r="EX4" s="279" t="s">
        <v>610</v>
      </c>
      <c r="EY4" s="279">
        <v>26</v>
      </c>
      <c r="EZ4" s="279">
        <v>26</v>
      </c>
      <c r="FA4" s="279">
        <v>26</v>
      </c>
      <c r="FB4" s="279">
        <v>0</v>
      </c>
      <c r="FC4" s="279" t="s">
        <v>611</v>
      </c>
      <c r="FD4" s="279" t="s">
        <v>610</v>
      </c>
      <c r="FE4" s="279">
        <v>26</v>
      </c>
      <c r="FF4" s="279">
        <v>26</v>
      </c>
      <c r="FG4" s="279">
        <v>26</v>
      </c>
      <c r="FH4" s="279">
        <v>0</v>
      </c>
      <c r="FI4" s="279" t="s">
        <v>611</v>
      </c>
      <c r="FJ4" s="279" t="s">
        <v>486</v>
      </c>
      <c r="FK4" s="279">
        <v>0</v>
      </c>
      <c r="FL4" s="279">
        <v>0</v>
      </c>
      <c r="FM4" s="279">
        <v>0</v>
      </c>
      <c r="FN4" s="279">
        <v>0</v>
      </c>
      <c r="FO4" s="279" t="s">
        <v>486</v>
      </c>
      <c r="FP4" s="279" t="s">
        <v>486</v>
      </c>
      <c r="FQ4" s="279">
        <v>0</v>
      </c>
      <c r="FR4" s="279">
        <v>0</v>
      </c>
      <c r="FS4" s="279">
        <v>0</v>
      </c>
      <c r="FT4" s="279">
        <v>0</v>
      </c>
      <c r="FU4" s="279" t="s">
        <v>486</v>
      </c>
      <c r="FV4" s="279" t="s">
        <v>486</v>
      </c>
      <c r="FW4" s="279">
        <v>0</v>
      </c>
      <c r="FX4" s="279">
        <v>0</v>
      </c>
      <c r="FY4" s="279">
        <v>0</v>
      </c>
      <c r="FZ4" s="279">
        <v>0</v>
      </c>
      <c r="GA4" s="279" t="s">
        <v>486</v>
      </c>
      <c r="GB4" s="279" t="s">
        <v>51</v>
      </c>
      <c r="GC4" s="279">
        <v>33</v>
      </c>
      <c r="GD4" s="279">
        <v>26</v>
      </c>
      <c r="GE4" s="279">
        <v>26</v>
      </c>
      <c r="GF4" s="279">
        <v>0</v>
      </c>
      <c r="GG4" s="279">
        <v>0</v>
      </c>
      <c r="GH4" s="279">
        <v>0</v>
      </c>
      <c r="GI4" s="527">
        <v>26</v>
      </c>
      <c r="GJ4" s="527">
        <v>26</v>
      </c>
      <c r="GK4" s="279"/>
      <c r="GL4" s="279"/>
      <c r="GM4" s="279"/>
      <c r="GN4" s="279"/>
      <c r="GO4" s="279"/>
      <c r="GP4" s="279"/>
      <c r="GQ4" s="297" t="str">
        <f t="shared" si="4"/>
        <v>B00014070319TG05</v>
      </c>
      <c r="GR4" s="298">
        <v>14</v>
      </c>
      <c r="GS4" s="299" t="str">
        <f t="shared" si="5"/>
        <v>070319</v>
      </c>
      <c r="GT4" s="297" t="s">
        <v>500</v>
      </c>
      <c r="GU4" s="299" t="str">
        <f t="shared" si="6"/>
        <v>07/03/2019</v>
      </c>
      <c r="GV4" s="299" t="str">
        <f t="shared" si="7"/>
        <v>07/03/2024</v>
      </c>
      <c r="GW4" s="300" t="s">
        <v>603</v>
      </c>
      <c r="GX4" s="299">
        <f t="shared" si="8"/>
        <v>45358</v>
      </c>
      <c r="GY4" s="299" t="b">
        <f t="shared" si="9"/>
        <v>1</v>
      </c>
      <c r="GZ4" s="299" t="b">
        <f t="shared" si="10"/>
        <v>1</v>
      </c>
      <c r="HA4" s="301">
        <f t="shared" si="11"/>
        <v>3</v>
      </c>
      <c r="HB4" s="302" t="str">
        <f t="shared" si="12"/>
        <v>3-3</v>
      </c>
      <c r="HC4" s="302" t="str">
        <f t="shared" si="13"/>
        <v>CHUNG</v>
      </c>
      <c r="HD4" s="302" t="str">
        <f t="shared" si="14"/>
        <v>CHUNG</v>
      </c>
      <c r="HE4" s="302" t="str">
        <f t="shared" si="15"/>
      </c>
      <c r="HF4" s="302" t="str">
        <f t="shared" si="16"/>
      </c>
      <c r="HG4" s="302" t="str">
        <f t="shared" si="17"/>
      </c>
      <c r="HH4" s="302">
        <f t="shared" si="18"/>
        <v>3</v>
      </c>
      <c r="HI4" s="303">
        <f t="shared" si="19"/>
        <v>0</v>
      </c>
      <c r="HJ4" s="303" t="str">
        <f t="shared" si="20"/>
        <v>No</v>
      </c>
      <c r="HK4" s="303" t="str">
        <f t="shared" si="21"/>
        <v>No</v>
      </c>
    </row>
    <row r="5" ht="89.25">
      <c r="A5" s="267">
        <v>4</v>
      </c>
      <c r="B5" s="267" t="s">
        <v>468</v>
      </c>
      <c r="C5" s="267" t="s">
        <v>469</v>
      </c>
      <c r="D5" s="527" t="s">
        <v>109</v>
      </c>
      <c r="E5" s="267" t="s">
        <v>110</v>
      </c>
      <c r="F5" s="267" t="s">
        <v>6</v>
      </c>
      <c r="G5" s="527" t="s">
        <v>585</v>
      </c>
      <c r="H5" s="527" t="s">
        <v>586</v>
      </c>
      <c r="I5" s="267">
        <v>3</v>
      </c>
      <c r="J5" s="267" t="s">
        <v>112</v>
      </c>
      <c r="K5" s="291" t="s">
        <v>472</v>
      </c>
      <c r="L5" s="291" t="s">
        <v>473</v>
      </c>
      <c r="M5" s="267" t="s">
        <v>474</v>
      </c>
      <c r="N5" s="267" t="s">
        <v>587</v>
      </c>
      <c r="O5" s="267" t="s">
        <v>526</v>
      </c>
      <c r="P5" s="267" t="s">
        <v>477</v>
      </c>
      <c r="Q5" s="267" t="s">
        <v>478</v>
      </c>
      <c r="R5" s="267" t="s">
        <v>479</v>
      </c>
      <c r="S5" s="267" t="s">
        <v>480</v>
      </c>
      <c r="T5" s="267" t="s">
        <v>588</v>
      </c>
      <c r="U5" s="267">
        <v>1</v>
      </c>
      <c r="V5" s="267" t="s">
        <v>482</v>
      </c>
      <c r="W5" s="267" t="b">
        <v>0</v>
      </c>
      <c r="X5" s="267" t="b">
        <v>0</v>
      </c>
      <c r="Y5" s="527">
        <v>0</v>
      </c>
      <c r="Z5" s="267" t="b">
        <v>1</v>
      </c>
      <c r="AA5" s="527">
        <v>0</v>
      </c>
      <c r="AB5" s="267" t="b">
        <v>0</v>
      </c>
      <c r="AC5" s="267" t="b">
        <v>1</v>
      </c>
      <c r="AD5" s="267">
        <v>0</v>
      </c>
      <c r="AE5" s="267">
        <v>0</v>
      </c>
      <c r="AF5" s="267" t="s">
        <v>50</v>
      </c>
      <c r="AG5" s="267">
        <v>0</v>
      </c>
      <c r="AH5" s="279"/>
      <c r="AI5" s="279" t="s">
        <v>483</v>
      </c>
      <c r="AJ5" s="279" t="s">
        <v>484</v>
      </c>
      <c r="AK5" s="267" t="s">
        <v>5</v>
      </c>
      <c r="AL5" s="279" t="s">
        <v>485</v>
      </c>
      <c r="AM5" s="279" t="s">
        <v>485</v>
      </c>
      <c r="AN5" s="279" t="s">
        <v>485</v>
      </c>
      <c r="AO5" s="279" t="s">
        <v>486</v>
      </c>
      <c r="AP5" s="279" t="s">
        <v>486</v>
      </c>
      <c r="AQ5" s="279" t="s">
        <v>486</v>
      </c>
      <c r="AR5" s="279" t="s">
        <v>487</v>
      </c>
      <c r="AS5" s="279" t="s">
        <v>487</v>
      </c>
      <c r="AT5" s="279" t="s">
        <v>487</v>
      </c>
      <c r="AU5" s="279" t="s">
        <v>486</v>
      </c>
      <c r="AV5" s="279" t="s">
        <v>486</v>
      </c>
      <c r="AW5" s="279" t="s">
        <v>486</v>
      </c>
      <c r="AX5" s="279" t="s">
        <v>488</v>
      </c>
      <c r="AY5" s="279" t="s">
        <v>109</v>
      </c>
      <c r="AZ5" s="279" t="s">
        <v>109</v>
      </c>
      <c r="BA5" s="279" t="s">
        <v>109</v>
      </c>
      <c r="BB5" s="279" t="s">
        <v>486</v>
      </c>
      <c r="BC5" s="279" t="s">
        <v>486</v>
      </c>
      <c r="BD5" s="279" t="s">
        <v>486</v>
      </c>
      <c r="BE5" s="279" t="s">
        <v>205</v>
      </c>
      <c r="BF5" s="279" t="s">
        <v>514</v>
      </c>
      <c r="BG5" s="279" t="s">
        <v>490</v>
      </c>
      <c r="BH5" s="279" t="s">
        <v>486</v>
      </c>
      <c r="BI5" s="279" t="s">
        <v>486</v>
      </c>
      <c r="BJ5" s="279" t="s">
        <v>486</v>
      </c>
      <c r="BK5" s="279">
        <v>3</v>
      </c>
      <c r="BL5" s="279">
        <v>3</v>
      </c>
      <c r="BM5" s="279">
        <v>3</v>
      </c>
      <c r="BN5" s="279">
        <v>0</v>
      </c>
      <c r="BO5" s="279">
        <v>0</v>
      </c>
      <c r="BP5" s="279">
        <v>0</v>
      </c>
      <c r="BQ5" s="279" t="s">
        <v>168</v>
      </c>
      <c r="BR5" s="279">
        <v>4</v>
      </c>
      <c r="BS5" s="279">
        <v>4</v>
      </c>
      <c r="BT5" s="279">
        <v>4</v>
      </c>
      <c r="BU5" s="279">
        <v>0</v>
      </c>
      <c r="BV5" s="279" t="s">
        <v>169</v>
      </c>
      <c r="BW5" s="279">
        <v>2</v>
      </c>
      <c r="BX5" s="279">
        <v>2</v>
      </c>
      <c r="BY5" s="279">
        <v>2</v>
      </c>
      <c r="BZ5" s="279">
        <v>0</v>
      </c>
      <c r="CA5" s="279" t="s">
        <v>491</v>
      </c>
      <c r="CB5" s="279">
        <v>1</v>
      </c>
      <c r="CC5" s="279">
        <v>1</v>
      </c>
      <c r="CD5" s="279">
        <v>1</v>
      </c>
      <c r="CE5" s="279">
        <v>0</v>
      </c>
      <c r="CF5" s="279" t="s">
        <v>486</v>
      </c>
      <c r="CG5" s="279">
        <v>0</v>
      </c>
      <c r="CH5" s="279">
        <v>0</v>
      </c>
      <c r="CI5" s="279">
        <v>0</v>
      </c>
      <c r="CJ5" s="279">
        <v>0</v>
      </c>
      <c r="CK5" s="279" t="s">
        <v>486</v>
      </c>
      <c r="CL5" s="279">
        <v>0</v>
      </c>
      <c r="CM5" s="279">
        <v>0</v>
      </c>
      <c r="CN5" s="279">
        <v>0</v>
      </c>
      <c r="CO5" s="279">
        <v>0</v>
      </c>
      <c r="CP5" s="279" t="s">
        <v>486</v>
      </c>
      <c r="CQ5" s="279">
        <v>0</v>
      </c>
      <c r="CR5" s="279">
        <v>0</v>
      </c>
      <c r="CS5" s="279">
        <v>0</v>
      </c>
      <c r="CT5" s="279">
        <v>0</v>
      </c>
      <c r="CU5" s="279" t="s">
        <v>492</v>
      </c>
      <c r="CV5" s="279">
        <v>20</v>
      </c>
      <c r="CW5" s="279">
        <v>20</v>
      </c>
      <c r="CX5" s="279">
        <v>20</v>
      </c>
      <c r="CY5" s="279">
        <v>0</v>
      </c>
      <c r="CZ5" s="279" t="s">
        <v>492</v>
      </c>
      <c r="DA5" s="279">
        <v>20</v>
      </c>
      <c r="DB5" s="279" t="s">
        <v>493</v>
      </c>
      <c r="DC5" s="279">
        <v>60</v>
      </c>
      <c r="DD5" s="279">
        <v>60</v>
      </c>
      <c r="DE5" s="279">
        <v>60</v>
      </c>
      <c r="DF5" s="279">
        <v>0</v>
      </c>
      <c r="DG5" s="279" t="s">
        <v>493</v>
      </c>
      <c r="DH5" s="279">
        <v>60</v>
      </c>
      <c r="DI5" s="279" t="s">
        <v>494</v>
      </c>
      <c r="DJ5" s="279">
        <v>160</v>
      </c>
      <c r="DK5" s="279">
        <v>160</v>
      </c>
      <c r="DL5" s="279">
        <v>160</v>
      </c>
      <c r="DM5" s="279">
        <v>0</v>
      </c>
      <c r="DN5" s="279" t="s">
        <v>494</v>
      </c>
      <c r="DO5" s="279">
        <v>160</v>
      </c>
      <c r="DP5" s="279" t="s">
        <v>486</v>
      </c>
      <c r="DQ5" s="279">
        <v>0</v>
      </c>
      <c r="DR5" s="279">
        <v>0</v>
      </c>
      <c r="DS5" s="279">
        <v>0</v>
      </c>
      <c r="DT5" s="279">
        <v>0</v>
      </c>
      <c r="DU5" s="279" t="s">
        <v>486</v>
      </c>
      <c r="DV5" s="279">
        <v>0</v>
      </c>
      <c r="DW5" s="279" t="s">
        <v>486</v>
      </c>
      <c r="DX5" s="279">
        <v>0</v>
      </c>
      <c r="DY5" s="279">
        <v>0</v>
      </c>
      <c r="DZ5" s="279">
        <v>0</v>
      </c>
      <c r="EA5" s="279">
        <v>0</v>
      </c>
      <c r="EB5" s="279" t="s">
        <v>486</v>
      </c>
      <c r="EC5" s="279">
        <v>0</v>
      </c>
      <c r="ED5" s="279" t="s">
        <v>486</v>
      </c>
      <c r="EE5" s="279">
        <v>0</v>
      </c>
      <c r="EF5" s="279">
        <v>0</v>
      </c>
      <c r="EG5" s="279">
        <v>0</v>
      </c>
      <c r="EH5" s="279">
        <v>0</v>
      </c>
      <c r="EI5" s="279" t="s">
        <v>486</v>
      </c>
      <c r="EJ5" s="279">
        <v>0</v>
      </c>
      <c r="EK5" s="279">
        <v>160</v>
      </c>
      <c r="EL5" s="279" t="s">
        <v>495</v>
      </c>
      <c r="EM5" s="279" t="s">
        <v>496</v>
      </c>
      <c r="EN5" s="279" t="s">
        <v>497</v>
      </c>
      <c r="EO5" s="279" t="s">
        <v>486</v>
      </c>
      <c r="EP5" s="279" t="s">
        <v>486</v>
      </c>
      <c r="EQ5" s="279" t="s">
        <v>486</v>
      </c>
      <c r="ER5" s="279" t="s">
        <v>599</v>
      </c>
      <c r="ES5" s="279">
        <v>27</v>
      </c>
      <c r="ET5" s="279">
        <v>27</v>
      </c>
      <c r="EU5" s="279">
        <v>27</v>
      </c>
      <c r="EV5" s="279">
        <v>0</v>
      </c>
      <c r="EW5" s="279" t="s">
        <v>600</v>
      </c>
      <c r="EX5" s="279" t="s">
        <v>612</v>
      </c>
      <c r="EY5" s="279">
        <v>24</v>
      </c>
      <c r="EZ5" s="279">
        <v>24</v>
      </c>
      <c r="FA5" s="279">
        <v>24</v>
      </c>
      <c r="FB5" s="279">
        <v>0</v>
      </c>
      <c r="FC5" s="279" t="s">
        <v>613</v>
      </c>
      <c r="FD5" s="279" t="s">
        <v>612</v>
      </c>
      <c r="FE5" s="279">
        <v>24</v>
      </c>
      <c r="FF5" s="279">
        <v>24</v>
      </c>
      <c r="FG5" s="279">
        <v>24</v>
      </c>
      <c r="FH5" s="279">
        <v>0</v>
      </c>
      <c r="FI5" s="279" t="s">
        <v>613</v>
      </c>
      <c r="FJ5" s="279" t="s">
        <v>486</v>
      </c>
      <c r="FK5" s="279">
        <v>0</v>
      </c>
      <c r="FL5" s="279">
        <v>0</v>
      </c>
      <c r="FM5" s="279">
        <v>0</v>
      </c>
      <c r="FN5" s="279">
        <v>0</v>
      </c>
      <c r="FO5" s="279" t="s">
        <v>486</v>
      </c>
      <c r="FP5" s="279" t="s">
        <v>486</v>
      </c>
      <c r="FQ5" s="279">
        <v>0</v>
      </c>
      <c r="FR5" s="279">
        <v>0</v>
      </c>
      <c r="FS5" s="279">
        <v>0</v>
      </c>
      <c r="FT5" s="279">
        <v>0</v>
      </c>
      <c r="FU5" s="279" t="s">
        <v>486</v>
      </c>
      <c r="FV5" s="279" t="s">
        <v>486</v>
      </c>
      <c r="FW5" s="279">
        <v>0</v>
      </c>
      <c r="FX5" s="279">
        <v>0</v>
      </c>
      <c r="FY5" s="279">
        <v>0</v>
      </c>
      <c r="FZ5" s="279">
        <v>0</v>
      </c>
      <c r="GA5" s="279" t="s">
        <v>486</v>
      </c>
      <c r="GB5" s="279" t="s">
        <v>51</v>
      </c>
      <c r="GC5" s="279">
        <v>27</v>
      </c>
      <c r="GD5" s="279">
        <v>24</v>
      </c>
      <c r="GE5" s="279">
        <v>24</v>
      </c>
      <c r="GF5" s="279">
        <v>0</v>
      </c>
      <c r="GG5" s="279">
        <v>0</v>
      </c>
      <c r="GH5" s="279">
        <v>0</v>
      </c>
      <c r="GI5" s="527">
        <v>24</v>
      </c>
      <c r="GJ5" s="527">
        <v>24</v>
      </c>
      <c r="GK5" s="279"/>
      <c r="GL5" s="279"/>
      <c r="GM5" s="279"/>
      <c r="GN5" s="279"/>
      <c r="GO5" s="279"/>
      <c r="GP5" s="279"/>
      <c r="GQ5" s="297" t="str">
        <f t="shared" si="4"/>
        <v>B00015070319TG05</v>
      </c>
      <c r="GR5" s="298">
        <v>15</v>
      </c>
      <c r="GS5" s="299" t="str">
        <f t="shared" si="5"/>
        <v>070319</v>
      </c>
      <c r="GT5" s="297" t="s">
        <v>500</v>
      </c>
      <c r="GU5" s="299" t="str">
        <f t="shared" si="6"/>
        <v>07/03/2019</v>
      </c>
      <c r="GV5" s="299" t="str">
        <f t="shared" si="7"/>
        <v>07/03/2024</v>
      </c>
      <c r="GW5" s="300" t="s">
        <v>603</v>
      </c>
      <c r="GX5" s="299">
        <f t="shared" si="8"/>
        <v>45358</v>
      </c>
      <c r="GY5" s="299" t="b">
        <f t="shared" si="9"/>
        <v>1</v>
      </c>
      <c r="GZ5" s="299" t="b">
        <f t="shared" si="10"/>
        <v>1</v>
      </c>
      <c r="HA5" s="301">
        <f t="shared" si="11"/>
        <v>3</v>
      </c>
      <c r="HB5" s="302" t="str">
        <f t="shared" si="12"/>
        <v>3-3</v>
      </c>
      <c r="HC5" s="302" t="str">
        <f t="shared" si="13"/>
        <v>CHUNG</v>
      </c>
      <c r="HD5" s="302" t="str">
        <f t="shared" si="14"/>
        <v>CHUNG</v>
      </c>
      <c r="HE5" s="302" t="str">
        <f t="shared" si="15"/>
      </c>
      <c r="HF5" s="302" t="str">
        <f t="shared" si="16"/>
      </c>
      <c r="HG5" s="302" t="str">
        <f t="shared" si="17"/>
      </c>
      <c r="HH5" s="302">
        <f t="shared" si="18"/>
        <v>3</v>
      </c>
      <c r="HI5" s="303">
        <f t="shared" si="19"/>
        <v>0</v>
      </c>
      <c r="HJ5" s="303" t="str">
        <f t="shared" si="20"/>
        <v>No</v>
      </c>
      <c r="HK5" s="303" t="str">
        <f t="shared" si="21"/>
        <v>No</v>
      </c>
    </row>
    <row r="6" ht="89.25">
      <c r="A6" s="267">
        <v>5</v>
      </c>
      <c r="B6" s="267" t="s">
        <v>468</v>
      </c>
      <c r="C6" s="267" t="s">
        <v>469</v>
      </c>
      <c r="D6" s="527" t="s">
        <v>113</v>
      </c>
      <c r="E6" s="267" t="s">
        <v>114</v>
      </c>
      <c r="F6" s="267" t="s">
        <v>6</v>
      </c>
      <c r="G6" s="527" t="s">
        <v>589</v>
      </c>
      <c r="H6" s="527" t="s">
        <v>590</v>
      </c>
      <c r="I6" s="267">
        <v>3</v>
      </c>
      <c r="J6" s="267" t="s">
        <v>116</v>
      </c>
      <c r="K6" s="291" t="s">
        <v>472</v>
      </c>
      <c r="L6" s="291" t="s">
        <v>473</v>
      </c>
      <c r="M6" s="267" t="s">
        <v>474</v>
      </c>
      <c r="N6" s="267" t="s">
        <v>591</v>
      </c>
      <c r="O6" s="267" t="s">
        <v>577</v>
      </c>
      <c r="P6" s="267" t="s">
        <v>477</v>
      </c>
      <c r="Q6" s="267" t="s">
        <v>578</v>
      </c>
      <c r="R6" s="267" t="s">
        <v>579</v>
      </c>
      <c r="S6" s="267" t="s">
        <v>480</v>
      </c>
      <c r="T6" s="267" t="s">
        <v>592</v>
      </c>
      <c r="U6" s="267">
        <v>1</v>
      </c>
      <c r="V6" s="267" t="s">
        <v>482</v>
      </c>
      <c r="W6" s="267" t="b">
        <v>0</v>
      </c>
      <c r="X6" s="267" t="b">
        <v>0</v>
      </c>
      <c r="Y6" s="527">
        <v>0</v>
      </c>
      <c r="Z6" s="267" t="b">
        <v>1</v>
      </c>
      <c r="AA6" s="527">
        <v>0</v>
      </c>
      <c r="AB6" s="267" t="b">
        <v>0</v>
      </c>
      <c r="AC6" s="267" t="b">
        <v>1</v>
      </c>
      <c r="AD6" s="267">
        <v>0</v>
      </c>
      <c r="AE6" s="267">
        <v>0</v>
      </c>
      <c r="AF6" s="267" t="s">
        <v>50</v>
      </c>
      <c r="AG6" s="267">
        <v>0</v>
      </c>
      <c r="AH6" s="279"/>
      <c r="AI6" s="279" t="s">
        <v>483</v>
      </c>
      <c r="AJ6" s="279" t="s">
        <v>484</v>
      </c>
      <c r="AK6" s="267" t="s">
        <v>5</v>
      </c>
      <c r="AL6" s="279" t="s">
        <v>485</v>
      </c>
      <c r="AM6" s="279" t="s">
        <v>485</v>
      </c>
      <c r="AN6" s="279" t="s">
        <v>485</v>
      </c>
      <c r="AO6" s="279" t="s">
        <v>486</v>
      </c>
      <c r="AP6" s="279" t="s">
        <v>486</v>
      </c>
      <c r="AQ6" s="279" t="s">
        <v>486</v>
      </c>
      <c r="AR6" s="279" t="s">
        <v>487</v>
      </c>
      <c r="AS6" s="279" t="s">
        <v>487</v>
      </c>
      <c r="AT6" s="279" t="s">
        <v>487</v>
      </c>
      <c r="AU6" s="279" t="s">
        <v>486</v>
      </c>
      <c r="AV6" s="279" t="s">
        <v>486</v>
      </c>
      <c r="AW6" s="279" t="s">
        <v>486</v>
      </c>
      <c r="AX6" s="279" t="s">
        <v>488</v>
      </c>
      <c r="AY6" s="279" t="s">
        <v>113</v>
      </c>
      <c r="AZ6" s="279" t="s">
        <v>113</v>
      </c>
      <c r="BA6" s="279" t="s">
        <v>113</v>
      </c>
      <c r="BB6" s="279" t="s">
        <v>486</v>
      </c>
      <c r="BC6" s="279" t="s">
        <v>486</v>
      </c>
      <c r="BD6" s="279" t="s">
        <v>486</v>
      </c>
      <c r="BE6" s="279" t="s">
        <v>205</v>
      </c>
      <c r="BF6" s="279" t="s">
        <v>604</v>
      </c>
      <c r="BG6" s="279" t="s">
        <v>490</v>
      </c>
      <c r="BH6" s="279" t="s">
        <v>486</v>
      </c>
      <c r="BI6" s="279" t="s">
        <v>486</v>
      </c>
      <c r="BJ6" s="279" t="s">
        <v>486</v>
      </c>
      <c r="BK6" s="279">
        <v>3</v>
      </c>
      <c r="BL6" s="279">
        <v>3</v>
      </c>
      <c r="BM6" s="279">
        <v>3</v>
      </c>
      <c r="BN6" s="279">
        <v>0</v>
      </c>
      <c r="BO6" s="279">
        <v>0</v>
      </c>
      <c r="BP6" s="279">
        <v>0</v>
      </c>
      <c r="BQ6" s="279" t="s">
        <v>169</v>
      </c>
      <c r="BR6" s="279">
        <v>2</v>
      </c>
      <c r="BS6" s="279">
        <v>2</v>
      </c>
      <c r="BT6" s="279">
        <v>2</v>
      </c>
      <c r="BU6" s="279">
        <v>0</v>
      </c>
      <c r="BV6" s="279" t="s">
        <v>169</v>
      </c>
      <c r="BW6" s="279">
        <v>2</v>
      </c>
      <c r="BX6" s="279">
        <v>2</v>
      </c>
      <c r="BY6" s="279">
        <v>2</v>
      </c>
      <c r="BZ6" s="279">
        <v>0</v>
      </c>
      <c r="CA6" s="279" t="s">
        <v>491</v>
      </c>
      <c r="CB6" s="279">
        <v>1</v>
      </c>
      <c r="CC6" s="279">
        <v>1</v>
      </c>
      <c r="CD6" s="279">
        <v>1</v>
      </c>
      <c r="CE6" s="279">
        <v>0</v>
      </c>
      <c r="CF6" s="279" t="s">
        <v>486</v>
      </c>
      <c r="CG6" s="279">
        <v>0</v>
      </c>
      <c r="CH6" s="279">
        <v>0</v>
      </c>
      <c r="CI6" s="279">
        <v>0</v>
      </c>
      <c r="CJ6" s="279">
        <v>0</v>
      </c>
      <c r="CK6" s="279" t="s">
        <v>486</v>
      </c>
      <c r="CL6" s="279">
        <v>0</v>
      </c>
      <c r="CM6" s="279">
        <v>0</v>
      </c>
      <c r="CN6" s="279">
        <v>0</v>
      </c>
      <c r="CO6" s="279">
        <v>0</v>
      </c>
      <c r="CP6" s="279" t="s">
        <v>486</v>
      </c>
      <c r="CQ6" s="279">
        <v>0</v>
      </c>
      <c r="CR6" s="279">
        <v>0</v>
      </c>
      <c r="CS6" s="279">
        <v>0</v>
      </c>
      <c r="CT6" s="279">
        <v>0</v>
      </c>
      <c r="CU6" s="279" t="s">
        <v>492</v>
      </c>
      <c r="CV6" s="279">
        <v>20</v>
      </c>
      <c r="CW6" s="279">
        <v>20</v>
      </c>
      <c r="CX6" s="279">
        <v>20</v>
      </c>
      <c r="CY6" s="279">
        <v>0</v>
      </c>
      <c r="CZ6" s="279" t="s">
        <v>492</v>
      </c>
      <c r="DA6" s="279">
        <v>20</v>
      </c>
      <c r="DB6" s="279" t="s">
        <v>605</v>
      </c>
      <c r="DC6" s="279">
        <v>40</v>
      </c>
      <c r="DD6" s="279">
        <v>40</v>
      </c>
      <c r="DE6" s="279">
        <v>40</v>
      </c>
      <c r="DF6" s="279">
        <v>0</v>
      </c>
      <c r="DG6" s="279" t="s">
        <v>605</v>
      </c>
      <c r="DH6" s="279">
        <v>40</v>
      </c>
      <c r="DI6" s="279" t="s">
        <v>494</v>
      </c>
      <c r="DJ6" s="279">
        <v>160</v>
      </c>
      <c r="DK6" s="279">
        <v>160</v>
      </c>
      <c r="DL6" s="279">
        <v>160</v>
      </c>
      <c r="DM6" s="279">
        <v>0</v>
      </c>
      <c r="DN6" s="279" t="s">
        <v>494</v>
      </c>
      <c r="DO6" s="279">
        <v>160</v>
      </c>
      <c r="DP6" s="279" t="s">
        <v>486</v>
      </c>
      <c r="DQ6" s="279">
        <v>0</v>
      </c>
      <c r="DR6" s="279">
        <v>0</v>
      </c>
      <c r="DS6" s="279">
        <v>0</v>
      </c>
      <c r="DT6" s="279">
        <v>0</v>
      </c>
      <c r="DU6" s="279" t="s">
        <v>486</v>
      </c>
      <c r="DV6" s="279">
        <v>0</v>
      </c>
      <c r="DW6" s="279" t="s">
        <v>486</v>
      </c>
      <c r="DX6" s="279">
        <v>0</v>
      </c>
      <c r="DY6" s="279">
        <v>0</v>
      </c>
      <c r="DZ6" s="279">
        <v>0</v>
      </c>
      <c r="EA6" s="279">
        <v>0</v>
      </c>
      <c r="EB6" s="279" t="s">
        <v>486</v>
      </c>
      <c r="EC6" s="279">
        <v>0</v>
      </c>
      <c r="ED6" s="279" t="s">
        <v>486</v>
      </c>
      <c r="EE6" s="279">
        <v>0</v>
      </c>
      <c r="EF6" s="279">
        <v>0</v>
      </c>
      <c r="EG6" s="279">
        <v>0</v>
      </c>
      <c r="EH6" s="279">
        <v>0</v>
      </c>
      <c r="EI6" s="279" t="s">
        <v>486</v>
      </c>
      <c r="EJ6" s="279">
        <v>0</v>
      </c>
      <c r="EK6" s="279">
        <v>160</v>
      </c>
      <c r="EL6" s="279" t="s">
        <v>495</v>
      </c>
      <c r="EM6" s="279" t="s">
        <v>496</v>
      </c>
      <c r="EN6" s="279" t="s">
        <v>497</v>
      </c>
      <c r="EO6" s="279" t="s">
        <v>486</v>
      </c>
      <c r="EP6" s="279" t="s">
        <v>486</v>
      </c>
      <c r="EQ6" s="279" t="s">
        <v>486</v>
      </c>
      <c r="ER6" s="279" t="s">
        <v>530</v>
      </c>
      <c r="ES6" s="279">
        <v>28</v>
      </c>
      <c r="ET6" s="279">
        <v>28</v>
      </c>
      <c r="EU6" s="279">
        <v>28</v>
      </c>
      <c r="EV6" s="279">
        <v>0</v>
      </c>
      <c r="EW6" s="279" t="s">
        <v>531</v>
      </c>
      <c r="EX6" s="279" t="s">
        <v>614</v>
      </c>
      <c r="EY6" s="279">
        <v>30</v>
      </c>
      <c r="EZ6" s="279">
        <v>30</v>
      </c>
      <c r="FA6" s="279">
        <v>30</v>
      </c>
      <c r="FB6" s="279">
        <v>0</v>
      </c>
      <c r="FC6" s="279" t="s">
        <v>615</v>
      </c>
      <c r="FD6" s="279" t="s">
        <v>614</v>
      </c>
      <c r="FE6" s="279">
        <v>30</v>
      </c>
      <c r="FF6" s="279">
        <v>30</v>
      </c>
      <c r="FG6" s="279">
        <v>30</v>
      </c>
      <c r="FH6" s="279">
        <v>0</v>
      </c>
      <c r="FI6" s="279" t="s">
        <v>615</v>
      </c>
      <c r="FJ6" s="279" t="s">
        <v>486</v>
      </c>
      <c r="FK6" s="279">
        <v>0</v>
      </c>
      <c r="FL6" s="279">
        <v>0</v>
      </c>
      <c r="FM6" s="279">
        <v>0</v>
      </c>
      <c r="FN6" s="279">
        <v>0</v>
      </c>
      <c r="FO6" s="279" t="s">
        <v>486</v>
      </c>
      <c r="FP6" s="279" t="s">
        <v>486</v>
      </c>
      <c r="FQ6" s="279">
        <v>0</v>
      </c>
      <c r="FR6" s="279">
        <v>0</v>
      </c>
      <c r="FS6" s="279">
        <v>0</v>
      </c>
      <c r="FT6" s="279">
        <v>0</v>
      </c>
      <c r="FU6" s="279" t="s">
        <v>486</v>
      </c>
      <c r="FV6" s="279" t="s">
        <v>486</v>
      </c>
      <c r="FW6" s="279">
        <v>0</v>
      </c>
      <c r="FX6" s="279">
        <v>0</v>
      </c>
      <c r="FY6" s="279">
        <v>0</v>
      </c>
      <c r="FZ6" s="279">
        <v>0</v>
      </c>
      <c r="GA6" s="279" t="s">
        <v>486</v>
      </c>
      <c r="GB6" s="279" t="s">
        <v>51</v>
      </c>
      <c r="GC6" s="279">
        <v>28</v>
      </c>
      <c r="GD6" s="279">
        <v>30</v>
      </c>
      <c r="GE6" s="279">
        <v>30</v>
      </c>
      <c r="GF6" s="279">
        <v>0</v>
      </c>
      <c r="GG6" s="279">
        <v>0</v>
      </c>
      <c r="GH6" s="279">
        <v>0</v>
      </c>
      <c r="GI6" s="527">
        <v>28</v>
      </c>
      <c r="GJ6" s="527">
        <v>28</v>
      </c>
      <c r="GK6" s="279"/>
      <c r="GL6" s="279"/>
      <c r="GM6" s="279"/>
      <c r="GN6" s="279"/>
      <c r="GO6" s="279"/>
      <c r="GP6" s="279"/>
      <c r="GQ6" s="297" t="str">
        <f t="shared" si="4"/>
        <v>B00016070319TG05</v>
      </c>
      <c r="GR6" s="298">
        <v>16</v>
      </c>
      <c r="GS6" s="299" t="str">
        <f t="shared" si="5"/>
        <v>070319</v>
      </c>
      <c r="GT6" s="297" t="s">
        <v>500</v>
      </c>
      <c r="GU6" s="299" t="str">
        <f t="shared" si="6"/>
        <v>07/03/2019</v>
      </c>
      <c r="GV6" s="299" t="str">
        <f t="shared" si="7"/>
        <v>07/03/2024</v>
      </c>
      <c r="GW6" s="300" t="s">
        <v>603</v>
      </c>
      <c r="GX6" s="299">
        <f t="shared" si="8"/>
        <v>45358</v>
      </c>
      <c r="GY6" s="299" t="b">
        <f t="shared" si="9"/>
        <v>1</v>
      </c>
      <c r="GZ6" s="299" t="b">
        <f t="shared" si="10"/>
        <v>1</v>
      </c>
      <c r="HA6" s="301">
        <f t="shared" si="11"/>
        <v>3</v>
      </c>
      <c r="HB6" s="302" t="str">
        <f t="shared" si="12"/>
        <v>3-3</v>
      </c>
      <c r="HC6" s="302" t="str">
        <f t="shared" si="13"/>
        <v>CHUNG</v>
      </c>
      <c r="HD6" s="302" t="str">
        <f t="shared" si="14"/>
        <v>CHUNG</v>
      </c>
      <c r="HE6" s="302" t="str">
        <f t="shared" si="15"/>
      </c>
      <c r="HF6" s="302" t="str">
        <f t="shared" si="16"/>
      </c>
      <c r="HG6" s="302" t="str">
        <f t="shared" si="17"/>
      </c>
      <c r="HH6" s="302">
        <f t="shared" si="18"/>
        <v>3</v>
      </c>
      <c r="HI6" s="303">
        <f t="shared" si="19"/>
        <v>0</v>
      </c>
      <c r="HJ6" s="303" t="str">
        <f t="shared" si="20"/>
        <v>No</v>
      </c>
      <c r="HK6" s="303" t="str">
        <f t="shared" si="21"/>
        <v>No</v>
      </c>
    </row>
    <row r="7" ht="89.25">
      <c r="A7" s="267">
        <v>6</v>
      </c>
      <c r="B7" s="267" t="s">
        <v>468</v>
      </c>
      <c r="C7" s="267" t="s">
        <v>469</v>
      </c>
      <c r="D7" s="527" t="s">
        <v>117</v>
      </c>
      <c r="E7" s="267" t="s">
        <v>118</v>
      </c>
      <c r="F7" s="267" t="s">
        <v>6</v>
      </c>
      <c r="G7" s="527" t="s">
        <v>593</v>
      </c>
      <c r="H7" s="527" t="s">
        <v>594</v>
      </c>
      <c r="I7" s="267">
        <v>3</v>
      </c>
      <c r="J7" s="267" t="s">
        <v>120</v>
      </c>
      <c r="K7" s="291" t="s">
        <v>472</v>
      </c>
      <c r="L7" s="291" t="s">
        <v>616</v>
      </c>
      <c r="M7" s="267" t="s">
        <v>474</v>
      </c>
      <c r="N7" s="267" t="s">
        <v>595</v>
      </c>
      <c r="O7" s="267" t="s">
        <v>577</v>
      </c>
      <c r="P7" s="267" t="s">
        <v>477</v>
      </c>
      <c r="Q7" s="267" t="s">
        <v>596</v>
      </c>
      <c r="R7" s="267" t="s">
        <v>579</v>
      </c>
      <c r="S7" s="267" t="s">
        <v>480</v>
      </c>
      <c r="T7" s="267" t="s">
        <v>597</v>
      </c>
      <c r="U7" s="267">
        <v>1</v>
      </c>
      <c r="V7" s="267" t="s">
        <v>482</v>
      </c>
      <c r="W7" s="267" t="b">
        <v>0</v>
      </c>
      <c r="X7" s="267" t="b">
        <v>0</v>
      </c>
      <c r="Y7" s="527">
        <v>0</v>
      </c>
      <c r="Z7" s="267" t="b">
        <v>1</v>
      </c>
      <c r="AA7" s="527">
        <v>0</v>
      </c>
      <c r="AB7" s="267" t="b">
        <v>0</v>
      </c>
      <c r="AC7" s="267" t="b">
        <v>1</v>
      </c>
      <c r="AD7" s="267">
        <v>0</v>
      </c>
      <c r="AE7" s="267">
        <v>0</v>
      </c>
      <c r="AF7" s="267" t="s">
        <v>50</v>
      </c>
      <c r="AG7" s="267">
        <v>0</v>
      </c>
      <c r="AH7" s="279"/>
      <c r="AI7" s="279" t="s">
        <v>483</v>
      </c>
      <c r="AJ7" s="279" t="s">
        <v>484</v>
      </c>
      <c r="AK7" s="267" t="s">
        <v>5</v>
      </c>
      <c r="AL7" s="279" t="s">
        <v>485</v>
      </c>
      <c r="AM7" s="279" t="s">
        <v>485</v>
      </c>
      <c r="AN7" s="279" t="s">
        <v>485</v>
      </c>
      <c r="AO7" s="279" t="s">
        <v>486</v>
      </c>
      <c r="AP7" s="279" t="s">
        <v>486</v>
      </c>
      <c r="AQ7" s="279" t="s">
        <v>486</v>
      </c>
      <c r="AR7" s="279" t="s">
        <v>487</v>
      </c>
      <c r="AS7" s="279" t="s">
        <v>487</v>
      </c>
      <c r="AT7" s="279" t="s">
        <v>487</v>
      </c>
      <c r="AU7" s="279" t="s">
        <v>486</v>
      </c>
      <c r="AV7" s="279" t="s">
        <v>486</v>
      </c>
      <c r="AW7" s="279" t="s">
        <v>486</v>
      </c>
      <c r="AX7" s="279" t="s">
        <v>488</v>
      </c>
      <c r="AY7" s="279" t="s">
        <v>117</v>
      </c>
      <c r="AZ7" s="279" t="s">
        <v>117</v>
      </c>
      <c r="BA7" s="279" t="s">
        <v>117</v>
      </c>
      <c r="BB7" s="279" t="s">
        <v>486</v>
      </c>
      <c r="BC7" s="279" t="s">
        <v>486</v>
      </c>
      <c r="BD7" s="279" t="s">
        <v>486</v>
      </c>
      <c r="BE7" s="279" t="s">
        <v>205</v>
      </c>
      <c r="BF7" s="279" t="s">
        <v>604</v>
      </c>
      <c r="BG7" s="279" t="s">
        <v>490</v>
      </c>
      <c r="BH7" s="279" t="s">
        <v>486</v>
      </c>
      <c r="BI7" s="279" t="s">
        <v>486</v>
      </c>
      <c r="BJ7" s="279" t="s">
        <v>486</v>
      </c>
      <c r="BK7" s="279">
        <v>3</v>
      </c>
      <c r="BL7" s="279">
        <v>3</v>
      </c>
      <c r="BM7" s="279">
        <v>3</v>
      </c>
      <c r="BN7" s="279">
        <v>0</v>
      </c>
      <c r="BO7" s="279">
        <v>0</v>
      </c>
      <c r="BP7" s="279">
        <v>0</v>
      </c>
      <c r="BQ7" s="279" t="s">
        <v>617</v>
      </c>
      <c r="BR7" s="279">
        <v>2</v>
      </c>
      <c r="BS7" s="279">
        <v>4</v>
      </c>
      <c r="BT7" s="279">
        <v>4</v>
      </c>
      <c r="BU7" s="279">
        <v>0</v>
      </c>
      <c r="BV7" s="279" t="s">
        <v>169</v>
      </c>
      <c r="BW7" s="279">
        <v>2</v>
      </c>
      <c r="BX7" s="279">
        <v>2</v>
      </c>
      <c r="BY7" s="279">
        <v>2</v>
      </c>
      <c r="BZ7" s="279">
        <v>0</v>
      </c>
      <c r="CA7" s="279" t="s">
        <v>491</v>
      </c>
      <c r="CB7" s="279">
        <v>1</v>
      </c>
      <c r="CC7" s="279">
        <v>1</v>
      </c>
      <c r="CD7" s="279">
        <v>1</v>
      </c>
      <c r="CE7" s="279">
        <v>0</v>
      </c>
      <c r="CF7" s="279" t="s">
        <v>486</v>
      </c>
      <c r="CG7" s="279">
        <v>0</v>
      </c>
      <c r="CH7" s="279">
        <v>0</v>
      </c>
      <c r="CI7" s="279">
        <v>0</v>
      </c>
      <c r="CJ7" s="279">
        <v>0</v>
      </c>
      <c r="CK7" s="279" t="s">
        <v>486</v>
      </c>
      <c r="CL7" s="279">
        <v>0</v>
      </c>
      <c r="CM7" s="279">
        <v>0</v>
      </c>
      <c r="CN7" s="279">
        <v>0</v>
      </c>
      <c r="CO7" s="279">
        <v>0</v>
      </c>
      <c r="CP7" s="279" t="s">
        <v>486</v>
      </c>
      <c r="CQ7" s="279">
        <v>0</v>
      </c>
      <c r="CR7" s="279">
        <v>0</v>
      </c>
      <c r="CS7" s="279">
        <v>0</v>
      </c>
      <c r="CT7" s="279">
        <v>0</v>
      </c>
      <c r="CU7" s="279" t="s">
        <v>492</v>
      </c>
      <c r="CV7" s="279">
        <v>20</v>
      </c>
      <c r="CW7" s="279">
        <v>20</v>
      </c>
      <c r="CX7" s="279">
        <v>20</v>
      </c>
      <c r="CY7" s="279">
        <v>0</v>
      </c>
      <c r="CZ7" s="279" t="s">
        <v>492</v>
      </c>
      <c r="DA7" s="279">
        <v>20</v>
      </c>
      <c r="DB7" s="279" t="s">
        <v>605</v>
      </c>
      <c r="DC7" s="279">
        <v>40</v>
      </c>
      <c r="DD7" s="279">
        <v>40</v>
      </c>
      <c r="DE7" s="279">
        <v>40</v>
      </c>
      <c r="DF7" s="279">
        <v>0</v>
      </c>
      <c r="DG7" s="279" t="s">
        <v>605</v>
      </c>
      <c r="DH7" s="279">
        <v>40</v>
      </c>
      <c r="DI7" s="279" t="s">
        <v>494</v>
      </c>
      <c r="DJ7" s="279">
        <v>160</v>
      </c>
      <c r="DK7" s="279">
        <v>160</v>
      </c>
      <c r="DL7" s="279">
        <v>160</v>
      </c>
      <c r="DM7" s="279">
        <v>0</v>
      </c>
      <c r="DN7" s="279" t="s">
        <v>494</v>
      </c>
      <c r="DO7" s="279">
        <v>160</v>
      </c>
      <c r="DP7" s="279" t="s">
        <v>486</v>
      </c>
      <c r="DQ7" s="279">
        <v>0</v>
      </c>
      <c r="DR7" s="279">
        <v>0</v>
      </c>
      <c r="DS7" s="279">
        <v>0</v>
      </c>
      <c r="DT7" s="279">
        <v>0</v>
      </c>
      <c r="DU7" s="279" t="s">
        <v>486</v>
      </c>
      <c r="DV7" s="279">
        <v>0</v>
      </c>
      <c r="DW7" s="279" t="s">
        <v>486</v>
      </c>
      <c r="DX7" s="279">
        <v>0</v>
      </c>
      <c r="DY7" s="279">
        <v>0</v>
      </c>
      <c r="DZ7" s="279">
        <v>0</v>
      </c>
      <c r="EA7" s="279">
        <v>0</v>
      </c>
      <c r="EB7" s="279" t="s">
        <v>486</v>
      </c>
      <c r="EC7" s="279">
        <v>0</v>
      </c>
      <c r="ED7" s="279" t="s">
        <v>486</v>
      </c>
      <c r="EE7" s="279">
        <v>0</v>
      </c>
      <c r="EF7" s="279">
        <v>0</v>
      </c>
      <c r="EG7" s="279">
        <v>0</v>
      </c>
      <c r="EH7" s="279">
        <v>0</v>
      </c>
      <c r="EI7" s="279" t="s">
        <v>486</v>
      </c>
      <c r="EJ7" s="279">
        <v>0</v>
      </c>
      <c r="EK7" s="279">
        <v>160</v>
      </c>
      <c r="EL7" s="279" t="s">
        <v>495</v>
      </c>
      <c r="EM7" s="279" t="s">
        <v>496</v>
      </c>
      <c r="EN7" s="279" t="s">
        <v>497</v>
      </c>
      <c r="EO7" s="279" t="s">
        <v>486</v>
      </c>
      <c r="EP7" s="279" t="s">
        <v>486</v>
      </c>
      <c r="EQ7" s="279" t="s">
        <v>486</v>
      </c>
      <c r="ER7" s="279" t="s">
        <v>618</v>
      </c>
      <c r="ES7" s="279">
        <v>23</v>
      </c>
      <c r="ET7" s="279">
        <v>23</v>
      </c>
      <c r="EU7" s="279">
        <v>23</v>
      </c>
      <c r="EV7" s="279">
        <v>0</v>
      </c>
      <c r="EW7" s="279" t="s">
        <v>619</v>
      </c>
      <c r="EX7" s="279" t="s">
        <v>620</v>
      </c>
      <c r="EY7" s="279">
        <v>28.5</v>
      </c>
      <c r="EZ7" s="279">
        <v>28.5</v>
      </c>
      <c r="FA7" s="279">
        <v>28.5</v>
      </c>
      <c r="FB7" s="279">
        <v>0</v>
      </c>
      <c r="FC7" s="279" t="s">
        <v>621</v>
      </c>
      <c r="FD7" s="279" t="s">
        <v>530</v>
      </c>
      <c r="FE7" s="279">
        <v>28</v>
      </c>
      <c r="FF7" s="279">
        <v>28</v>
      </c>
      <c r="FG7" s="279">
        <v>28</v>
      </c>
      <c r="FH7" s="279">
        <v>0</v>
      </c>
      <c r="FI7" s="279" t="s">
        <v>531</v>
      </c>
      <c r="FJ7" s="279" t="s">
        <v>486</v>
      </c>
      <c r="FK7" s="279">
        <v>0</v>
      </c>
      <c r="FL7" s="279">
        <v>0</v>
      </c>
      <c r="FM7" s="279">
        <v>0</v>
      </c>
      <c r="FN7" s="279">
        <v>0</v>
      </c>
      <c r="FO7" s="279" t="s">
        <v>486</v>
      </c>
      <c r="FP7" s="279" t="s">
        <v>486</v>
      </c>
      <c r="FQ7" s="279">
        <v>0</v>
      </c>
      <c r="FR7" s="279">
        <v>0</v>
      </c>
      <c r="FS7" s="279">
        <v>0</v>
      </c>
      <c r="FT7" s="279">
        <v>0</v>
      </c>
      <c r="FU7" s="279" t="s">
        <v>486</v>
      </c>
      <c r="FV7" s="279" t="s">
        <v>486</v>
      </c>
      <c r="FW7" s="279">
        <v>0</v>
      </c>
      <c r="FX7" s="279">
        <v>0</v>
      </c>
      <c r="FY7" s="279">
        <v>0</v>
      </c>
      <c r="FZ7" s="279">
        <v>0</v>
      </c>
      <c r="GA7" s="279" t="s">
        <v>486</v>
      </c>
      <c r="GB7" s="279" t="s">
        <v>51</v>
      </c>
      <c r="GC7" s="279">
        <v>23</v>
      </c>
      <c r="GD7" s="279">
        <v>28.5</v>
      </c>
      <c r="GE7" s="279">
        <v>28</v>
      </c>
      <c r="GF7" s="279">
        <v>0</v>
      </c>
      <c r="GG7" s="279">
        <v>0</v>
      </c>
      <c r="GH7" s="279">
        <v>0</v>
      </c>
      <c r="GI7" s="527">
        <v>23</v>
      </c>
      <c r="GJ7" s="527">
        <v>23</v>
      </c>
      <c r="GK7" s="279"/>
      <c r="GL7" s="279"/>
      <c r="GM7" s="279"/>
      <c r="GN7" s="279"/>
      <c r="GO7" s="279"/>
      <c r="GP7" s="279"/>
      <c r="GQ7" s="297" t="str">
        <f t="shared" si="4"/>
        <v>B00017070319TG05</v>
      </c>
      <c r="GR7" s="298">
        <v>17</v>
      </c>
      <c r="GS7" s="299" t="str">
        <f t="shared" si="5"/>
        <v>070319</v>
      </c>
      <c r="GT7" s="297" t="s">
        <v>500</v>
      </c>
      <c r="GU7" s="299" t="str">
        <f t="shared" si="6"/>
        <v>07/03/2019</v>
      </c>
      <c r="GV7" s="299" t="str">
        <f t="shared" si="7"/>
        <v>07/03/2024</v>
      </c>
      <c r="GW7" s="300" t="s">
        <v>603</v>
      </c>
      <c r="GX7" s="299">
        <f t="shared" si="8"/>
        <v>45358</v>
      </c>
      <c r="GY7" s="299" t="b">
        <f t="shared" si="9"/>
        <v>1</v>
      </c>
      <c r="GZ7" s="299" t="b">
        <f t="shared" si="10"/>
        <v>1</v>
      </c>
      <c r="HA7" s="301">
        <f t="shared" si="11"/>
        <v>3</v>
      </c>
      <c r="HB7" s="302" t="str">
        <f t="shared" si="12"/>
        <v>3-3</v>
      </c>
      <c r="HC7" s="302" t="str">
        <f t="shared" si="13"/>
        <v>CHUNG</v>
      </c>
      <c r="HD7" s="302" t="str">
        <f t="shared" si="14"/>
        <v>CHUNG</v>
      </c>
      <c r="HE7" s="302" t="str">
        <f t="shared" si="15"/>
      </c>
      <c r="HF7" s="302" t="str">
        <f t="shared" si="16"/>
      </c>
      <c r="HG7" s="302" t="str">
        <f t="shared" si="17"/>
      </c>
      <c r="HH7" s="302">
        <f t="shared" si="18"/>
        <v>3</v>
      </c>
      <c r="HI7" s="303">
        <f t="shared" si="19"/>
        <v>0</v>
      </c>
      <c r="HJ7" s="303" t="str">
        <f t="shared" si="20"/>
        <v>No</v>
      </c>
      <c r="HK7" s="303" t="str">
        <f t="shared" si="21"/>
        <v>No</v>
      </c>
    </row>
  </sheetData>
  <autoFilter ref="A1:AG2"/>
  <conditionalFormatting sqref="W8:X1048576">
    <cfRule type="containsText" dxfId="0" priority="460" operator="containsText" text="no">
      <formula>NOT(ISERROR(SEARCH("no",W8)))</formula>
    </cfRule>
  </conditionalFormatting>
  <conditionalFormatting sqref="A1:V1 A8:XFD1048576 AD1 AF1:EJ1 EL1:GJ1 HL1:XFD7 A2:A7">
    <cfRule type="containsErrors" dxfId="0" priority="458">
      <formula>ISERROR(A1)</formula>
    </cfRule>
  </conditionalFormatting>
  <conditionalFormatting sqref="GY1:GZ1">
    <cfRule type="cellIs" dxfId="0" priority="456" stopIfTrue="1" operator="notEqual">
      <formula>TRUE</formula>
    </cfRule>
  </conditionalFormatting>
  <conditionalFormatting sqref="GO2:GP2">
    <cfRule type="containsErrors" dxfId="0" priority="290">
      <formula>ISERROR(GO2)</formula>
    </cfRule>
  </conditionalFormatting>
  <conditionalFormatting sqref="X1 AC1">
    <cfRule type="containsText" dxfId="0" priority="43" operator="containsText" text="no">
      <formula>NOT(ISERROR(SEARCH("no",X1)))</formula>
    </cfRule>
  </conditionalFormatting>
  <conditionalFormatting sqref="EK1">
    <cfRule type="containsErrors" dxfId="0" priority="29">
      <formula>ISERROR(EK1)</formula>
    </cfRule>
  </conditionalFormatting>
  <conditionalFormatting sqref="W2:X2">
    <cfRule type="containsText" dxfId="0" priority="15" operator="containsText" text="no">
      <formula>NOT(ISERROR(SEARCH("no",W2)))</formula>
    </cfRule>
  </conditionalFormatting>
  <conditionalFormatting sqref="B2:GN2">
    <cfRule type="containsErrors" dxfId="0" priority="14">
      <formula>ISERROR(B2)</formula>
    </cfRule>
  </conditionalFormatting>
  <conditionalFormatting sqref="W3:X3">
    <cfRule type="containsText" dxfId="0" priority="13" operator="containsText" text="no">
      <formula>NOT(ISERROR(SEARCH("no",W3)))</formula>
    </cfRule>
  </conditionalFormatting>
  <conditionalFormatting sqref="B3:GN3">
    <cfRule type="containsErrors" dxfId="0" priority="12">
      <formula>ISERROR(B3)</formula>
    </cfRule>
  </conditionalFormatting>
  <conditionalFormatting sqref="W4:X4">
    <cfRule type="containsText" dxfId="0" priority="11" operator="containsText" text="no">
      <formula>NOT(ISERROR(SEARCH("no",W4)))</formula>
    </cfRule>
  </conditionalFormatting>
  <conditionalFormatting sqref="B4:GN4">
    <cfRule type="containsErrors" dxfId="0" priority="10">
      <formula>ISERROR(B4)</formula>
    </cfRule>
  </conditionalFormatting>
  <conditionalFormatting sqref="W5:X5">
    <cfRule type="containsText" dxfId="0" priority="9" operator="containsText" text="no">
      <formula>NOT(ISERROR(SEARCH("no",W5)))</formula>
    </cfRule>
  </conditionalFormatting>
  <conditionalFormatting sqref="B5:GN5">
    <cfRule type="containsErrors" dxfId="0" priority="8">
      <formula>ISERROR(B5)</formula>
    </cfRule>
  </conditionalFormatting>
  <conditionalFormatting sqref="W6:X6">
    <cfRule type="containsText" dxfId="0" priority="7" operator="containsText" text="no">
      <formula>NOT(ISERROR(SEARCH("no",W6)))</formula>
    </cfRule>
  </conditionalFormatting>
  <conditionalFormatting sqref="B6:GN6">
    <cfRule type="containsErrors" dxfId="0" priority="6">
      <formula>ISERROR(B6)</formula>
    </cfRule>
  </conditionalFormatting>
  <conditionalFormatting sqref="W7:X7">
    <cfRule type="containsText" dxfId="0" priority="5" operator="containsText" text="no">
      <formula>NOT(ISERROR(SEARCH("no",W7)))</formula>
    </cfRule>
  </conditionalFormatting>
  <conditionalFormatting sqref="B7:GN7">
    <cfRule type="containsErrors" dxfId="0" priority="4">
      <formula>ISERROR(B7)</formula>
    </cfRule>
  </conditionalFormatting>
  <conditionalFormatting sqref="GO3:GP7">
    <cfRule type="containsErrors" dxfId="0" priority="1">
      <formula>ISERROR(GO3)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K5"/>
  <sheetViews>
    <sheetView zoomScale="85" zoomScaleNormal="85" workbookViewId="0">
      <selection activeCell="A2" sqref="A2"/>
    </sheetView>
  </sheetViews>
  <sheetFormatPr defaultColWidth="9.140625" defaultRowHeight="12.75"/>
  <cols>
    <col min="1" max="1" bestFit="1" width="5" customWidth="1" style="201"/>
    <col min="2" max="2" bestFit="1" width="17.140625" customWidth="1" style="211"/>
    <col min="3" max="3" bestFit="1" width="16.7109375" customWidth="1" style="201"/>
    <col min="4" max="4" width="9.140625" customWidth="1" style="525"/>
    <col min="5" max="5" width="54.140625" customWidth="1" style="201"/>
    <col min="6" max="6" width="16.5703125" customWidth="1" style="201"/>
    <col min="7" max="7" bestFit="1" width="9.140625" customWidth="1" style="525"/>
    <col min="8" max="8" bestFit="1" width="9.140625" customWidth="1" style="393"/>
    <col min="9" max="9" width="10.5703125" customWidth="1" style="213"/>
    <col min="10" max="10" width="23.140625" customWidth="1" style="127"/>
    <col min="11" max="12" bestFit="1" width="11.28515625" customWidth="1" style="232"/>
    <col min="13" max="13" width="33.28515625" customWidth="1" style="127"/>
    <col min="14" max="15" width="15.28515625" customWidth="1" style="127"/>
    <col min="16" max="16" width="9.140625" customWidth="1" style="127"/>
    <col min="17" max="17" bestFit="1" width="15.42578125" customWidth="1" style="127"/>
    <col min="18" max="18" width="42.140625" customWidth="1" style="127"/>
    <col min="19" max="19" width="27.28515625" customWidth="1" style="127"/>
    <col min="20" max="20" width="14.28515625" customWidth="1" style="127"/>
    <col min="21" max="21" width="7.7109375" customWidth="1" style="127"/>
    <col min="22" max="22" width="20.42578125" customWidth="1" style="127"/>
    <col min="23" max="24" width="10.5703125" customWidth="1" style="127"/>
    <col min="25" max="25" width="9.140625" customWidth="1" style="393"/>
    <col min="26" max="26" width="13" customWidth="1" style="127"/>
    <col min="27" max="27" width="9.140625" customWidth="1" style="393"/>
    <col min="28" max="29" width="13" customWidth="1" style="127"/>
    <col min="30" max="30" width="32.28515625" customWidth="1" style="127"/>
    <col min="31" max="31" width="14.140625" customWidth="1" style="127"/>
    <col min="32" max="32" width="10.7109375" customWidth="1" style="127"/>
    <col min="33" max="33" width="24.7109375" customWidth="1" style="127"/>
    <col min="34" max="34" width="4.7109375" customWidth="1" style="127"/>
    <col min="35" max="35" bestFit="1" width="15.42578125" customWidth="1" style="127"/>
    <col min="36" max="36" width="15.85546875" customWidth="1" style="127"/>
    <col min="37" max="37" width="9.140625" customWidth="1" style="201"/>
    <col min="38" max="183" width="9.140625" customWidth="1" style="127"/>
    <col min="184" max="184" bestFit="1" width="9.5703125" customWidth="1" style="127"/>
    <col min="185" max="190" width="9.140625" customWidth="1" style="127"/>
    <col min="191" max="191" width="9.140625" customWidth="1" style="393"/>
    <col min="192" max="192" width="9.140625" customWidth="1" style="393"/>
    <col min="193" max="198" width="9.140625" customWidth="1" style="127"/>
    <col min="199" max="202" width="15.140625" customWidth="1" style="127"/>
    <col min="203" max="219" width="14.140625" customWidth="1" style="127"/>
    <col min="220" max="16384" width="9.140625" customWidth="1" style="127"/>
  </cols>
  <sheetData>
    <row r="1" ht="63" s="201" customFormat="1">
      <c r="A1" s="280" t="s">
        <v>0</v>
      </c>
      <c r="B1" s="280" t="s">
        <v>254</v>
      </c>
      <c r="C1" s="280" t="s">
        <v>255</v>
      </c>
      <c r="D1" s="392" t="s">
        <v>256</v>
      </c>
      <c r="E1" s="280" t="s">
        <v>47</v>
      </c>
      <c r="F1" s="280" t="s">
        <v>257</v>
      </c>
      <c r="G1" s="392" t="s">
        <v>258</v>
      </c>
      <c r="H1" s="392" t="s">
        <v>259</v>
      </c>
      <c r="I1" s="281" t="s">
        <v>260</v>
      </c>
      <c r="J1" s="281" t="s">
        <v>261</v>
      </c>
      <c r="K1" s="282" t="s">
        <v>262</v>
      </c>
      <c r="L1" s="282" t="s">
        <v>263</v>
      </c>
      <c r="M1" s="281" t="s">
        <v>264</v>
      </c>
      <c r="N1" s="281" t="s">
        <v>265</v>
      </c>
      <c r="O1" s="281" t="s">
        <v>266</v>
      </c>
      <c r="P1" s="281" t="s">
        <v>267</v>
      </c>
      <c r="Q1" s="281" t="s">
        <v>268</v>
      </c>
      <c r="R1" s="281" t="s">
        <v>269</v>
      </c>
      <c r="S1" s="281" t="s">
        <v>270</v>
      </c>
      <c r="T1" s="281" t="s">
        <v>271</v>
      </c>
      <c r="U1" s="281" t="s">
        <v>272</v>
      </c>
      <c r="V1" s="281" t="s">
        <v>273</v>
      </c>
      <c r="W1" s="266" t="s">
        <v>274</v>
      </c>
      <c r="X1" s="266" t="s">
        <v>275</v>
      </c>
      <c r="Y1" s="530" t="s">
        <v>276</v>
      </c>
      <c r="Z1" s="266" t="s">
        <v>277</v>
      </c>
      <c r="AA1" s="530" t="s">
        <v>278</v>
      </c>
      <c r="AB1" s="266" t="s">
        <v>279</v>
      </c>
      <c r="AC1" s="266" t="s">
        <v>280</v>
      </c>
      <c r="AD1" s="233" t="s">
        <v>281</v>
      </c>
      <c r="AE1" s="264" t="s">
        <v>282</v>
      </c>
      <c r="AF1" s="280" t="s">
        <v>283</v>
      </c>
      <c r="AG1" s="280" t="s">
        <v>284</v>
      </c>
      <c r="AH1" s="234"/>
      <c r="AI1" s="283" t="s">
        <v>285</v>
      </c>
      <c r="AJ1" s="283" t="s">
        <v>286</v>
      </c>
      <c r="AK1" s="284" t="s">
        <v>287</v>
      </c>
      <c r="AL1" s="285" t="s">
        <v>288</v>
      </c>
      <c r="AM1" s="285" t="s">
        <v>289</v>
      </c>
      <c r="AN1" s="285" t="s">
        <v>290</v>
      </c>
      <c r="AO1" s="285" t="s">
        <v>291</v>
      </c>
      <c r="AP1" s="285" t="s">
        <v>292</v>
      </c>
      <c r="AQ1" s="285" t="s">
        <v>293</v>
      </c>
      <c r="AR1" s="284" t="s">
        <v>294</v>
      </c>
      <c r="AS1" s="284" t="s">
        <v>295</v>
      </c>
      <c r="AT1" s="284" t="s">
        <v>296</v>
      </c>
      <c r="AU1" s="284" t="s">
        <v>297</v>
      </c>
      <c r="AV1" s="284" t="s">
        <v>298</v>
      </c>
      <c r="AW1" s="284" t="s">
        <v>299</v>
      </c>
      <c r="AX1" s="285" t="s">
        <v>300</v>
      </c>
      <c r="AY1" s="284" t="s">
        <v>301</v>
      </c>
      <c r="AZ1" s="284" t="s">
        <v>302</v>
      </c>
      <c r="BA1" s="284" t="s">
        <v>303</v>
      </c>
      <c r="BB1" s="284" t="s">
        <v>304</v>
      </c>
      <c r="BC1" s="284" t="s">
        <v>305</v>
      </c>
      <c r="BD1" s="284" t="s">
        <v>306</v>
      </c>
      <c r="BE1" s="285" t="s">
        <v>307</v>
      </c>
      <c r="BF1" s="285" t="s">
        <v>308</v>
      </c>
      <c r="BG1" s="285" t="s">
        <v>309</v>
      </c>
      <c r="BH1" s="285" t="s">
        <v>310</v>
      </c>
      <c r="BI1" s="285" t="s">
        <v>311</v>
      </c>
      <c r="BJ1" s="285" t="s">
        <v>312</v>
      </c>
      <c r="BK1" s="284" t="s">
        <v>313</v>
      </c>
      <c r="BL1" s="284" t="s">
        <v>314</v>
      </c>
      <c r="BM1" s="284" t="s">
        <v>315</v>
      </c>
      <c r="BN1" s="284" t="s">
        <v>316</v>
      </c>
      <c r="BO1" s="284" t="s">
        <v>317</v>
      </c>
      <c r="BP1" s="284" t="s">
        <v>318</v>
      </c>
      <c r="BQ1" s="285" t="s">
        <v>319</v>
      </c>
      <c r="BR1" s="284" t="s">
        <v>320</v>
      </c>
      <c r="BS1" s="284" t="s">
        <v>321</v>
      </c>
      <c r="BT1" s="284" t="s">
        <v>322</v>
      </c>
      <c r="BU1" s="284" t="s">
        <v>323</v>
      </c>
      <c r="BV1" s="285" t="s">
        <v>324</v>
      </c>
      <c r="BW1" s="284" t="s">
        <v>325</v>
      </c>
      <c r="BX1" s="284" t="s">
        <v>326</v>
      </c>
      <c r="BY1" s="284" t="s">
        <v>327</v>
      </c>
      <c r="BZ1" s="284" t="s">
        <v>328</v>
      </c>
      <c r="CA1" s="285" t="s">
        <v>329</v>
      </c>
      <c r="CB1" s="284" t="s">
        <v>330</v>
      </c>
      <c r="CC1" s="284" t="s">
        <v>331</v>
      </c>
      <c r="CD1" s="284" t="s">
        <v>332</v>
      </c>
      <c r="CE1" s="284" t="s">
        <v>333</v>
      </c>
      <c r="CF1" s="285" t="s">
        <v>334</v>
      </c>
      <c r="CG1" s="284" t="s">
        <v>335</v>
      </c>
      <c r="CH1" s="284" t="s">
        <v>336</v>
      </c>
      <c r="CI1" s="284" t="s">
        <v>337</v>
      </c>
      <c r="CJ1" s="284" t="s">
        <v>338</v>
      </c>
      <c r="CK1" s="285" t="s">
        <v>339</v>
      </c>
      <c r="CL1" s="284" t="s">
        <v>340</v>
      </c>
      <c r="CM1" s="284" t="s">
        <v>341</v>
      </c>
      <c r="CN1" s="284" t="s">
        <v>342</v>
      </c>
      <c r="CO1" s="284" t="s">
        <v>343</v>
      </c>
      <c r="CP1" s="285" t="s">
        <v>344</v>
      </c>
      <c r="CQ1" s="284" t="s">
        <v>345</v>
      </c>
      <c r="CR1" s="284" t="s">
        <v>346</v>
      </c>
      <c r="CS1" s="284" t="s">
        <v>347</v>
      </c>
      <c r="CT1" s="284" t="s">
        <v>348</v>
      </c>
      <c r="CU1" s="285" t="s">
        <v>349</v>
      </c>
      <c r="CV1" s="284" t="s">
        <v>350</v>
      </c>
      <c r="CW1" s="284" t="s">
        <v>351</v>
      </c>
      <c r="CX1" s="284" t="s">
        <v>352</v>
      </c>
      <c r="CY1" s="284" t="s">
        <v>353</v>
      </c>
      <c r="CZ1" s="286" t="s">
        <v>354</v>
      </c>
      <c r="DA1" s="286" t="s">
        <v>355</v>
      </c>
      <c r="DB1" s="285" t="s">
        <v>356</v>
      </c>
      <c r="DC1" s="284" t="s">
        <v>357</v>
      </c>
      <c r="DD1" s="284" t="s">
        <v>358</v>
      </c>
      <c r="DE1" s="284" t="s">
        <v>359</v>
      </c>
      <c r="DF1" s="284" t="s">
        <v>360</v>
      </c>
      <c r="DG1" s="286" t="s">
        <v>361</v>
      </c>
      <c r="DH1" s="286" t="s">
        <v>362</v>
      </c>
      <c r="DI1" s="285" t="s">
        <v>363</v>
      </c>
      <c r="DJ1" s="284" t="s">
        <v>364</v>
      </c>
      <c r="DK1" s="284" t="s">
        <v>365</v>
      </c>
      <c r="DL1" s="284" t="s">
        <v>366</v>
      </c>
      <c r="DM1" s="284" t="s">
        <v>367</v>
      </c>
      <c r="DN1" s="286" t="s">
        <v>368</v>
      </c>
      <c r="DO1" s="286" t="s">
        <v>369</v>
      </c>
      <c r="DP1" s="285" t="s">
        <v>370</v>
      </c>
      <c r="DQ1" s="284" t="s">
        <v>371</v>
      </c>
      <c r="DR1" s="284" t="s">
        <v>372</v>
      </c>
      <c r="DS1" s="284" t="s">
        <v>373</v>
      </c>
      <c r="DT1" s="284" t="s">
        <v>374</v>
      </c>
      <c r="DU1" s="286" t="s">
        <v>375</v>
      </c>
      <c r="DV1" s="286" t="s">
        <v>376</v>
      </c>
      <c r="DW1" s="285" t="s">
        <v>377</v>
      </c>
      <c r="DX1" s="284" t="s">
        <v>378</v>
      </c>
      <c r="DY1" s="284" t="s">
        <v>379</v>
      </c>
      <c r="DZ1" s="284" t="s">
        <v>380</v>
      </c>
      <c r="EA1" s="284" t="s">
        <v>381</v>
      </c>
      <c r="EB1" s="286" t="s">
        <v>382</v>
      </c>
      <c r="EC1" s="286" t="s">
        <v>383</v>
      </c>
      <c r="ED1" s="285" t="s">
        <v>384</v>
      </c>
      <c r="EE1" s="284" t="s">
        <v>385</v>
      </c>
      <c r="EF1" s="284" t="s">
        <v>386</v>
      </c>
      <c r="EG1" s="284" t="s">
        <v>387</v>
      </c>
      <c r="EH1" s="284" t="s">
        <v>388</v>
      </c>
      <c r="EI1" s="286" t="s">
        <v>389</v>
      </c>
      <c r="EJ1" s="286" t="s">
        <v>390</v>
      </c>
      <c r="EK1" s="286" t="s">
        <v>391</v>
      </c>
      <c r="EL1" s="287" t="s">
        <v>392</v>
      </c>
      <c r="EM1" s="287" t="s">
        <v>393</v>
      </c>
      <c r="EN1" s="287" t="s">
        <v>394</v>
      </c>
      <c r="EO1" s="287" t="s">
        <v>395</v>
      </c>
      <c r="EP1" s="287" t="s">
        <v>396</v>
      </c>
      <c r="EQ1" s="287" t="s">
        <v>397</v>
      </c>
      <c r="ER1" s="285" t="s">
        <v>398</v>
      </c>
      <c r="ES1" s="284" t="s">
        <v>399</v>
      </c>
      <c r="ET1" s="284" t="s">
        <v>400</v>
      </c>
      <c r="EU1" s="284" t="s">
        <v>401</v>
      </c>
      <c r="EV1" s="284" t="s">
        <v>402</v>
      </c>
      <c r="EW1" s="286" t="s">
        <v>403</v>
      </c>
      <c r="EX1" s="285" t="s">
        <v>404</v>
      </c>
      <c r="EY1" s="284" t="s">
        <v>405</v>
      </c>
      <c r="EZ1" s="284" t="s">
        <v>406</v>
      </c>
      <c r="FA1" s="284" t="s">
        <v>407</v>
      </c>
      <c r="FB1" s="284" t="s">
        <v>408</v>
      </c>
      <c r="FC1" s="286" t="s">
        <v>409</v>
      </c>
      <c r="FD1" s="285" t="s">
        <v>410</v>
      </c>
      <c r="FE1" s="284" t="s">
        <v>411</v>
      </c>
      <c r="FF1" s="284" t="s">
        <v>412</v>
      </c>
      <c r="FG1" s="284" t="s">
        <v>413</v>
      </c>
      <c r="FH1" s="284" t="s">
        <v>414</v>
      </c>
      <c r="FI1" s="286" t="s">
        <v>415</v>
      </c>
      <c r="FJ1" s="285" t="s">
        <v>416</v>
      </c>
      <c r="FK1" s="284" t="s">
        <v>417</v>
      </c>
      <c r="FL1" s="284" t="s">
        <v>418</v>
      </c>
      <c r="FM1" s="284" t="s">
        <v>419</v>
      </c>
      <c r="FN1" s="284" t="s">
        <v>420</v>
      </c>
      <c r="FO1" s="286" t="s">
        <v>421</v>
      </c>
      <c r="FP1" s="285" t="s">
        <v>422</v>
      </c>
      <c r="FQ1" s="284" t="s">
        <v>423</v>
      </c>
      <c r="FR1" s="284" t="s">
        <v>424</v>
      </c>
      <c r="FS1" s="284" t="s">
        <v>425</v>
      </c>
      <c r="FT1" s="284" t="s">
        <v>426</v>
      </c>
      <c r="FU1" s="286" t="s">
        <v>427</v>
      </c>
      <c r="FV1" s="285" t="s">
        <v>428</v>
      </c>
      <c r="FW1" s="284" t="s">
        <v>429</v>
      </c>
      <c r="FX1" s="284" t="s">
        <v>430</v>
      </c>
      <c r="FY1" s="284" t="s">
        <v>431</v>
      </c>
      <c r="FZ1" s="284" t="s">
        <v>432</v>
      </c>
      <c r="GA1" s="286" t="s">
        <v>433</v>
      </c>
      <c r="GB1" s="285" t="s">
        <v>434</v>
      </c>
      <c r="GC1" s="292" t="s">
        <v>435</v>
      </c>
      <c r="GD1" s="292" t="s">
        <v>436</v>
      </c>
      <c r="GE1" s="292" t="s">
        <v>437</v>
      </c>
      <c r="GF1" s="292" t="s">
        <v>438</v>
      </c>
      <c r="GG1" s="292" t="s">
        <v>439</v>
      </c>
      <c r="GH1" s="292" t="s">
        <v>440</v>
      </c>
      <c r="GI1" s="533" t="s">
        <v>441</v>
      </c>
      <c r="GJ1" s="533" t="s">
        <v>442</v>
      </c>
      <c r="GK1" s="289" t="s">
        <v>443</v>
      </c>
      <c r="GL1" s="290">
        <f>Check!GL1</f>
        <v>10</v>
      </c>
      <c r="GM1" s="289" t="s">
        <v>444</v>
      </c>
      <c r="GN1" s="290">
        <f>Check!GN1</f>
        <v>6</v>
      </c>
      <c r="GO1" s="293" t="s">
        <v>445</v>
      </c>
      <c r="GP1" s="293" t="s">
        <v>446</v>
      </c>
      <c r="GQ1" s="293" t="s">
        <v>447</v>
      </c>
      <c r="GR1" s="293" t="s">
        <v>448</v>
      </c>
      <c r="GS1" s="294" t="s">
        <v>449</v>
      </c>
      <c r="GT1" s="293" t="s">
        <v>450</v>
      </c>
      <c r="GU1" s="293" t="s">
        <v>451</v>
      </c>
      <c r="GV1" s="293" t="s">
        <v>452</v>
      </c>
      <c r="GW1" s="293" t="s">
        <v>453</v>
      </c>
      <c r="GX1" s="293" t="s">
        <v>454</v>
      </c>
      <c r="GY1" s="295" t="s">
        <v>455</v>
      </c>
      <c r="GZ1" s="295" t="s">
        <v>456</v>
      </c>
      <c r="HA1" s="296" t="s">
        <v>457</v>
      </c>
      <c r="HB1" s="296" t="s">
        <v>458</v>
      </c>
      <c r="HC1" s="296" t="s">
        <v>459</v>
      </c>
      <c r="HD1" s="296" t="s">
        <v>460</v>
      </c>
      <c r="HE1" s="296" t="s">
        <v>461</v>
      </c>
      <c r="HF1" s="296" t="s">
        <v>462</v>
      </c>
      <c r="HG1" s="296" t="s">
        <v>463</v>
      </c>
      <c r="HH1" s="296" t="s">
        <v>464</v>
      </c>
      <c r="HI1" s="296" t="s">
        <v>465</v>
      </c>
      <c r="HJ1" s="296" t="s">
        <v>466</v>
      </c>
      <c r="HK1" s="296" t="s">
        <v>467</v>
      </c>
    </row>
    <row r="2" ht="89.25" s="219" customFormat="1">
      <c r="A2" s="267">
        <v>1</v>
      </c>
      <c r="B2" s="267" t="s">
        <v>468</v>
      </c>
      <c r="C2" s="267" t="s">
        <v>469</v>
      </c>
      <c r="D2" s="527" t="s">
        <v>129</v>
      </c>
      <c r="E2" s="267" t="s">
        <v>130</v>
      </c>
      <c r="F2" s="267" t="s">
        <v>6</v>
      </c>
      <c r="G2" s="527" t="s">
        <v>470</v>
      </c>
      <c r="H2" s="527" t="s">
        <v>471</v>
      </c>
      <c r="I2" s="267">
        <v>3</v>
      </c>
      <c r="J2" s="267" t="s">
        <v>132</v>
      </c>
      <c r="K2" s="291" t="s">
        <v>472</v>
      </c>
      <c r="L2" s="291" t="s">
        <v>473</v>
      </c>
      <c r="M2" s="267" t="s">
        <v>474</v>
      </c>
      <c r="N2" s="267" t="s">
        <v>475</v>
      </c>
      <c r="O2" s="267" t="s">
        <v>476</v>
      </c>
      <c r="P2" s="267" t="s">
        <v>477</v>
      </c>
      <c r="Q2" s="267" t="s">
        <v>478</v>
      </c>
      <c r="R2" s="267" t="s">
        <v>479</v>
      </c>
      <c r="S2" s="267" t="s">
        <v>480</v>
      </c>
      <c r="T2" s="267" t="s">
        <v>481</v>
      </c>
      <c r="U2" s="267">
        <v>1</v>
      </c>
      <c r="V2" s="267" t="s">
        <v>482</v>
      </c>
      <c r="W2" s="267" t="b">
        <v>0</v>
      </c>
      <c r="X2" s="267" t="b">
        <v>0</v>
      </c>
      <c r="Y2" s="527">
        <v>0</v>
      </c>
      <c r="Z2" s="267" t="b">
        <v>1</v>
      </c>
      <c r="AA2" s="527">
        <v>0</v>
      </c>
      <c r="AB2" s="267" t="b">
        <v>0</v>
      </c>
      <c r="AC2" s="267" t="b">
        <v>0</v>
      </c>
      <c r="AD2" s="267">
        <v>0</v>
      </c>
      <c r="AE2" s="267">
        <v>0</v>
      </c>
      <c r="AF2" s="267" t="s">
        <v>50</v>
      </c>
      <c r="AG2" s="267" t="s">
        <v>133</v>
      </c>
      <c r="AH2" s="279"/>
      <c r="AI2" s="279" t="s">
        <v>483</v>
      </c>
      <c r="AJ2" s="279" t="s">
        <v>484</v>
      </c>
      <c r="AK2" s="267" t="s">
        <v>5</v>
      </c>
      <c r="AL2" s="279" t="s">
        <v>485</v>
      </c>
      <c r="AM2" s="279" t="s">
        <v>485</v>
      </c>
      <c r="AN2" s="279" t="s">
        <v>485</v>
      </c>
      <c r="AO2" s="279" t="s">
        <v>486</v>
      </c>
      <c r="AP2" s="279" t="s">
        <v>486</v>
      </c>
      <c r="AQ2" s="279" t="s">
        <v>486</v>
      </c>
      <c r="AR2" s="279" t="s">
        <v>487</v>
      </c>
      <c r="AS2" s="279" t="s">
        <v>487</v>
      </c>
      <c r="AT2" s="279" t="s">
        <v>487</v>
      </c>
      <c r="AU2" s="279" t="s">
        <v>486</v>
      </c>
      <c r="AV2" s="279" t="s">
        <v>486</v>
      </c>
      <c r="AW2" s="279" t="s">
        <v>486</v>
      </c>
      <c r="AX2" s="279" t="s">
        <v>488</v>
      </c>
      <c r="AY2" s="279" t="s">
        <v>129</v>
      </c>
      <c r="AZ2" s="279" t="s">
        <v>129</v>
      </c>
      <c r="BA2" s="279" t="s">
        <v>129</v>
      </c>
      <c r="BB2" s="279" t="s">
        <v>486</v>
      </c>
      <c r="BC2" s="279" t="s">
        <v>486</v>
      </c>
      <c r="BD2" s="279" t="s">
        <v>486</v>
      </c>
      <c r="BE2" s="279" t="s">
        <v>205</v>
      </c>
      <c r="BF2" s="279" t="s">
        <v>489</v>
      </c>
      <c r="BG2" s="279" t="s">
        <v>490</v>
      </c>
      <c r="BH2" s="279" t="s">
        <v>486</v>
      </c>
      <c r="BI2" s="279" t="s">
        <v>486</v>
      </c>
      <c r="BJ2" s="279" t="s">
        <v>486</v>
      </c>
      <c r="BK2" s="279">
        <v>3</v>
      </c>
      <c r="BL2" s="279">
        <v>3</v>
      </c>
      <c r="BM2" s="279">
        <v>3</v>
      </c>
      <c r="BN2" s="279">
        <v>0</v>
      </c>
      <c r="BO2" s="279">
        <v>0</v>
      </c>
      <c r="BP2" s="279">
        <v>0</v>
      </c>
      <c r="BQ2" s="279" t="s">
        <v>168</v>
      </c>
      <c r="BR2" s="279">
        <v>4</v>
      </c>
      <c r="BS2" s="279">
        <v>4</v>
      </c>
      <c r="BT2" s="279">
        <v>4</v>
      </c>
      <c r="BU2" s="279">
        <v>0</v>
      </c>
      <c r="BV2" s="279" t="s">
        <v>169</v>
      </c>
      <c r="BW2" s="279">
        <v>2</v>
      </c>
      <c r="BX2" s="279">
        <v>2</v>
      </c>
      <c r="BY2" s="279">
        <v>2</v>
      </c>
      <c r="BZ2" s="279">
        <v>0</v>
      </c>
      <c r="CA2" s="279" t="s">
        <v>491</v>
      </c>
      <c r="CB2" s="279">
        <v>1</v>
      </c>
      <c r="CC2" s="279">
        <v>1</v>
      </c>
      <c r="CD2" s="279">
        <v>1</v>
      </c>
      <c r="CE2" s="279">
        <v>0</v>
      </c>
      <c r="CF2" s="279" t="s">
        <v>486</v>
      </c>
      <c r="CG2" s="279">
        <v>0</v>
      </c>
      <c r="CH2" s="279">
        <v>0</v>
      </c>
      <c r="CI2" s="279">
        <v>0</v>
      </c>
      <c r="CJ2" s="279">
        <v>0</v>
      </c>
      <c r="CK2" s="279" t="s">
        <v>486</v>
      </c>
      <c r="CL2" s="279">
        <v>0</v>
      </c>
      <c r="CM2" s="279">
        <v>0</v>
      </c>
      <c r="CN2" s="279">
        <v>0</v>
      </c>
      <c r="CO2" s="279">
        <v>0</v>
      </c>
      <c r="CP2" s="279" t="s">
        <v>486</v>
      </c>
      <c r="CQ2" s="279">
        <v>0</v>
      </c>
      <c r="CR2" s="279">
        <v>0</v>
      </c>
      <c r="CS2" s="279">
        <v>0</v>
      </c>
      <c r="CT2" s="279">
        <v>0</v>
      </c>
      <c r="CU2" s="279" t="s">
        <v>492</v>
      </c>
      <c r="CV2" s="279">
        <v>20</v>
      </c>
      <c r="CW2" s="279">
        <v>20</v>
      </c>
      <c r="CX2" s="279">
        <v>20</v>
      </c>
      <c r="CY2" s="279">
        <v>0</v>
      </c>
      <c r="CZ2" s="279" t="s">
        <v>492</v>
      </c>
      <c r="DA2" s="279">
        <v>20</v>
      </c>
      <c r="DB2" s="279" t="s">
        <v>493</v>
      </c>
      <c r="DC2" s="279">
        <v>60</v>
      </c>
      <c r="DD2" s="279">
        <v>60</v>
      </c>
      <c r="DE2" s="279">
        <v>60</v>
      </c>
      <c r="DF2" s="279">
        <v>0</v>
      </c>
      <c r="DG2" s="279" t="s">
        <v>493</v>
      </c>
      <c r="DH2" s="279">
        <v>60</v>
      </c>
      <c r="DI2" s="279" t="s">
        <v>494</v>
      </c>
      <c r="DJ2" s="279">
        <v>160</v>
      </c>
      <c r="DK2" s="279">
        <v>160</v>
      </c>
      <c r="DL2" s="279">
        <v>160</v>
      </c>
      <c r="DM2" s="279">
        <v>0</v>
      </c>
      <c r="DN2" s="279" t="s">
        <v>494</v>
      </c>
      <c r="DO2" s="279">
        <v>160</v>
      </c>
      <c r="DP2" s="279" t="s">
        <v>486</v>
      </c>
      <c r="DQ2" s="279">
        <v>0</v>
      </c>
      <c r="DR2" s="279">
        <v>0</v>
      </c>
      <c r="DS2" s="279">
        <v>0</v>
      </c>
      <c r="DT2" s="279">
        <v>0</v>
      </c>
      <c r="DU2" s="279" t="s">
        <v>486</v>
      </c>
      <c r="DV2" s="279">
        <v>0</v>
      </c>
      <c r="DW2" s="279" t="s">
        <v>486</v>
      </c>
      <c r="DX2" s="279">
        <v>0</v>
      </c>
      <c r="DY2" s="279">
        <v>0</v>
      </c>
      <c r="DZ2" s="279">
        <v>0</v>
      </c>
      <c r="EA2" s="279">
        <v>0</v>
      </c>
      <c r="EB2" s="279" t="s">
        <v>486</v>
      </c>
      <c r="EC2" s="279">
        <v>0</v>
      </c>
      <c r="ED2" s="279" t="s">
        <v>486</v>
      </c>
      <c r="EE2" s="279">
        <v>0</v>
      </c>
      <c r="EF2" s="279">
        <v>0</v>
      </c>
      <c r="EG2" s="279">
        <v>0</v>
      </c>
      <c r="EH2" s="279">
        <v>0</v>
      </c>
      <c r="EI2" s="279" t="s">
        <v>486</v>
      </c>
      <c r="EJ2" s="279">
        <v>0</v>
      </c>
      <c r="EK2" s="279">
        <v>160</v>
      </c>
      <c r="EL2" s="279" t="s">
        <v>495</v>
      </c>
      <c r="EM2" s="279" t="s">
        <v>496</v>
      </c>
      <c r="EN2" s="279" t="s">
        <v>497</v>
      </c>
      <c r="EO2" s="279" t="s">
        <v>486</v>
      </c>
      <c r="EP2" s="279" t="s">
        <v>486</v>
      </c>
      <c r="EQ2" s="279" t="s">
        <v>486</v>
      </c>
      <c r="ER2" s="279" t="s">
        <v>498</v>
      </c>
      <c r="ES2" s="279">
        <v>36</v>
      </c>
      <c r="ET2" s="279">
        <v>36</v>
      </c>
      <c r="EU2" s="279">
        <v>36</v>
      </c>
      <c r="EV2" s="279">
        <v>0</v>
      </c>
      <c r="EW2" s="279" t="s">
        <v>499</v>
      </c>
      <c r="EX2" s="279" t="s">
        <v>498</v>
      </c>
      <c r="EY2" s="279">
        <v>36</v>
      </c>
      <c r="EZ2" s="279">
        <v>36</v>
      </c>
      <c r="FA2" s="279">
        <v>36</v>
      </c>
      <c r="FB2" s="279">
        <v>0</v>
      </c>
      <c r="FC2" s="279" t="s">
        <v>499</v>
      </c>
      <c r="FD2" s="279" t="s">
        <v>498</v>
      </c>
      <c r="FE2" s="279">
        <v>36</v>
      </c>
      <c r="FF2" s="279">
        <v>36</v>
      </c>
      <c r="FG2" s="279">
        <v>36</v>
      </c>
      <c r="FH2" s="279">
        <v>0</v>
      </c>
      <c r="FI2" s="279" t="s">
        <v>499</v>
      </c>
      <c r="FJ2" s="279" t="s">
        <v>486</v>
      </c>
      <c r="FK2" s="279">
        <v>0</v>
      </c>
      <c r="FL2" s="279">
        <v>0</v>
      </c>
      <c r="FM2" s="279">
        <v>0</v>
      </c>
      <c r="FN2" s="279">
        <v>0</v>
      </c>
      <c r="FO2" s="279" t="s">
        <v>486</v>
      </c>
      <c r="FP2" s="279" t="s">
        <v>486</v>
      </c>
      <c r="FQ2" s="279">
        <v>0</v>
      </c>
      <c r="FR2" s="279">
        <v>0</v>
      </c>
      <c r="FS2" s="279">
        <v>0</v>
      </c>
      <c r="FT2" s="279">
        <v>0</v>
      </c>
      <c r="FU2" s="279" t="s">
        <v>486</v>
      </c>
      <c r="FV2" s="279" t="s">
        <v>486</v>
      </c>
      <c r="FW2" s="279">
        <v>0</v>
      </c>
      <c r="FX2" s="279">
        <v>0</v>
      </c>
      <c r="FY2" s="279">
        <v>0</v>
      </c>
      <c r="FZ2" s="279">
        <v>0</v>
      </c>
      <c r="GA2" s="279" t="s">
        <v>486</v>
      </c>
      <c r="GB2" s="279" t="s">
        <v>51</v>
      </c>
      <c r="GC2" s="279">
        <v>36</v>
      </c>
      <c r="GD2" s="279">
        <v>36</v>
      </c>
      <c r="GE2" s="279">
        <v>36</v>
      </c>
      <c r="GF2" s="279">
        <v>0</v>
      </c>
      <c r="GG2" s="279">
        <v>0</v>
      </c>
      <c r="GH2" s="279">
        <v>0</v>
      </c>
      <c r="GI2" s="527">
        <v>36</v>
      </c>
      <c r="GJ2" s="527">
        <v>36</v>
      </c>
      <c r="GK2" s="279"/>
      <c r="GL2" s="279"/>
      <c r="GM2" s="279"/>
      <c r="GN2" s="279"/>
      <c r="GO2" s="279"/>
      <c r="GP2" s="279"/>
      <c r="GQ2" s="297" t="str">
        <f>IF(LEN(GR2)=4,"B0"&amp;GR2&amp;GS2&amp;GT2,IF(LEN(GR2)=3,"B00"&amp;GR2&amp;GS2&amp;GT2,IF(LEN(GR2)=2,"B000"&amp;GR2&amp;GS2&amp;GT2,IF(LEN(GR2)=1,"B0000"&amp;GR2&amp;GS2&amp;GT2,"B"&amp;GR2&amp;GS2&amp;GT2))))</f>
        <v>B00001030319TG05</v>
      </c>
      <c r="GR2" s="298">
        <v>1</v>
      </c>
      <c r="GS2" s="299" t="str">
        <f>TEXT(GW2,"ddmmyy")</f>
        <v>030319</v>
      </c>
      <c r="GT2" s="297" t="s">
        <v>500</v>
      </c>
      <c r="GU2" s="299" t="str">
        <f ref="GU2:GV2" t="shared" si="1">TEXT(GW2,"dd/mm/yyyy")</f>
        <v>03/03/2019</v>
      </c>
      <c r="GV2" s="299" t="str">
        <f t="shared" si="1"/>
        <v>03/03/2024</v>
      </c>
      <c r="GW2" s="300" t="s">
        <v>501</v>
      </c>
      <c r="GX2" s="299">
        <f>DATE(YEAR(GW2) + 5,MONTH(GW2),DAY(GW2))</f>
        <v>45354</v>
      </c>
      <c r="GY2" s="299" t="b">
        <f>RIGHT(E2,LEN(F2)+1)=(F2&amp;".")</f>
        <v>1</v>
      </c>
      <c r="GZ2" s="299" t="b">
        <f> IF((K2-L2)&gt;120,FALSE,TRUE)</f>
        <v>1</v>
      </c>
      <c r="HA2" s="301">
        <f>IFERROR(MATCH("",AL2:AQ2,0)-1,6)</f>
        <v>3</v>
      </c>
      <c r="HB2" s="302" t="str">
        <f>HA2&amp;"-"&amp;HH2</f>
        <v>3-3</v>
      </c>
      <c r="HC2" s="302" t="str">
        <f>IF(AM2&lt;&gt;"",IF(AM2=AL2,"CHUNG","KHAC"),"")</f>
        <v>CHUNG</v>
      </c>
      <c r="HD2" s="302" t="str">
        <f>IF(AN2&lt;&gt;"",IF(AN2=AL2,"CHUNG","KHAC"),"")</f>
        <v>CHUNG</v>
      </c>
      <c r="HE2" s="302" t="str">
        <f>IF(AO2&lt;&gt;"",IF(AO2=AL2,"CHUNG","KHAC"),"")</f>
      </c>
      <c r="HF2" s="302" t="str">
        <f>IF(AP2&lt;&gt;"",IF(AP2=AL2,"CHUNG","KHAC"),"")</f>
      </c>
      <c r="HG2" s="302" t="str">
        <f>IF(AQ2&lt;&gt;"",IF(AQ2=AL2,"CHUNG","KHAC"),"")</f>
      </c>
      <c r="HH2" s="302">
        <f>IF(COUNTIF(HC2:HG2,"CHUNG")=0,1,COUNTIF(HC2:HG2,"CHUNG")+1)</f>
        <v>3</v>
      </c>
      <c r="HI2" s="303">
        <f>HA2-HH2</f>
        <v>0</v>
      </c>
      <c r="HJ2" s="303" t="str">
        <f>IF(HI2=0,"No","Yes")</f>
        <v>No</v>
      </c>
      <c r="HK2" s="303" t="str">
        <f>IF(HI2=0,"No","Yes")</f>
        <v>No</v>
      </c>
    </row>
    <row r="3" ht="127.5">
      <c r="A3" s="267">
        <v>2</v>
      </c>
      <c r="B3" s="267" t="s">
        <v>468</v>
      </c>
      <c r="C3" s="267" t="s">
        <v>469</v>
      </c>
      <c r="D3" s="527" t="s">
        <v>134</v>
      </c>
      <c r="E3" s="267" t="s">
        <v>135</v>
      </c>
      <c r="F3" s="267" t="s">
        <v>6</v>
      </c>
      <c r="G3" s="527" t="s">
        <v>502</v>
      </c>
      <c r="H3" s="527" t="s">
        <v>503</v>
      </c>
      <c r="I3" s="267">
        <v>4</v>
      </c>
      <c r="J3" s="267" t="s">
        <v>137</v>
      </c>
      <c r="K3" s="291" t="s">
        <v>472</v>
      </c>
      <c r="L3" s="291" t="s">
        <v>473</v>
      </c>
      <c r="M3" s="267" t="s">
        <v>504</v>
      </c>
      <c r="N3" s="267" t="s">
        <v>505</v>
      </c>
      <c r="O3" s="267" t="s">
        <v>506</v>
      </c>
      <c r="P3" s="267" t="s">
        <v>507</v>
      </c>
      <c r="Q3" s="267" t="s">
        <v>508</v>
      </c>
      <c r="R3" s="267" t="s">
        <v>509</v>
      </c>
      <c r="S3" s="267" t="s">
        <v>510</v>
      </c>
      <c r="T3" s="267" t="s">
        <v>511</v>
      </c>
      <c r="U3" s="267">
        <v>1</v>
      </c>
      <c r="V3" s="267" t="s">
        <v>512</v>
      </c>
      <c r="W3" s="267" t="b">
        <v>0</v>
      </c>
      <c r="X3" s="267" t="b">
        <v>0</v>
      </c>
      <c r="Y3" s="527">
        <v>0</v>
      </c>
      <c r="Z3" s="267" t="b">
        <v>1</v>
      </c>
      <c r="AA3" s="527">
        <v>0</v>
      </c>
      <c r="AB3" s="267" t="b">
        <v>0</v>
      </c>
      <c r="AC3" s="267" t="b">
        <v>0</v>
      </c>
      <c r="AD3" s="267">
        <v>0</v>
      </c>
      <c r="AE3" s="267">
        <v>0</v>
      </c>
      <c r="AF3" s="267" t="s">
        <v>50</v>
      </c>
      <c r="AG3" s="267" t="s">
        <v>138</v>
      </c>
      <c r="AH3" s="279"/>
      <c r="AI3" s="279" t="s">
        <v>483</v>
      </c>
      <c r="AJ3" s="279" t="s">
        <v>484</v>
      </c>
      <c r="AK3" s="267" t="s">
        <v>5</v>
      </c>
      <c r="AL3" s="279" t="s">
        <v>485</v>
      </c>
      <c r="AM3" s="279" t="s">
        <v>485</v>
      </c>
      <c r="AN3" s="279" t="s">
        <v>485</v>
      </c>
      <c r="AO3" s="279" t="s">
        <v>485</v>
      </c>
      <c r="AP3" s="279" t="s">
        <v>486</v>
      </c>
      <c r="AQ3" s="279" t="s">
        <v>486</v>
      </c>
      <c r="AR3" s="279" t="s">
        <v>487</v>
      </c>
      <c r="AS3" s="279" t="s">
        <v>487</v>
      </c>
      <c r="AT3" s="279" t="s">
        <v>487</v>
      </c>
      <c r="AU3" s="279" t="s">
        <v>487</v>
      </c>
      <c r="AV3" s="279" t="s">
        <v>486</v>
      </c>
      <c r="AW3" s="279" t="s">
        <v>486</v>
      </c>
      <c r="AX3" s="279" t="s">
        <v>513</v>
      </c>
      <c r="AY3" s="279" t="s">
        <v>134</v>
      </c>
      <c r="AZ3" s="279" t="s">
        <v>134</v>
      </c>
      <c r="BA3" s="279" t="s">
        <v>134</v>
      </c>
      <c r="BB3" s="279" t="s">
        <v>134</v>
      </c>
      <c r="BC3" s="279" t="s">
        <v>486</v>
      </c>
      <c r="BD3" s="279" t="s">
        <v>486</v>
      </c>
      <c r="BE3" s="279" t="s">
        <v>205</v>
      </c>
      <c r="BF3" s="279" t="s">
        <v>205</v>
      </c>
      <c r="BG3" s="279" t="s">
        <v>514</v>
      </c>
      <c r="BH3" s="279" t="s">
        <v>490</v>
      </c>
      <c r="BI3" s="279" t="s">
        <v>486</v>
      </c>
      <c r="BJ3" s="279" t="s">
        <v>486</v>
      </c>
      <c r="BK3" s="279">
        <v>3</v>
      </c>
      <c r="BL3" s="279">
        <v>3</v>
      </c>
      <c r="BM3" s="279">
        <v>3</v>
      </c>
      <c r="BN3" s="279">
        <v>3</v>
      </c>
      <c r="BO3" s="279">
        <v>0</v>
      </c>
      <c r="BP3" s="279">
        <v>0</v>
      </c>
      <c r="BQ3" s="279" t="s">
        <v>515</v>
      </c>
      <c r="BR3" s="279">
        <v>2</v>
      </c>
      <c r="BS3" s="279">
        <v>2</v>
      </c>
      <c r="BT3" s="279">
        <v>4</v>
      </c>
      <c r="BU3" s="279">
        <v>0</v>
      </c>
      <c r="BV3" s="279" t="s">
        <v>516</v>
      </c>
      <c r="BW3" s="279">
        <v>2</v>
      </c>
      <c r="BX3" s="279">
        <v>4</v>
      </c>
      <c r="BY3" s="279">
        <v>2</v>
      </c>
      <c r="BZ3" s="279">
        <v>0</v>
      </c>
      <c r="CA3" s="279" t="s">
        <v>169</v>
      </c>
      <c r="CB3" s="279">
        <v>2</v>
      </c>
      <c r="CC3" s="279">
        <v>2</v>
      </c>
      <c r="CD3" s="279">
        <v>2</v>
      </c>
      <c r="CE3" s="279">
        <v>0</v>
      </c>
      <c r="CF3" s="279" t="s">
        <v>491</v>
      </c>
      <c r="CG3" s="279">
        <v>1</v>
      </c>
      <c r="CH3" s="279">
        <v>1</v>
      </c>
      <c r="CI3" s="279">
        <v>1</v>
      </c>
      <c r="CJ3" s="279">
        <v>0</v>
      </c>
      <c r="CK3" s="279" t="s">
        <v>486</v>
      </c>
      <c r="CL3" s="279">
        <v>0</v>
      </c>
      <c r="CM3" s="279">
        <v>0</v>
      </c>
      <c r="CN3" s="279">
        <v>0</v>
      </c>
      <c r="CO3" s="279">
        <v>0</v>
      </c>
      <c r="CP3" s="279" t="s">
        <v>486</v>
      </c>
      <c r="CQ3" s="279">
        <v>0</v>
      </c>
      <c r="CR3" s="279">
        <v>0</v>
      </c>
      <c r="CS3" s="279">
        <v>0</v>
      </c>
      <c r="CT3" s="279">
        <v>0</v>
      </c>
      <c r="CU3" s="279" t="s">
        <v>492</v>
      </c>
      <c r="CV3" s="279">
        <v>20</v>
      </c>
      <c r="CW3" s="279">
        <v>20</v>
      </c>
      <c r="CX3" s="279">
        <v>20</v>
      </c>
      <c r="CY3" s="279">
        <v>0</v>
      </c>
      <c r="CZ3" s="279" t="s">
        <v>492</v>
      </c>
      <c r="DA3" s="279">
        <v>20</v>
      </c>
      <c r="DB3" s="279" t="s">
        <v>517</v>
      </c>
      <c r="DC3" s="279">
        <v>16</v>
      </c>
      <c r="DD3" s="279">
        <v>16</v>
      </c>
      <c r="DE3" s="279">
        <v>16</v>
      </c>
      <c r="DF3" s="279">
        <v>0</v>
      </c>
      <c r="DG3" s="279" t="s">
        <v>517</v>
      </c>
      <c r="DH3" s="279">
        <v>16</v>
      </c>
      <c r="DI3" s="279" t="s">
        <v>493</v>
      </c>
      <c r="DJ3" s="279">
        <v>60</v>
      </c>
      <c r="DK3" s="279">
        <v>60</v>
      </c>
      <c r="DL3" s="279">
        <v>60</v>
      </c>
      <c r="DM3" s="279">
        <v>0</v>
      </c>
      <c r="DN3" s="279" t="s">
        <v>493</v>
      </c>
      <c r="DO3" s="279">
        <v>60</v>
      </c>
      <c r="DP3" s="279" t="s">
        <v>494</v>
      </c>
      <c r="DQ3" s="279">
        <v>160</v>
      </c>
      <c r="DR3" s="279">
        <v>160</v>
      </c>
      <c r="DS3" s="279">
        <v>160</v>
      </c>
      <c r="DT3" s="279">
        <v>0</v>
      </c>
      <c r="DU3" s="279" t="s">
        <v>494</v>
      </c>
      <c r="DV3" s="279">
        <v>160</v>
      </c>
      <c r="DW3" s="279" t="s">
        <v>486</v>
      </c>
      <c r="DX3" s="279">
        <v>0</v>
      </c>
      <c r="DY3" s="279">
        <v>0</v>
      </c>
      <c r="DZ3" s="279">
        <v>0</v>
      </c>
      <c r="EA3" s="279">
        <v>0</v>
      </c>
      <c r="EB3" s="279" t="s">
        <v>486</v>
      </c>
      <c r="EC3" s="279">
        <v>0</v>
      </c>
      <c r="ED3" s="279" t="s">
        <v>486</v>
      </c>
      <c r="EE3" s="279">
        <v>0</v>
      </c>
      <c r="EF3" s="279">
        <v>0</v>
      </c>
      <c r="EG3" s="279">
        <v>0</v>
      </c>
      <c r="EH3" s="279">
        <v>0</v>
      </c>
      <c r="EI3" s="279" t="s">
        <v>486</v>
      </c>
      <c r="EJ3" s="279">
        <v>0</v>
      </c>
      <c r="EK3" s="279">
        <v>160</v>
      </c>
      <c r="EL3" s="279" t="s">
        <v>495</v>
      </c>
      <c r="EM3" s="279" t="s">
        <v>518</v>
      </c>
      <c r="EN3" s="279" t="s">
        <v>496</v>
      </c>
      <c r="EO3" s="279" t="s">
        <v>497</v>
      </c>
      <c r="EP3" s="279" t="s">
        <v>486</v>
      </c>
      <c r="EQ3" s="279" t="s">
        <v>486</v>
      </c>
      <c r="ER3" s="279" t="s">
        <v>519</v>
      </c>
      <c r="ES3" s="279">
        <v>45</v>
      </c>
      <c r="ET3" s="279">
        <v>45</v>
      </c>
      <c r="EU3" s="279">
        <v>45</v>
      </c>
      <c r="EV3" s="279">
        <v>0</v>
      </c>
      <c r="EW3" s="279" t="s">
        <v>520</v>
      </c>
      <c r="EX3" s="279" t="s">
        <v>519</v>
      </c>
      <c r="EY3" s="279">
        <v>45</v>
      </c>
      <c r="EZ3" s="279">
        <v>45</v>
      </c>
      <c r="FA3" s="279">
        <v>45</v>
      </c>
      <c r="FB3" s="279">
        <v>0</v>
      </c>
      <c r="FC3" s="279" t="s">
        <v>520</v>
      </c>
      <c r="FD3" s="279" t="s">
        <v>521</v>
      </c>
      <c r="FE3" s="279">
        <v>34</v>
      </c>
      <c r="FF3" s="279">
        <v>34</v>
      </c>
      <c r="FG3" s="279">
        <v>34</v>
      </c>
      <c r="FH3" s="279">
        <v>0</v>
      </c>
      <c r="FI3" s="279" t="s">
        <v>522</v>
      </c>
      <c r="FJ3" s="279" t="s">
        <v>521</v>
      </c>
      <c r="FK3" s="279">
        <v>34</v>
      </c>
      <c r="FL3" s="279">
        <v>34</v>
      </c>
      <c r="FM3" s="279">
        <v>34</v>
      </c>
      <c r="FN3" s="279">
        <v>0</v>
      </c>
      <c r="FO3" s="279" t="s">
        <v>522</v>
      </c>
      <c r="FP3" s="279" t="s">
        <v>486</v>
      </c>
      <c r="FQ3" s="279">
        <v>0</v>
      </c>
      <c r="FR3" s="279">
        <v>0</v>
      </c>
      <c r="FS3" s="279">
        <v>0</v>
      </c>
      <c r="FT3" s="279">
        <v>0</v>
      </c>
      <c r="FU3" s="279" t="s">
        <v>486</v>
      </c>
      <c r="FV3" s="279" t="s">
        <v>486</v>
      </c>
      <c r="FW3" s="279">
        <v>0</v>
      </c>
      <c r="FX3" s="279">
        <v>0</v>
      </c>
      <c r="FY3" s="279">
        <v>0</v>
      </c>
      <c r="FZ3" s="279">
        <v>0</v>
      </c>
      <c r="GA3" s="279" t="s">
        <v>486</v>
      </c>
      <c r="GB3" s="279" t="s">
        <v>51</v>
      </c>
      <c r="GC3" s="279">
        <v>45</v>
      </c>
      <c r="GD3" s="279">
        <v>45</v>
      </c>
      <c r="GE3" s="279">
        <v>34</v>
      </c>
      <c r="GF3" s="279">
        <v>34</v>
      </c>
      <c r="GG3" s="279">
        <v>0</v>
      </c>
      <c r="GH3" s="279">
        <v>0</v>
      </c>
      <c r="GI3" s="527">
        <v>34</v>
      </c>
      <c r="GJ3" s="527">
        <v>34</v>
      </c>
      <c r="GK3" s="279"/>
      <c r="GL3" s="279"/>
      <c r="GM3" s="279"/>
      <c r="GN3" s="279"/>
    </row>
    <row r="4" ht="89.25">
      <c r="A4" s="267">
        <v>3</v>
      </c>
      <c r="B4" s="267" t="s">
        <v>468</v>
      </c>
      <c r="C4" s="267" t="s">
        <v>469</v>
      </c>
      <c r="D4" s="527" t="s">
        <v>139</v>
      </c>
      <c r="E4" s="267" t="s">
        <v>140</v>
      </c>
      <c r="F4" s="267" t="s">
        <v>6</v>
      </c>
      <c r="G4" s="527" t="s">
        <v>523</v>
      </c>
      <c r="H4" s="527" t="s">
        <v>524</v>
      </c>
      <c r="I4" s="267">
        <v>3</v>
      </c>
      <c r="J4" s="267" t="s">
        <v>142</v>
      </c>
      <c r="K4" s="291" t="s">
        <v>472</v>
      </c>
      <c r="L4" s="291" t="s">
        <v>473</v>
      </c>
      <c r="M4" s="267" t="s">
        <v>474</v>
      </c>
      <c r="N4" s="267" t="s">
        <v>525</v>
      </c>
      <c r="O4" s="267" t="s">
        <v>526</v>
      </c>
      <c r="P4" s="267" t="s">
        <v>477</v>
      </c>
      <c r="Q4" s="267" t="s">
        <v>478</v>
      </c>
      <c r="R4" s="267" t="s">
        <v>479</v>
      </c>
      <c r="S4" s="267" t="s">
        <v>480</v>
      </c>
      <c r="T4" s="267" t="s">
        <v>527</v>
      </c>
      <c r="U4" s="267">
        <v>1</v>
      </c>
      <c r="V4" s="267" t="s">
        <v>482</v>
      </c>
      <c r="W4" s="267" t="b">
        <v>0</v>
      </c>
      <c r="X4" s="267" t="b">
        <v>0</v>
      </c>
      <c r="Y4" s="527">
        <v>0</v>
      </c>
      <c r="Z4" s="267" t="b">
        <v>1</v>
      </c>
      <c r="AA4" s="527">
        <v>0</v>
      </c>
      <c r="AB4" s="267" t="b">
        <v>0</v>
      </c>
      <c r="AC4" s="267" t="b">
        <v>0</v>
      </c>
      <c r="AD4" s="267">
        <v>0</v>
      </c>
      <c r="AE4" s="267">
        <v>0</v>
      </c>
      <c r="AF4" s="267" t="s">
        <v>50</v>
      </c>
      <c r="AG4" s="267" t="s">
        <v>133</v>
      </c>
      <c r="AH4" s="279"/>
      <c r="AI4" s="279" t="s">
        <v>483</v>
      </c>
      <c r="AJ4" s="279" t="s">
        <v>484</v>
      </c>
      <c r="AK4" s="267" t="s">
        <v>5</v>
      </c>
      <c r="AL4" s="279" t="s">
        <v>485</v>
      </c>
      <c r="AM4" s="279" t="s">
        <v>485</v>
      </c>
      <c r="AN4" s="279" t="s">
        <v>485</v>
      </c>
      <c r="AO4" s="279" t="s">
        <v>486</v>
      </c>
      <c r="AP4" s="279" t="s">
        <v>486</v>
      </c>
      <c r="AQ4" s="279" t="s">
        <v>486</v>
      </c>
      <c r="AR4" s="279" t="s">
        <v>487</v>
      </c>
      <c r="AS4" s="279" t="s">
        <v>487</v>
      </c>
      <c r="AT4" s="279" t="s">
        <v>487</v>
      </c>
      <c r="AU4" s="279" t="s">
        <v>486</v>
      </c>
      <c r="AV4" s="279" t="s">
        <v>486</v>
      </c>
      <c r="AW4" s="279" t="s">
        <v>486</v>
      </c>
      <c r="AX4" s="279" t="s">
        <v>488</v>
      </c>
      <c r="AY4" s="279" t="s">
        <v>139</v>
      </c>
      <c r="AZ4" s="279" t="s">
        <v>139</v>
      </c>
      <c r="BA4" s="279" t="s">
        <v>139</v>
      </c>
      <c r="BB4" s="279" t="s">
        <v>486</v>
      </c>
      <c r="BC4" s="279" t="s">
        <v>486</v>
      </c>
      <c r="BD4" s="279" t="s">
        <v>486</v>
      </c>
      <c r="BE4" s="279" t="s">
        <v>205</v>
      </c>
      <c r="BF4" s="279" t="s">
        <v>514</v>
      </c>
      <c r="BG4" s="279" t="s">
        <v>490</v>
      </c>
      <c r="BH4" s="279" t="s">
        <v>486</v>
      </c>
      <c r="BI4" s="279" t="s">
        <v>486</v>
      </c>
      <c r="BJ4" s="279" t="s">
        <v>486</v>
      </c>
      <c r="BK4" s="279">
        <v>3</v>
      </c>
      <c r="BL4" s="279">
        <v>3</v>
      </c>
      <c r="BM4" s="279">
        <v>3</v>
      </c>
      <c r="BN4" s="279">
        <v>0</v>
      </c>
      <c r="BO4" s="279">
        <v>0</v>
      </c>
      <c r="BP4" s="279">
        <v>0</v>
      </c>
      <c r="BQ4" s="279" t="s">
        <v>168</v>
      </c>
      <c r="BR4" s="279">
        <v>4</v>
      </c>
      <c r="BS4" s="279">
        <v>4</v>
      </c>
      <c r="BT4" s="279">
        <v>4</v>
      </c>
      <c r="BU4" s="279">
        <v>0</v>
      </c>
      <c r="BV4" s="279" t="s">
        <v>169</v>
      </c>
      <c r="BW4" s="279">
        <v>2</v>
      </c>
      <c r="BX4" s="279">
        <v>2</v>
      </c>
      <c r="BY4" s="279">
        <v>2</v>
      </c>
      <c r="BZ4" s="279">
        <v>0</v>
      </c>
      <c r="CA4" s="279" t="s">
        <v>491</v>
      </c>
      <c r="CB4" s="279">
        <v>1</v>
      </c>
      <c r="CC4" s="279">
        <v>1</v>
      </c>
      <c r="CD4" s="279">
        <v>1</v>
      </c>
      <c r="CE4" s="279">
        <v>0</v>
      </c>
      <c r="CF4" s="279" t="s">
        <v>486</v>
      </c>
      <c r="CG4" s="279">
        <v>0</v>
      </c>
      <c r="CH4" s="279">
        <v>0</v>
      </c>
      <c r="CI4" s="279">
        <v>0</v>
      </c>
      <c r="CJ4" s="279">
        <v>0</v>
      </c>
      <c r="CK4" s="279" t="s">
        <v>486</v>
      </c>
      <c r="CL4" s="279">
        <v>0</v>
      </c>
      <c r="CM4" s="279">
        <v>0</v>
      </c>
      <c r="CN4" s="279">
        <v>0</v>
      </c>
      <c r="CO4" s="279">
        <v>0</v>
      </c>
      <c r="CP4" s="279" t="s">
        <v>486</v>
      </c>
      <c r="CQ4" s="279">
        <v>0</v>
      </c>
      <c r="CR4" s="279">
        <v>0</v>
      </c>
      <c r="CS4" s="279">
        <v>0</v>
      </c>
      <c r="CT4" s="279">
        <v>0</v>
      </c>
      <c r="CU4" s="279" t="s">
        <v>492</v>
      </c>
      <c r="CV4" s="279">
        <v>20</v>
      </c>
      <c r="CW4" s="279">
        <v>20</v>
      </c>
      <c r="CX4" s="279">
        <v>20</v>
      </c>
      <c r="CY4" s="279">
        <v>0</v>
      </c>
      <c r="CZ4" s="279" t="s">
        <v>492</v>
      </c>
      <c r="DA4" s="279">
        <v>20</v>
      </c>
      <c r="DB4" s="279" t="s">
        <v>493</v>
      </c>
      <c r="DC4" s="279">
        <v>60</v>
      </c>
      <c r="DD4" s="279">
        <v>60</v>
      </c>
      <c r="DE4" s="279">
        <v>60</v>
      </c>
      <c r="DF4" s="279">
        <v>0</v>
      </c>
      <c r="DG4" s="279" t="s">
        <v>493</v>
      </c>
      <c r="DH4" s="279">
        <v>60</v>
      </c>
      <c r="DI4" s="279" t="s">
        <v>494</v>
      </c>
      <c r="DJ4" s="279">
        <v>160</v>
      </c>
      <c r="DK4" s="279">
        <v>160</v>
      </c>
      <c r="DL4" s="279">
        <v>160</v>
      </c>
      <c r="DM4" s="279">
        <v>0</v>
      </c>
      <c r="DN4" s="279" t="s">
        <v>494</v>
      </c>
      <c r="DO4" s="279">
        <v>160</v>
      </c>
      <c r="DP4" s="279" t="s">
        <v>486</v>
      </c>
      <c r="DQ4" s="279">
        <v>0</v>
      </c>
      <c r="DR4" s="279">
        <v>0</v>
      </c>
      <c r="DS4" s="279">
        <v>0</v>
      </c>
      <c r="DT4" s="279">
        <v>0</v>
      </c>
      <c r="DU4" s="279" t="s">
        <v>486</v>
      </c>
      <c r="DV4" s="279">
        <v>0</v>
      </c>
      <c r="DW4" s="279" t="s">
        <v>486</v>
      </c>
      <c r="DX4" s="279">
        <v>0</v>
      </c>
      <c r="DY4" s="279">
        <v>0</v>
      </c>
      <c r="DZ4" s="279">
        <v>0</v>
      </c>
      <c r="EA4" s="279">
        <v>0</v>
      </c>
      <c r="EB4" s="279" t="s">
        <v>486</v>
      </c>
      <c r="EC4" s="279">
        <v>0</v>
      </c>
      <c r="ED4" s="279" t="s">
        <v>486</v>
      </c>
      <c r="EE4" s="279">
        <v>0</v>
      </c>
      <c r="EF4" s="279">
        <v>0</v>
      </c>
      <c r="EG4" s="279">
        <v>0</v>
      </c>
      <c r="EH4" s="279">
        <v>0</v>
      </c>
      <c r="EI4" s="279" t="s">
        <v>486</v>
      </c>
      <c r="EJ4" s="279">
        <v>0</v>
      </c>
      <c r="EK4" s="279">
        <v>160</v>
      </c>
      <c r="EL4" s="279" t="s">
        <v>495</v>
      </c>
      <c r="EM4" s="279" t="s">
        <v>496</v>
      </c>
      <c r="EN4" s="279" t="s">
        <v>497</v>
      </c>
      <c r="EO4" s="279" t="s">
        <v>486</v>
      </c>
      <c r="EP4" s="279" t="s">
        <v>486</v>
      </c>
      <c r="EQ4" s="279" t="s">
        <v>486</v>
      </c>
      <c r="ER4" s="279" t="s">
        <v>528</v>
      </c>
      <c r="ES4" s="279">
        <v>35</v>
      </c>
      <c r="ET4" s="279">
        <v>35</v>
      </c>
      <c r="EU4" s="279">
        <v>35</v>
      </c>
      <c r="EV4" s="279">
        <v>0</v>
      </c>
      <c r="EW4" s="279" t="s">
        <v>529</v>
      </c>
      <c r="EX4" s="279" t="s">
        <v>530</v>
      </c>
      <c r="EY4" s="279">
        <v>28</v>
      </c>
      <c r="EZ4" s="279">
        <v>28</v>
      </c>
      <c r="FA4" s="279">
        <v>28</v>
      </c>
      <c r="FB4" s="279">
        <v>0</v>
      </c>
      <c r="FC4" s="279" t="s">
        <v>531</v>
      </c>
      <c r="FD4" s="279" t="s">
        <v>530</v>
      </c>
      <c r="FE4" s="279">
        <v>28</v>
      </c>
      <c r="FF4" s="279">
        <v>28</v>
      </c>
      <c r="FG4" s="279">
        <v>28</v>
      </c>
      <c r="FH4" s="279">
        <v>0</v>
      </c>
      <c r="FI4" s="279" t="s">
        <v>531</v>
      </c>
      <c r="FJ4" s="279" t="s">
        <v>486</v>
      </c>
      <c r="FK4" s="279">
        <v>0</v>
      </c>
      <c r="FL4" s="279">
        <v>0</v>
      </c>
      <c r="FM4" s="279">
        <v>0</v>
      </c>
      <c r="FN4" s="279">
        <v>0</v>
      </c>
      <c r="FO4" s="279" t="s">
        <v>486</v>
      </c>
      <c r="FP4" s="279" t="s">
        <v>486</v>
      </c>
      <c r="FQ4" s="279">
        <v>0</v>
      </c>
      <c r="FR4" s="279">
        <v>0</v>
      </c>
      <c r="FS4" s="279">
        <v>0</v>
      </c>
      <c r="FT4" s="279">
        <v>0</v>
      </c>
      <c r="FU4" s="279" t="s">
        <v>486</v>
      </c>
      <c r="FV4" s="279" t="s">
        <v>486</v>
      </c>
      <c r="FW4" s="279">
        <v>0</v>
      </c>
      <c r="FX4" s="279">
        <v>0</v>
      </c>
      <c r="FY4" s="279">
        <v>0</v>
      </c>
      <c r="FZ4" s="279">
        <v>0</v>
      </c>
      <c r="GA4" s="279" t="s">
        <v>486</v>
      </c>
      <c r="GB4" s="279" t="s">
        <v>51</v>
      </c>
      <c r="GC4" s="279">
        <v>35</v>
      </c>
      <c r="GD4" s="279">
        <v>28</v>
      </c>
      <c r="GE4" s="279">
        <v>28</v>
      </c>
      <c r="GF4" s="279">
        <v>0</v>
      </c>
      <c r="GG4" s="279">
        <v>0</v>
      </c>
      <c r="GH4" s="279">
        <v>0</v>
      </c>
      <c r="GI4" s="527">
        <v>28</v>
      </c>
      <c r="GJ4" s="527">
        <v>28</v>
      </c>
      <c r="GK4" s="279"/>
      <c r="GL4" s="279"/>
      <c r="GM4" s="279"/>
      <c r="GN4" s="279"/>
    </row>
    <row r="5" ht="127.5">
      <c r="A5" s="267">
        <v>4</v>
      </c>
      <c r="B5" s="267" t="s">
        <v>468</v>
      </c>
      <c r="C5" s="267" t="s">
        <v>469</v>
      </c>
      <c r="D5" s="527" t="s">
        <v>143</v>
      </c>
      <c r="E5" s="267" t="s">
        <v>144</v>
      </c>
      <c r="F5" s="267" t="s">
        <v>6</v>
      </c>
      <c r="G5" s="527" t="s">
        <v>532</v>
      </c>
      <c r="H5" s="527" t="s">
        <v>533</v>
      </c>
      <c r="I5" s="267">
        <v>4</v>
      </c>
      <c r="J5" s="267" t="s">
        <v>146</v>
      </c>
      <c r="K5" s="291" t="s">
        <v>472</v>
      </c>
      <c r="L5" s="291" t="s">
        <v>534</v>
      </c>
      <c r="M5" s="267" t="s">
        <v>504</v>
      </c>
      <c r="N5" s="267" t="s">
        <v>535</v>
      </c>
      <c r="O5" s="267" t="s">
        <v>506</v>
      </c>
      <c r="P5" s="267" t="s">
        <v>507</v>
      </c>
      <c r="Q5" s="267" t="s">
        <v>536</v>
      </c>
      <c r="R5" s="267" t="s">
        <v>509</v>
      </c>
      <c r="S5" s="267" t="s">
        <v>510</v>
      </c>
      <c r="T5" s="267" t="s">
        <v>537</v>
      </c>
      <c r="U5" s="267">
        <v>1</v>
      </c>
      <c r="V5" s="267" t="s">
        <v>512</v>
      </c>
      <c r="W5" s="267" t="b">
        <v>0</v>
      </c>
      <c r="X5" s="267" t="b">
        <v>0</v>
      </c>
      <c r="Y5" s="527">
        <v>0</v>
      </c>
      <c r="Z5" s="267" t="b">
        <v>1</v>
      </c>
      <c r="AA5" s="527">
        <v>0</v>
      </c>
      <c r="AB5" s="267" t="b">
        <v>0</v>
      </c>
      <c r="AC5" s="267" t="b">
        <v>0</v>
      </c>
      <c r="AD5" s="267">
        <v>0</v>
      </c>
      <c r="AE5" s="267">
        <v>0</v>
      </c>
      <c r="AF5" s="267" t="s">
        <v>50</v>
      </c>
      <c r="AG5" s="267" t="s">
        <v>138</v>
      </c>
      <c r="AH5" s="279"/>
      <c r="AI5" s="279" t="s">
        <v>483</v>
      </c>
      <c r="AJ5" s="279" t="s">
        <v>484</v>
      </c>
      <c r="AK5" s="267" t="s">
        <v>5</v>
      </c>
      <c r="AL5" s="279" t="s">
        <v>485</v>
      </c>
      <c r="AM5" s="279" t="s">
        <v>485</v>
      </c>
      <c r="AN5" s="279" t="s">
        <v>485</v>
      </c>
      <c r="AO5" s="279" t="s">
        <v>485</v>
      </c>
      <c r="AP5" s="279" t="s">
        <v>486</v>
      </c>
      <c r="AQ5" s="279" t="s">
        <v>486</v>
      </c>
      <c r="AR5" s="279" t="s">
        <v>487</v>
      </c>
      <c r="AS5" s="279" t="s">
        <v>487</v>
      </c>
      <c r="AT5" s="279" t="s">
        <v>487</v>
      </c>
      <c r="AU5" s="279" t="s">
        <v>487</v>
      </c>
      <c r="AV5" s="279" t="s">
        <v>486</v>
      </c>
      <c r="AW5" s="279" t="s">
        <v>486</v>
      </c>
      <c r="AX5" s="279" t="s">
        <v>513</v>
      </c>
      <c r="AY5" s="279" t="s">
        <v>143</v>
      </c>
      <c r="AZ5" s="279" t="s">
        <v>143</v>
      </c>
      <c r="BA5" s="279" t="s">
        <v>143</v>
      </c>
      <c r="BB5" s="279" t="s">
        <v>143</v>
      </c>
      <c r="BC5" s="279" t="s">
        <v>486</v>
      </c>
      <c r="BD5" s="279" t="s">
        <v>486</v>
      </c>
      <c r="BE5" s="279" t="s">
        <v>205</v>
      </c>
      <c r="BF5" s="279" t="s">
        <v>205</v>
      </c>
      <c r="BG5" s="279" t="s">
        <v>514</v>
      </c>
      <c r="BH5" s="279" t="s">
        <v>490</v>
      </c>
      <c r="BI5" s="279" t="s">
        <v>486</v>
      </c>
      <c r="BJ5" s="279" t="s">
        <v>486</v>
      </c>
      <c r="BK5" s="279">
        <v>3</v>
      </c>
      <c r="BL5" s="279">
        <v>3</v>
      </c>
      <c r="BM5" s="279">
        <v>3</v>
      </c>
      <c r="BN5" s="279">
        <v>3</v>
      </c>
      <c r="BO5" s="279">
        <v>0</v>
      </c>
      <c r="BP5" s="279">
        <v>0</v>
      </c>
      <c r="BQ5" s="279" t="s">
        <v>169</v>
      </c>
      <c r="BR5" s="279">
        <v>2</v>
      </c>
      <c r="BS5" s="279">
        <v>2</v>
      </c>
      <c r="BT5" s="279">
        <v>2</v>
      </c>
      <c r="BU5" s="279">
        <v>0</v>
      </c>
      <c r="BV5" s="279" t="s">
        <v>169</v>
      </c>
      <c r="BW5" s="279">
        <v>2</v>
      </c>
      <c r="BX5" s="279">
        <v>2</v>
      </c>
      <c r="BY5" s="279">
        <v>2</v>
      </c>
      <c r="BZ5" s="279">
        <v>0</v>
      </c>
      <c r="CA5" s="279" t="s">
        <v>169</v>
      </c>
      <c r="CB5" s="279">
        <v>2</v>
      </c>
      <c r="CC5" s="279">
        <v>2</v>
      </c>
      <c r="CD5" s="279">
        <v>2</v>
      </c>
      <c r="CE5" s="279">
        <v>0</v>
      </c>
      <c r="CF5" s="279" t="s">
        <v>491</v>
      </c>
      <c r="CG5" s="279">
        <v>1</v>
      </c>
      <c r="CH5" s="279">
        <v>1</v>
      </c>
      <c r="CI5" s="279">
        <v>1</v>
      </c>
      <c r="CJ5" s="279">
        <v>0</v>
      </c>
      <c r="CK5" s="279" t="s">
        <v>486</v>
      </c>
      <c r="CL5" s="279">
        <v>0</v>
      </c>
      <c r="CM5" s="279">
        <v>0</v>
      </c>
      <c r="CN5" s="279">
        <v>0</v>
      </c>
      <c r="CO5" s="279">
        <v>0</v>
      </c>
      <c r="CP5" s="279" t="s">
        <v>486</v>
      </c>
      <c r="CQ5" s="279">
        <v>0</v>
      </c>
      <c r="CR5" s="279">
        <v>0</v>
      </c>
      <c r="CS5" s="279">
        <v>0</v>
      </c>
      <c r="CT5" s="279">
        <v>0</v>
      </c>
      <c r="CU5" s="279" t="s">
        <v>492</v>
      </c>
      <c r="CV5" s="279">
        <v>20</v>
      </c>
      <c r="CW5" s="279">
        <v>20</v>
      </c>
      <c r="CX5" s="279">
        <v>20</v>
      </c>
      <c r="CY5" s="279">
        <v>0</v>
      </c>
      <c r="CZ5" s="279" t="s">
        <v>492</v>
      </c>
      <c r="DA5" s="279">
        <v>20</v>
      </c>
      <c r="DB5" s="279" t="s">
        <v>517</v>
      </c>
      <c r="DC5" s="279">
        <v>16</v>
      </c>
      <c r="DD5" s="279">
        <v>16</v>
      </c>
      <c r="DE5" s="279">
        <v>16</v>
      </c>
      <c r="DF5" s="279">
        <v>0</v>
      </c>
      <c r="DG5" s="279" t="s">
        <v>517</v>
      </c>
      <c r="DH5" s="279">
        <v>16</v>
      </c>
      <c r="DI5" s="279" t="s">
        <v>493</v>
      </c>
      <c r="DJ5" s="279">
        <v>60</v>
      </c>
      <c r="DK5" s="279">
        <v>60</v>
      </c>
      <c r="DL5" s="279">
        <v>60</v>
      </c>
      <c r="DM5" s="279">
        <v>0</v>
      </c>
      <c r="DN5" s="279" t="s">
        <v>493</v>
      </c>
      <c r="DO5" s="279">
        <v>60</v>
      </c>
      <c r="DP5" s="279" t="s">
        <v>494</v>
      </c>
      <c r="DQ5" s="279">
        <v>160</v>
      </c>
      <c r="DR5" s="279">
        <v>160</v>
      </c>
      <c r="DS5" s="279">
        <v>160</v>
      </c>
      <c r="DT5" s="279">
        <v>0</v>
      </c>
      <c r="DU5" s="279" t="s">
        <v>494</v>
      </c>
      <c r="DV5" s="279">
        <v>160</v>
      </c>
      <c r="DW5" s="279" t="s">
        <v>486</v>
      </c>
      <c r="DX5" s="279">
        <v>0</v>
      </c>
      <c r="DY5" s="279">
        <v>0</v>
      </c>
      <c r="DZ5" s="279">
        <v>0</v>
      </c>
      <c r="EA5" s="279">
        <v>0</v>
      </c>
      <c r="EB5" s="279" t="s">
        <v>486</v>
      </c>
      <c r="EC5" s="279">
        <v>0</v>
      </c>
      <c r="ED5" s="279" t="s">
        <v>486</v>
      </c>
      <c r="EE5" s="279">
        <v>0</v>
      </c>
      <c r="EF5" s="279">
        <v>0</v>
      </c>
      <c r="EG5" s="279">
        <v>0</v>
      </c>
      <c r="EH5" s="279">
        <v>0</v>
      </c>
      <c r="EI5" s="279" t="s">
        <v>486</v>
      </c>
      <c r="EJ5" s="279">
        <v>0</v>
      </c>
      <c r="EK5" s="279">
        <v>160</v>
      </c>
      <c r="EL5" s="279" t="s">
        <v>495</v>
      </c>
      <c r="EM5" s="279" t="s">
        <v>518</v>
      </c>
      <c r="EN5" s="279" t="s">
        <v>496</v>
      </c>
      <c r="EO5" s="279" t="s">
        <v>497</v>
      </c>
      <c r="EP5" s="279" t="s">
        <v>486</v>
      </c>
      <c r="EQ5" s="279" t="s">
        <v>486</v>
      </c>
      <c r="ER5" s="279" t="s">
        <v>538</v>
      </c>
      <c r="ES5" s="279">
        <v>37</v>
      </c>
      <c r="ET5" s="279">
        <v>37</v>
      </c>
      <c r="EU5" s="279">
        <v>37</v>
      </c>
      <c r="EV5" s="279">
        <v>0</v>
      </c>
      <c r="EW5" s="279" t="s">
        <v>539</v>
      </c>
      <c r="EX5" s="279" t="s">
        <v>521</v>
      </c>
      <c r="EY5" s="279">
        <v>34</v>
      </c>
      <c r="EZ5" s="279">
        <v>34</v>
      </c>
      <c r="FA5" s="279">
        <v>34</v>
      </c>
      <c r="FB5" s="279">
        <v>0</v>
      </c>
      <c r="FC5" s="279" t="s">
        <v>522</v>
      </c>
      <c r="FD5" s="279" t="s">
        <v>521</v>
      </c>
      <c r="FE5" s="279">
        <v>34</v>
      </c>
      <c r="FF5" s="279">
        <v>34</v>
      </c>
      <c r="FG5" s="279">
        <v>34</v>
      </c>
      <c r="FH5" s="279">
        <v>0</v>
      </c>
      <c r="FI5" s="279" t="s">
        <v>522</v>
      </c>
      <c r="FJ5" s="279" t="s">
        <v>521</v>
      </c>
      <c r="FK5" s="279">
        <v>34</v>
      </c>
      <c r="FL5" s="279">
        <v>34</v>
      </c>
      <c r="FM5" s="279">
        <v>34</v>
      </c>
      <c r="FN5" s="279">
        <v>0</v>
      </c>
      <c r="FO5" s="279" t="s">
        <v>522</v>
      </c>
      <c r="FP5" s="279" t="s">
        <v>486</v>
      </c>
      <c r="FQ5" s="279">
        <v>0</v>
      </c>
      <c r="FR5" s="279">
        <v>0</v>
      </c>
      <c r="FS5" s="279">
        <v>0</v>
      </c>
      <c r="FT5" s="279">
        <v>0</v>
      </c>
      <c r="FU5" s="279" t="s">
        <v>486</v>
      </c>
      <c r="FV5" s="279" t="s">
        <v>486</v>
      </c>
      <c r="FW5" s="279">
        <v>0</v>
      </c>
      <c r="FX5" s="279">
        <v>0</v>
      </c>
      <c r="FY5" s="279">
        <v>0</v>
      </c>
      <c r="FZ5" s="279">
        <v>0</v>
      </c>
      <c r="GA5" s="279" t="s">
        <v>486</v>
      </c>
      <c r="GB5" s="279" t="s">
        <v>51</v>
      </c>
      <c r="GC5" s="279">
        <v>37</v>
      </c>
      <c r="GD5" s="279">
        <v>34</v>
      </c>
      <c r="GE5" s="279">
        <v>34</v>
      </c>
      <c r="GF5" s="279">
        <v>34</v>
      </c>
      <c r="GG5" s="279">
        <v>0</v>
      </c>
      <c r="GH5" s="279">
        <v>0</v>
      </c>
      <c r="GI5" s="527">
        <v>34</v>
      </c>
      <c r="GJ5" s="527">
        <v>34</v>
      </c>
      <c r="GK5" s="279"/>
      <c r="GL5" s="279"/>
      <c r="GM5" s="279"/>
      <c r="GN5" s="279"/>
    </row>
  </sheetData>
  <autoFilter ref="A1:AG2"/>
  <conditionalFormatting sqref="W6:X1048576">
    <cfRule type="containsText" dxfId="0" priority="115" operator="containsText" text="no">
      <formula>NOT(ISERROR(SEARCH("no",W6)))</formula>
    </cfRule>
  </conditionalFormatting>
  <conditionalFormatting sqref="AF1:CZ1 A1:V1 HL1:XFD2 A6:XFD1048576 AD1 DB1:DG1 DI1:DN1 DP1:DU1 DW1:EB1 ED1:EI1 EL1:GJ1 GO3:XFD5 A2:A5">
    <cfRule type="containsErrors" dxfId="0" priority="113">
      <formula>ISERROR(A1)</formula>
    </cfRule>
  </conditionalFormatting>
  <conditionalFormatting sqref="GY1:GZ1">
    <cfRule type="cellIs" dxfId="0" priority="112" stopIfTrue="1" operator="notEqual">
      <formula>TRUE</formula>
    </cfRule>
  </conditionalFormatting>
  <conditionalFormatting sqref="GO2:GP2">
    <cfRule type="containsErrors" dxfId="0" priority="111">
      <formula>ISERROR(GO2)</formula>
    </cfRule>
  </conditionalFormatting>
  <conditionalFormatting sqref="X1 AC1">
    <cfRule type="containsText" dxfId="0" priority="29" operator="containsText" text="no">
      <formula>NOT(ISERROR(SEARCH("no",X1)))</formula>
    </cfRule>
  </conditionalFormatting>
  <conditionalFormatting sqref="DA1">
    <cfRule type="containsErrors" dxfId="0" priority="21">
      <formula>ISERROR(DA1)</formula>
    </cfRule>
  </conditionalFormatting>
  <conditionalFormatting sqref="DH1">
    <cfRule type="containsErrors" dxfId="0" priority="20">
      <formula>ISERROR(DH1)</formula>
    </cfRule>
  </conditionalFormatting>
  <conditionalFormatting sqref="DO1">
    <cfRule type="containsErrors" dxfId="0" priority="19">
      <formula>ISERROR(DO1)</formula>
    </cfRule>
  </conditionalFormatting>
  <conditionalFormatting sqref="DV1">
    <cfRule type="containsErrors" dxfId="0" priority="18">
      <formula>ISERROR(DV1)</formula>
    </cfRule>
  </conditionalFormatting>
  <conditionalFormatting sqref="EC1">
    <cfRule type="containsErrors" dxfId="0" priority="17">
      <formula>ISERROR(EC1)</formula>
    </cfRule>
  </conditionalFormatting>
  <conditionalFormatting sqref="EJ1">
    <cfRule type="containsErrors" dxfId="0" priority="16">
      <formula>ISERROR(EJ1)</formula>
    </cfRule>
  </conditionalFormatting>
  <conditionalFormatting sqref="EK1">
    <cfRule type="containsErrors" dxfId="0" priority="15">
      <formula>ISERROR(EK1)</formula>
    </cfRule>
  </conditionalFormatting>
  <conditionalFormatting sqref="B2:GN2">
    <cfRule type="containsErrors" dxfId="0" priority="7">
      <formula>ISERROR(B2)</formula>
    </cfRule>
  </conditionalFormatting>
  <conditionalFormatting sqref="W3:X3">
    <cfRule type="containsText" dxfId="0" priority="6" operator="containsText" text="no">
      <formula>NOT(ISERROR(SEARCH("no",W3)))</formula>
    </cfRule>
  </conditionalFormatting>
  <conditionalFormatting sqref="B3:GN3">
    <cfRule type="containsErrors" dxfId="0" priority="5">
      <formula>ISERROR(B3)</formula>
    </cfRule>
  </conditionalFormatting>
  <conditionalFormatting sqref="W4:X4">
    <cfRule type="containsText" dxfId="0" priority="4" operator="containsText" text="no">
      <formula>NOT(ISERROR(SEARCH("no",W4)))</formula>
    </cfRule>
  </conditionalFormatting>
  <conditionalFormatting sqref="B4:GN4">
    <cfRule type="containsErrors" dxfId="0" priority="3">
      <formula>ISERROR(B4)</formula>
    </cfRule>
  </conditionalFormatting>
  <conditionalFormatting sqref="W5:X5">
    <cfRule type="containsText" dxfId="0" priority="2" operator="containsText" text="no">
      <formula>NOT(ISERROR(SEARCH("no",W5)))</formula>
    </cfRule>
  </conditionalFormatting>
  <conditionalFormatting sqref="B5:GN5">
    <cfRule type="containsErrors" dxfId="0" priority="1">
      <formula>ISERROR(B5)</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customWidth="1" style="218"/>
    <col min="2" max="2" width="7.140625" customWidth="1" style="218"/>
    <col min="3" max="3" width="60.140625" customWidth="1"/>
    <col min="4" max="4" width="18.42578125" customWidth="1"/>
  </cols>
  <sheetData>
    <row r="1" s="218" customFormat="1">
      <c r="A1" s="304" t="s">
        <v>247</v>
      </c>
      <c r="B1" s="304" t="s">
        <v>248</v>
      </c>
      <c r="C1" s="304" t="s">
        <v>249</v>
      </c>
      <c r="D1" s="304" t="s">
        <v>250</v>
      </c>
    </row>
    <row r="2">
      <c r="A2" s="305">
        <v>1</v>
      </c>
      <c r="B2" s="305">
        <v>1</v>
      </c>
      <c r="C2" s="306" t="s">
        <v>251</v>
      </c>
      <c r="D2" s="306"/>
    </row>
    <row r="3">
      <c r="A3" s="305">
        <v>2</v>
      </c>
      <c r="B3" s="305">
        <v>2</v>
      </c>
      <c r="C3" s="306" t="s">
        <v>252</v>
      </c>
      <c r="D3" s="306"/>
    </row>
    <row r="4">
      <c r="A4" s="305">
        <v>3</v>
      </c>
      <c r="B4" s="305">
        <v>3</v>
      </c>
      <c r="C4" s="306" t="s">
        <v>253</v>
      </c>
      <c r="D4" s="306"/>
    </row>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08"/>
    <col min="2" max="2" width="3.140625" customWidth="1" style="208"/>
    <col min="3" max="3" width="3.140625" customWidth="1" style="208"/>
    <col min="4" max="4" width="3.140625" customWidth="1" style="208"/>
    <col min="5" max="5" width="3.140625" customWidth="1" style="208"/>
    <col min="6" max="6" width="3.140625" customWidth="1" style="208"/>
    <col min="7" max="7" width="3.140625" customWidth="1" style="208"/>
    <col min="8" max="8" width="3.140625" customWidth="1" style="208"/>
    <col min="9" max="9" width="3.140625" customWidth="1" style="208"/>
    <col min="10" max="10" width="3.140625" customWidth="1" style="208"/>
    <col min="11" max="11" width="3.140625" customWidth="1" style="208"/>
    <col min="12" max="12" width="3.140625" customWidth="1" style="208"/>
    <col min="13" max="13" width="3.140625" customWidth="1" style="208"/>
    <col min="14" max="14" width="8.42578125" customWidth="1" style="208"/>
    <col min="15" max="15" width="3.140625" customWidth="1" style="208"/>
    <col min="16" max="16" width="3.140625" customWidth="1" style="208"/>
    <col min="17" max="17" width="3.140625" customWidth="1" style="208"/>
    <col min="18" max="18" width="3.140625" customWidth="1" style="208"/>
    <col min="19" max="19" width="3.140625" customWidth="1" style="208"/>
    <col min="20" max="20" width="3.140625" customWidth="1" style="208"/>
    <col min="21" max="21" width="3.140625" customWidth="1" style="208"/>
    <col min="22" max="22" width="3.140625" customWidth="1" style="208"/>
    <col min="23" max="23" width="3.140625" customWidth="1" style="208"/>
    <col min="24" max="25" width="3.140625" customWidth="1" style="208"/>
    <col min="26" max="26" width="3.5703125" customWidth="1" style="208"/>
    <col min="27" max="29" width="3.140625" customWidth="1" style="208"/>
    <col min="30" max="30" bestFit="1" width="10.5703125" customWidth="1" style="208"/>
    <col min="31" max="31" bestFit="1" width="11.85546875" customWidth="1" style="208"/>
    <col min="32" max="32" bestFit="1" width="10.5703125" customWidth="1" style="208"/>
    <col min="33" max="33" bestFit="1" width="9.85546875" customWidth="1" style="208"/>
    <col min="34" max="34" bestFit="1" width="11.85546875" customWidth="1" style="208"/>
    <col min="35" max="16384" width="9.140625" customWidth="1" style="208"/>
  </cols>
  <sheetData>
    <row r="1" ht="16.5">
      <c r="A1" s="420" t="s">
        <v>215</v>
      </c>
      <c r="B1" s="420"/>
      <c r="C1" s="420"/>
      <c r="D1" s="420"/>
      <c r="E1" s="420"/>
      <c r="F1" s="420"/>
      <c r="G1" s="420"/>
      <c r="H1" s="420"/>
      <c r="I1" s="420"/>
      <c r="J1" s="420"/>
      <c r="K1" s="307"/>
      <c r="L1" s="307"/>
      <c r="M1" s="307"/>
      <c r="N1" s="396" t="s">
        <v>148</v>
      </c>
      <c r="O1" s="396"/>
      <c r="P1" s="396"/>
      <c r="Q1" s="396"/>
      <c r="R1" s="396"/>
      <c r="S1" s="396"/>
      <c r="T1" s="396"/>
      <c r="U1" s="396"/>
      <c r="V1" s="396"/>
      <c r="W1" s="396"/>
      <c r="X1" s="396"/>
      <c r="Y1" s="396"/>
      <c r="Z1" s="396"/>
      <c r="AA1" s="308"/>
      <c r="AB1" s="307"/>
      <c r="AC1" s="307"/>
      <c r="AD1" s="307"/>
      <c r="AE1" s="307"/>
      <c r="AF1" s="307"/>
      <c r="AG1" s="307"/>
      <c r="AH1" s="307"/>
      <c r="AI1" s="307"/>
      <c r="AJ1" s="307"/>
      <c r="AK1" s="307"/>
      <c r="AL1" s="307"/>
      <c r="AM1" s="307"/>
      <c r="AN1" s="307"/>
      <c r="AO1" s="307"/>
      <c r="AP1" s="307"/>
      <c r="AQ1" s="307"/>
      <c r="AR1" s="307"/>
    </row>
    <row r="2" ht="16.5" customHeight="1">
      <c r="A2" s="396" t="s">
        <v>147</v>
      </c>
      <c r="B2" s="396"/>
      <c r="C2" s="396"/>
      <c r="D2" s="396"/>
      <c r="E2" s="396"/>
      <c r="F2" s="396"/>
      <c r="G2" s="396"/>
      <c r="H2" s="396"/>
      <c r="I2" s="396"/>
      <c r="J2" s="396"/>
      <c r="K2" s="307"/>
      <c r="L2" s="307"/>
      <c r="M2" s="307"/>
      <c r="N2" s="399" t="s">
        <v>150</v>
      </c>
      <c r="O2" s="399"/>
      <c r="P2" s="399"/>
      <c r="Q2" s="399"/>
      <c r="R2" s="399"/>
      <c r="S2" s="399"/>
      <c r="T2" s="399"/>
      <c r="U2" s="399"/>
      <c r="V2" s="399"/>
      <c r="W2" s="399"/>
      <c r="X2" s="399"/>
      <c r="Y2" s="399"/>
      <c r="Z2" s="399"/>
      <c r="AA2" s="307"/>
      <c r="AB2" s="307"/>
      <c r="AC2" s="307"/>
      <c r="AD2" s="307"/>
      <c r="AE2" s="307"/>
      <c r="AF2" s="307"/>
      <c r="AG2" s="307"/>
      <c r="AH2" s="307"/>
      <c r="AI2" s="307"/>
      <c r="AJ2" s="307"/>
      <c r="AK2" s="307"/>
      <c r="AL2" s="307"/>
      <c r="AM2" s="307"/>
      <c r="AN2" s="307"/>
      <c r="AO2" s="307"/>
      <c r="AP2" s="307"/>
      <c r="AQ2" s="307"/>
      <c r="AR2" s="307"/>
    </row>
    <row r="3" ht="16.5">
      <c r="A3" s="396" t="s">
        <v>149</v>
      </c>
      <c r="B3" s="396"/>
      <c r="C3" s="396"/>
      <c r="D3" s="396"/>
      <c r="E3" s="396"/>
      <c r="F3" s="396"/>
      <c r="G3" s="396"/>
      <c r="H3" s="396"/>
      <c r="I3" s="396"/>
      <c r="J3" s="396"/>
      <c r="K3" s="307"/>
      <c r="L3" s="307"/>
      <c r="M3" s="307"/>
      <c r="N3" s="307"/>
      <c r="O3" s="309"/>
      <c r="P3" s="309"/>
      <c r="Q3" s="309"/>
      <c r="R3" s="309"/>
      <c r="S3" s="309"/>
      <c r="T3" s="309"/>
      <c r="U3" s="309"/>
      <c r="V3" s="309"/>
      <c r="W3" s="309"/>
      <c r="X3" s="307"/>
      <c r="Y3" s="307"/>
      <c r="Z3" s="307"/>
      <c r="AA3" s="307"/>
      <c r="AB3" s="307"/>
      <c r="AC3" s="307"/>
      <c r="AD3" s="307"/>
      <c r="AE3" s="307"/>
      <c r="AF3" s="307"/>
      <c r="AG3" s="307"/>
      <c r="AH3" s="307"/>
      <c r="AI3" s="307"/>
      <c r="AJ3" s="307"/>
      <c r="AK3" s="307"/>
      <c r="AL3" s="307"/>
      <c r="AM3" s="307"/>
      <c r="AN3" s="307"/>
      <c r="AO3" s="307"/>
      <c r="AP3" s="307"/>
      <c r="AQ3" s="307"/>
      <c r="AR3" s="307"/>
    </row>
    <row r="4" ht="21.75" customHeight="1">
      <c r="A4" s="307"/>
      <c r="B4" s="307"/>
      <c r="C4" s="422" t="str">
        <f>IF(LEN(AD4)=1,"Số: 0"&amp;AD4&amp;"/LPKĐ-TT2","Số: "&amp;AD4&amp;"/LPKĐ-TT2")</f>
        <v>Số: 02/LPKĐ-TT2</v>
      </c>
      <c r="D4" s="422"/>
      <c r="E4" s="422"/>
      <c r="F4" s="422"/>
      <c r="G4" s="422"/>
      <c r="H4" s="422"/>
      <c r="I4" s="307"/>
      <c r="J4" s="307"/>
      <c r="K4" s="307"/>
      <c r="L4" s="307"/>
      <c r="M4" s="307"/>
      <c r="N4" s="425" t="str">
        <f>"TP. Hồ Chí Minh, ngày "&amp;AF4&amp;" tháng "&amp;AG4&amp;" năm "&amp;AH4</f>
        <v>TP. Hồ Chí Minh, ngày 27 tháng 2 năm 2019</v>
      </c>
      <c r="O4" s="425"/>
      <c r="P4" s="425"/>
      <c r="Q4" s="425"/>
      <c r="R4" s="425"/>
      <c r="S4" s="425"/>
      <c r="T4" s="425"/>
      <c r="U4" s="425"/>
      <c r="V4" s="425"/>
      <c r="W4" s="425"/>
      <c r="X4" s="425"/>
      <c r="Y4" s="425"/>
      <c r="Z4" s="425"/>
      <c r="AA4" s="307"/>
      <c r="AB4" s="307"/>
      <c r="AC4" s="307"/>
      <c r="AD4" s="310">
        <v>2</v>
      </c>
      <c r="AE4" s="311" t="s">
        <v>216</v>
      </c>
      <c r="AF4" s="307">
        <f>DAY(AE4)</f>
        <v>27</v>
      </c>
      <c r="AG4" s="307">
        <f>MONTH(AE4)</f>
        <v>2</v>
      </c>
      <c r="AH4" s="307">
        <f>YEAR(AE4)</f>
        <v>2019</v>
      </c>
      <c r="AI4" s="307"/>
      <c r="AJ4" s="307"/>
      <c r="AK4" s="307"/>
      <c r="AL4" s="307"/>
      <c r="AM4" s="307"/>
      <c r="AN4" s="307"/>
      <c r="AO4" s="307"/>
      <c r="AP4" s="307"/>
      <c r="AQ4" s="307"/>
      <c r="AR4" s="307"/>
    </row>
    <row r="5">
      <c r="A5" s="307"/>
      <c r="B5" s="307"/>
      <c r="C5" s="307"/>
      <c r="D5" s="307"/>
      <c r="E5" s="307"/>
      <c r="F5" s="307"/>
      <c r="G5" s="307"/>
      <c r="H5" s="307"/>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c r="AO5" s="307"/>
      <c r="AP5" s="307"/>
      <c r="AQ5" s="307"/>
      <c r="AR5" s="307"/>
    </row>
    <row r="6" ht="8.25" customHeight="1">
      <c r="A6" s="307"/>
      <c r="B6" s="307"/>
      <c r="C6" s="307"/>
      <c r="D6" s="307"/>
      <c r="E6" s="307"/>
      <c r="F6" s="307"/>
      <c r="G6" s="307"/>
      <c r="H6" s="307"/>
      <c r="I6" s="307"/>
      <c r="J6" s="307"/>
      <c r="K6" s="307"/>
      <c r="L6" s="307"/>
      <c r="M6" s="307"/>
      <c r="N6" s="307"/>
      <c r="O6" s="308"/>
      <c r="P6" s="307"/>
      <c r="Q6" s="307"/>
      <c r="R6" s="307"/>
      <c r="S6" s="307"/>
      <c r="T6" s="307"/>
      <c r="U6" s="307"/>
      <c r="V6" s="307"/>
      <c r="W6" s="307"/>
      <c r="X6" s="307"/>
      <c r="Y6" s="307"/>
      <c r="Z6" s="307"/>
      <c r="AA6" s="307"/>
      <c r="AB6" s="307"/>
      <c r="AC6" s="307"/>
      <c r="AD6" s="307"/>
      <c r="AE6" s="307"/>
      <c r="AF6" s="307"/>
      <c r="AG6" s="307"/>
      <c r="AH6" s="307"/>
      <c r="AI6" s="307"/>
      <c r="AJ6" s="307"/>
      <c r="AK6" s="307"/>
      <c r="AL6" s="307"/>
      <c r="AM6" s="307"/>
      <c r="AN6" s="307"/>
      <c r="AO6" s="307"/>
      <c r="AP6" s="307"/>
      <c r="AQ6" s="307"/>
      <c r="AR6" s="307"/>
    </row>
    <row r="7" ht="18.75">
      <c r="A7" s="307"/>
      <c r="B7" s="307"/>
      <c r="C7" s="424" t="s">
        <v>217</v>
      </c>
      <c r="D7" s="424"/>
      <c r="E7" s="424"/>
      <c r="F7" s="424"/>
      <c r="G7" s="424"/>
      <c r="H7" s="424"/>
      <c r="I7" s="424"/>
      <c r="J7" s="424"/>
      <c r="K7" s="424"/>
      <c r="L7" s="424"/>
      <c r="M7" s="424"/>
      <c r="N7" s="424"/>
      <c r="O7" s="424"/>
      <c r="P7" s="424"/>
      <c r="Q7" s="424"/>
      <c r="R7" s="424"/>
      <c r="S7" s="424"/>
      <c r="T7" s="424"/>
      <c r="U7" s="424"/>
      <c r="V7" s="424"/>
      <c r="W7" s="424"/>
      <c r="X7" s="424"/>
      <c r="Y7" s="307"/>
      <c r="Z7" s="307"/>
      <c r="AA7" s="307"/>
      <c r="AB7" s="307"/>
      <c r="AC7" s="307"/>
      <c r="AD7" s="307"/>
      <c r="AE7" s="307"/>
      <c r="AF7" s="307"/>
      <c r="AG7" s="307"/>
      <c r="AH7" s="307"/>
      <c r="AI7" s="307"/>
      <c r="AJ7" s="307"/>
      <c r="AK7" s="307"/>
      <c r="AL7" s="307"/>
      <c r="AM7" s="307"/>
      <c r="AN7" s="307"/>
      <c r="AO7" s="307"/>
      <c r="AP7" s="307"/>
      <c r="AQ7" s="307"/>
      <c r="AR7" s="307"/>
    </row>
    <row r="8" ht="18.75">
      <c r="A8" s="307"/>
      <c r="B8" s="307"/>
      <c r="C8" s="424" t="s">
        <v>152</v>
      </c>
      <c r="D8" s="424"/>
      <c r="E8" s="424"/>
      <c r="F8" s="424"/>
      <c r="G8" s="424"/>
      <c r="H8" s="424"/>
      <c r="I8" s="424"/>
      <c r="J8" s="424"/>
      <c r="K8" s="424"/>
      <c r="L8" s="424"/>
      <c r="M8" s="424"/>
      <c r="N8" s="424"/>
      <c r="O8" s="424"/>
      <c r="P8" s="424"/>
      <c r="Q8" s="424"/>
      <c r="R8" s="424"/>
      <c r="S8" s="424"/>
      <c r="T8" s="424"/>
      <c r="U8" s="424"/>
      <c r="V8" s="424"/>
      <c r="W8" s="424"/>
      <c r="X8" s="424"/>
      <c r="Y8" s="307"/>
      <c r="Z8" s="307"/>
      <c r="AA8" s="307"/>
      <c r="AB8" s="307"/>
      <c r="AC8" s="307"/>
      <c r="AD8" s="307"/>
      <c r="AE8" s="307"/>
      <c r="AF8" s="307"/>
      <c r="AG8" s="307"/>
      <c r="AH8" s="307"/>
      <c r="AI8" s="307"/>
      <c r="AJ8" s="307"/>
      <c r="AK8" s="307"/>
      <c r="AL8" s="307"/>
      <c r="AM8" s="307"/>
      <c r="AN8" s="307"/>
      <c r="AO8" s="307"/>
      <c r="AP8" s="307"/>
      <c r="AQ8" s="307"/>
      <c r="AR8" s="307"/>
    </row>
    <row r="9">
      <c r="A9" s="307"/>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row>
    <row r="10" ht="16.5">
      <c r="A10" s="307"/>
      <c r="B10" s="307"/>
      <c r="C10" s="307"/>
      <c r="D10" s="420" t="str">
        <f>"Kính gửi: "&amp;AD10</f>
        <v>Kính gửi: Trung tâm Thông tin di động khu vực II</v>
      </c>
      <c r="E10" s="420"/>
      <c r="F10" s="420"/>
      <c r="G10" s="420"/>
      <c r="H10" s="420"/>
      <c r="I10" s="420"/>
      <c r="J10" s="420"/>
      <c r="K10" s="420"/>
      <c r="L10" s="420"/>
      <c r="M10" s="420"/>
      <c r="N10" s="420"/>
      <c r="O10" s="420"/>
      <c r="P10" s="420"/>
      <c r="Q10" s="420"/>
      <c r="R10" s="420"/>
      <c r="S10" s="420"/>
      <c r="T10" s="420"/>
      <c r="U10" s="420"/>
      <c r="V10" s="420"/>
      <c r="W10" s="420"/>
      <c r="X10" s="307"/>
      <c r="Y10" s="307"/>
      <c r="Z10" s="307"/>
      <c r="AA10" s="307"/>
      <c r="AB10" s="307"/>
      <c r="AC10" s="307"/>
      <c r="AD10" s="307" t="s">
        <v>218</v>
      </c>
      <c r="AE10" s="307"/>
      <c r="AF10" s="307"/>
      <c r="AG10" s="307"/>
      <c r="AH10" s="307"/>
      <c r="AI10" s="307"/>
      <c r="AJ10" s="307"/>
      <c r="AK10" s="307"/>
      <c r="AL10" s="307"/>
      <c r="AM10" s="307"/>
      <c r="AN10" s="307"/>
      <c r="AO10" s="307"/>
      <c r="AP10" s="307"/>
      <c r="AQ10" s="307"/>
      <c r="AR10" s="307"/>
    </row>
    <row r="11" ht="15.75" customHeight="1">
      <c r="A11" s="312"/>
      <c r="B11" s="312"/>
      <c r="C11" s="307"/>
      <c r="D11" s="423" t="s">
        <v>219</v>
      </c>
      <c r="E11" s="423"/>
      <c r="F11" s="423"/>
      <c r="G11" s="400" t="str">
        <f>AD11</f>
        <v>Số MM18, đường Trường Sơn, phường 14, quận 10, thành phố Hồ Chí Minh.</v>
      </c>
      <c r="H11" s="400"/>
      <c r="I11" s="400"/>
      <c r="J11" s="400"/>
      <c r="K11" s="400"/>
      <c r="L11" s="400"/>
      <c r="M11" s="400"/>
      <c r="N11" s="400"/>
      <c r="O11" s="400"/>
      <c r="P11" s="400"/>
      <c r="Q11" s="400"/>
      <c r="R11" s="400"/>
      <c r="S11" s="400"/>
      <c r="T11" s="400"/>
      <c r="U11" s="400"/>
      <c r="V11" s="400"/>
      <c r="W11" s="400"/>
      <c r="X11" s="313"/>
      <c r="Y11" s="313"/>
      <c r="Z11" s="313"/>
      <c r="AA11" s="307"/>
      <c r="AB11" s="307"/>
      <c r="AC11" s="307"/>
      <c r="AD11" s="307" t="s">
        <v>220</v>
      </c>
      <c r="AE11" s="307"/>
      <c r="AF11" s="307"/>
      <c r="AG11" s="307"/>
      <c r="AH11" s="307"/>
      <c r="AI11" s="307"/>
      <c r="AJ11" s="307"/>
      <c r="AK11" s="307"/>
      <c r="AL11" s="307"/>
      <c r="AM11" s="307"/>
      <c r="AN11" s="307"/>
      <c r="AO11" s="307"/>
      <c r="AP11" s="307"/>
      <c r="AQ11" s="307"/>
      <c r="AR11" s="307"/>
    </row>
    <row r="12">
      <c r="A12" s="312"/>
      <c r="B12" s="312"/>
      <c r="C12" s="312"/>
      <c r="D12" s="312"/>
      <c r="E12" s="312"/>
      <c r="F12" s="313"/>
      <c r="G12" s="400"/>
      <c r="H12" s="400"/>
      <c r="I12" s="400"/>
      <c r="J12" s="400"/>
      <c r="K12" s="400"/>
      <c r="L12" s="400"/>
      <c r="M12" s="400"/>
      <c r="N12" s="400"/>
      <c r="O12" s="400"/>
      <c r="P12" s="400"/>
      <c r="Q12" s="400"/>
      <c r="R12" s="400"/>
      <c r="S12" s="400"/>
      <c r="T12" s="400"/>
      <c r="U12" s="400"/>
      <c r="V12" s="400"/>
      <c r="W12" s="400"/>
      <c r="X12" s="313"/>
      <c r="Y12" s="313"/>
      <c r="Z12" s="313"/>
      <c r="AA12" s="307"/>
      <c r="AB12" s="307"/>
      <c r="AC12" s="307"/>
      <c r="AD12" s="307"/>
      <c r="AE12" s="307"/>
      <c r="AF12" s="307"/>
      <c r="AG12" s="307"/>
      <c r="AH12" s="307"/>
      <c r="AI12" s="307"/>
      <c r="AJ12" s="307"/>
      <c r="AK12" s="307"/>
      <c r="AL12" s="307"/>
      <c r="AM12" s="307"/>
      <c r="AN12" s="307"/>
      <c r="AO12" s="307"/>
      <c r="AP12" s="307"/>
      <c r="AQ12" s="307"/>
      <c r="AR12" s="307"/>
    </row>
    <row r="13" ht="20.25" customHeight="1">
      <c r="A13" s="312"/>
      <c r="B13" s="312"/>
      <c r="C13" s="307"/>
      <c r="D13" s="312" t="s">
        <v>221</v>
      </c>
      <c r="E13" s="312"/>
      <c r="F13" s="312"/>
      <c r="G13" s="423" t="str">
        <f>AD13</f>
        <v>08 38662387</v>
      </c>
      <c r="H13" s="423"/>
      <c r="I13" s="423"/>
      <c r="J13" s="423"/>
      <c r="K13" s="423"/>
      <c r="L13" s="423"/>
      <c r="M13" s="423"/>
      <c r="N13" s="312"/>
      <c r="O13" s="312" t="s">
        <v>222</v>
      </c>
      <c r="P13" s="312"/>
      <c r="Q13" s="423" t="str">
        <f>AH13</f>
        <v>08 38662388</v>
      </c>
      <c r="R13" s="423"/>
      <c r="S13" s="423"/>
      <c r="T13" s="423"/>
      <c r="U13" s="423"/>
      <c r="V13" s="423"/>
      <c r="W13" s="423"/>
      <c r="X13" s="312"/>
      <c r="Y13" s="312"/>
      <c r="Z13" s="312"/>
      <c r="AA13" s="307"/>
      <c r="AB13" s="307"/>
      <c r="AC13" s="307"/>
      <c r="AD13" s="307" t="s">
        <v>223</v>
      </c>
      <c r="AE13" s="307"/>
      <c r="AF13" s="307"/>
      <c r="AG13" s="307"/>
      <c r="AH13" s="307" t="s">
        <v>224</v>
      </c>
      <c r="AI13" s="307"/>
      <c r="AJ13" s="307"/>
      <c r="AK13" s="307"/>
      <c r="AL13" s="307"/>
      <c r="AM13" s="307"/>
      <c r="AN13" s="307"/>
      <c r="AO13" s="307"/>
      <c r="AP13" s="307"/>
      <c r="AQ13" s="307"/>
      <c r="AR13" s="307"/>
    </row>
    <row r="14" ht="55.15" customHeight="1">
      <c r="A14" s="39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398"/>
      <c r="C14" s="398"/>
      <c r="D14" s="398"/>
      <c r="E14" s="398"/>
      <c r="F14" s="398"/>
      <c r="G14" s="398"/>
      <c r="H14" s="398"/>
      <c r="I14" s="398"/>
      <c r="J14" s="398"/>
      <c r="K14" s="398"/>
      <c r="L14" s="398"/>
      <c r="M14" s="398"/>
      <c r="N14" s="398"/>
      <c r="O14" s="398"/>
      <c r="P14" s="398"/>
      <c r="Q14" s="398"/>
      <c r="R14" s="398"/>
      <c r="S14" s="398"/>
      <c r="T14" s="398"/>
      <c r="U14" s="398"/>
      <c r="V14" s="398"/>
      <c r="W14" s="398"/>
      <c r="X14" s="398"/>
      <c r="Y14" s="398"/>
      <c r="Z14" s="398"/>
      <c r="AA14" s="307"/>
      <c r="AB14" s="307"/>
      <c r="AC14" s="307"/>
      <c r="AD14" s="307" t="s">
        <v>225</v>
      </c>
      <c r="AE14" s="311" t="s">
        <v>226</v>
      </c>
      <c r="AF14" s="307">
        <f>DAY(AE14)</f>
        <v>25</v>
      </c>
      <c r="AG14" s="307">
        <f>MONTH(AE14)</f>
        <v>12</v>
      </c>
      <c r="AH14" s="307">
        <f>YEAR(AE14)</f>
        <v>2013</v>
      </c>
      <c r="AI14" s="307"/>
      <c r="AJ14" s="307"/>
      <c r="AK14" s="307"/>
      <c r="AL14" s="307"/>
      <c r="AM14" s="307"/>
      <c r="AN14" s="307"/>
      <c r="AO14" s="307"/>
      <c r="AP14" s="307"/>
      <c r="AQ14" s="307"/>
      <c r="AR14" s="307"/>
    </row>
    <row r="15" ht="87.75" customHeight="1">
      <c r="A15" s="421" t="s">
        <v>227</v>
      </c>
      <c r="B15" s="421"/>
      <c r="C15" s="421"/>
      <c r="D15" s="421"/>
      <c r="E15" s="421"/>
      <c r="F15" s="421"/>
      <c r="G15" s="421"/>
      <c r="H15" s="421"/>
      <c r="I15" s="421"/>
      <c r="J15" s="421"/>
      <c r="K15" s="421"/>
      <c r="L15" s="421"/>
      <c r="M15" s="421"/>
      <c r="N15" s="421"/>
      <c r="O15" s="421"/>
      <c r="P15" s="421"/>
      <c r="Q15" s="421"/>
      <c r="R15" s="421"/>
      <c r="S15" s="421"/>
      <c r="T15" s="421"/>
      <c r="U15" s="421"/>
      <c r="V15" s="421"/>
      <c r="W15" s="421"/>
      <c r="X15" s="421"/>
      <c r="Y15" s="421"/>
      <c r="Z15" s="421"/>
      <c r="AA15" s="307"/>
      <c r="AB15" s="307"/>
      <c r="AC15" s="307"/>
      <c r="AD15" s="307"/>
      <c r="AE15" s="307"/>
      <c r="AF15" s="307"/>
      <c r="AG15" s="307"/>
      <c r="AH15" s="307"/>
      <c r="AI15" s="307"/>
      <c r="AJ15" s="307"/>
      <c r="AK15" s="307"/>
      <c r="AL15" s="307"/>
      <c r="AM15" s="307"/>
      <c r="AN15" s="307"/>
      <c r="AO15" s="307"/>
      <c r="AP15" s="307"/>
      <c r="AQ15" s="307"/>
      <c r="AR15" s="307"/>
    </row>
    <row r="16" ht="33" customHeight="1">
      <c r="A16" s="307"/>
      <c r="B16" s="407" t="s">
        <v>87</v>
      </c>
      <c r="C16" s="409"/>
      <c r="D16" s="407" t="s">
        <v>228</v>
      </c>
      <c r="E16" s="408"/>
      <c r="F16" s="408"/>
      <c r="G16" s="408"/>
      <c r="H16" s="408"/>
      <c r="I16" s="408"/>
      <c r="J16" s="408"/>
      <c r="K16" s="408"/>
      <c r="L16" s="408"/>
      <c r="M16" s="408"/>
      <c r="N16" s="409"/>
      <c r="O16" s="406" t="s">
        <v>229</v>
      </c>
      <c r="P16" s="406"/>
      <c r="Q16" s="406"/>
      <c r="R16" s="406" t="s">
        <v>230</v>
      </c>
      <c r="S16" s="406"/>
      <c r="T16" s="406"/>
      <c r="U16" s="406" t="s">
        <v>231</v>
      </c>
      <c r="V16" s="406"/>
      <c r="W16" s="406"/>
      <c r="X16" s="406"/>
      <c r="Y16" s="406"/>
      <c r="Z16" s="307"/>
      <c r="AA16" s="307"/>
      <c r="AB16" s="307"/>
      <c r="AC16" s="307"/>
      <c r="AD16" s="307"/>
      <c r="AE16" s="307"/>
      <c r="AF16" s="307"/>
      <c r="AG16" s="307"/>
      <c r="AH16" s="307"/>
      <c r="AI16" s="307"/>
      <c r="AJ16" s="307"/>
      <c r="AK16" s="307"/>
      <c r="AL16" s="307"/>
      <c r="AM16" s="307"/>
      <c r="AN16" s="307"/>
      <c r="AO16" s="307"/>
      <c r="AP16" s="307"/>
      <c r="AQ16" s="307"/>
      <c r="AR16" s="307"/>
    </row>
    <row r="17" ht="18.75" customHeight="1">
      <c r="A17" s="307"/>
      <c r="B17" s="418">
        <v>1</v>
      </c>
      <c r="C17" s="419"/>
      <c r="D17" s="410" t="s">
        <v>232</v>
      </c>
      <c r="E17" s="411"/>
      <c r="F17" s="411"/>
      <c r="G17" s="411"/>
      <c r="H17" s="411"/>
      <c r="I17" s="411"/>
      <c r="J17" s="411"/>
      <c r="K17" s="411"/>
      <c r="L17" s="411"/>
      <c r="M17" s="411"/>
      <c r="N17" s="411"/>
      <c r="O17" s="412">
        <v>50000</v>
      </c>
      <c r="P17" s="413"/>
      <c r="Q17" s="414"/>
      <c r="R17" s="403">
        <f>AD17</f>
        <v>6</v>
      </c>
      <c r="S17" s="404"/>
      <c r="T17" s="405"/>
      <c r="U17" s="412">
        <f>O17*R17</f>
        <v>300000</v>
      </c>
      <c r="V17" s="413"/>
      <c r="W17" s="413"/>
      <c r="X17" s="413"/>
      <c r="Y17" s="414"/>
      <c r="Z17" s="307"/>
      <c r="AA17" s="307"/>
      <c r="AB17" s="307"/>
      <c r="AC17" s="307"/>
      <c r="AD17" s="307">
        <v>6</v>
      </c>
      <c r="AE17" s="307"/>
      <c r="AF17" s="307"/>
      <c r="AG17" s="307"/>
      <c r="AH17" s="307"/>
      <c r="AI17" s="307"/>
      <c r="AJ17" s="307"/>
      <c r="AK17" s="307"/>
      <c r="AL17" s="307"/>
      <c r="AM17" s="307"/>
      <c r="AN17" s="307"/>
      <c r="AO17" s="307"/>
      <c r="AP17" s="307"/>
      <c r="AQ17" s="307"/>
      <c r="AR17" s="307"/>
    </row>
    <row r="18" ht="18.75" customHeight="1">
      <c r="A18" s="307"/>
      <c r="B18" s="407" t="s">
        <v>233</v>
      </c>
      <c r="C18" s="408"/>
      <c r="D18" s="408"/>
      <c r="E18" s="408"/>
      <c r="F18" s="408"/>
      <c r="G18" s="408"/>
      <c r="H18" s="408"/>
      <c r="I18" s="408"/>
      <c r="J18" s="408"/>
      <c r="K18" s="408"/>
      <c r="L18" s="408"/>
      <c r="M18" s="408"/>
      <c r="N18" s="408"/>
      <c r="O18" s="408"/>
      <c r="P18" s="408"/>
      <c r="Q18" s="408"/>
      <c r="R18" s="408"/>
      <c r="S18" s="408"/>
      <c r="T18" s="409"/>
      <c r="U18" s="415">
        <f>U17</f>
        <v>300000</v>
      </c>
      <c r="V18" s="416"/>
      <c r="W18" s="416"/>
      <c r="X18" s="416"/>
      <c r="Y18" s="417"/>
      <c r="Z18" s="307"/>
      <c r="AA18" s="307"/>
      <c r="AB18" s="307"/>
      <c r="AC18" s="307"/>
      <c r="AD18" s="314">
        <f>U18</f>
        <v>300000</v>
      </c>
      <c r="AE18" s="307"/>
      <c r="AF18" s="307"/>
      <c r="AG18" s="307"/>
      <c r="AH18" s="307"/>
      <c r="AI18" s="307"/>
      <c r="AJ18" s="307"/>
      <c r="AK18" s="307"/>
      <c r="AL18" s="307"/>
      <c r="AM18" s="307"/>
      <c r="AN18" s="307"/>
      <c r="AO18" s="307"/>
      <c r="AP18" s="307"/>
      <c r="AQ18" s="307"/>
      <c r="AR18" s="307"/>
    </row>
    <row r="19">
      <c r="A19" s="307"/>
      <c r="B19" s="403" t="str">
        <f>"Bằng chữ: "&amp;AD19</f>
        <v>Bằng chữ: Ba triệu năm trăm ngàn đồng chẵn.</v>
      </c>
      <c r="C19" s="404"/>
      <c r="D19" s="404"/>
      <c r="E19" s="404"/>
      <c r="F19" s="404"/>
      <c r="G19" s="404"/>
      <c r="H19" s="404"/>
      <c r="I19" s="404"/>
      <c r="J19" s="404"/>
      <c r="K19" s="404"/>
      <c r="L19" s="404"/>
      <c r="M19" s="404"/>
      <c r="N19" s="404"/>
      <c r="O19" s="404"/>
      <c r="P19" s="404"/>
      <c r="Q19" s="404"/>
      <c r="R19" s="404"/>
      <c r="S19" s="404"/>
      <c r="T19" s="404"/>
      <c r="U19" s="404"/>
      <c r="V19" s="404"/>
      <c r="W19" s="404"/>
      <c r="X19" s="404"/>
      <c r="Y19" s="405"/>
      <c r="Z19" s="307"/>
      <c r="AA19" s="307"/>
      <c r="AB19" s="307"/>
      <c r="AC19" s="307"/>
      <c r="AD19" s="307" t="s">
        <v>234</v>
      </c>
      <c r="AE19" s="307"/>
      <c r="AF19" s="307"/>
      <c r="AG19" s="307"/>
      <c r="AH19" s="307"/>
      <c r="AI19" s="307"/>
      <c r="AJ19" s="307"/>
      <c r="AK19" s="307"/>
      <c r="AL19" s="307"/>
      <c r="AM19" s="307"/>
      <c r="AN19" s="307"/>
      <c r="AO19" s="307"/>
      <c r="AP19" s="307"/>
      <c r="AQ19" s="307"/>
      <c r="AR19" s="307"/>
    </row>
    <row r="20" ht="7.5" customHeight="1">
      <c r="A20" s="307"/>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row>
    <row r="21" ht="18" customHeight="1">
      <c r="A21" s="307"/>
      <c r="B21" s="397" t="s">
        <v>235</v>
      </c>
      <c r="C21" s="397"/>
      <c r="D21" s="397"/>
      <c r="E21" s="397"/>
      <c r="F21" s="397"/>
      <c r="G21" s="397"/>
      <c r="H21" s="397"/>
      <c r="I21" s="397"/>
      <c r="J21" s="397" t="s">
        <v>236</v>
      </c>
      <c r="K21" s="397"/>
      <c r="L21" s="397"/>
      <c r="M21" s="397"/>
      <c r="N21" s="397"/>
      <c r="O21" s="397"/>
      <c r="P21" s="397"/>
      <c r="Q21" s="397"/>
      <c r="R21" s="397"/>
      <c r="S21" s="397"/>
      <c r="T21" s="397"/>
      <c r="U21" s="397"/>
      <c r="V21" s="397"/>
      <c r="W21" s="397"/>
      <c r="X21" s="397"/>
      <c r="Y21" s="397"/>
      <c r="Z21" s="307"/>
      <c r="AA21" s="307"/>
      <c r="AB21" s="307"/>
      <c r="AC21" s="307"/>
      <c r="AD21" s="307"/>
      <c r="AE21" s="307"/>
      <c r="AF21" s="307"/>
      <c r="AG21" s="307"/>
      <c r="AH21" s="307"/>
      <c r="AI21" s="307"/>
      <c r="AJ21" s="307"/>
      <c r="AK21" s="307"/>
      <c r="AL21" s="307"/>
      <c r="AM21" s="307"/>
      <c r="AN21" s="307"/>
      <c r="AO21" s="307"/>
      <c r="AP21" s="307"/>
      <c r="AQ21" s="307"/>
      <c r="AR21" s="307"/>
    </row>
    <row r="22" ht="18.75" customHeight="1">
      <c r="A22" s="307"/>
      <c r="B22" s="397" t="s">
        <v>237</v>
      </c>
      <c r="C22" s="397"/>
      <c r="D22" s="397"/>
      <c r="E22" s="397"/>
      <c r="F22" s="397"/>
      <c r="G22" s="397"/>
      <c r="H22" s="397"/>
      <c r="I22" s="397"/>
      <c r="J22" s="397" t="s">
        <v>51</v>
      </c>
      <c r="K22" s="397"/>
      <c r="L22" s="397"/>
      <c r="M22" s="397"/>
      <c r="N22" s="397"/>
      <c r="O22" s="397"/>
      <c r="P22" s="397"/>
      <c r="Q22" s="397"/>
      <c r="R22" s="397"/>
      <c r="S22" s="397"/>
      <c r="T22" s="397"/>
      <c r="U22" s="397"/>
      <c r="V22" s="397"/>
      <c r="W22" s="397"/>
      <c r="X22" s="397"/>
      <c r="Y22" s="397"/>
      <c r="Z22" s="307"/>
      <c r="AA22" s="307"/>
      <c r="AB22" s="307"/>
      <c r="AC22" s="307"/>
      <c r="AD22" s="307"/>
      <c r="AE22" s="307"/>
      <c r="AF22" s="307"/>
      <c r="AG22" s="307"/>
      <c r="AH22" s="307"/>
      <c r="AI22" s="307"/>
      <c r="AJ22" s="307"/>
      <c r="AK22" s="307"/>
      <c r="AL22" s="307"/>
      <c r="AM22" s="307"/>
      <c r="AN22" s="307"/>
      <c r="AO22" s="307"/>
      <c r="AP22" s="307"/>
      <c r="AQ22" s="307"/>
      <c r="AR22" s="307"/>
    </row>
    <row r="23" ht="18" customHeight="1">
      <c r="A23" s="307"/>
      <c r="B23" s="402"/>
      <c r="C23" s="402"/>
      <c r="D23" s="402"/>
      <c r="E23" s="402"/>
      <c r="F23" s="402"/>
      <c r="G23" s="402"/>
      <c r="H23" s="402"/>
      <c r="I23" s="402"/>
      <c r="J23" s="397" t="s">
        <v>238</v>
      </c>
      <c r="K23" s="397"/>
      <c r="L23" s="397"/>
      <c r="M23" s="397"/>
      <c r="N23" s="397"/>
      <c r="O23" s="397"/>
      <c r="P23" s="397"/>
      <c r="Q23" s="397"/>
      <c r="R23" s="397"/>
      <c r="S23" s="397"/>
      <c r="T23" s="397"/>
      <c r="U23" s="397"/>
      <c r="V23" s="397"/>
      <c r="W23" s="397"/>
      <c r="X23" s="397"/>
      <c r="Y23" s="397"/>
      <c r="Z23" s="307"/>
      <c r="AA23" s="307"/>
      <c r="AB23" s="307"/>
      <c r="AC23" s="307"/>
      <c r="AD23" s="307"/>
      <c r="AE23" s="307"/>
      <c r="AF23" s="307"/>
      <c r="AG23" s="307"/>
      <c r="AH23" s="307"/>
      <c r="AI23" s="307"/>
      <c r="AJ23" s="307"/>
      <c r="AK23" s="307"/>
      <c r="AL23" s="307"/>
      <c r="AM23" s="307"/>
      <c r="AN23" s="307"/>
      <c r="AO23" s="307"/>
      <c r="AP23" s="307"/>
      <c r="AQ23" s="307"/>
      <c r="AR23" s="307"/>
    </row>
    <row r="24" ht="16.5" customHeight="1">
      <c r="A24" s="307"/>
      <c r="B24" s="397" t="s">
        <v>239</v>
      </c>
      <c r="C24" s="397"/>
      <c r="D24" s="397"/>
      <c r="E24" s="397"/>
      <c r="F24" s="397"/>
      <c r="G24" s="397"/>
      <c r="H24" s="397"/>
      <c r="I24" s="397"/>
      <c r="J24" s="397" t="s">
        <v>240</v>
      </c>
      <c r="K24" s="397"/>
      <c r="L24" s="397"/>
      <c r="M24" s="397"/>
      <c r="N24" s="397"/>
      <c r="O24" s="397"/>
      <c r="P24" s="397"/>
      <c r="Q24" s="397"/>
      <c r="R24" s="397"/>
      <c r="S24" s="397"/>
      <c r="T24" s="397"/>
      <c r="U24" s="397"/>
      <c r="V24" s="397"/>
      <c r="W24" s="397"/>
      <c r="X24" s="397"/>
      <c r="Y24" s="397"/>
      <c r="Z24" s="307"/>
      <c r="AA24" s="307"/>
      <c r="AB24" s="307"/>
      <c r="AC24" s="307"/>
      <c r="AD24" s="307"/>
      <c r="AE24" s="307"/>
      <c r="AF24" s="307"/>
      <c r="AG24" s="307"/>
      <c r="AH24" s="307"/>
      <c r="AI24" s="307"/>
      <c r="AJ24" s="307"/>
      <c r="AK24" s="307"/>
      <c r="AL24" s="307"/>
      <c r="AM24" s="307"/>
      <c r="AN24" s="307"/>
      <c r="AO24" s="307"/>
      <c r="AP24" s="307"/>
      <c r="AQ24" s="307"/>
      <c r="AR24" s="307"/>
    </row>
    <row r="25" ht="17.25" customHeight="1">
      <c r="A25" s="307"/>
      <c r="B25" s="307"/>
      <c r="C25" s="307"/>
      <c r="D25" s="307"/>
      <c r="E25" s="307"/>
      <c r="F25" s="307"/>
      <c r="G25" s="307"/>
      <c r="H25" s="307"/>
      <c r="I25" s="307"/>
      <c r="J25" s="397" t="s">
        <v>241</v>
      </c>
      <c r="K25" s="397"/>
      <c r="L25" s="397"/>
      <c r="M25" s="397"/>
      <c r="N25" s="397"/>
      <c r="O25" s="397"/>
      <c r="P25" s="397"/>
      <c r="Q25" s="397"/>
      <c r="R25" s="397"/>
      <c r="S25" s="397"/>
      <c r="T25" s="397"/>
      <c r="U25" s="397"/>
      <c r="V25" s="397"/>
      <c r="W25" s="397"/>
      <c r="X25" s="397"/>
      <c r="Y25" s="397"/>
      <c r="Z25" s="307"/>
      <c r="AA25" s="307"/>
      <c r="AB25" s="307"/>
      <c r="AC25" s="307"/>
      <c r="AD25" s="307"/>
      <c r="AE25" s="307"/>
      <c r="AF25" s="307"/>
      <c r="AG25" s="307"/>
      <c r="AH25" s="307"/>
      <c r="AI25" s="307"/>
      <c r="AJ25" s="307"/>
      <c r="AK25" s="307"/>
      <c r="AL25" s="307"/>
      <c r="AM25" s="307"/>
      <c r="AN25" s="307"/>
      <c r="AO25" s="307"/>
      <c r="AP25" s="307"/>
      <c r="AQ25" s="307"/>
      <c r="AR25" s="307"/>
    </row>
    <row r="26" ht="47.25" customHeight="1">
      <c r="A26" s="398" t="s">
        <v>242</v>
      </c>
      <c r="B26" s="398"/>
      <c r="C26" s="398"/>
      <c r="D26" s="398"/>
      <c r="E26" s="398"/>
      <c r="F26" s="398"/>
      <c r="G26" s="398"/>
      <c r="H26" s="398"/>
      <c r="I26" s="398"/>
      <c r="J26" s="398"/>
      <c r="K26" s="398"/>
      <c r="L26" s="398"/>
      <c r="M26" s="398"/>
      <c r="N26" s="398"/>
      <c r="O26" s="398"/>
      <c r="P26" s="398"/>
      <c r="Q26" s="398"/>
      <c r="R26" s="398"/>
      <c r="S26" s="398"/>
      <c r="T26" s="398"/>
      <c r="U26" s="398"/>
      <c r="V26" s="398"/>
      <c r="W26" s="398"/>
      <c r="X26" s="398"/>
      <c r="Y26" s="398"/>
      <c r="Z26" s="398"/>
      <c r="AA26" s="307"/>
      <c r="AB26" s="307"/>
      <c r="AC26" s="307"/>
      <c r="AD26" s="307"/>
      <c r="AE26" s="307"/>
      <c r="AF26" s="307"/>
      <c r="AG26" s="307"/>
      <c r="AH26" s="307"/>
      <c r="AI26" s="307"/>
      <c r="AJ26" s="307"/>
      <c r="AK26" s="307"/>
      <c r="AL26" s="307"/>
      <c r="AM26" s="307"/>
      <c r="AN26" s="307"/>
      <c r="AO26" s="307"/>
      <c r="AP26" s="307"/>
      <c r="AQ26" s="307"/>
      <c r="AR26" s="307"/>
    </row>
    <row r="27" ht="14.25" customHeight="1">
      <c r="A27" s="307"/>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15"/>
      <c r="AE27" s="315" t="s">
        <v>181</v>
      </c>
      <c r="AF27" s="315"/>
      <c r="AG27" s="307" t="s">
        <v>182</v>
      </c>
      <c r="AH27" s="307"/>
      <c r="AI27" s="315" t="s">
        <v>183</v>
      </c>
      <c r="AJ27" s="307"/>
      <c r="AK27" s="315"/>
      <c r="AL27" s="315"/>
      <c r="AM27" s="307"/>
      <c r="AN27" s="315"/>
      <c r="AO27" s="315"/>
      <c r="AP27" s="315"/>
      <c r="AQ27" s="315"/>
      <c r="AR27" s="315"/>
    </row>
    <row r="28" ht="16.5">
      <c r="A28" s="401" t="s">
        <v>243</v>
      </c>
      <c r="B28" s="401"/>
      <c r="C28" s="401"/>
      <c r="D28" s="401"/>
      <c r="E28" s="401"/>
      <c r="F28" s="401"/>
      <c r="G28" s="401"/>
      <c r="H28" s="401"/>
      <c r="I28" s="401"/>
      <c r="J28" s="401"/>
      <c r="K28" s="401"/>
      <c r="L28" s="401"/>
      <c r="M28" s="401"/>
      <c r="N28" s="307"/>
      <c r="O28" s="396" t="str">
        <f>IF(AD34=0,AG27,IF(AD34=1,AE27,AI27))</f>
        <v>KT. GIÁM ĐỐC</v>
      </c>
      <c r="P28" s="396"/>
      <c r="Q28" s="396"/>
      <c r="R28" s="396"/>
      <c r="S28" s="396"/>
      <c r="T28" s="396"/>
      <c r="U28" s="396"/>
      <c r="V28" s="396"/>
      <c r="W28" s="396"/>
      <c r="X28" s="396"/>
      <c r="Y28" s="396"/>
      <c r="Z28" s="396"/>
      <c r="AA28" s="307"/>
      <c r="AB28" s="307"/>
      <c r="AC28" s="307"/>
      <c r="AD28" s="315"/>
      <c r="AE28" s="307"/>
      <c r="AF28" s="315"/>
      <c r="AG28" s="315" t="s">
        <v>187</v>
      </c>
      <c r="AH28" s="315"/>
      <c r="AI28" s="315" t="s">
        <v>188</v>
      </c>
      <c r="AJ28" s="307"/>
      <c r="AK28" s="315"/>
      <c r="AL28" s="315"/>
      <c r="AM28" s="307"/>
      <c r="AN28" s="315"/>
      <c r="AO28" s="315"/>
      <c r="AP28" s="315"/>
      <c r="AQ28" s="315"/>
      <c r="AR28" s="315"/>
    </row>
    <row r="29">
      <c r="A29" s="316" t="s">
        <v>244</v>
      </c>
      <c r="B29" s="312"/>
      <c r="C29" s="312"/>
      <c r="D29" s="312"/>
      <c r="E29" s="312"/>
      <c r="F29" s="312"/>
      <c r="G29" s="307"/>
      <c r="H29" s="307"/>
      <c r="I29" s="307"/>
      <c r="J29" s="307"/>
      <c r="K29" s="307"/>
      <c r="L29" s="307"/>
      <c r="M29" s="307"/>
      <c r="N29" s="307"/>
      <c r="O29" s="395" t="str">
        <f>IF(AD34=0,AG28,IF(AD34=1,"",AI28))</f>
        <v>PHÓ GIÁM ĐỐC</v>
      </c>
      <c r="P29" s="395"/>
      <c r="Q29" s="395"/>
      <c r="R29" s="395"/>
      <c r="S29" s="395"/>
      <c r="T29" s="395"/>
      <c r="U29" s="395"/>
      <c r="V29" s="395"/>
      <c r="W29" s="395"/>
      <c r="X29" s="395"/>
      <c r="Y29" s="395"/>
      <c r="Z29" s="395"/>
      <c r="AA29" s="307"/>
      <c r="AB29" s="307"/>
      <c r="AC29" s="307"/>
      <c r="AD29" s="315"/>
      <c r="AE29" s="315"/>
      <c r="AF29" s="315"/>
      <c r="AG29" s="315"/>
      <c r="AH29" s="315"/>
      <c r="AI29" s="315"/>
      <c r="AJ29" s="307"/>
      <c r="AK29" s="315"/>
      <c r="AL29" s="315"/>
      <c r="AM29" s="315"/>
      <c r="AN29" s="315"/>
      <c r="AO29" s="315"/>
      <c r="AP29" s="315"/>
      <c r="AQ29" s="315"/>
      <c r="AR29" s="315"/>
    </row>
    <row r="30">
      <c r="A30" s="316" t="str">
        <f>IF(AD34=1,AD31,AD30:AD31)</f>
        <v>-    GĐTT (để báo cáo);</v>
      </c>
      <c r="B30" s="312"/>
      <c r="C30" s="312"/>
      <c r="D30" s="312"/>
      <c r="E30" s="312"/>
      <c r="F30" s="312"/>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16" t="s">
        <v>245</v>
      </c>
      <c r="AE30" s="315"/>
      <c r="AF30" s="315"/>
      <c r="AG30" s="315"/>
      <c r="AH30" s="315"/>
      <c r="AI30" s="315"/>
      <c r="AJ30" s="307"/>
      <c r="AK30" s="315"/>
      <c r="AL30" s="315"/>
      <c r="AM30" s="315"/>
      <c r="AN30" s="315"/>
      <c r="AO30" s="315"/>
      <c r="AP30" s="315"/>
      <c r="AQ30" s="315"/>
      <c r="AR30" s="315"/>
    </row>
    <row r="31" ht="16.5" customHeight="1">
      <c r="A31" s="316" t="str">
        <f>IF(AD34=1,"",AD31)</f>
        <v>-    Lưu: PTH, PKĐ.</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16" t="s">
        <v>246</v>
      </c>
      <c r="AE31" s="315"/>
      <c r="AF31" s="315"/>
      <c r="AG31" s="315"/>
      <c r="AH31" s="315"/>
      <c r="AI31" s="315"/>
      <c r="AJ31" s="307"/>
      <c r="AK31" s="315"/>
      <c r="AL31" s="315"/>
      <c r="AM31" s="315"/>
      <c r="AN31" s="315"/>
      <c r="AO31" s="315"/>
      <c r="AP31" s="315"/>
      <c r="AQ31" s="315"/>
      <c r="AR31" s="315"/>
    </row>
    <row r="32" ht="16.5" customHeight="1">
      <c r="A32" s="307"/>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15"/>
      <c r="AE32" s="315"/>
      <c r="AF32" s="315"/>
      <c r="AG32" s="315"/>
      <c r="AH32" s="315"/>
      <c r="AI32" s="315"/>
      <c r="AJ32" s="307"/>
      <c r="AK32" s="315"/>
      <c r="AL32" s="315"/>
      <c r="AM32" s="315"/>
      <c r="AN32" s="315"/>
      <c r="AO32" s="315"/>
      <c r="AP32" s="315"/>
      <c r="AQ32" s="315"/>
      <c r="AR32" s="315"/>
    </row>
    <row r="33" ht="16.5" customHeight="1">
      <c r="A33" s="307"/>
      <c r="B33" s="307"/>
      <c r="C33" s="307"/>
      <c r="D33" s="307"/>
      <c r="E33" s="307"/>
      <c r="F33" s="307"/>
      <c r="G33" s="307"/>
      <c r="H33" s="307"/>
      <c r="I33" s="307"/>
      <c r="J33" s="307"/>
      <c r="K33" s="307"/>
      <c r="L33" s="307"/>
      <c r="M33" s="307"/>
      <c r="N33" s="307"/>
      <c r="O33" s="317"/>
      <c r="P33" s="317"/>
      <c r="Q33" s="317"/>
      <c r="R33" s="317"/>
      <c r="S33" s="317"/>
      <c r="T33" s="317"/>
      <c r="U33" s="317"/>
      <c r="V33" s="317"/>
      <c r="W33" s="317"/>
      <c r="X33" s="317"/>
      <c r="Y33" s="317"/>
      <c r="Z33" s="317"/>
      <c r="AA33" s="307"/>
      <c r="AB33" s="307"/>
      <c r="AC33" s="307"/>
      <c r="AD33" s="315"/>
      <c r="AE33" s="315"/>
      <c r="AF33" s="315"/>
      <c r="AG33" s="315"/>
      <c r="AH33" s="315"/>
      <c r="AI33" s="315"/>
      <c r="AJ33" s="307"/>
      <c r="AK33" s="315"/>
      <c r="AL33" s="315"/>
      <c r="AM33" s="315"/>
      <c r="AN33" s="315"/>
      <c r="AO33" s="315"/>
      <c r="AP33" s="315"/>
      <c r="AQ33" s="315"/>
      <c r="AR33" s="315"/>
    </row>
    <row r="34" ht="16.5" customHeight="1">
      <c r="A34" s="307"/>
      <c r="B34" s="307"/>
      <c r="C34" s="307"/>
      <c r="D34" s="307"/>
      <c r="E34" s="307"/>
      <c r="F34" s="307"/>
      <c r="G34" s="307"/>
      <c r="H34" s="307"/>
      <c r="I34" s="307"/>
      <c r="J34" s="307"/>
      <c r="K34" s="307"/>
      <c r="L34" s="307"/>
      <c r="M34" s="307"/>
      <c r="N34" s="307"/>
      <c r="O34" s="396" t="str">
        <f>IF(AD34=0,AG34,IF(AD34=1,AE34,AI34))</f>
        <v>Trần Công Khanh</v>
      </c>
      <c r="P34" s="396"/>
      <c r="Q34" s="396"/>
      <c r="R34" s="396"/>
      <c r="S34" s="396"/>
      <c r="T34" s="396"/>
      <c r="U34" s="396"/>
      <c r="V34" s="396"/>
      <c r="W34" s="396"/>
      <c r="X34" s="396"/>
      <c r="Y34" s="396"/>
      <c r="Z34" s="396"/>
      <c r="AA34" s="307"/>
      <c r="AB34" s="307"/>
      <c r="AC34" s="307"/>
      <c r="AD34" s="315">
        <v>0</v>
      </c>
      <c r="AE34" s="315" t="s">
        <v>191</v>
      </c>
      <c r="AF34" s="315"/>
      <c r="AG34" s="315" t="s">
        <v>192</v>
      </c>
      <c r="AH34" s="315"/>
      <c r="AI34" s="315" t="s">
        <v>193</v>
      </c>
      <c r="AJ34" s="307"/>
      <c r="AK34" s="315"/>
      <c r="AL34" s="315"/>
      <c r="AM34" s="315"/>
      <c r="AN34" s="307"/>
      <c r="AO34" s="315"/>
      <c r="AP34" s="315"/>
      <c r="AQ34" s="315"/>
      <c r="AR34" s="315"/>
    </row>
  </sheetData>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customWidth="1" style="209"/>
    <col min="2" max="2" width="13" customWidth="1" style="209"/>
    <col min="3" max="3" width="46.7109375" customWidth="1" style="209"/>
    <col min="4" max="4" width="26.28515625" customWidth="1" style="209"/>
    <col min="5" max="5" width="4.85546875"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6.7109375" customWidth="1"/>
    <col min="13" max="13" width="15.5703125" customWidth="1"/>
    <col min="14" max="107" width="3.140625" customWidth="1"/>
  </cols>
  <sheetData>
    <row r="1" ht="16.5" customHeight="1">
      <c r="A1" s="426" t="s">
        <v>84</v>
      </c>
      <c r="B1" s="426"/>
      <c r="C1" s="426"/>
      <c r="D1" s="426"/>
      <c r="E1" s="426" t="s">
        <v>84</v>
      </c>
      <c r="F1" s="426"/>
      <c r="G1" s="426"/>
      <c r="H1" s="426"/>
      <c r="I1" s="426"/>
      <c r="J1" s="426"/>
      <c r="K1" s="426"/>
      <c r="L1" s="426"/>
      <c r="M1" s="426"/>
    </row>
    <row r="2" ht="15.75" customHeight="1">
      <c r="A2" s="427" t="s">
        <v>85</v>
      </c>
      <c r="B2" s="427"/>
      <c r="C2" s="427"/>
      <c r="D2" s="427"/>
      <c r="E2" s="427" t="s">
        <v>86</v>
      </c>
      <c r="F2" s="427"/>
      <c r="G2" s="427"/>
      <c r="H2" s="427"/>
      <c r="I2" s="427"/>
      <c r="J2" s="427"/>
      <c r="K2" s="427"/>
      <c r="L2" s="427"/>
      <c r="M2" s="427"/>
    </row>
    <row r="3" ht="15.75" customHeight="1" s="207" customFormat="1">
      <c r="A3" s="428"/>
      <c r="B3" s="428"/>
      <c r="C3" s="428"/>
      <c r="D3" s="428"/>
      <c r="E3" s="318"/>
      <c r="F3" s="318"/>
      <c r="G3" s="318"/>
      <c r="H3" s="318"/>
      <c r="I3" s="318"/>
      <c r="J3" s="318"/>
      <c r="K3" s="318"/>
      <c r="L3" s="318"/>
      <c r="M3" s="318"/>
    </row>
    <row r="4" ht="52.5">
      <c r="A4" s="319" t="s">
        <v>87</v>
      </c>
      <c r="B4" s="319" t="s">
        <v>88</v>
      </c>
      <c r="C4" s="319" t="s">
        <v>89</v>
      </c>
      <c r="D4" s="386" t="s">
        <v>90</v>
      </c>
      <c r="E4" s="320" t="s">
        <v>87</v>
      </c>
      <c r="F4" s="320" t="s">
        <v>91</v>
      </c>
      <c r="G4" s="320" t="s">
        <v>88</v>
      </c>
      <c r="H4" s="320" t="s">
        <v>89</v>
      </c>
      <c r="I4" s="320" t="s">
        <v>92</v>
      </c>
      <c r="J4" s="320" t="s">
        <v>93</v>
      </c>
      <c r="K4" s="320" t="s">
        <v>94</v>
      </c>
      <c r="L4" s="320" t="s">
        <v>95</v>
      </c>
      <c r="M4" s="320" t="s">
        <v>96</v>
      </c>
    </row>
    <row r="5" ht="63.75">
      <c r="A5" s="321">
        <v>1</v>
      </c>
      <c r="B5" s="321" t="s">
        <v>97</v>
      </c>
      <c r="C5" s="322" t="s">
        <v>98</v>
      </c>
      <c r="D5" s="321" t="s">
        <v>99</v>
      </c>
      <c r="E5" s="323">
        <f>A5</f>
        <v>1</v>
      </c>
      <c r="F5" s="324"/>
      <c r="G5" s="324">
        <v>43423</v>
      </c>
      <c r="H5" s="325" t="str">
        <f>C5</f>
        <v>Số 47, đường Hoàng Văn Thụ, khu dân cư Chánh Nghĩa, phường Chánh Nghĩa, thành phố Thủ Dầu Một, tỉnh Bình Dương.</v>
      </c>
      <c r="I5" s="324" t="s">
        <v>100</v>
      </c>
      <c r="J5" s="323">
        <v>0</v>
      </c>
      <c r="K5" s="324">
        <v>0</v>
      </c>
      <c r="L5" s="323"/>
      <c r="M5" s="324" t="str">
        <f>D5</f>
        <v>B00300040319TG05</v>
      </c>
    </row>
    <row r="6" ht="51">
      <c r="A6" s="321">
        <v>2</v>
      </c>
      <c r="B6" s="321" t="s">
        <v>101</v>
      </c>
      <c r="C6" s="322" t="s">
        <v>102</v>
      </c>
      <c r="D6" s="321" t="s">
        <v>103</v>
      </c>
      <c r="E6" s="323">
        <f ref="E6:E10" t="shared" si="0">A6</f>
        <v>2</v>
      </c>
      <c r="F6" s="324"/>
      <c r="G6" s="324">
        <v>43423</v>
      </c>
      <c r="H6" s="325" t="str">
        <f ref="H6:H10" t="shared" si="1">C6</f>
        <v>Số 74, đường Bùi Quốc Khánh, phường Chánh Nghĩa, thành phố Thủ Dầu Một, tỉnh Bình Dương.</v>
      </c>
      <c r="I6" s="324" t="s">
        <v>104</v>
      </c>
      <c r="J6" s="323">
        <v>0</v>
      </c>
      <c r="K6" s="324">
        <v>0</v>
      </c>
      <c r="L6" s="323"/>
      <c r="M6" s="324" t="str">
        <f ref="M6:M10" t="shared" si="2">D6</f>
        <v>B00301040319TG05</v>
      </c>
    </row>
    <row r="7" ht="51">
      <c r="A7" s="321">
        <v>3</v>
      </c>
      <c r="B7" s="321" t="s">
        <v>105</v>
      </c>
      <c r="C7" s="322" t="s">
        <v>106</v>
      </c>
      <c r="D7" s="321" t="s">
        <v>107</v>
      </c>
      <c r="E7" s="323">
        <f t="shared" si="0"/>
        <v>3</v>
      </c>
      <c r="F7" s="324"/>
      <c r="G7" s="324">
        <v>43423</v>
      </c>
      <c r="H7" s="325" t="str">
        <f t="shared" si="1"/>
        <v>Số 104/6, đường Bàu Bàng, phường Chánh Nghĩa, thành phố Thủ Dầu Một, tỉnh Bình Dương.</v>
      </c>
      <c r="I7" s="324" t="s">
        <v>108</v>
      </c>
      <c r="J7" s="323">
        <v>0</v>
      </c>
      <c r="K7" s="324">
        <v>0</v>
      </c>
      <c r="L7" s="323"/>
      <c r="M7" s="324" t="str">
        <f t="shared" si="2"/>
        <v>B00302040319TG05</v>
      </c>
    </row>
    <row r="8" ht="51">
      <c r="A8" s="321">
        <v>4</v>
      </c>
      <c r="B8" s="321" t="s">
        <v>109</v>
      </c>
      <c r="C8" s="322" t="s">
        <v>110</v>
      </c>
      <c r="D8" s="321" t="s">
        <v>111</v>
      </c>
      <c r="E8" s="323">
        <f t="shared" si="0"/>
        <v>4</v>
      </c>
      <c r="F8" s="324"/>
      <c r="G8" s="324">
        <v>43423</v>
      </c>
      <c r="H8" s="325" t="str">
        <f t="shared" si="1"/>
        <v>Số 3, đường Chùa Hội Khánh, phường Phú Cường, thành phố Thủ Dầu Một, tỉnh Bình Dương.</v>
      </c>
      <c r="I8" s="324" t="s">
        <v>112</v>
      </c>
      <c r="J8" s="323">
        <v>0</v>
      </c>
      <c r="K8" s="324">
        <v>0</v>
      </c>
      <c r="L8" s="323"/>
      <c r="M8" s="324" t="str">
        <f t="shared" si="2"/>
        <v>B00303040319TG05</v>
      </c>
    </row>
    <row r="9" ht="51">
      <c r="A9" s="321">
        <v>5</v>
      </c>
      <c r="B9" s="321" t="s">
        <v>113</v>
      </c>
      <c r="C9" s="322" t="s">
        <v>114</v>
      </c>
      <c r="D9" s="321" t="s">
        <v>115</v>
      </c>
      <c r="E9" s="323">
        <f t="shared" si="0"/>
        <v>5</v>
      </c>
      <c r="F9" s="324"/>
      <c r="G9" s="324">
        <v>43423</v>
      </c>
      <c r="H9" s="325" t="str">
        <f t="shared" si="1"/>
        <v>Số 54-D2, khu dân cư Phú Hòa, phường Phú Hòa, thành phố Thủ Dầu Một, tỉnh Bình Dương.</v>
      </c>
      <c r="I9" s="324" t="s">
        <v>116</v>
      </c>
      <c r="J9" s="323">
        <v>0</v>
      </c>
      <c r="K9" s="324">
        <v>0</v>
      </c>
      <c r="L9" s="323"/>
      <c r="M9" s="324" t="str">
        <f t="shared" si="2"/>
        <v>B00304040319TG05</v>
      </c>
    </row>
    <row r="10" ht="51">
      <c r="A10" s="321">
        <v>6</v>
      </c>
      <c r="B10" s="321" t="s">
        <v>117</v>
      </c>
      <c r="C10" s="322" t="s">
        <v>118</v>
      </c>
      <c r="D10" s="321" t="s">
        <v>119</v>
      </c>
      <c r="E10" s="323">
        <f t="shared" si="0"/>
        <v>6</v>
      </c>
      <c r="F10" s="324"/>
      <c r="G10" s="324">
        <v>43423</v>
      </c>
      <c r="H10" s="325" t="str">
        <f t="shared" si="1"/>
        <v>Số 108/15, đường 30 Tháng 4, khu phố 2, phường Phú Hòa, thành phố Thủ Dầu Một, tỉnh Bình Dương.</v>
      </c>
      <c r="I10" s="324" t="s">
        <v>120</v>
      </c>
      <c r="J10" s="323">
        <v>0</v>
      </c>
      <c r="K10" s="324">
        <v>0</v>
      </c>
      <c r="L10" s="323"/>
      <c r="M10" s="324" t="str">
        <f t="shared" si="2"/>
        <v>B00305040319TG05</v>
      </c>
    </row>
  </sheetData>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customWidth="1" style="214"/>
    <col min="2" max="2" width="12.7109375" customWidth="1" style="214"/>
    <col min="3" max="3" width="39.140625" customWidth="1" style="206"/>
    <col min="4" max="4" width="13.140625" customWidth="1" style="214"/>
    <col min="5" max="5" width="20.5703125" customWidth="1" style="214"/>
    <col min="6" max="6" width="21.28515625" customWidth="1" style="214"/>
    <col min="7" max="7" width="11.5703125" customWidth="1" style="205"/>
    <col min="8" max="8" width="9.85546875" customWidth="1" style="214"/>
    <col min="9" max="9" width="34" customWidth="1" style="212"/>
    <col min="10" max="16384" width="9.140625" customWidth="1" style="205"/>
  </cols>
  <sheetData>
    <row r="1" ht="7.5" customHeight="1">
      <c r="A1" s="215"/>
      <c r="B1" s="215"/>
      <c r="C1" s="216"/>
      <c r="D1" s="215"/>
      <c r="E1" s="215"/>
      <c r="F1" s="215"/>
      <c r="G1" s="326"/>
      <c r="H1" s="215"/>
      <c r="I1" s="327"/>
    </row>
    <row r="2">
      <c r="A2" s="328"/>
      <c r="B2" s="328"/>
      <c r="C2" s="429" t="s">
        <v>121</v>
      </c>
      <c r="D2" s="429"/>
      <c r="E2" s="429"/>
      <c r="F2" s="429"/>
      <c r="G2" s="429"/>
      <c r="H2" s="328"/>
      <c r="I2" s="327"/>
    </row>
    <row r="3" ht="9.75" customHeight="1">
      <c r="A3" s="329"/>
      <c r="B3" s="329"/>
      <c r="C3" s="330"/>
      <c r="D3" s="329"/>
      <c r="E3" s="329"/>
      <c r="F3" s="329"/>
      <c r="G3" s="331"/>
      <c r="H3" s="329"/>
      <c r="I3" s="327"/>
    </row>
    <row r="4" ht="36" customHeight="1">
      <c r="A4" s="332" t="s">
        <v>87</v>
      </c>
      <c r="B4" s="335" t="s">
        <v>122</v>
      </c>
      <c r="C4" s="333" t="s">
        <v>89</v>
      </c>
      <c r="D4" s="332" t="s">
        <v>123</v>
      </c>
      <c r="E4" s="334" t="s">
        <v>124</v>
      </c>
      <c r="F4" s="334" t="s">
        <v>125</v>
      </c>
      <c r="G4" s="335" t="s">
        <v>126</v>
      </c>
      <c r="H4" s="335" t="s">
        <v>127</v>
      </c>
      <c r="I4" s="334" t="s">
        <v>128</v>
      </c>
    </row>
    <row r="5" ht="45" s="210" customFormat="1">
      <c r="A5" s="387">
        <v>1</v>
      </c>
      <c r="B5" s="387" t="s">
        <v>129</v>
      </c>
      <c r="C5" s="388" t="s">
        <v>130</v>
      </c>
      <c r="D5" s="389" t="s">
        <v>6</v>
      </c>
      <c r="E5" s="387" t="s">
        <v>131</v>
      </c>
      <c r="F5" s="387" t="s">
        <v>132</v>
      </c>
      <c r="G5" s="390">
        <v>43423</v>
      </c>
      <c r="H5" s="387">
        <v>3</v>
      </c>
      <c r="I5" s="391" t="s">
        <v>133</v>
      </c>
    </row>
    <row r="6" ht="45" s="210" customFormat="1">
      <c r="A6" s="387">
        <v>2</v>
      </c>
      <c r="B6" s="387" t="s">
        <v>134</v>
      </c>
      <c r="C6" s="388" t="s">
        <v>135</v>
      </c>
      <c r="D6" s="389" t="s">
        <v>6</v>
      </c>
      <c r="E6" s="387" t="s">
        <v>136</v>
      </c>
      <c r="F6" s="387" t="s">
        <v>137</v>
      </c>
      <c r="G6" s="390">
        <v>43423</v>
      </c>
      <c r="H6" s="387">
        <v>4</v>
      </c>
      <c r="I6" s="391" t="s">
        <v>138</v>
      </c>
    </row>
    <row r="7" ht="45" s="210" customFormat="1">
      <c r="A7" s="387">
        <v>3</v>
      </c>
      <c r="B7" s="387" t="s">
        <v>139</v>
      </c>
      <c r="C7" s="388" t="s">
        <v>140</v>
      </c>
      <c r="D7" s="389" t="s">
        <v>6</v>
      </c>
      <c r="E7" s="387" t="s">
        <v>141</v>
      </c>
      <c r="F7" s="387" t="s">
        <v>142</v>
      </c>
      <c r="G7" s="390">
        <v>43423</v>
      </c>
      <c r="H7" s="387">
        <v>3</v>
      </c>
      <c r="I7" s="391" t="s">
        <v>133</v>
      </c>
    </row>
    <row r="8" ht="45" s="210" customFormat="1">
      <c r="A8" s="387">
        <v>4</v>
      </c>
      <c r="B8" s="387" t="s">
        <v>143</v>
      </c>
      <c r="C8" s="388" t="s">
        <v>144</v>
      </c>
      <c r="D8" s="389" t="s">
        <v>6</v>
      </c>
      <c r="E8" s="387" t="s">
        <v>145</v>
      </c>
      <c r="F8" s="387" t="s">
        <v>146</v>
      </c>
      <c r="G8" s="390">
        <v>43423</v>
      </c>
      <c r="H8" s="387">
        <v>4</v>
      </c>
      <c r="I8" s="391" t="s">
        <v>138</v>
      </c>
    </row>
  </sheetData>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02"/>
    <col min="2" max="2" width="2" customWidth="1" style="202"/>
    <col min="3" max="15" width="3.140625" customWidth="1" style="202"/>
    <col min="16" max="29" width="3.140625" customWidth="1" style="202"/>
    <col min="30" max="30" width="6" customWidth="1" style="202"/>
    <col min="31" max="31" width="3.140625" customWidth="1" style="204"/>
    <col min="32" max="32" width="3.140625" customWidth="1" style="202"/>
    <col min="33" max="33" bestFit="1" width="3.5703125" customWidth="1" style="202"/>
    <col min="34" max="44" width="3.140625" customWidth="1" style="202"/>
    <col min="45" max="45" bestFit="1" width="5" customWidth="1" style="202"/>
    <col min="46" max="16384" width="3.140625" customWidth="1" style="202"/>
  </cols>
  <sheetData>
    <row r="1" ht="19.7" customHeight="1">
      <c r="A1" s="315"/>
      <c r="B1" s="452" t="s">
        <v>147</v>
      </c>
      <c r="C1" s="452"/>
      <c r="D1" s="452"/>
      <c r="E1" s="452"/>
      <c r="F1" s="452"/>
      <c r="G1" s="452"/>
      <c r="H1" s="452"/>
      <c r="I1" s="452"/>
      <c r="J1" s="452"/>
      <c r="K1" s="452"/>
      <c r="L1" s="452"/>
      <c r="M1" s="452"/>
      <c r="N1" s="315"/>
      <c r="O1" s="315"/>
      <c r="P1" s="433" t="s">
        <v>148</v>
      </c>
      <c r="Q1" s="433"/>
      <c r="R1" s="433"/>
      <c r="S1" s="433"/>
      <c r="T1" s="433"/>
      <c r="U1" s="433"/>
      <c r="V1" s="433"/>
      <c r="W1" s="433"/>
      <c r="X1" s="433"/>
      <c r="Y1" s="433"/>
      <c r="Z1" s="433"/>
      <c r="AA1" s="433"/>
      <c r="AB1" s="433"/>
      <c r="AC1" s="433"/>
      <c r="AD1" s="433"/>
      <c r="AE1" s="336"/>
      <c r="AF1" s="315"/>
      <c r="AG1" s="315"/>
      <c r="AH1" s="315"/>
      <c r="AI1" s="315"/>
      <c r="AJ1" s="315"/>
      <c r="AK1" s="315"/>
      <c r="AL1" s="315"/>
      <c r="AM1" s="315"/>
      <c r="AN1" s="315"/>
      <c r="AO1" s="315"/>
      <c r="AP1" s="315"/>
      <c r="AQ1" s="315"/>
      <c r="AR1" s="315"/>
      <c r="AS1" s="315"/>
      <c r="AT1" s="315"/>
      <c r="AU1" s="315"/>
      <c r="AV1" s="315"/>
    </row>
    <row r="2" ht="19.7" customHeight="1">
      <c r="A2" s="315"/>
      <c r="B2" s="315"/>
      <c r="C2" s="452" t="s">
        <v>149</v>
      </c>
      <c r="D2" s="452"/>
      <c r="E2" s="452"/>
      <c r="F2" s="452"/>
      <c r="G2" s="452"/>
      <c r="H2" s="452"/>
      <c r="I2" s="452"/>
      <c r="J2" s="452"/>
      <c r="K2" s="452"/>
      <c r="L2" s="452"/>
      <c r="M2" s="315"/>
      <c r="N2" s="337"/>
      <c r="O2" s="315"/>
      <c r="P2" s="441" t="s">
        <v>150</v>
      </c>
      <c r="Q2" s="441"/>
      <c r="R2" s="441"/>
      <c r="S2" s="441"/>
      <c r="T2" s="441"/>
      <c r="U2" s="441"/>
      <c r="V2" s="441"/>
      <c r="W2" s="441"/>
      <c r="X2" s="441"/>
      <c r="Y2" s="441"/>
      <c r="Z2" s="441"/>
      <c r="AA2" s="441"/>
      <c r="AB2" s="441"/>
      <c r="AC2" s="441"/>
      <c r="AD2" s="441"/>
      <c r="AE2" s="338"/>
      <c r="AF2" s="315"/>
      <c r="AG2" s="315"/>
      <c r="AH2" s="315"/>
      <c r="AI2" s="315"/>
      <c r="AJ2" s="315"/>
      <c r="AK2" s="315"/>
      <c r="AL2" s="315"/>
      <c r="AM2" s="315"/>
      <c r="AN2" s="315"/>
      <c r="AO2" s="315"/>
      <c r="AP2" s="315"/>
      <c r="AQ2" s="315"/>
      <c r="AR2" s="315"/>
      <c r="AS2" s="315"/>
      <c r="AT2" s="315"/>
      <c r="AU2" s="315"/>
      <c r="AV2" s="315"/>
    </row>
    <row r="3" ht="12" customHeight="1">
      <c r="A3" s="315"/>
      <c r="B3" s="315"/>
      <c r="C3" s="339"/>
      <c r="D3" s="339"/>
      <c r="E3" s="340"/>
      <c r="F3" s="340"/>
      <c r="G3" s="340"/>
      <c r="H3" s="340"/>
      <c r="I3" s="340"/>
      <c r="J3" s="340"/>
      <c r="K3" s="339"/>
      <c r="L3" s="341"/>
      <c r="M3" s="339"/>
      <c r="N3" s="339"/>
      <c r="O3" s="339"/>
      <c r="P3" s="339"/>
      <c r="Q3" s="342"/>
      <c r="R3" s="342"/>
      <c r="S3" s="340"/>
      <c r="T3" s="340"/>
      <c r="U3" s="340"/>
      <c r="V3" s="340"/>
      <c r="W3" s="340"/>
      <c r="X3" s="340"/>
      <c r="Y3" s="340"/>
      <c r="Z3" s="340"/>
      <c r="AA3" s="340"/>
      <c r="AB3" s="315"/>
      <c r="AC3" s="315"/>
      <c r="AD3" s="315"/>
      <c r="AE3" s="338"/>
      <c r="AF3" s="315"/>
      <c r="AG3" s="315"/>
      <c r="AH3" s="315"/>
      <c r="AI3" s="315"/>
      <c r="AJ3" s="315"/>
      <c r="AK3" s="315"/>
      <c r="AL3" s="315"/>
      <c r="AM3" s="315"/>
      <c r="AN3" s="315"/>
      <c r="AO3" s="315"/>
      <c r="AP3" s="315"/>
      <c r="AQ3" s="315"/>
      <c r="AR3" s="315"/>
      <c r="AS3" s="315"/>
      <c r="AT3" s="315"/>
      <c r="AU3" s="315"/>
      <c r="AV3" s="315"/>
    </row>
    <row r="4" ht="8.25" customHeight="1">
      <c r="A4" s="315"/>
      <c r="B4" s="315"/>
      <c r="C4" s="343"/>
      <c r="D4" s="343"/>
      <c r="E4" s="344"/>
      <c r="F4" s="344"/>
      <c r="G4" s="344"/>
      <c r="H4" s="344"/>
      <c r="I4" s="344"/>
      <c r="J4" s="344"/>
      <c r="K4" s="344"/>
      <c r="L4" s="345"/>
      <c r="M4" s="345"/>
      <c r="N4" s="345"/>
      <c r="O4" s="345"/>
      <c r="P4" s="344"/>
      <c r="Q4" s="346"/>
      <c r="R4" s="346"/>
      <c r="S4" s="346"/>
      <c r="T4" s="346"/>
      <c r="U4" s="346"/>
      <c r="V4" s="346"/>
      <c r="W4" s="346"/>
      <c r="X4" s="346"/>
      <c r="Y4" s="346"/>
      <c r="Z4" s="346"/>
      <c r="AA4" s="346"/>
      <c r="AB4" s="346"/>
      <c r="AC4" s="346"/>
      <c r="AD4" s="346"/>
      <c r="AE4" s="338"/>
      <c r="AF4" s="315"/>
      <c r="AG4" s="315"/>
      <c r="AH4" s="315"/>
      <c r="AI4" s="315"/>
      <c r="AJ4" s="315"/>
      <c r="AK4" s="315"/>
      <c r="AL4" s="315"/>
      <c r="AM4" s="315"/>
      <c r="AN4" s="315"/>
      <c r="AO4" s="315"/>
      <c r="AP4" s="315"/>
      <c r="AQ4" s="315"/>
      <c r="AR4" s="315"/>
      <c r="AS4" s="315"/>
      <c r="AT4" s="315"/>
      <c r="AU4" s="315"/>
      <c r="AV4" s="315"/>
    </row>
    <row r="5" hidden="1" ht="9.75" customHeight="1">
      <c r="A5" s="315"/>
      <c r="B5" s="315"/>
      <c r="C5" s="347"/>
      <c r="D5" s="347"/>
      <c r="E5" s="339"/>
      <c r="F5" s="339"/>
      <c r="G5" s="339"/>
      <c r="H5" s="339"/>
      <c r="I5" s="339"/>
      <c r="J5" s="339"/>
      <c r="K5" s="339"/>
      <c r="L5" s="339"/>
      <c r="M5" s="339"/>
      <c r="N5" s="339"/>
      <c r="O5" s="339"/>
      <c r="P5" s="339"/>
      <c r="Q5" s="339"/>
      <c r="R5" s="339"/>
      <c r="S5" s="339"/>
      <c r="T5" s="339"/>
      <c r="U5" s="339"/>
      <c r="V5" s="339"/>
      <c r="W5" s="339"/>
      <c r="X5" s="339"/>
      <c r="Y5" s="339"/>
      <c r="Z5" s="339"/>
      <c r="AA5" s="339"/>
      <c r="AB5" s="315"/>
      <c r="AC5" s="315"/>
      <c r="AD5" s="315"/>
      <c r="AE5" s="338"/>
      <c r="AF5" s="315"/>
      <c r="AG5" s="315"/>
      <c r="AH5" s="315"/>
      <c r="AI5" s="315"/>
      <c r="AJ5" s="315"/>
      <c r="AK5" s="315"/>
      <c r="AL5" s="315"/>
      <c r="AM5" s="315"/>
      <c r="AN5" s="315"/>
      <c r="AO5" s="315"/>
      <c r="AP5" s="315"/>
      <c r="AQ5" s="315"/>
      <c r="AR5" s="315"/>
      <c r="AS5" s="315"/>
      <c r="AT5" s="315"/>
      <c r="AU5" s="315"/>
      <c r="AV5" s="315"/>
    </row>
    <row r="6" ht="19.7" customHeight="1">
      <c r="A6" s="315"/>
      <c r="B6" s="315"/>
      <c r="C6" s="445" t="s">
        <v>151</v>
      </c>
      <c r="D6" s="445"/>
      <c r="E6" s="445"/>
      <c r="F6" s="445"/>
      <c r="G6" s="445"/>
      <c r="H6" s="445"/>
      <c r="I6" s="445"/>
      <c r="J6" s="445"/>
      <c r="K6" s="445"/>
      <c r="L6" s="445"/>
      <c r="M6" s="445"/>
      <c r="N6" s="445"/>
      <c r="O6" s="445"/>
      <c r="P6" s="445"/>
      <c r="Q6" s="445"/>
      <c r="R6" s="445"/>
      <c r="S6" s="445"/>
      <c r="T6" s="445"/>
      <c r="U6" s="445"/>
      <c r="V6" s="445"/>
      <c r="W6" s="445"/>
      <c r="X6" s="445"/>
      <c r="Y6" s="445"/>
      <c r="Z6" s="445"/>
      <c r="AA6" s="445"/>
      <c r="AB6" s="445"/>
      <c r="AC6" s="445"/>
      <c r="AD6" s="445"/>
      <c r="AE6" s="338"/>
      <c r="AF6" s="315"/>
      <c r="AG6" s="315"/>
      <c r="AH6" s="315"/>
      <c r="AI6" s="315"/>
      <c r="AJ6" s="315"/>
      <c r="AK6" s="315"/>
      <c r="AL6" s="315"/>
      <c r="AM6" s="315"/>
      <c r="AN6" s="315"/>
      <c r="AO6" s="315"/>
      <c r="AP6" s="315"/>
      <c r="AQ6" s="315"/>
      <c r="AR6" s="315"/>
      <c r="AS6" s="315"/>
      <c r="AT6" s="315"/>
      <c r="AU6" s="315"/>
      <c r="AV6" s="315"/>
    </row>
    <row r="7" ht="19.7" customHeight="1">
      <c r="A7" s="315"/>
      <c r="B7" s="315"/>
      <c r="C7" s="445" t="s">
        <v>152</v>
      </c>
      <c r="D7" s="445"/>
      <c r="E7" s="445"/>
      <c r="F7" s="445"/>
      <c r="G7" s="445"/>
      <c r="H7" s="445"/>
      <c r="I7" s="445"/>
      <c r="J7" s="445"/>
      <c r="K7" s="445"/>
      <c r="L7" s="445"/>
      <c r="M7" s="445"/>
      <c r="N7" s="445"/>
      <c r="O7" s="445"/>
      <c r="P7" s="445"/>
      <c r="Q7" s="445"/>
      <c r="R7" s="445"/>
      <c r="S7" s="445"/>
      <c r="T7" s="445"/>
      <c r="U7" s="445"/>
      <c r="V7" s="445"/>
      <c r="W7" s="445"/>
      <c r="X7" s="445"/>
      <c r="Y7" s="445"/>
      <c r="Z7" s="445"/>
      <c r="AA7" s="445"/>
      <c r="AB7" s="445"/>
      <c r="AC7" s="445"/>
      <c r="AD7" s="445"/>
      <c r="AE7" s="338"/>
      <c r="AF7" s="315"/>
      <c r="AG7" s="315"/>
      <c r="AH7" s="315"/>
      <c r="AI7" s="315"/>
      <c r="AJ7" s="315"/>
      <c r="AK7" s="315"/>
      <c r="AL7" s="315"/>
      <c r="AM7" s="315"/>
      <c r="AN7" s="315"/>
      <c r="AO7" s="315"/>
      <c r="AP7" s="315"/>
      <c r="AQ7" s="315"/>
      <c r="AR7" s="315"/>
      <c r="AS7" s="315"/>
      <c r="AT7" s="315"/>
      <c r="AU7" s="315"/>
      <c r="AV7" s="315"/>
    </row>
    <row r="8" ht="10.5" customHeight="1">
      <c r="A8" s="315"/>
      <c r="B8" s="315"/>
      <c r="C8" s="348"/>
      <c r="D8" s="349"/>
      <c r="E8" s="349"/>
      <c r="F8" s="349"/>
      <c r="G8" s="349"/>
      <c r="H8" s="349"/>
      <c r="I8" s="349"/>
      <c r="J8" s="349"/>
      <c r="K8" s="349"/>
      <c r="L8" s="349"/>
      <c r="M8" s="349"/>
      <c r="N8" s="349"/>
      <c r="O8" s="349"/>
      <c r="P8" s="349"/>
      <c r="Q8" s="349"/>
      <c r="R8" s="349"/>
      <c r="S8" s="349"/>
      <c r="T8" s="349"/>
      <c r="U8" s="349"/>
      <c r="V8" s="349"/>
      <c r="W8" s="349"/>
      <c r="X8" s="349"/>
      <c r="Y8" s="349"/>
      <c r="Z8" s="349"/>
      <c r="AA8" s="349"/>
      <c r="AB8" s="350"/>
      <c r="AC8" s="350"/>
      <c r="AD8" s="350"/>
      <c r="AE8" s="338"/>
      <c r="AF8" s="315"/>
      <c r="AG8" s="315"/>
      <c r="AH8" s="315"/>
      <c r="AI8" s="315"/>
      <c r="AJ8" s="315"/>
      <c r="AK8" s="315"/>
      <c r="AL8" s="315"/>
      <c r="AM8" s="315"/>
      <c r="AN8" s="315"/>
      <c r="AO8" s="315"/>
      <c r="AP8" s="315"/>
      <c r="AQ8" s="315"/>
      <c r="AR8" s="315"/>
      <c r="AS8" s="315"/>
      <c r="AT8" s="315"/>
      <c r="AU8" s="315"/>
      <c r="AV8" s="315"/>
    </row>
    <row r="9" ht="15.75" customHeight="1">
      <c r="A9" s="315"/>
      <c r="B9" s="315"/>
      <c r="C9" s="453" t="str">
        <f>"Số: "&amp;AG9</f>
        <v>Số: B08600120811TG05</v>
      </c>
      <c r="D9" s="453"/>
      <c r="E9" s="453"/>
      <c r="F9" s="453"/>
      <c r="G9" s="453"/>
      <c r="H9" s="453"/>
      <c r="I9" s="453"/>
      <c r="J9" s="453"/>
      <c r="K9" s="453"/>
      <c r="L9" s="453"/>
      <c r="M9" s="453"/>
      <c r="N9" s="453"/>
      <c r="O9" s="453"/>
      <c r="P9" s="453"/>
      <c r="Q9" s="453"/>
      <c r="R9" s="453"/>
      <c r="S9" s="453"/>
      <c r="T9" s="453"/>
      <c r="U9" s="453"/>
      <c r="V9" s="453"/>
      <c r="W9" s="453"/>
      <c r="X9" s="453"/>
      <c r="Y9" s="453"/>
      <c r="Z9" s="453"/>
      <c r="AA9" s="453"/>
      <c r="AB9" s="453"/>
      <c r="AC9" s="453"/>
      <c r="AD9" s="453"/>
      <c r="AE9" s="338"/>
      <c r="AF9" s="315"/>
      <c r="AG9" s="351" t="s">
        <v>153</v>
      </c>
      <c r="AH9" s="315"/>
      <c r="AI9" s="315"/>
      <c r="AJ9" s="315"/>
      <c r="AK9" s="315"/>
      <c r="AL9" s="315"/>
      <c r="AM9" s="315"/>
      <c r="AN9" s="315"/>
      <c r="AO9" s="315"/>
      <c r="AP9" s="315"/>
      <c r="AQ9" s="315"/>
      <c r="AR9" s="315"/>
      <c r="AS9" s="315"/>
      <c r="AT9" s="315"/>
      <c r="AU9" s="315"/>
      <c r="AV9" s="315"/>
    </row>
    <row r="10" ht="11.25" customHeight="1">
      <c r="A10" s="315"/>
      <c r="B10" s="315"/>
      <c r="C10" s="352"/>
      <c r="D10" s="349"/>
      <c r="E10" s="349"/>
      <c r="F10" s="349"/>
      <c r="G10" s="349"/>
      <c r="H10" s="349"/>
      <c r="I10" s="349"/>
      <c r="J10" s="349"/>
      <c r="K10" s="349"/>
      <c r="L10" s="349"/>
      <c r="M10" s="349"/>
      <c r="N10" s="349"/>
      <c r="O10" s="349"/>
      <c r="P10" s="349"/>
      <c r="Q10" s="349"/>
      <c r="R10" s="349"/>
      <c r="S10" s="349"/>
      <c r="T10" s="349"/>
      <c r="U10" s="349"/>
      <c r="V10" s="349"/>
      <c r="W10" s="349"/>
      <c r="X10" s="349"/>
      <c r="Y10" s="349"/>
      <c r="Z10" s="349"/>
      <c r="AA10" s="349"/>
      <c r="AB10" s="350"/>
      <c r="AC10" s="350"/>
      <c r="AD10" s="350"/>
      <c r="AE10" s="338"/>
      <c r="AF10" s="315"/>
      <c r="AG10" s="315"/>
      <c r="AH10" s="315"/>
      <c r="AI10" s="315"/>
      <c r="AJ10" s="315"/>
      <c r="AK10" s="315"/>
      <c r="AL10" s="315"/>
      <c r="AM10" s="315"/>
      <c r="AN10" s="315"/>
      <c r="AO10" s="315"/>
      <c r="AP10" s="315"/>
      <c r="AQ10" s="315"/>
      <c r="AR10" s="315"/>
      <c r="AS10" s="315"/>
      <c r="AT10" s="315"/>
      <c r="AU10" s="315"/>
      <c r="AV10" s="315"/>
    </row>
    <row r="11" ht="19.7" customHeight="1">
      <c r="A11" s="315"/>
      <c r="B11" s="315"/>
      <c r="C11" s="445" t="s">
        <v>154</v>
      </c>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338"/>
      <c r="AF11" s="315"/>
      <c r="AG11" s="315"/>
      <c r="AH11" s="315"/>
      <c r="AI11" s="315"/>
      <c r="AJ11" s="315"/>
      <c r="AK11" s="315"/>
      <c r="AL11" s="315"/>
      <c r="AM11" s="315"/>
      <c r="AN11" s="315"/>
      <c r="AO11" s="315"/>
      <c r="AP11" s="315"/>
      <c r="AQ11" s="315"/>
      <c r="AR11" s="315"/>
      <c r="AS11" s="315"/>
      <c r="AT11" s="315"/>
      <c r="AU11" s="315"/>
      <c r="AV11" s="315"/>
    </row>
    <row r="12" ht="19.7" customHeight="1">
      <c r="A12" s="315"/>
      <c r="B12" s="315"/>
      <c r="C12" s="445" t="s">
        <v>155</v>
      </c>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338"/>
      <c r="AF12" s="315"/>
      <c r="AG12" s="315"/>
      <c r="AH12" s="315"/>
      <c r="AI12" s="315"/>
      <c r="AJ12" s="315"/>
      <c r="AK12" s="315"/>
      <c r="AL12" s="315"/>
      <c r="AM12" s="315"/>
      <c r="AN12" s="315"/>
      <c r="AO12" s="315"/>
      <c r="AP12" s="315"/>
      <c r="AQ12" s="315"/>
      <c r="AR12" s="315"/>
      <c r="AS12" s="315"/>
      <c r="AT12" s="315"/>
      <c r="AU12" s="315"/>
      <c r="AV12" s="315"/>
    </row>
    <row r="13" ht="7.5" customHeight="1">
      <c r="A13" s="315"/>
      <c r="B13" s="315"/>
      <c r="C13" s="353"/>
      <c r="D13" s="339"/>
      <c r="E13" s="339"/>
      <c r="F13" s="339"/>
      <c r="G13" s="339"/>
      <c r="H13" s="339"/>
      <c r="I13" s="339"/>
      <c r="J13" s="339"/>
      <c r="K13" s="339"/>
      <c r="L13" s="339"/>
      <c r="M13" s="339"/>
      <c r="N13" s="339"/>
      <c r="O13" s="339"/>
      <c r="P13" s="339"/>
      <c r="Q13" s="339"/>
      <c r="R13" s="339"/>
      <c r="S13" s="339"/>
      <c r="T13" s="339"/>
      <c r="U13" s="339"/>
      <c r="V13" s="339"/>
      <c r="W13" s="339"/>
      <c r="X13" s="339"/>
      <c r="Y13" s="339"/>
      <c r="Z13" s="339"/>
      <c r="AA13" s="339"/>
      <c r="AB13" s="315"/>
      <c r="AC13" s="315"/>
      <c r="AD13" s="315"/>
      <c r="AE13" s="338"/>
      <c r="AF13" s="315"/>
      <c r="AG13" s="315"/>
      <c r="AH13" s="315"/>
      <c r="AI13" s="315"/>
      <c r="AJ13" s="315"/>
      <c r="AK13" s="315"/>
      <c r="AL13" s="315"/>
      <c r="AM13" s="315"/>
      <c r="AN13" s="315"/>
      <c r="AO13" s="315"/>
      <c r="AP13" s="315"/>
      <c r="AQ13" s="315"/>
      <c r="AR13" s="315"/>
      <c r="AS13" s="315"/>
      <c r="AT13" s="315"/>
      <c r="AU13" s="315"/>
      <c r="AV13" s="315"/>
    </row>
    <row r="14" hidden="1" ht="3" customHeight="1">
      <c r="A14" s="315"/>
      <c r="B14" s="315"/>
      <c r="C14" s="354"/>
      <c r="D14" s="339"/>
      <c r="E14" s="339"/>
      <c r="F14" s="339"/>
      <c r="G14" s="339"/>
      <c r="H14" s="339"/>
      <c r="I14" s="339"/>
      <c r="J14" s="339"/>
      <c r="K14" s="339"/>
      <c r="L14" s="339"/>
      <c r="M14" s="339"/>
      <c r="N14" s="339"/>
      <c r="O14" s="339"/>
      <c r="P14" s="339"/>
      <c r="Q14" s="339"/>
      <c r="R14" s="339"/>
      <c r="S14" s="339"/>
      <c r="T14" s="339"/>
      <c r="U14" s="339"/>
      <c r="V14" s="339"/>
      <c r="W14" s="339"/>
      <c r="X14" s="339"/>
      <c r="Y14" s="339"/>
      <c r="Z14" s="339"/>
      <c r="AA14" s="339"/>
      <c r="AB14" s="315"/>
      <c r="AC14" s="315"/>
      <c r="AD14" s="315"/>
      <c r="AE14" s="338"/>
      <c r="AF14" s="315"/>
      <c r="AG14" s="315"/>
      <c r="AH14" s="315"/>
      <c r="AI14" s="315"/>
      <c r="AJ14" s="315"/>
      <c r="AK14" s="315"/>
      <c r="AL14" s="315"/>
      <c r="AM14" s="315"/>
      <c r="AN14" s="315"/>
      <c r="AO14" s="315"/>
      <c r="AP14" s="315"/>
      <c r="AQ14" s="315"/>
      <c r="AR14" s="315"/>
      <c r="AS14" s="315"/>
      <c r="AT14" s="315"/>
      <c r="AU14" s="315"/>
      <c r="AV14" s="315"/>
    </row>
    <row r="15" ht="25.5" customHeight="1">
      <c r="A15" s="315"/>
      <c r="B15" s="315"/>
      <c r="C15" s="446" t="s">
        <v>152</v>
      </c>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8"/>
      <c r="AE15" s="355"/>
      <c r="AF15" s="315"/>
      <c r="AG15" s="356">
        <v>1</v>
      </c>
      <c r="AH15" s="356"/>
      <c r="AI15" s="356"/>
      <c r="AJ15" s="356"/>
      <c r="AK15" s="356">
        <v>2</v>
      </c>
      <c r="AL15" s="356"/>
      <c r="AM15" s="356"/>
      <c r="AN15" s="356"/>
      <c r="AO15" s="356">
        <v>3</v>
      </c>
      <c r="AP15" s="315"/>
      <c r="AQ15" s="315"/>
      <c r="AR15" s="315"/>
      <c r="AS15" s="315">
        <v>4</v>
      </c>
      <c r="AT15" s="315"/>
      <c r="AU15" s="315"/>
      <c r="AV15" s="315"/>
    </row>
    <row r="16" ht="40.5" customHeight="1">
      <c r="A16" s="315"/>
      <c r="B16" s="315"/>
      <c r="C16" s="454" t="s">
        <v>89</v>
      </c>
      <c r="D16" s="455"/>
      <c r="E16" s="455"/>
      <c r="F16" s="455"/>
      <c r="G16" s="455"/>
      <c r="H16" s="455"/>
      <c r="I16" s="455"/>
      <c r="J16" s="455"/>
      <c r="K16" s="455"/>
      <c r="L16" s="456"/>
      <c r="M16" s="457" t="str">
        <f>AG16</f>
        <v>Ấp Bàu Trâu, xã Phước Thạnh, huyện Củ Chi, thành phố Hồ Chí Minh.</v>
      </c>
      <c r="N16" s="458"/>
      <c r="O16" s="458"/>
      <c r="P16" s="458"/>
      <c r="Q16" s="458"/>
      <c r="R16" s="458"/>
      <c r="S16" s="458"/>
      <c r="T16" s="458"/>
      <c r="U16" s="458"/>
      <c r="V16" s="458"/>
      <c r="W16" s="458"/>
      <c r="X16" s="458"/>
      <c r="Y16" s="458"/>
      <c r="Z16" s="458"/>
      <c r="AA16" s="458"/>
      <c r="AB16" s="458"/>
      <c r="AC16" s="458"/>
      <c r="AD16" s="459"/>
      <c r="AE16" s="355"/>
      <c r="AF16" s="315"/>
      <c r="AG16" s="357" t="s">
        <v>156</v>
      </c>
      <c r="AH16" s="315"/>
      <c r="AI16" s="315"/>
      <c r="AJ16" s="315"/>
      <c r="AK16" s="315"/>
      <c r="AL16" s="315"/>
      <c r="AM16" s="315"/>
      <c r="AN16" s="315"/>
      <c r="AO16" s="315"/>
      <c r="AP16" s="315"/>
      <c r="AQ16" s="315"/>
      <c r="AR16" s="315"/>
      <c r="AS16" s="315"/>
      <c r="AT16" s="315"/>
      <c r="AU16" s="315"/>
      <c r="AV16" s="315"/>
    </row>
    <row r="17" ht="19.5" customHeight="1">
      <c r="A17" s="315"/>
      <c r="B17" s="315"/>
      <c r="C17" s="454" t="s">
        <v>88</v>
      </c>
      <c r="D17" s="455"/>
      <c r="E17" s="455"/>
      <c r="F17" s="455"/>
      <c r="G17" s="455"/>
      <c r="H17" s="455"/>
      <c r="I17" s="455"/>
      <c r="J17" s="455"/>
      <c r="K17" s="455"/>
      <c r="L17" s="456"/>
      <c r="M17" s="442" t="str">
        <f>IF(AG17="","",AG17)</f>
      </c>
      <c r="N17" s="443"/>
      <c r="O17" s="443"/>
      <c r="P17" s="443"/>
      <c r="Q17" s="443"/>
      <c r="R17" s="443"/>
      <c r="S17" s="443"/>
      <c r="T17" s="443"/>
      <c r="U17" s="443"/>
      <c r="V17" s="443"/>
      <c r="W17" s="443"/>
      <c r="X17" s="443"/>
      <c r="Y17" s="443"/>
      <c r="Z17" s="443"/>
      <c r="AA17" s="443"/>
      <c r="AB17" s="443"/>
      <c r="AC17" s="443"/>
      <c r="AD17" s="444"/>
      <c r="AE17" s="355"/>
      <c r="AF17" s="315"/>
      <c r="AG17" s="315"/>
      <c r="AH17" s="315"/>
      <c r="AI17" s="315"/>
      <c r="AJ17" s="315"/>
      <c r="AK17" s="315"/>
      <c r="AL17" s="315"/>
      <c r="AM17" s="315"/>
      <c r="AN17" s="315"/>
      <c r="AO17" s="315"/>
      <c r="AP17" s="315"/>
      <c r="AQ17" s="315"/>
      <c r="AR17" s="315"/>
      <c r="AS17" s="315"/>
      <c r="AT17" s="315"/>
      <c r="AU17" s="315"/>
      <c r="AV17" s="315"/>
    </row>
    <row r="18" ht="33.95" customHeight="1">
      <c r="A18" s="315"/>
      <c r="B18" s="315"/>
      <c r="C18" s="449" t="s">
        <v>157</v>
      </c>
      <c r="D18" s="450"/>
      <c r="E18" s="450"/>
      <c r="F18" s="450"/>
      <c r="G18" s="450"/>
      <c r="H18" s="450"/>
      <c r="I18" s="450"/>
      <c r="J18" s="450"/>
      <c r="K18" s="450"/>
      <c r="L18" s="451"/>
      <c r="M18" s="442" t="str">
        <f>AG18</f>
        <v>CÔNG TY CỔ PHẦN VIỄN THÔNG DI ĐỘNG TOÀN CẦU</v>
      </c>
      <c r="N18" s="443"/>
      <c r="O18" s="443"/>
      <c r="P18" s="443"/>
      <c r="Q18" s="443"/>
      <c r="R18" s="443"/>
      <c r="S18" s="443"/>
      <c r="T18" s="443"/>
      <c r="U18" s="443"/>
      <c r="V18" s="443"/>
      <c r="W18" s="443"/>
      <c r="X18" s="443"/>
      <c r="Y18" s="443"/>
      <c r="Z18" s="443"/>
      <c r="AA18" s="443"/>
      <c r="AB18" s="443"/>
      <c r="AC18" s="443"/>
      <c r="AD18" s="444"/>
      <c r="AE18" s="355"/>
      <c r="AF18" s="315"/>
      <c r="AG18" s="351" t="s">
        <v>158</v>
      </c>
      <c r="AH18" s="315"/>
      <c r="AI18" s="315"/>
      <c r="AJ18" s="315"/>
      <c r="AK18" s="315"/>
      <c r="AL18" s="315"/>
      <c r="AM18" s="315"/>
      <c r="AN18" s="315"/>
      <c r="AO18" s="315"/>
      <c r="AP18" s="315"/>
      <c r="AQ18" s="315"/>
      <c r="AR18" s="315"/>
      <c r="AS18" s="315"/>
      <c r="AT18" s="315"/>
      <c r="AU18" s="315"/>
      <c r="AV18" s="315"/>
    </row>
    <row r="19" ht="33.95" customHeight="1">
      <c r="A19" s="315"/>
      <c r="B19" s="315"/>
      <c r="C19" s="449" t="s">
        <v>159</v>
      </c>
      <c r="D19" s="450"/>
      <c r="E19" s="450"/>
      <c r="F19" s="450"/>
      <c r="G19" s="450"/>
      <c r="H19" s="450"/>
      <c r="I19" s="450"/>
      <c r="J19" s="450"/>
      <c r="K19" s="450"/>
      <c r="L19" s="451"/>
      <c r="M19" s="442" t="str">
        <f>AG19</f>
        <v>CÔNG TY CỔ PHẦN VIỄN THÔNG DI ĐỘNG TOÀN CẦU</v>
      </c>
      <c r="N19" s="443"/>
      <c r="O19" s="443"/>
      <c r="P19" s="443"/>
      <c r="Q19" s="443"/>
      <c r="R19" s="443"/>
      <c r="S19" s="443"/>
      <c r="T19" s="443"/>
      <c r="U19" s="443"/>
      <c r="V19" s="443"/>
      <c r="W19" s="443"/>
      <c r="X19" s="443"/>
      <c r="Y19" s="443"/>
      <c r="Z19" s="443"/>
      <c r="AA19" s="443"/>
      <c r="AB19" s="443"/>
      <c r="AC19" s="443"/>
      <c r="AD19" s="444"/>
      <c r="AE19" s="358"/>
      <c r="AF19" s="315"/>
      <c r="AG19" s="351" t="s">
        <v>158</v>
      </c>
      <c r="AH19" s="315"/>
      <c r="AI19" s="315"/>
      <c r="AJ19" s="315"/>
      <c r="AK19" s="315"/>
      <c r="AL19" s="315"/>
      <c r="AM19" s="315"/>
      <c r="AN19" s="315"/>
      <c r="AO19" s="315"/>
      <c r="AP19" s="315"/>
      <c r="AQ19" s="315"/>
      <c r="AR19" s="315"/>
      <c r="AS19" s="315"/>
      <c r="AT19" s="315"/>
      <c r="AU19" s="315"/>
      <c r="AV19" s="315"/>
    </row>
    <row r="20" ht="21" customHeight="1">
      <c r="A20" s="315"/>
      <c r="B20" s="315"/>
      <c r="C20" s="466" t="s">
        <v>160</v>
      </c>
      <c r="D20" s="467"/>
      <c r="E20" s="467"/>
      <c r="F20" s="467"/>
      <c r="G20" s="467"/>
      <c r="H20" s="467"/>
      <c r="I20" s="467"/>
      <c r="J20" s="467"/>
      <c r="K20" s="467"/>
      <c r="L20" s="467"/>
      <c r="M20" s="467"/>
      <c r="N20" s="467"/>
      <c r="O20" s="467"/>
      <c r="P20" s="467"/>
      <c r="Q20" s="467"/>
      <c r="R20" s="467"/>
      <c r="S20" s="467"/>
      <c r="T20" s="467"/>
      <c r="U20" s="467"/>
      <c r="V20" s="467"/>
      <c r="W20" s="467"/>
      <c r="X20" s="467"/>
      <c r="Y20" s="467"/>
      <c r="Z20" s="467"/>
      <c r="AA20" s="467"/>
      <c r="AB20" s="467"/>
      <c r="AC20" s="467"/>
      <c r="AD20" s="468"/>
      <c r="AE20" s="359"/>
      <c r="AF20" s="315"/>
      <c r="AG20" s="315"/>
      <c r="AH20" s="315"/>
      <c r="AI20" s="315"/>
      <c r="AJ20" s="315"/>
      <c r="AK20" s="315"/>
      <c r="AL20" s="315"/>
      <c r="AM20" s="315"/>
      <c r="AN20" s="315"/>
      <c r="AO20" s="315"/>
      <c r="AP20" s="315"/>
      <c r="AQ20" s="315"/>
      <c r="AR20" s="315"/>
      <c r="AS20" s="315"/>
      <c r="AT20" s="315"/>
      <c r="AU20" s="315"/>
      <c r="AV20" s="315"/>
    </row>
    <row r="21" ht="33.95" customHeight="1">
      <c r="A21" s="315"/>
      <c r="B21" s="315"/>
      <c r="C21" s="460" t="s">
        <v>161</v>
      </c>
      <c r="D21" s="460"/>
      <c r="E21" s="460"/>
      <c r="F21" s="460"/>
      <c r="G21" s="460"/>
      <c r="H21" s="460"/>
      <c r="I21" s="460"/>
      <c r="J21" s="460"/>
      <c r="K21" s="460"/>
      <c r="L21" s="460"/>
      <c r="M21" s="442" t="str">
        <f>AG21</f>
        <v>A</v>
      </c>
      <c r="N21" s="443"/>
      <c r="O21" s="443"/>
      <c r="P21" s="443"/>
      <c r="Q21" s="443"/>
      <c r="R21" s="443"/>
      <c r="S21" s="443"/>
      <c r="T21" s="443"/>
      <c r="U21" s="443"/>
      <c r="V21" s="443"/>
      <c r="W21" s="443"/>
      <c r="X21" s="443"/>
      <c r="Y21" s="443"/>
      <c r="Z21" s="443"/>
      <c r="AA21" s="443"/>
      <c r="AB21" s="443"/>
      <c r="AC21" s="443"/>
      <c r="AD21" s="444"/>
      <c r="AE21" s="355"/>
      <c r="AF21" s="315"/>
      <c r="AG21" s="351" t="s">
        <v>162</v>
      </c>
      <c r="AH21" s="315"/>
      <c r="AI21" s="315"/>
      <c r="AJ21" s="315"/>
      <c r="AK21" s="351" t="s">
        <v>163</v>
      </c>
      <c r="AL21" s="315"/>
      <c r="AM21" s="315"/>
      <c r="AN21" s="315"/>
      <c r="AO21" s="351" t="s">
        <v>164</v>
      </c>
      <c r="AP21" s="315"/>
      <c r="AQ21" s="315"/>
      <c r="AR21" s="315"/>
      <c r="AS21" s="351" t="s">
        <v>165</v>
      </c>
      <c r="AT21" s="315"/>
      <c r="AU21" s="315"/>
      <c r="AV21" s="315"/>
    </row>
    <row r="22" ht="19.7" customHeight="1">
      <c r="A22" s="315"/>
      <c r="B22" s="315"/>
      <c r="C22" s="469" t="s">
        <v>166</v>
      </c>
      <c r="D22" s="470"/>
      <c r="E22" s="470"/>
      <c r="F22" s="470"/>
      <c r="G22" s="470"/>
      <c r="H22" s="470"/>
      <c r="I22" s="470"/>
      <c r="J22" s="470"/>
      <c r="K22" s="470"/>
      <c r="L22" s="471"/>
      <c r="M22" s="442">
        <f>AG22</f>
        <v>4</v>
      </c>
      <c r="N22" s="443"/>
      <c r="O22" s="443"/>
      <c r="P22" s="443"/>
      <c r="Q22" s="443"/>
      <c r="R22" s="443"/>
      <c r="S22" s="443"/>
      <c r="T22" s="443"/>
      <c r="U22" s="443"/>
      <c r="V22" s="443"/>
      <c r="W22" s="443"/>
      <c r="X22" s="443"/>
      <c r="Y22" s="443"/>
      <c r="Z22" s="443"/>
      <c r="AA22" s="443"/>
      <c r="AB22" s="443"/>
      <c r="AC22" s="443"/>
      <c r="AD22" s="444"/>
      <c r="AE22" s="355"/>
      <c r="AF22" s="315"/>
      <c r="AG22" s="356">
        <v>4</v>
      </c>
      <c r="AH22" s="356"/>
      <c r="AI22" s="356"/>
      <c r="AJ22" s="356"/>
      <c r="AK22" s="356">
        <v>1</v>
      </c>
      <c r="AL22" s="356"/>
      <c r="AM22" s="356"/>
      <c r="AN22" s="356"/>
      <c r="AO22" s="356">
        <v>3</v>
      </c>
      <c r="AP22" s="315"/>
      <c r="AQ22" s="315"/>
      <c r="AR22" s="315"/>
      <c r="AS22" s="315">
        <v>1</v>
      </c>
      <c r="AT22" s="315"/>
      <c r="AU22" s="315"/>
      <c r="AV22" s="315"/>
    </row>
    <row r="23" ht="19.7" customHeight="1">
      <c r="A23" s="315"/>
      <c r="B23" s="315"/>
      <c r="C23" s="460" t="s">
        <v>167</v>
      </c>
      <c r="D23" s="460"/>
      <c r="E23" s="460"/>
      <c r="F23" s="460"/>
      <c r="G23" s="460"/>
      <c r="H23" s="460"/>
      <c r="I23" s="460"/>
      <c r="J23" s="460"/>
      <c r="K23" s="460"/>
      <c r="L23" s="460"/>
      <c r="M23" s="463" t="str">
        <f>AG23</f>
        <v>4/4/4</v>
      </c>
      <c r="N23" s="464"/>
      <c r="O23" s="464"/>
      <c r="P23" s="464"/>
      <c r="Q23" s="464"/>
      <c r="R23" s="464"/>
      <c r="S23" s="464"/>
      <c r="T23" s="464"/>
      <c r="U23" s="464"/>
      <c r="V23" s="464"/>
      <c r="W23" s="464"/>
      <c r="X23" s="464"/>
      <c r="Y23" s="464"/>
      <c r="Z23" s="464"/>
      <c r="AA23" s="464"/>
      <c r="AB23" s="464"/>
      <c r="AC23" s="464"/>
      <c r="AD23" s="465"/>
      <c r="AE23" s="360"/>
      <c r="AF23" s="315"/>
      <c r="AG23" s="361" t="s">
        <v>168</v>
      </c>
      <c r="AH23" s="362"/>
      <c r="AI23" s="362"/>
      <c r="AJ23" s="362"/>
      <c r="AK23" s="361" t="s">
        <v>169</v>
      </c>
      <c r="AL23" s="362"/>
      <c r="AM23" s="362"/>
      <c r="AN23" s="362"/>
      <c r="AO23" s="361" t="s">
        <v>170</v>
      </c>
      <c r="AP23" s="362"/>
      <c r="AQ23" s="362"/>
      <c r="AR23" s="362"/>
      <c r="AS23" s="361" t="s">
        <v>171</v>
      </c>
      <c r="AT23" s="315"/>
      <c r="AU23" s="315"/>
      <c r="AV23" s="315"/>
    </row>
    <row r="24" ht="19.7" customHeight="1">
      <c r="A24" s="315"/>
      <c r="B24" s="315"/>
      <c r="C24" s="469" t="s">
        <v>172</v>
      </c>
      <c r="D24" s="470"/>
      <c r="E24" s="470"/>
      <c r="F24" s="470"/>
      <c r="G24" s="470"/>
      <c r="H24" s="470"/>
      <c r="I24" s="470"/>
      <c r="J24" s="470"/>
      <c r="K24" s="470"/>
      <c r="L24" s="471"/>
      <c r="M24" s="442" t="str">
        <f>IF(M22=4,AG24&amp;"W/ "&amp;AH24&amp;"W/ "&amp;AI24&amp;"W/ "&amp;AJ24&amp;"W",IF(M22=3,AG24&amp;"W/ "&amp;AH24&amp;"W/ "&amp;AI24&amp;"W",IF(M22=2,AG24&amp;"W/ "&amp;AH24&amp;"W",AG24&amp;"W")))</f>
        <v>20W/ 20W/ 20W/ 20W</v>
      </c>
      <c r="N24" s="443"/>
      <c r="O24" s="443"/>
      <c r="P24" s="443"/>
      <c r="Q24" s="443"/>
      <c r="R24" s="443"/>
      <c r="S24" s="443"/>
      <c r="T24" s="443"/>
      <c r="U24" s="443"/>
      <c r="V24" s="443"/>
      <c r="W24" s="443"/>
      <c r="X24" s="443"/>
      <c r="Y24" s="443"/>
      <c r="Z24" s="443"/>
      <c r="AA24" s="443"/>
      <c r="AB24" s="443"/>
      <c r="AC24" s="443"/>
      <c r="AD24" s="444"/>
      <c r="AE24" s="358"/>
      <c r="AF24" s="315"/>
      <c r="AG24" s="315">
        <v>20</v>
      </c>
      <c r="AH24" s="315">
        <v>20</v>
      </c>
      <c r="AI24" s="315">
        <v>20</v>
      </c>
      <c r="AJ24" s="315">
        <v>20</v>
      </c>
      <c r="AK24" s="315">
        <v>40</v>
      </c>
      <c r="AL24" s="315">
        <v>40</v>
      </c>
      <c r="AM24" s="315">
        <v>40</v>
      </c>
      <c r="AN24" s="315">
        <v>20</v>
      </c>
      <c r="AO24" s="315">
        <v>60</v>
      </c>
      <c r="AP24" s="315">
        <v>60</v>
      </c>
      <c r="AQ24" s="315">
        <v>60</v>
      </c>
      <c r="AR24" s="315">
        <v>60</v>
      </c>
      <c r="AS24" s="315">
        <v>80</v>
      </c>
      <c r="AT24" s="315">
        <v>80</v>
      </c>
      <c r="AU24" s="315">
        <v>80</v>
      </c>
      <c r="AV24" s="315">
        <v>80</v>
      </c>
    </row>
    <row r="25" ht="19.7" customHeight="1">
      <c r="A25" s="315"/>
      <c r="B25" s="315"/>
      <c r="C25" s="460" t="s">
        <v>173</v>
      </c>
      <c r="D25" s="460"/>
      <c r="E25" s="460"/>
      <c r="F25" s="460"/>
      <c r="G25" s="460"/>
      <c r="H25" s="460"/>
      <c r="I25" s="460"/>
      <c r="J25" s="460"/>
      <c r="K25" s="460"/>
      <c r="L25" s="460"/>
      <c r="M25" s="442" t="str">
        <f>IF(AG25="900 &amp; 1800","900MHz &amp; 1800MHz",IF(AG25="900 &amp; 2100","900MHz &amp; 2100MHz",IF(AG25="1800 &amp; 2100","1800MHz &amp; 2100MHz",AG25&amp;"MHz")))</f>
        <v>900MHz</v>
      </c>
      <c r="N25" s="443"/>
      <c r="O25" s="443"/>
      <c r="P25" s="443"/>
      <c r="Q25" s="443"/>
      <c r="R25" s="443"/>
      <c r="S25" s="443"/>
      <c r="T25" s="443"/>
      <c r="U25" s="443"/>
      <c r="V25" s="443"/>
      <c r="W25" s="443"/>
      <c r="X25" s="443"/>
      <c r="Y25" s="443"/>
      <c r="Z25" s="443"/>
      <c r="AA25" s="443"/>
      <c r="AB25" s="443"/>
      <c r="AC25" s="443"/>
      <c r="AD25" s="444"/>
      <c r="AE25" s="355"/>
      <c r="AF25" s="315"/>
      <c r="AG25" s="315">
        <v>900</v>
      </c>
      <c r="AH25" s="315"/>
      <c r="AI25" s="315"/>
      <c r="AJ25" s="315"/>
      <c r="AK25" s="315">
        <v>1800</v>
      </c>
      <c r="AL25" s="315"/>
      <c r="AM25" s="315"/>
      <c r="AN25" s="315"/>
      <c r="AO25" s="315">
        <v>2100</v>
      </c>
      <c r="AP25" s="315"/>
      <c r="AQ25" s="315"/>
      <c r="AR25" s="315"/>
      <c r="AS25" s="351" t="s">
        <v>174</v>
      </c>
      <c r="AT25" s="315"/>
      <c r="AU25" s="315"/>
      <c r="AV25" s="315"/>
    </row>
    <row r="26" ht="33.95" customHeight="1">
      <c r="A26" s="315"/>
      <c r="B26" s="315"/>
      <c r="C26" s="460" t="s">
        <v>175</v>
      </c>
      <c r="D26" s="460"/>
      <c r="E26" s="460"/>
      <c r="F26" s="460"/>
      <c r="G26" s="460"/>
      <c r="H26" s="460"/>
      <c r="I26" s="460"/>
      <c r="J26" s="460"/>
      <c r="K26" s="460"/>
      <c r="L26" s="460"/>
      <c r="M26" s="442">
        <f>AG26</f>
        <v>15</v>
      </c>
      <c r="N26" s="443"/>
      <c r="O26" s="443"/>
      <c r="P26" s="443"/>
      <c r="Q26" s="443"/>
      <c r="R26" s="443"/>
      <c r="S26" s="443"/>
      <c r="T26" s="443"/>
      <c r="U26" s="443"/>
      <c r="V26" s="443"/>
      <c r="W26" s="443"/>
      <c r="X26" s="443"/>
      <c r="Y26" s="443"/>
      <c r="Z26" s="443"/>
      <c r="AA26" s="443"/>
      <c r="AB26" s="443"/>
      <c r="AC26" s="443"/>
      <c r="AD26" s="444"/>
      <c r="AE26" s="358"/>
      <c r="AF26" s="315"/>
      <c r="AG26" s="315">
        <v>15</v>
      </c>
      <c r="AH26" s="315"/>
      <c r="AI26" s="315"/>
      <c r="AJ26" s="315"/>
      <c r="AK26" s="315">
        <v>16</v>
      </c>
      <c r="AL26" s="315"/>
      <c r="AM26" s="315"/>
      <c r="AN26" s="315"/>
      <c r="AO26" s="315">
        <v>17</v>
      </c>
      <c r="AP26" s="315"/>
      <c r="AQ26" s="315"/>
      <c r="AR26" s="315"/>
      <c r="AS26" s="315">
        <v>18</v>
      </c>
      <c r="AT26" s="315"/>
      <c r="AU26" s="315"/>
      <c r="AV26" s="315"/>
    </row>
    <row r="27" ht="25.5" customHeight="1">
      <c r="A27" s="315"/>
      <c r="B27" s="315"/>
      <c r="C27" s="461" t="s">
        <v>176</v>
      </c>
      <c r="D27" s="461"/>
      <c r="E27" s="461"/>
      <c r="F27" s="461"/>
      <c r="G27" s="461"/>
      <c r="H27" s="461"/>
      <c r="I27" s="461"/>
      <c r="J27" s="461"/>
      <c r="K27" s="461"/>
      <c r="L27" s="461"/>
      <c r="M27" s="461"/>
      <c r="N27" s="461"/>
      <c r="O27" s="461"/>
      <c r="P27" s="461"/>
      <c r="Q27" s="461"/>
      <c r="R27" s="461"/>
      <c r="S27" s="461"/>
      <c r="T27" s="461"/>
      <c r="U27" s="461"/>
      <c r="V27" s="461"/>
      <c r="W27" s="461"/>
      <c r="X27" s="461"/>
      <c r="Y27" s="461"/>
      <c r="Z27" s="461"/>
      <c r="AA27" s="461"/>
      <c r="AB27" s="363"/>
      <c r="AC27" s="363"/>
      <c r="AD27" s="363"/>
      <c r="AE27" s="338"/>
      <c r="AF27" s="315"/>
      <c r="AG27" s="315"/>
      <c r="AH27" s="315"/>
      <c r="AI27" s="315"/>
      <c r="AJ27" s="315"/>
      <c r="AK27" s="315"/>
      <c r="AL27" s="315"/>
      <c r="AM27" s="315"/>
      <c r="AN27" s="315"/>
      <c r="AO27" s="315"/>
      <c r="AP27" s="315"/>
      <c r="AQ27" s="315"/>
      <c r="AR27" s="315"/>
      <c r="AS27" s="315"/>
      <c r="AT27" s="315"/>
      <c r="AU27" s="315"/>
      <c r="AV27" s="315"/>
    </row>
    <row r="28" ht="24.75" customHeight="1">
      <c r="A28" s="315"/>
      <c r="B28" s="315"/>
      <c r="C28" s="47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72"/>
      <c r="E28" s="472"/>
      <c r="F28" s="472"/>
      <c r="G28" s="472"/>
      <c r="H28" s="472"/>
      <c r="I28" s="472"/>
      <c r="J28" s="472"/>
      <c r="K28" s="472"/>
      <c r="L28" s="472"/>
      <c r="M28" s="472"/>
      <c r="N28" s="472"/>
      <c r="O28" s="472"/>
      <c r="P28" s="472"/>
      <c r="Q28" s="472"/>
      <c r="R28" s="472"/>
      <c r="S28" s="472"/>
      <c r="T28" s="472"/>
      <c r="U28" s="472"/>
      <c r="V28" s="472"/>
      <c r="W28" s="472"/>
      <c r="X28" s="472"/>
      <c r="Y28" s="472"/>
      <c r="Z28" s="472"/>
      <c r="AA28" s="472"/>
      <c r="AB28" s="472"/>
      <c r="AC28" s="472"/>
      <c r="AD28" s="472"/>
      <c r="AE28" s="338"/>
      <c r="AF28" s="315"/>
      <c r="AG28" s="315">
        <v>30</v>
      </c>
      <c r="AH28" s="315"/>
      <c r="AI28" s="315"/>
      <c r="AJ28" s="315"/>
      <c r="AK28" s="315"/>
      <c r="AL28" s="315"/>
      <c r="AM28" s="315"/>
      <c r="AN28" s="315"/>
      <c r="AO28" s="315" t="s">
        <v>177</v>
      </c>
      <c r="AP28" s="315"/>
      <c r="AQ28" s="315"/>
      <c r="AR28" s="315"/>
      <c r="AS28" s="315"/>
      <c r="AT28" s="315"/>
      <c r="AU28" s="315"/>
      <c r="AV28" s="315"/>
    </row>
    <row r="29" ht="24.75" customHeight="1">
      <c r="A29" s="315"/>
      <c r="B29" s="315"/>
      <c r="C29" s="472"/>
      <c r="D29" s="472"/>
      <c r="E29" s="472"/>
      <c r="F29" s="472"/>
      <c r="G29" s="472"/>
      <c r="H29" s="472"/>
      <c r="I29" s="472"/>
      <c r="J29" s="472"/>
      <c r="K29" s="472"/>
      <c r="L29" s="472"/>
      <c r="M29" s="472"/>
      <c r="N29" s="472"/>
      <c r="O29" s="472"/>
      <c r="P29" s="472"/>
      <c r="Q29" s="472"/>
      <c r="R29" s="472"/>
      <c r="S29" s="472"/>
      <c r="T29" s="472"/>
      <c r="U29" s="472"/>
      <c r="V29" s="472"/>
      <c r="W29" s="472"/>
      <c r="X29" s="472"/>
      <c r="Y29" s="472"/>
      <c r="Z29" s="472"/>
      <c r="AA29" s="472"/>
      <c r="AB29" s="472"/>
      <c r="AC29" s="472"/>
      <c r="AD29" s="472"/>
      <c r="AE29" s="338"/>
      <c r="AF29" s="315"/>
      <c r="AG29" s="315">
        <v>1</v>
      </c>
      <c r="AH29" s="315"/>
      <c r="AI29" s="315"/>
      <c r="AJ29" s="315"/>
      <c r="AK29" s="315"/>
      <c r="AL29" s="315"/>
      <c r="AM29" s="315"/>
      <c r="AN29" s="315"/>
      <c r="AO29" s="315"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15" t="s">
        <v>178</v>
      </c>
      <c r="AQ29" s="315" t="str">
        <f>IF(AG28&gt;=0," cao hơn "," thấp hơn ")</f>
        <v> cao hơn </v>
      </c>
      <c r="AR29" s="315" t="s">
        <v>179</v>
      </c>
      <c r="AS29" s="315"/>
      <c r="AT29" s="315"/>
      <c r="AU29" s="315"/>
      <c r="AV29" s="315"/>
    </row>
    <row r="30" ht="16.5" customHeight="1">
      <c r="A30" s="315"/>
      <c r="B30" s="315"/>
      <c r="C30" s="462" t="str">
        <f>IF(AG31=1,AO31,IF(AG31=2,AO30))</f>
        <v>Trạm gốc điện thoại di động mặt đất công cộng này có mức an toàn phơi nhiễm trường điện từ tuân thủ quy chuẩn kỹ thuật trên.</v>
      </c>
      <c r="D30" s="462"/>
      <c r="E30" s="462"/>
      <c r="F30" s="462"/>
      <c r="G30" s="462"/>
      <c r="H30" s="462"/>
      <c r="I30" s="462"/>
      <c r="J30" s="462"/>
      <c r="K30" s="462"/>
      <c r="L30" s="462"/>
      <c r="M30" s="462"/>
      <c r="N30" s="462"/>
      <c r="O30" s="462"/>
      <c r="P30" s="462"/>
      <c r="Q30" s="462"/>
      <c r="R30" s="462"/>
      <c r="S30" s="462"/>
      <c r="T30" s="462"/>
      <c r="U30" s="462"/>
      <c r="V30" s="462"/>
      <c r="W30" s="462"/>
      <c r="X30" s="462"/>
      <c r="Y30" s="462"/>
      <c r="Z30" s="462"/>
      <c r="AA30" s="462"/>
      <c r="AB30" s="462"/>
      <c r="AC30" s="462"/>
      <c r="AD30" s="462"/>
      <c r="AE30" s="338"/>
      <c r="AF30" s="315"/>
      <c r="AG30" s="315">
        <v>20</v>
      </c>
      <c r="AH30" s="315"/>
      <c r="AI30" s="315"/>
      <c r="AJ30" s="315"/>
      <c r="AK30" s="315"/>
      <c r="AL30" s="315"/>
      <c r="AM30" s="315"/>
      <c r="AN30" s="315"/>
      <c r="AO30" s="315" t="s">
        <v>180</v>
      </c>
      <c r="AP30" s="315"/>
      <c r="AQ30" s="315"/>
      <c r="AR30" s="315"/>
      <c r="AS30" s="315"/>
      <c r="AT30" s="315"/>
      <c r="AU30" s="315"/>
      <c r="AV30" s="315"/>
    </row>
    <row r="31" ht="16.5" customHeight="1">
      <c r="A31" s="315"/>
      <c r="B31" s="315"/>
      <c r="C31" s="462"/>
      <c r="D31" s="462"/>
      <c r="E31" s="462"/>
      <c r="F31" s="462"/>
      <c r="G31" s="462"/>
      <c r="H31" s="462"/>
      <c r="I31" s="462"/>
      <c r="J31" s="462"/>
      <c r="K31" s="462"/>
      <c r="L31" s="462"/>
      <c r="M31" s="462"/>
      <c r="N31" s="462"/>
      <c r="O31" s="462"/>
      <c r="P31" s="462"/>
      <c r="Q31" s="462"/>
      <c r="R31" s="462"/>
      <c r="S31" s="462"/>
      <c r="T31" s="462"/>
      <c r="U31" s="462"/>
      <c r="V31" s="462"/>
      <c r="W31" s="462"/>
      <c r="X31" s="462"/>
      <c r="Y31" s="462"/>
      <c r="Z31" s="462"/>
      <c r="AA31" s="462"/>
      <c r="AB31" s="462"/>
      <c r="AC31" s="462"/>
      <c r="AD31" s="462"/>
      <c r="AE31" s="338"/>
      <c r="AF31" s="315"/>
      <c r="AG31" s="315">
        <v>2</v>
      </c>
      <c r="AH31" s="315"/>
      <c r="AI31" s="315"/>
      <c r="AJ31" s="315"/>
      <c r="AK31" s="315"/>
      <c r="AL31" s="315"/>
      <c r="AM31" s="315"/>
      <c r="AN31" s="315"/>
      <c r="AO31" s="36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c r="AP31" s="315"/>
      <c r="AQ31" s="315"/>
      <c r="AR31" s="315"/>
      <c r="AS31" s="315"/>
      <c r="AT31" s="315"/>
      <c r="AU31" s="315"/>
      <c r="AV31" s="315"/>
    </row>
    <row r="32" ht="17.1" customHeight="1">
      <c r="A32" s="315"/>
      <c r="B32" s="315"/>
      <c r="C32" s="473" t="s">
        <v>180</v>
      </c>
      <c r="D32" s="473"/>
      <c r="E32" s="473"/>
      <c r="F32" s="473"/>
      <c r="G32" s="473"/>
      <c r="H32" s="473"/>
      <c r="I32" s="473"/>
      <c r="J32" s="473"/>
      <c r="K32" s="473"/>
      <c r="L32" s="473"/>
      <c r="M32" s="473"/>
      <c r="N32" s="473"/>
      <c r="O32" s="473"/>
      <c r="P32" s="473"/>
      <c r="Q32" s="473"/>
      <c r="R32" s="473"/>
      <c r="S32" s="473"/>
      <c r="T32" s="473"/>
      <c r="U32" s="473"/>
      <c r="V32" s="473"/>
      <c r="W32" s="473"/>
      <c r="X32" s="473"/>
      <c r="Y32" s="473"/>
      <c r="Z32" s="473"/>
      <c r="AA32" s="473"/>
      <c r="AB32" s="473"/>
      <c r="AC32" s="473"/>
      <c r="AD32" s="473"/>
      <c r="AE32" s="338"/>
      <c r="AF32" s="315"/>
      <c r="AG32" s="315"/>
      <c r="AH32" s="315"/>
      <c r="AI32" s="315"/>
      <c r="AJ32" s="315"/>
      <c r="AK32" s="315"/>
      <c r="AL32" s="315"/>
      <c r="AM32" s="315"/>
      <c r="AN32" s="315"/>
      <c r="AO32" s="315"/>
      <c r="AP32" s="315"/>
      <c r="AQ32" s="315"/>
      <c r="AR32" s="315"/>
      <c r="AS32" s="315"/>
      <c r="AT32" s="315"/>
      <c r="AU32" s="315"/>
      <c r="AV32" s="315"/>
    </row>
    <row r="33" ht="17.1" customHeight="1">
      <c r="A33" s="315"/>
      <c r="B33" s="315"/>
      <c r="C33" s="473"/>
      <c r="D33" s="473"/>
      <c r="E33" s="473"/>
      <c r="F33" s="473"/>
      <c r="G33" s="473"/>
      <c r="H33" s="473"/>
      <c r="I33" s="473"/>
      <c r="J33" s="473"/>
      <c r="K33" s="473"/>
      <c r="L33" s="473"/>
      <c r="M33" s="473"/>
      <c r="N33" s="473"/>
      <c r="O33" s="473"/>
      <c r="P33" s="473"/>
      <c r="Q33" s="473"/>
      <c r="R33" s="473"/>
      <c r="S33" s="473"/>
      <c r="T33" s="473"/>
      <c r="U33" s="473"/>
      <c r="V33" s="473"/>
      <c r="W33" s="473"/>
      <c r="X33" s="473"/>
      <c r="Y33" s="473"/>
      <c r="Z33" s="473"/>
      <c r="AA33" s="473"/>
      <c r="AB33" s="473"/>
      <c r="AC33" s="473"/>
      <c r="AD33" s="473"/>
      <c r="AE33" s="365"/>
      <c r="AF33" s="315"/>
      <c r="AG33" s="315"/>
      <c r="AH33" s="315"/>
      <c r="AI33" s="315"/>
      <c r="AJ33" s="315"/>
      <c r="AK33" s="315"/>
      <c r="AL33" s="315"/>
      <c r="AM33" s="315"/>
      <c r="AN33" s="315"/>
      <c r="AO33" s="315"/>
      <c r="AP33" s="315"/>
      <c r="AQ33" s="315"/>
      <c r="AR33" s="315"/>
      <c r="AS33" s="315"/>
      <c r="AT33" s="315"/>
      <c r="AU33" s="315"/>
      <c r="AV33" s="315"/>
    </row>
    <row r="34" ht="17.1" customHeight="1">
      <c r="A34" s="315"/>
      <c r="B34" s="315"/>
      <c r="C34" s="439"/>
      <c r="D34" s="439"/>
      <c r="E34" s="439"/>
      <c r="F34" s="439"/>
      <c r="G34" s="439"/>
      <c r="H34" s="363"/>
      <c r="I34" s="440"/>
      <c r="J34" s="440"/>
      <c r="K34" s="440"/>
      <c r="L34" s="440"/>
      <c r="M34" s="440"/>
      <c r="N34" s="440"/>
      <c r="O34" s="363"/>
      <c r="P34" s="336"/>
      <c r="Q34" s="336"/>
      <c r="R34" s="336"/>
      <c r="S34" s="336"/>
      <c r="T34" s="434" t="str">
        <f>IF(AI41=0,AN34,IF(AI41=1,AK34,AR34))</f>
        <v>KT. GIÁM ĐỐC</v>
      </c>
      <c r="U34" s="434"/>
      <c r="V34" s="434"/>
      <c r="W34" s="434"/>
      <c r="X34" s="434"/>
      <c r="Y34" s="434"/>
      <c r="Z34" s="434"/>
      <c r="AA34" s="434"/>
      <c r="AB34" s="434"/>
      <c r="AC34" s="434"/>
      <c r="AD34" s="434"/>
      <c r="AE34" s="434"/>
      <c r="AF34" s="315"/>
      <c r="AG34" s="315"/>
      <c r="AH34" s="315"/>
      <c r="AI34" s="315"/>
      <c r="AJ34" s="315"/>
      <c r="AK34" s="315" t="s">
        <v>181</v>
      </c>
      <c r="AL34" s="315"/>
      <c r="AM34" s="315"/>
      <c r="AN34" s="315" t="s">
        <v>182</v>
      </c>
      <c r="AO34" s="315"/>
      <c r="AP34" s="315"/>
      <c r="AQ34" s="315"/>
      <c r="AR34" s="315" t="s">
        <v>183</v>
      </c>
      <c r="AS34" s="315"/>
      <c r="AT34" s="315"/>
      <c r="AU34" s="315"/>
      <c r="AV34" s="315"/>
    </row>
    <row r="35" ht="17.1" customHeight="1">
      <c r="A35" s="315"/>
      <c r="B35" s="315"/>
      <c r="C35" s="435" t="s">
        <v>184</v>
      </c>
      <c r="D35" s="435"/>
      <c r="E35" s="435"/>
      <c r="F35" s="435"/>
      <c r="G35" s="435"/>
      <c r="H35" s="366" t="s">
        <v>185</v>
      </c>
      <c r="I35" s="437" t="s">
        <v>186</v>
      </c>
      <c r="J35" s="437"/>
      <c r="K35" s="437"/>
      <c r="L35" s="437"/>
      <c r="M35" s="437"/>
      <c r="N35" s="437"/>
      <c r="O35" s="367"/>
      <c r="P35" s="367"/>
      <c r="Q35" s="363"/>
      <c r="R35" s="363"/>
      <c r="S35" s="363"/>
      <c r="T35" s="434" t="str">
        <f>IF(AI41=0,AN35,IF(AI41=1,"",AR35))</f>
        <v>PHÓ GIÁM ĐỐC</v>
      </c>
      <c r="U35" s="434"/>
      <c r="V35" s="434"/>
      <c r="W35" s="434"/>
      <c r="X35" s="434"/>
      <c r="Y35" s="434"/>
      <c r="Z35" s="434"/>
      <c r="AA35" s="434"/>
      <c r="AB35" s="434"/>
      <c r="AC35" s="434"/>
      <c r="AD35" s="434"/>
      <c r="AE35" s="434"/>
      <c r="AF35" s="315"/>
      <c r="AG35" s="315"/>
      <c r="AH35" s="315"/>
      <c r="AI35" s="315"/>
      <c r="AJ35" s="315"/>
      <c r="AK35" s="315"/>
      <c r="AL35" s="315"/>
      <c r="AM35" s="315"/>
      <c r="AN35" s="315" t="s">
        <v>187</v>
      </c>
      <c r="AO35" s="315"/>
      <c r="AP35" s="315"/>
      <c r="AQ35" s="315"/>
      <c r="AR35" s="315" t="s">
        <v>188</v>
      </c>
      <c r="AS35" s="315"/>
      <c r="AT35" s="315"/>
      <c r="AU35" s="315"/>
      <c r="AV35" s="315"/>
    </row>
    <row r="36" ht="17.1" customHeight="1">
      <c r="A36" s="315"/>
      <c r="B36" s="315"/>
      <c r="C36" s="435" t="s">
        <v>189</v>
      </c>
      <c r="D36" s="435"/>
      <c r="E36" s="435"/>
      <c r="F36" s="435"/>
      <c r="G36" s="435"/>
      <c r="H36" s="366" t="s">
        <v>185</v>
      </c>
      <c r="I36" s="436">
        <f>AG36</f>
        <v>40806</v>
      </c>
      <c r="J36" s="437"/>
      <c r="K36" s="437"/>
      <c r="L36" s="437"/>
      <c r="M36" s="437"/>
      <c r="N36" s="368"/>
      <c r="O36" s="368"/>
      <c r="P36" s="368"/>
      <c r="Q36" s="363"/>
      <c r="R36" s="363"/>
      <c r="S36" s="363"/>
      <c r="T36" s="363"/>
      <c r="U36" s="363"/>
      <c r="V36" s="363"/>
      <c r="W36" s="363"/>
      <c r="X36" s="363"/>
      <c r="Y36" s="363"/>
      <c r="Z36" s="363"/>
      <c r="AA36" s="363"/>
      <c r="AB36" s="363"/>
      <c r="AC36" s="363"/>
      <c r="AD36" s="363"/>
      <c r="AE36" s="338"/>
      <c r="AF36" s="315"/>
      <c r="AG36" s="369">
        <v>40806</v>
      </c>
      <c r="AH36" s="315"/>
      <c r="AI36" s="315"/>
      <c r="AJ36" s="315"/>
      <c r="AK36" s="315"/>
      <c r="AL36" s="315"/>
      <c r="AM36" s="315"/>
      <c r="AN36" s="315"/>
      <c r="AO36" s="315"/>
      <c r="AP36" s="315"/>
      <c r="AQ36" s="315"/>
      <c r="AR36" s="315"/>
      <c r="AS36" s="315"/>
      <c r="AT36" s="315"/>
      <c r="AU36" s="315"/>
      <c r="AV36" s="315"/>
    </row>
    <row r="37" ht="17.1" customHeight="1">
      <c r="A37" s="315"/>
      <c r="B37" s="315"/>
      <c r="C37" s="435" t="s">
        <v>190</v>
      </c>
      <c r="D37" s="435"/>
      <c r="E37" s="435"/>
      <c r="F37" s="435"/>
      <c r="G37" s="435"/>
      <c r="H37" s="366" t="s">
        <v>185</v>
      </c>
      <c r="I37" s="436">
        <f>AG37</f>
        <v>42633</v>
      </c>
      <c r="J37" s="437"/>
      <c r="K37" s="437"/>
      <c r="L37" s="437"/>
      <c r="M37" s="437"/>
      <c r="N37" s="368"/>
      <c r="O37" s="368"/>
      <c r="P37" s="368"/>
      <c r="Q37" s="363"/>
      <c r="R37" s="363"/>
      <c r="S37" s="363"/>
      <c r="T37" s="363"/>
      <c r="U37" s="363"/>
      <c r="V37" s="363"/>
      <c r="W37" s="363"/>
      <c r="X37" s="363"/>
      <c r="Y37" s="363"/>
      <c r="Z37" s="363"/>
      <c r="AA37" s="363"/>
      <c r="AB37" s="363"/>
      <c r="AC37" s="363"/>
      <c r="AD37" s="363"/>
      <c r="AE37" s="338"/>
      <c r="AF37" s="315"/>
      <c r="AG37" s="369">
        <v>42633</v>
      </c>
      <c r="AH37" s="315"/>
      <c r="AI37" s="315"/>
      <c r="AJ37" s="315"/>
      <c r="AK37" s="315"/>
      <c r="AL37" s="315"/>
      <c r="AM37" s="315"/>
      <c r="AN37" s="315"/>
      <c r="AO37" s="315"/>
      <c r="AP37" s="315"/>
      <c r="AQ37" s="315"/>
      <c r="AR37" s="315"/>
      <c r="AS37" s="315"/>
      <c r="AT37" s="315"/>
      <c r="AU37" s="315"/>
      <c r="AV37" s="315"/>
    </row>
    <row r="38" ht="17.1" customHeight="1">
      <c r="A38" s="315"/>
      <c r="B38" s="315"/>
      <c r="C38" s="370"/>
      <c r="D38" s="370"/>
      <c r="E38" s="370"/>
      <c r="F38" s="347"/>
      <c r="G38" s="339"/>
      <c r="H38" s="339"/>
      <c r="I38" s="339"/>
      <c r="J38" s="339"/>
      <c r="K38" s="339"/>
      <c r="L38" s="339"/>
      <c r="M38" s="339"/>
      <c r="N38" s="339"/>
      <c r="O38" s="339"/>
      <c r="P38" s="339"/>
      <c r="Q38" s="339"/>
      <c r="R38" s="339"/>
      <c r="S38" s="339"/>
      <c r="T38" s="339"/>
      <c r="U38" s="339"/>
      <c r="V38" s="339"/>
      <c r="W38" s="339"/>
      <c r="X38" s="339"/>
      <c r="Y38" s="339"/>
      <c r="Z38" s="339"/>
      <c r="AA38" s="339"/>
      <c r="AB38" s="363"/>
      <c r="AC38" s="363"/>
      <c r="AD38" s="363"/>
      <c r="AE38" s="338"/>
      <c r="AF38" s="315"/>
      <c r="AG38" s="315"/>
      <c r="AH38" s="315"/>
      <c r="AI38" s="315"/>
      <c r="AJ38" s="315"/>
      <c r="AK38" s="315"/>
      <c r="AL38" s="315"/>
      <c r="AM38" s="315"/>
      <c r="AN38" s="315"/>
      <c r="AO38" s="315"/>
      <c r="AP38" s="315"/>
      <c r="AQ38" s="315"/>
      <c r="AR38" s="315"/>
      <c r="AS38" s="315"/>
      <c r="AT38" s="315"/>
      <c r="AU38" s="315"/>
      <c r="AV38" s="315"/>
    </row>
    <row r="39" ht="17.1" customHeight="1">
      <c r="A39" s="315"/>
      <c r="B39" s="315"/>
      <c r="C39" s="370"/>
      <c r="D39" s="370"/>
      <c r="E39" s="370"/>
      <c r="F39" s="347"/>
      <c r="G39" s="339"/>
      <c r="H39" s="339"/>
      <c r="I39" s="339"/>
      <c r="J39" s="339"/>
      <c r="K39" s="339"/>
      <c r="L39" s="339"/>
      <c r="M39" s="339"/>
      <c r="N39" s="339"/>
      <c r="O39" s="339"/>
      <c r="P39" s="339"/>
      <c r="Q39" s="339"/>
      <c r="R39" s="339"/>
      <c r="S39" s="339"/>
      <c r="T39" s="438"/>
      <c r="U39" s="438"/>
      <c r="V39" s="438"/>
      <c r="W39" s="438"/>
      <c r="X39" s="438"/>
      <c r="Y39" s="438"/>
      <c r="Z39" s="438"/>
      <c r="AA39" s="438"/>
      <c r="AB39" s="438"/>
      <c r="AC39" s="438"/>
      <c r="AD39" s="438"/>
      <c r="AE39" s="438"/>
      <c r="AF39" s="315"/>
      <c r="AG39" s="315"/>
      <c r="AH39" s="315"/>
      <c r="AI39" s="315">
        <v>0</v>
      </c>
      <c r="AJ39" s="315"/>
      <c r="AK39" s="315"/>
      <c r="AL39" s="315"/>
      <c r="AM39" s="315"/>
      <c r="AN39" s="315"/>
      <c r="AO39" s="315"/>
      <c r="AP39" s="315"/>
      <c r="AQ39" s="315"/>
      <c r="AR39" s="315"/>
      <c r="AS39" s="315"/>
      <c r="AT39" s="315"/>
      <c r="AU39" s="315"/>
      <c r="AV39" s="315"/>
    </row>
    <row r="40" ht="17.1" customHeight="1">
      <c r="A40" s="315"/>
      <c r="B40" s="315"/>
      <c r="C40" s="370"/>
      <c r="D40" s="370"/>
      <c r="E40" s="370"/>
      <c r="F40" s="347"/>
      <c r="G40" s="339"/>
      <c r="H40" s="339"/>
      <c r="I40" s="339"/>
      <c r="J40" s="339"/>
      <c r="K40" s="339"/>
      <c r="L40" s="339"/>
      <c r="M40" s="339"/>
      <c r="N40" s="339"/>
      <c r="O40" s="339"/>
      <c r="P40" s="336"/>
      <c r="Q40" s="336"/>
      <c r="R40" s="336"/>
      <c r="S40" s="336"/>
      <c r="T40" s="433"/>
      <c r="U40" s="433"/>
      <c r="V40" s="433"/>
      <c r="W40" s="433"/>
      <c r="X40" s="433"/>
      <c r="Y40" s="433"/>
      <c r="Z40" s="433"/>
      <c r="AA40" s="433"/>
      <c r="AB40" s="433"/>
      <c r="AC40" s="433"/>
      <c r="AD40" s="433"/>
      <c r="AE40" s="433"/>
      <c r="AF40" s="315"/>
      <c r="AG40" s="315"/>
      <c r="AH40" s="315"/>
      <c r="AI40" s="315"/>
      <c r="AJ40" s="315"/>
      <c r="AK40" s="315"/>
      <c r="AL40" s="315"/>
      <c r="AM40" s="315"/>
      <c r="AN40" s="315"/>
      <c r="AO40" s="315"/>
      <c r="AP40" s="315"/>
      <c r="AQ40" s="315"/>
      <c r="AR40" s="315"/>
      <c r="AS40" s="315"/>
      <c r="AT40" s="315"/>
      <c r="AU40" s="315"/>
      <c r="AV40" s="315"/>
    </row>
    <row r="41" ht="17.1" customHeight="1">
      <c r="A41" s="315"/>
      <c r="B41" s="315"/>
      <c r="C41" s="370"/>
      <c r="D41" s="370"/>
      <c r="E41" s="370"/>
      <c r="F41" s="347"/>
      <c r="G41" s="339"/>
      <c r="H41" s="339"/>
      <c r="I41" s="339"/>
      <c r="J41" s="339"/>
      <c r="K41" s="339"/>
      <c r="L41" s="339"/>
      <c r="M41" s="339"/>
      <c r="N41" s="339"/>
      <c r="O41" s="339"/>
      <c r="P41" s="339"/>
      <c r="Q41" s="339"/>
      <c r="R41" s="339"/>
      <c r="S41" s="339"/>
      <c r="T41" s="433" t="str">
        <f>IF(AI41=0,AO41,IF(AI41=1,AK41,AS41))</f>
        <v>Trần Công Khanh</v>
      </c>
      <c r="U41" s="433"/>
      <c r="V41" s="433"/>
      <c r="W41" s="433"/>
      <c r="X41" s="433"/>
      <c r="Y41" s="433"/>
      <c r="Z41" s="433"/>
      <c r="AA41" s="433"/>
      <c r="AB41" s="433"/>
      <c r="AC41" s="433"/>
      <c r="AD41" s="433"/>
      <c r="AE41" s="433"/>
      <c r="AF41" s="315"/>
      <c r="AG41" s="315"/>
      <c r="AH41" s="315"/>
      <c r="AI41" s="315">
        <v>0</v>
      </c>
      <c r="AJ41" s="315"/>
      <c r="AK41" s="315" t="s">
        <v>191</v>
      </c>
      <c r="AL41" s="315"/>
      <c r="AM41" s="315"/>
      <c r="AN41" s="315"/>
      <c r="AO41" s="315" t="s">
        <v>192</v>
      </c>
      <c r="AP41" s="315"/>
      <c r="AQ41" s="315"/>
      <c r="AR41" s="315"/>
      <c r="AS41" s="315" t="s">
        <v>193</v>
      </c>
      <c r="AT41" s="315"/>
      <c r="AU41" s="315"/>
      <c r="AV41" s="315"/>
    </row>
    <row r="42" ht="16.5">
      <c r="A42" s="338"/>
      <c r="B42" s="338"/>
      <c r="C42" s="342"/>
      <c r="D42" s="342"/>
      <c r="E42" s="342"/>
      <c r="F42" s="342"/>
      <c r="G42" s="342"/>
      <c r="H42" s="342"/>
      <c r="I42" s="342"/>
      <c r="J42" s="342"/>
      <c r="K42" s="342"/>
      <c r="L42" s="342"/>
      <c r="M42" s="342"/>
      <c r="N42" s="342"/>
      <c r="O42" s="342"/>
      <c r="P42" s="342"/>
      <c r="Q42" s="342"/>
      <c r="R42" s="342"/>
      <c r="S42" s="342"/>
      <c r="T42" s="342"/>
      <c r="U42" s="342"/>
      <c r="V42" s="342"/>
      <c r="W42" s="342"/>
      <c r="X42" s="342"/>
      <c r="Y42" s="342"/>
      <c r="Z42" s="342"/>
      <c r="AA42" s="342"/>
      <c r="AB42" s="371"/>
      <c r="AC42" s="371"/>
      <c r="AD42" s="371"/>
      <c r="AE42" s="338"/>
      <c r="AF42" s="315"/>
      <c r="AG42" s="315"/>
      <c r="AH42" s="315"/>
      <c r="AI42" s="315"/>
      <c r="AJ42" s="315"/>
      <c r="AK42" s="315"/>
      <c r="AL42" s="315"/>
      <c r="AM42" s="315"/>
      <c r="AN42" s="315"/>
      <c r="AO42" s="315"/>
      <c r="AP42" s="315"/>
      <c r="AQ42" s="315"/>
      <c r="AR42" s="315"/>
      <c r="AS42" s="315"/>
      <c r="AT42" s="315"/>
      <c r="AU42" s="315"/>
      <c r="AV42" s="315"/>
    </row>
    <row r="43" ht="16.5" customHeight="1" s="203" customFormat="1">
      <c r="A43" s="372"/>
      <c r="B43" s="475" t="s">
        <v>194</v>
      </c>
      <c r="C43" s="475"/>
      <c r="D43" s="475"/>
      <c r="E43" s="475"/>
      <c r="F43" s="475"/>
      <c r="G43" s="475"/>
      <c r="H43" s="476" t="s">
        <v>160</v>
      </c>
      <c r="I43" s="476"/>
      <c r="J43" s="476"/>
      <c r="K43" s="476"/>
      <c r="L43" s="476"/>
      <c r="M43" s="476"/>
      <c r="N43" s="476"/>
      <c r="O43" s="476"/>
      <c r="P43" s="476"/>
      <c r="Q43" s="476"/>
      <c r="R43" s="476"/>
      <c r="S43" s="476"/>
      <c r="T43" s="476"/>
      <c r="U43" s="476"/>
      <c r="V43" s="476"/>
      <c r="W43" s="476"/>
      <c r="X43" s="476"/>
      <c r="Y43" s="476"/>
      <c r="Z43" s="476"/>
      <c r="AA43" s="476"/>
      <c r="AB43" s="476"/>
      <c r="AC43" s="476"/>
      <c r="AD43" s="476"/>
      <c r="AE43" s="373"/>
      <c r="AF43" s="356"/>
      <c r="AG43" s="356"/>
      <c r="AH43" s="356"/>
      <c r="AI43" s="356"/>
      <c r="AJ43" s="356"/>
      <c r="AK43" s="356"/>
      <c r="AL43" s="356"/>
      <c r="AM43" s="356"/>
      <c r="AN43" s="356"/>
      <c r="AO43" s="356"/>
      <c r="AP43" s="356"/>
      <c r="AQ43" s="356"/>
      <c r="AR43" s="356"/>
      <c r="AS43" s="356"/>
      <c r="AT43" s="356"/>
      <c r="AU43" s="356"/>
      <c r="AV43" s="356"/>
    </row>
    <row r="44" ht="16.5" customHeight="1">
      <c r="A44" s="338"/>
      <c r="B44" s="475"/>
      <c r="C44" s="475"/>
      <c r="D44" s="475"/>
      <c r="E44" s="475"/>
      <c r="F44" s="475"/>
      <c r="G44" s="475"/>
      <c r="H44" s="476"/>
      <c r="I44" s="476"/>
      <c r="J44" s="476"/>
      <c r="K44" s="476"/>
      <c r="L44" s="476"/>
      <c r="M44" s="476"/>
      <c r="N44" s="476"/>
      <c r="O44" s="476"/>
      <c r="P44" s="476"/>
      <c r="Q44" s="476"/>
      <c r="R44" s="476"/>
      <c r="S44" s="476"/>
      <c r="T44" s="476"/>
      <c r="U44" s="476"/>
      <c r="V44" s="476"/>
      <c r="W44" s="476"/>
      <c r="X44" s="476"/>
      <c r="Y44" s="476"/>
      <c r="Z44" s="476"/>
      <c r="AA44" s="476"/>
      <c r="AB44" s="476"/>
      <c r="AC44" s="476"/>
      <c r="AD44" s="476"/>
      <c r="AE44" s="373"/>
      <c r="AF44" s="315"/>
      <c r="AG44" s="315"/>
      <c r="AH44" s="315"/>
      <c r="AI44" s="315"/>
      <c r="AJ44" s="315"/>
      <c r="AK44" s="315"/>
      <c r="AL44" s="315"/>
      <c r="AM44" s="315"/>
      <c r="AN44" s="315"/>
      <c r="AO44" s="315"/>
      <c r="AP44" s="315"/>
      <c r="AQ44" s="315"/>
      <c r="AR44" s="315"/>
      <c r="AS44" s="315"/>
      <c r="AT44" s="315"/>
      <c r="AU44" s="315"/>
      <c r="AV44" s="315"/>
    </row>
    <row r="45" ht="16.5" customHeight="1">
      <c r="A45" s="338"/>
      <c r="B45" s="475"/>
      <c r="C45" s="475"/>
      <c r="D45" s="475"/>
      <c r="E45" s="475"/>
      <c r="F45" s="475"/>
      <c r="G45" s="475"/>
      <c r="H45" s="430" t="s">
        <v>195</v>
      </c>
      <c r="I45" s="430"/>
      <c r="J45" s="430"/>
      <c r="K45" s="430"/>
      <c r="L45" s="430" t="s">
        <v>196</v>
      </c>
      <c r="M45" s="430"/>
      <c r="N45" s="430" t="s">
        <v>197</v>
      </c>
      <c r="O45" s="430"/>
      <c r="P45" s="430"/>
      <c r="Q45" s="430" t="s">
        <v>198</v>
      </c>
      <c r="R45" s="430"/>
      <c r="S45" s="430"/>
      <c r="T45" s="430"/>
      <c r="U45" s="430"/>
      <c r="V45" s="430" t="s">
        <v>199</v>
      </c>
      <c r="W45" s="430"/>
      <c r="X45" s="430"/>
      <c r="Y45" s="430" t="s">
        <v>200</v>
      </c>
      <c r="Z45" s="430"/>
      <c r="AA45" s="430"/>
      <c r="AB45" s="430"/>
      <c r="AC45" s="430"/>
      <c r="AD45" s="430"/>
      <c r="AE45" s="374"/>
      <c r="AF45" s="315"/>
      <c r="AG45" s="315"/>
      <c r="AH45" s="315"/>
      <c r="AI45" s="315"/>
      <c r="AJ45" s="315"/>
      <c r="AK45" s="315"/>
      <c r="AL45" s="315"/>
      <c r="AM45" s="315"/>
      <c r="AN45" s="315"/>
      <c r="AO45" s="315"/>
      <c r="AP45" s="315"/>
      <c r="AQ45" s="315"/>
      <c r="AR45" s="315"/>
      <c r="AS45" s="315"/>
      <c r="AT45" s="315"/>
      <c r="AU45" s="315"/>
      <c r="AV45" s="315"/>
    </row>
    <row r="46" ht="16.5" customHeight="1">
      <c r="A46" s="338"/>
      <c r="B46" s="475"/>
      <c r="C46" s="475"/>
      <c r="D46" s="475"/>
      <c r="E46" s="475"/>
      <c r="F46" s="475"/>
      <c r="G46" s="475"/>
      <c r="H46" s="430"/>
      <c r="I46" s="430"/>
      <c r="J46" s="430"/>
      <c r="K46" s="430"/>
      <c r="L46" s="430"/>
      <c r="M46" s="430"/>
      <c r="N46" s="430"/>
      <c r="O46" s="430"/>
      <c r="P46" s="430"/>
      <c r="Q46" s="430"/>
      <c r="R46" s="430"/>
      <c r="S46" s="430"/>
      <c r="T46" s="430"/>
      <c r="U46" s="430"/>
      <c r="V46" s="430"/>
      <c r="W46" s="430"/>
      <c r="X46" s="430"/>
      <c r="Y46" s="430"/>
      <c r="Z46" s="430"/>
      <c r="AA46" s="430"/>
      <c r="AB46" s="430"/>
      <c r="AC46" s="430"/>
      <c r="AD46" s="430"/>
      <c r="AE46" s="374"/>
      <c r="AF46" s="315"/>
      <c r="AG46" s="315"/>
      <c r="AH46" s="315"/>
      <c r="AI46" s="315"/>
      <c r="AJ46" s="315"/>
      <c r="AK46" s="315"/>
      <c r="AL46" s="315"/>
      <c r="AM46" s="315"/>
      <c r="AN46" s="315"/>
      <c r="AO46" s="315"/>
      <c r="AP46" s="315"/>
      <c r="AQ46" s="315"/>
      <c r="AR46" s="315"/>
      <c r="AS46" s="315"/>
      <c r="AT46" s="315"/>
      <c r="AU46" s="315"/>
      <c r="AV46" s="315"/>
    </row>
    <row r="47" ht="16.5" customHeight="1">
      <c r="A47" s="338"/>
      <c r="B47" s="475"/>
      <c r="C47" s="475"/>
      <c r="D47" s="475"/>
      <c r="E47" s="475"/>
      <c r="F47" s="475"/>
      <c r="G47" s="475"/>
      <c r="H47" s="430"/>
      <c r="I47" s="430"/>
      <c r="J47" s="430"/>
      <c r="K47" s="430"/>
      <c r="L47" s="430"/>
      <c r="M47" s="430"/>
      <c r="N47" s="430"/>
      <c r="O47" s="430"/>
      <c r="P47" s="430"/>
      <c r="Q47" s="430"/>
      <c r="R47" s="430"/>
      <c r="S47" s="430"/>
      <c r="T47" s="430"/>
      <c r="U47" s="430"/>
      <c r="V47" s="430"/>
      <c r="W47" s="430"/>
      <c r="X47" s="430"/>
      <c r="Y47" s="430"/>
      <c r="Z47" s="430"/>
      <c r="AA47" s="430"/>
      <c r="AB47" s="430"/>
      <c r="AC47" s="430"/>
      <c r="AD47" s="430"/>
      <c r="AE47" s="374"/>
      <c r="AF47" s="315"/>
      <c r="AG47" s="315"/>
      <c r="AH47" s="315"/>
      <c r="AI47" s="315"/>
      <c r="AJ47" s="315"/>
      <c r="AK47" s="315"/>
      <c r="AL47" s="315"/>
      <c r="AM47" s="315"/>
      <c r="AN47" s="315"/>
      <c r="AO47" s="315"/>
      <c r="AP47" s="315"/>
      <c r="AQ47" s="315"/>
      <c r="AR47" s="315"/>
      <c r="AS47" s="315"/>
      <c r="AT47" s="315"/>
      <c r="AU47" s="315"/>
      <c r="AV47" s="315"/>
    </row>
    <row r="48" ht="16.5" customHeight="1">
      <c r="A48" s="338"/>
      <c r="B48" s="475"/>
      <c r="C48" s="475"/>
      <c r="D48" s="475"/>
      <c r="E48" s="475"/>
      <c r="F48" s="475"/>
      <c r="G48" s="475"/>
      <c r="H48" s="430"/>
      <c r="I48" s="430"/>
      <c r="J48" s="430"/>
      <c r="K48" s="430"/>
      <c r="L48" s="430"/>
      <c r="M48" s="430"/>
      <c r="N48" s="430"/>
      <c r="O48" s="430"/>
      <c r="P48" s="430"/>
      <c r="Q48" s="430"/>
      <c r="R48" s="430"/>
      <c r="S48" s="430"/>
      <c r="T48" s="430"/>
      <c r="U48" s="430"/>
      <c r="V48" s="430"/>
      <c r="W48" s="430"/>
      <c r="X48" s="430"/>
      <c r="Y48" s="430"/>
      <c r="Z48" s="430"/>
      <c r="AA48" s="430"/>
      <c r="AB48" s="430"/>
      <c r="AC48" s="430"/>
      <c r="AD48" s="430"/>
      <c r="AE48" s="374"/>
      <c r="AF48" s="315"/>
      <c r="AG48" s="315">
        <v>33</v>
      </c>
      <c r="AH48" s="315"/>
      <c r="AI48" s="315">
        <v>35</v>
      </c>
      <c r="AJ48" s="315"/>
      <c r="AK48" s="315"/>
      <c r="AL48" s="315">
        <v>38</v>
      </c>
      <c r="AM48" s="315"/>
      <c r="AN48" s="315"/>
      <c r="AO48" s="315">
        <v>41</v>
      </c>
      <c r="AP48" s="315">
        <v>42</v>
      </c>
      <c r="AQ48" s="315">
        <v>43</v>
      </c>
      <c r="AR48" s="315">
        <v>44</v>
      </c>
      <c r="AS48" s="315">
        <v>45</v>
      </c>
      <c r="AT48" s="315">
        <v>46</v>
      </c>
      <c r="AU48" s="315">
        <v>47</v>
      </c>
      <c r="AV48" s="315">
        <v>48</v>
      </c>
    </row>
    <row r="49" ht="18.75" customHeight="1">
      <c r="A49" s="338"/>
      <c r="B49" s="430" t="str">
        <f>AG49</f>
        <v>CÔNG TY CỔ PHẦN VIỄN THÔNG DI ĐỘNG TOÀN CẦU</v>
      </c>
      <c r="C49" s="430"/>
      <c r="D49" s="430"/>
      <c r="E49" s="430"/>
      <c r="F49" s="430"/>
      <c r="G49" s="430"/>
      <c r="H49" s="431" t="str">
        <f>AI49</f>
        <v>TB1</v>
      </c>
      <c r="I49" s="431"/>
      <c r="J49" s="431"/>
      <c r="K49" s="431"/>
      <c r="L49" s="432">
        <v>2</v>
      </c>
      <c r="M49" s="432"/>
      <c r="N49" s="474" t="str">
        <f>AL49</f>
        <v>4/4/4</v>
      </c>
      <c r="O49" s="474"/>
      <c r="P49" s="474"/>
      <c r="Q49" s="430" t="str">
        <f>IF(L49=4,AO49&amp;"W/ "&amp;AP49&amp;"W/ "&amp;AQ49&amp;"W/ "&amp;AR49&amp;"W",IF(L49=3,AO49&amp;"W/ "&amp;AP49&amp;"W/ "&amp;AQ49&amp;"W",IF(L49=2,AO49&amp;"W/ "&amp;AP49&amp;"W",AO49&amp;"W")))</f>
        <v>20W/ 30W</v>
      </c>
      <c r="R49" s="430"/>
      <c r="S49" s="430"/>
      <c r="T49" s="430"/>
      <c r="U49" s="430"/>
      <c r="V49" s="430" t="str">
        <f>IF(AS49="900 &amp; 1800","900MHz &amp; 1800MHz",IF(AS49="900 &amp; 2100","900MHz &amp; 2100MHz",IF(AS49="1800 &amp; 2100","1800MHz &amp; 2100MHz",AS49&amp;"MHz")))</f>
        <v>900MHz</v>
      </c>
      <c r="W49" s="430"/>
      <c r="X49" s="430"/>
      <c r="Y49" s="430">
        <f>AT49</f>
        <v>15</v>
      </c>
      <c r="Z49" s="430"/>
      <c r="AA49" s="430"/>
      <c r="AB49" s="430"/>
      <c r="AC49" s="430"/>
      <c r="AD49" s="430"/>
      <c r="AE49" s="374"/>
      <c r="AF49" s="315"/>
      <c r="AG49" s="351" t="s">
        <v>158</v>
      </c>
      <c r="AH49" s="315"/>
      <c r="AI49" s="351" t="s">
        <v>201</v>
      </c>
      <c r="AJ49" s="351"/>
      <c r="AK49" s="315"/>
      <c r="AL49" s="361" t="s">
        <v>168</v>
      </c>
      <c r="AM49" s="315"/>
      <c r="AN49" s="315"/>
      <c r="AO49" s="315">
        <v>20</v>
      </c>
      <c r="AP49" s="315">
        <v>30</v>
      </c>
      <c r="AQ49" s="315">
        <v>40</v>
      </c>
      <c r="AR49" s="315">
        <v>50</v>
      </c>
      <c r="AS49" s="315">
        <v>900</v>
      </c>
      <c r="AT49" s="315">
        <v>15</v>
      </c>
      <c r="AU49" s="315"/>
      <c r="AV49" s="315"/>
    </row>
    <row r="50" ht="18.75" customHeight="1">
      <c r="A50" s="338"/>
      <c r="B50" s="430"/>
      <c r="C50" s="430"/>
      <c r="D50" s="430"/>
      <c r="E50" s="430"/>
      <c r="F50" s="430"/>
      <c r="G50" s="430"/>
      <c r="H50" s="431"/>
      <c r="I50" s="431"/>
      <c r="J50" s="431"/>
      <c r="K50" s="431"/>
      <c r="L50" s="432"/>
      <c r="M50" s="432"/>
      <c r="N50" s="474"/>
      <c r="O50" s="474"/>
      <c r="P50" s="474"/>
      <c r="Q50" s="430"/>
      <c r="R50" s="430"/>
      <c r="S50" s="430"/>
      <c r="T50" s="430"/>
      <c r="U50" s="430"/>
      <c r="V50" s="430"/>
      <c r="W50" s="430"/>
      <c r="X50" s="430"/>
      <c r="Y50" s="430"/>
      <c r="Z50" s="430"/>
      <c r="AA50" s="430"/>
      <c r="AB50" s="430"/>
      <c r="AC50" s="430"/>
      <c r="AD50" s="430"/>
      <c r="AE50" s="374"/>
      <c r="AF50" s="315"/>
      <c r="AG50" s="315"/>
      <c r="AH50" s="315"/>
      <c r="AI50" s="315"/>
      <c r="AJ50" s="315"/>
      <c r="AK50" s="315"/>
      <c r="AL50" s="315"/>
      <c r="AM50" s="315"/>
      <c r="AN50" s="315"/>
      <c r="AO50" s="315"/>
      <c r="AP50" s="315"/>
      <c r="AQ50" s="315"/>
      <c r="AR50" s="315"/>
      <c r="AS50" s="315"/>
      <c r="AT50" s="315"/>
      <c r="AU50" s="315"/>
      <c r="AV50" s="315"/>
    </row>
    <row r="51" ht="18.75" customHeight="1">
      <c r="A51" s="338"/>
      <c r="B51" s="430"/>
      <c r="C51" s="430"/>
      <c r="D51" s="430"/>
      <c r="E51" s="430"/>
      <c r="F51" s="430"/>
      <c r="G51" s="430"/>
      <c r="H51" s="431"/>
      <c r="I51" s="431"/>
      <c r="J51" s="431"/>
      <c r="K51" s="431"/>
      <c r="L51" s="432"/>
      <c r="M51" s="432"/>
      <c r="N51" s="474"/>
      <c r="O51" s="474"/>
      <c r="P51" s="474"/>
      <c r="Q51" s="430"/>
      <c r="R51" s="430"/>
      <c r="S51" s="430"/>
      <c r="T51" s="430"/>
      <c r="U51" s="430"/>
      <c r="V51" s="430"/>
      <c r="W51" s="430"/>
      <c r="X51" s="430"/>
      <c r="Y51" s="430"/>
      <c r="Z51" s="430"/>
      <c r="AA51" s="430"/>
      <c r="AB51" s="430"/>
      <c r="AC51" s="430"/>
      <c r="AD51" s="430"/>
      <c r="AE51" s="374"/>
      <c r="AF51" s="315"/>
      <c r="AG51" s="315"/>
      <c r="AH51" s="315"/>
      <c r="AI51" s="315"/>
      <c r="AJ51" s="315"/>
      <c r="AK51" s="315"/>
      <c r="AL51" s="315"/>
      <c r="AM51" s="315"/>
      <c r="AN51" s="315"/>
      <c r="AO51" s="315"/>
      <c r="AP51" s="315"/>
      <c r="AQ51" s="315"/>
      <c r="AR51" s="315"/>
      <c r="AS51" s="315"/>
      <c r="AT51" s="315"/>
      <c r="AU51" s="315"/>
      <c r="AV51" s="315"/>
    </row>
    <row r="52" ht="18.75" customHeight="1">
      <c r="A52" s="338"/>
      <c r="B52" s="430"/>
      <c r="C52" s="430"/>
      <c r="D52" s="430"/>
      <c r="E52" s="430"/>
      <c r="F52" s="430"/>
      <c r="G52" s="430"/>
      <c r="H52" s="431"/>
      <c r="I52" s="431"/>
      <c r="J52" s="431"/>
      <c r="K52" s="431"/>
      <c r="L52" s="432"/>
      <c r="M52" s="432"/>
      <c r="N52" s="474"/>
      <c r="O52" s="474"/>
      <c r="P52" s="474"/>
      <c r="Q52" s="430"/>
      <c r="R52" s="430"/>
      <c r="S52" s="430"/>
      <c r="T52" s="430"/>
      <c r="U52" s="430"/>
      <c r="V52" s="430"/>
      <c r="W52" s="430"/>
      <c r="X52" s="430"/>
      <c r="Y52" s="430"/>
      <c r="Z52" s="430"/>
      <c r="AA52" s="430"/>
      <c r="AB52" s="430"/>
      <c r="AC52" s="430"/>
      <c r="AD52" s="430"/>
      <c r="AE52" s="374"/>
      <c r="AF52" s="315"/>
      <c r="AG52" s="315"/>
      <c r="AH52" s="315"/>
      <c r="AI52" s="315"/>
      <c r="AJ52" s="315"/>
      <c r="AK52" s="315"/>
      <c r="AL52" s="315"/>
      <c r="AM52" s="315"/>
      <c r="AN52" s="315"/>
      <c r="AO52" s="315"/>
      <c r="AP52" s="315"/>
      <c r="AQ52" s="315"/>
      <c r="AR52" s="315"/>
      <c r="AS52" s="315"/>
      <c r="AT52" s="315"/>
      <c r="AU52" s="315"/>
      <c r="AV52" s="315"/>
    </row>
    <row r="53" ht="18.75" customHeight="1">
      <c r="A53" s="338"/>
      <c r="B53" s="430" t="str">
        <f>AG53</f>
        <v>CÔNG TY CỔ PHẦN VIỄN THÔNG DI ĐỘNG TOÀN CẦU</v>
      </c>
      <c r="C53" s="430"/>
      <c r="D53" s="430"/>
      <c r="E53" s="430"/>
      <c r="F53" s="430"/>
      <c r="G53" s="430"/>
      <c r="H53" s="431" t="str">
        <f>AI53</f>
        <v>TB1</v>
      </c>
      <c r="I53" s="431"/>
      <c r="J53" s="431"/>
      <c r="K53" s="431"/>
      <c r="L53" s="432">
        <v>4</v>
      </c>
      <c r="M53" s="432"/>
      <c r="N53" s="474" t="str">
        <f>AL53</f>
        <v>4/4/4</v>
      </c>
      <c r="O53" s="474"/>
      <c r="P53" s="474"/>
      <c r="Q53" s="430" t="str">
        <f>IF(L53=4,AO53&amp;"W/ "&amp;AP53&amp;"W/ "&amp;AQ53&amp;"W/ "&amp;AR53&amp;"W",IF(L53=3,AO53&amp;"W/ "&amp;AP53&amp;"W/ "&amp;AQ53&amp;"W",IF(L53=2,AO53&amp;"W/ "&amp;AP53&amp;"W",AO53&amp;"W")))</f>
        <v>20W/ 30W/ 40W/ 50W</v>
      </c>
      <c r="R53" s="430"/>
      <c r="S53" s="430"/>
      <c r="T53" s="430"/>
      <c r="U53" s="430"/>
      <c r="V53" s="430" t="str">
        <f>IF(AS53="900 &amp; 1800","900MHz &amp; 1800MHz",IF(AS53="900 &amp; 2100","900MHz &amp; 2100MHz",IF(AS53="1800 &amp; 2100","1800MHz &amp; 2100MHz",AS53&amp;"MHz")))</f>
        <v>1800MHz</v>
      </c>
      <c r="W53" s="430"/>
      <c r="X53" s="430"/>
      <c r="Y53" s="430">
        <f>AT53</f>
        <v>15</v>
      </c>
      <c r="Z53" s="430"/>
      <c r="AA53" s="430"/>
      <c r="AB53" s="430"/>
      <c r="AC53" s="430"/>
      <c r="AD53" s="430"/>
      <c r="AE53" s="374"/>
      <c r="AF53" s="315"/>
      <c r="AG53" s="351" t="s">
        <v>158</v>
      </c>
      <c r="AH53" s="315"/>
      <c r="AI53" s="351" t="s">
        <v>201</v>
      </c>
      <c r="AJ53" s="351"/>
      <c r="AK53" s="315"/>
      <c r="AL53" s="361" t="s">
        <v>168</v>
      </c>
      <c r="AM53" s="315"/>
      <c r="AN53" s="315"/>
      <c r="AO53" s="315">
        <v>20</v>
      </c>
      <c r="AP53" s="315">
        <v>30</v>
      </c>
      <c r="AQ53" s="315">
        <v>40</v>
      </c>
      <c r="AR53" s="315">
        <v>50</v>
      </c>
      <c r="AS53" s="315">
        <v>1800</v>
      </c>
      <c r="AT53" s="315">
        <v>15</v>
      </c>
      <c r="AU53" s="315"/>
      <c r="AV53" s="315"/>
    </row>
    <row r="54" ht="18.75" customHeight="1">
      <c r="A54" s="338"/>
      <c r="B54" s="430"/>
      <c r="C54" s="430"/>
      <c r="D54" s="430"/>
      <c r="E54" s="430"/>
      <c r="F54" s="430"/>
      <c r="G54" s="430"/>
      <c r="H54" s="431"/>
      <c r="I54" s="431"/>
      <c r="J54" s="431"/>
      <c r="K54" s="431"/>
      <c r="L54" s="432"/>
      <c r="M54" s="432"/>
      <c r="N54" s="474"/>
      <c r="O54" s="474"/>
      <c r="P54" s="474"/>
      <c r="Q54" s="430"/>
      <c r="R54" s="430"/>
      <c r="S54" s="430"/>
      <c r="T54" s="430"/>
      <c r="U54" s="430"/>
      <c r="V54" s="430"/>
      <c r="W54" s="430"/>
      <c r="X54" s="430"/>
      <c r="Y54" s="430"/>
      <c r="Z54" s="430"/>
      <c r="AA54" s="430"/>
      <c r="AB54" s="430"/>
      <c r="AC54" s="430"/>
      <c r="AD54" s="430"/>
      <c r="AE54" s="374"/>
      <c r="AF54" s="315"/>
      <c r="AG54" s="351"/>
      <c r="AH54" s="315"/>
      <c r="AI54" s="351"/>
      <c r="AJ54" s="351"/>
      <c r="AK54" s="315"/>
      <c r="AL54" s="361"/>
      <c r="AM54" s="315"/>
      <c r="AN54" s="315"/>
      <c r="AO54" s="315"/>
      <c r="AP54" s="315"/>
      <c r="AQ54" s="315"/>
      <c r="AR54" s="315"/>
      <c r="AS54" s="315"/>
      <c r="AT54" s="315"/>
      <c r="AU54" s="315"/>
      <c r="AV54" s="315"/>
    </row>
    <row r="55" ht="18.75" customHeight="1">
      <c r="A55" s="338"/>
      <c r="B55" s="430"/>
      <c r="C55" s="430"/>
      <c r="D55" s="430"/>
      <c r="E55" s="430"/>
      <c r="F55" s="430"/>
      <c r="G55" s="430"/>
      <c r="H55" s="431"/>
      <c r="I55" s="431"/>
      <c r="J55" s="431"/>
      <c r="K55" s="431"/>
      <c r="L55" s="432"/>
      <c r="M55" s="432"/>
      <c r="N55" s="474"/>
      <c r="O55" s="474"/>
      <c r="P55" s="474"/>
      <c r="Q55" s="430"/>
      <c r="R55" s="430"/>
      <c r="S55" s="430"/>
      <c r="T55" s="430"/>
      <c r="U55" s="430"/>
      <c r="V55" s="430"/>
      <c r="W55" s="430"/>
      <c r="X55" s="430"/>
      <c r="Y55" s="430"/>
      <c r="Z55" s="430"/>
      <c r="AA55" s="430"/>
      <c r="AB55" s="430"/>
      <c r="AC55" s="430"/>
      <c r="AD55" s="430"/>
      <c r="AE55" s="374"/>
      <c r="AF55" s="315"/>
      <c r="AG55" s="315"/>
      <c r="AH55" s="315"/>
      <c r="AI55" s="315"/>
      <c r="AJ55" s="315"/>
      <c r="AK55" s="315"/>
      <c r="AL55" s="315"/>
      <c r="AM55" s="315"/>
      <c r="AN55" s="315"/>
      <c r="AO55" s="315"/>
      <c r="AP55" s="315"/>
      <c r="AQ55" s="315"/>
      <c r="AR55" s="315"/>
      <c r="AS55" s="315"/>
      <c r="AT55" s="315"/>
      <c r="AU55" s="315"/>
      <c r="AV55" s="315"/>
    </row>
    <row r="56" ht="18.75" customHeight="1">
      <c r="A56" s="338"/>
      <c r="B56" s="430"/>
      <c r="C56" s="430"/>
      <c r="D56" s="430"/>
      <c r="E56" s="430"/>
      <c r="F56" s="430"/>
      <c r="G56" s="430"/>
      <c r="H56" s="431"/>
      <c r="I56" s="431"/>
      <c r="J56" s="431"/>
      <c r="K56" s="431"/>
      <c r="L56" s="432"/>
      <c r="M56" s="432"/>
      <c r="N56" s="474"/>
      <c r="O56" s="474"/>
      <c r="P56" s="474"/>
      <c r="Q56" s="430"/>
      <c r="R56" s="430"/>
      <c r="S56" s="430"/>
      <c r="T56" s="430"/>
      <c r="U56" s="430"/>
      <c r="V56" s="430"/>
      <c r="W56" s="430"/>
      <c r="X56" s="430"/>
      <c r="Y56" s="430"/>
      <c r="Z56" s="430"/>
      <c r="AA56" s="430"/>
      <c r="AB56" s="430"/>
      <c r="AC56" s="430"/>
      <c r="AD56" s="430"/>
      <c r="AE56" s="374"/>
      <c r="AF56" s="315"/>
      <c r="AG56" s="315"/>
      <c r="AH56" s="315"/>
      <c r="AI56" s="315"/>
      <c r="AJ56" s="315"/>
      <c r="AK56" s="315"/>
      <c r="AL56" s="315"/>
      <c r="AM56" s="315"/>
      <c r="AN56" s="315"/>
      <c r="AO56" s="315"/>
      <c r="AP56" s="315"/>
      <c r="AQ56" s="315"/>
      <c r="AR56" s="315"/>
      <c r="AS56" s="315"/>
      <c r="AT56" s="315"/>
      <c r="AU56" s="315"/>
      <c r="AV56" s="315"/>
    </row>
    <row r="57" ht="18.75" customHeight="1">
      <c r="A57" s="338"/>
      <c r="B57" s="430" t="str">
        <f>AG57</f>
        <v>CÔNG TY CỔ PHẦN VIỄN THÔNG DI ĐỘNG TOÀN CẦU</v>
      </c>
      <c r="C57" s="430"/>
      <c r="D57" s="430"/>
      <c r="E57" s="430"/>
      <c r="F57" s="430"/>
      <c r="G57" s="430"/>
      <c r="H57" s="431" t="str">
        <f>AI57</f>
        <v>TB1</v>
      </c>
      <c r="I57" s="431"/>
      <c r="J57" s="431"/>
      <c r="K57" s="431"/>
      <c r="L57" s="432">
        <v>3</v>
      </c>
      <c r="M57" s="432"/>
      <c r="N57" s="474" t="str">
        <f>AL57</f>
        <v>4/4/4</v>
      </c>
      <c r="O57" s="474"/>
      <c r="P57" s="474"/>
      <c r="Q57" s="430" t="str">
        <f>IF(L57=4,AO57&amp;"W/ "&amp;AP57&amp;"W/ "&amp;AQ57&amp;"W/ "&amp;AR57&amp;"W",IF(L57=3,AO57&amp;"W/ "&amp;AP57&amp;"W/ "&amp;AQ57&amp;"W",IF(L57=2,AO57&amp;"W/ "&amp;AP57&amp;"W",AO57&amp;"W")))</f>
        <v>20W/ 30W/ 40W</v>
      </c>
      <c r="R57" s="430"/>
      <c r="S57" s="430"/>
      <c r="T57" s="430"/>
      <c r="U57" s="430"/>
      <c r="V57" s="430" t="str">
        <f>IF(AS57="900 &amp; 1800","900MHz &amp; 1800MHz",IF(AS57="900 &amp; 2100","900MHz &amp; 2100MHz",IF(AS57="1800 &amp; 2100","1800MHz &amp; 2100MHz",AS57&amp;"MHz")))</f>
        <v>9000 &amp; 1800MHz</v>
      </c>
      <c r="W57" s="430"/>
      <c r="X57" s="430"/>
      <c r="Y57" s="430">
        <f>AT57</f>
        <v>15</v>
      </c>
      <c r="Z57" s="430"/>
      <c r="AA57" s="430"/>
      <c r="AB57" s="430"/>
      <c r="AC57" s="430"/>
      <c r="AD57" s="430"/>
      <c r="AE57" s="374"/>
      <c r="AF57" s="315"/>
      <c r="AG57" s="351" t="s">
        <v>158</v>
      </c>
      <c r="AH57" s="315"/>
      <c r="AI57" s="351" t="s">
        <v>201</v>
      </c>
      <c r="AJ57" s="351"/>
      <c r="AK57" s="315"/>
      <c r="AL57" s="361" t="s">
        <v>168</v>
      </c>
      <c r="AM57" s="315"/>
      <c r="AN57" s="315"/>
      <c r="AO57" s="315">
        <v>20</v>
      </c>
      <c r="AP57" s="315">
        <v>30</v>
      </c>
      <c r="AQ57" s="315">
        <v>40</v>
      </c>
      <c r="AR57" s="315">
        <v>50</v>
      </c>
      <c r="AS57" s="315" t="s">
        <v>202</v>
      </c>
      <c r="AT57" s="315">
        <v>15</v>
      </c>
      <c r="AU57" s="315"/>
      <c r="AV57" s="315"/>
    </row>
    <row r="58" ht="18.75" customHeight="1">
      <c r="A58" s="338"/>
      <c r="B58" s="430"/>
      <c r="C58" s="430"/>
      <c r="D58" s="430"/>
      <c r="E58" s="430"/>
      <c r="F58" s="430"/>
      <c r="G58" s="430"/>
      <c r="H58" s="431"/>
      <c r="I58" s="431"/>
      <c r="J58" s="431"/>
      <c r="K58" s="431"/>
      <c r="L58" s="432"/>
      <c r="M58" s="432"/>
      <c r="N58" s="474"/>
      <c r="O58" s="474"/>
      <c r="P58" s="474"/>
      <c r="Q58" s="430"/>
      <c r="R58" s="430"/>
      <c r="S58" s="430"/>
      <c r="T58" s="430"/>
      <c r="U58" s="430"/>
      <c r="V58" s="430"/>
      <c r="W58" s="430"/>
      <c r="X58" s="430"/>
      <c r="Y58" s="430"/>
      <c r="Z58" s="430"/>
      <c r="AA58" s="430"/>
      <c r="AB58" s="430"/>
      <c r="AC58" s="430"/>
      <c r="AD58" s="430"/>
      <c r="AE58" s="374"/>
      <c r="AF58" s="315"/>
      <c r="AG58" s="351"/>
      <c r="AH58" s="315"/>
      <c r="AI58" s="351"/>
      <c r="AJ58" s="351"/>
      <c r="AK58" s="315"/>
      <c r="AL58" s="361"/>
      <c r="AM58" s="315"/>
      <c r="AN58" s="315"/>
      <c r="AO58" s="315"/>
      <c r="AP58" s="315"/>
      <c r="AQ58" s="315"/>
      <c r="AR58" s="315"/>
      <c r="AS58" s="315"/>
      <c r="AT58" s="315"/>
      <c r="AU58" s="315"/>
      <c r="AV58" s="315"/>
    </row>
    <row r="59" ht="18.75" customHeight="1">
      <c r="A59" s="338"/>
      <c r="B59" s="430"/>
      <c r="C59" s="430"/>
      <c r="D59" s="430"/>
      <c r="E59" s="430"/>
      <c r="F59" s="430"/>
      <c r="G59" s="430"/>
      <c r="H59" s="431"/>
      <c r="I59" s="431"/>
      <c r="J59" s="431"/>
      <c r="K59" s="431"/>
      <c r="L59" s="432"/>
      <c r="M59" s="432"/>
      <c r="N59" s="474"/>
      <c r="O59" s="474"/>
      <c r="P59" s="474"/>
      <c r="Q59" s="430"/>
      <c r="R59" s="430"/>
      <c r="S59" s="430"/>
      <c r="T59" s="430"/>
      <c r="U59" s="430"/>
      <c r="V59" s="430"/>
      <c r="W59" s="430"/>
      <c r="X59" s="430"/>
      <c r="Y59" s="430"/>
      <c r="Z59" s="430"/>
      <c r="AA59" s="430"/>
      <c r="AB59" s="430"/>
      <c r="AC59" s="430"/>
      <c r="AD59" s="430"/>
      <c r="AE59" s="374"/>
      <c r="AF59" s="315"/>
      <c r="AG59" s="315"/>
      <c r="AH59" s="315"/>
      <c r="AI59" s="315"/>
      <c r="AJ59" s="315"/>
      <c r="AK59" s="315"/>
      <c r="AL59" s="315"/>
      <c r="AM59" s="315"/>
      <c r="AN59" s="315"/>
      <c r="AO59" s="315"/>
      <c r="AP59" s="315"/>
      <c r="AQ59" s="315"/>
      <c r="AR59" s="315"/>
      <c r="AS59" s="315"/>
      <c r="AT59" s="315"/>
      <c r="AU59" s="315"/>
      <c r="AV59" s="315"/>
    </row>
    <row r="60" ht="18.75" customHeight="1">
      <c r="A60" s="338"/>
      <c r="B60" s="430"/>
      <c r="C60" s="430"/>
      <c r="D60" s="430"/>
      <c r="E60" s="430"/>
      <c r="F60" s="430"/>
      <c r="G60" s="430"/>
      <c r="H60" s="431"/>
      <c r="I60" s="431"/>
      <c r="J60" s="431"/>
      <c r="K60" s="431"/>
      <c r="L60" s="432"/>
      <c r="M60" s="432"/>
      <c r="N60" s="474"/>
      <c r="O60" s="474"/>
      <c r="P60" s="474"/>
      <c r="Q60" s="430"/>
      <c r="R60" s="430"/>
      <c r="S60" s="430"/>
      <c r="T60" s="430"/>
      <c r="U60" s="430"/>
      <c r="V60" s="430"/>
      <c r="W60" s="430"/>
      <c r="X60" s="430"/>
      <c r="Y60" s="430"/>
      <c r="Z60" s="430"/>
      <c r="AA60" s="430"/>
      <c r="AB60" s="430"/>
      <c r="AC60" s="430"/>
      <c r="AD60" s="430"/>
      <c r="AE60" s="374"/>
      <c r="AF60" s="315"/>
      <c r="AG60" s="315"/>
      <c r="AH60" s="315"/>
      <c r="AI60" s="315"/>
      <c r="AJ60" s="315"/>
      <c r="AK60" s="315"/>
      <c r="AL60" s="315"/>
      <c r="AM60" s="315"/>
      <c r="AN60" s="315"/>
      <c r="AO60" s="315"/>
      <c r="AP60" s="315"/>
      <c r="AQ60" s="315"/>
      <c r="AR60" s="315"/>
      <c r="AS60" s="315"/>
      <c r="AT60" s="315"/>
      <c r="AU60" s="315"/>
      <c r="AV60" s="315"/>
    </row>
    <row r="61" ht="18.75" customHeight="1">
      <c r="A61" s="338"/>
      <c r="B61" s="430" t="str">
        <f>AG61</f>
        <v>CÔNG TY CỔ PHẦN VIỄN THÔNG DI ĐỘNG TOÀN CẦU</v>
      </c>
      <c r="C61" s="430"/>
      <c r="D61" s="430"/>
      <c r="E61" s="430"/>
      <c r="F61" s="430"/>
      <c r="G61" s="430"/>
      <c r="H61" s="431" t="str">
        <f>AI61</f>
        <v>TB1</v>
      </c>
      <c r="I61" s="431"/>
      <c r="J61" s="431"/>
      <c r="K61" s="431"/>
      <c r="L61" s="432">
        <v>2</v>
      </c>
      <c r="M61" s="432"/>
      <c r="N61" s="474" t="str">
        <f>AL61</f>
        <v>4/4/4</v>
      </c>
      <c r="O61" s="474"/>
      <c r="P61" s="474"/>
      <c r="Q61" s="430" t="str">
        <f>IF(L61=4,AO61&amp;"W/ "&amp;AP61&amp;"W/ "&amp;AQ61&amp;"W/ "&amp;AR61&amp;"W",IF(L61=3,AO61&amp;"W/ "&amp;AP61&amp;"W/ "&amp;AQ61&amp;"W",IF(L61=2,AO61&amp;"W/ "&amp;AP61&amp;"W",AO61&amp;"W")))</f>
        <v>20W/ 30W</v>
      </c>
      <c r="R61" s="430"/>
      <c r="S61" s="430"/>
      <c r="T61" s="430"/>
      <c r="U61" s="430"/>
      <c r="V61" s="430" t="str">
        <f>IF(AS61="900 &amp; 1800","900MHz &amp; 1800MHz",IF(AS61="900 &amp; 2100","900MHz &amp; 2100MHz",IF(AS61="1800 &amp; 2100","1800MHz &amp; 2100MHz",AS61&amp;"MHz")))</f>
        <v>9000 &amp; 2100MHz</v>
      </c>
      <c r="W61" s="430"/>
      <c r="X61" s="430"/>
      <c r="Y61" s="430">
        <f>AT61</f>
        <v>15</v>
      </c>
      <c r="Z61" s="430"/>
      <c r="AA61" s="430"/>
      <c r="AB61" s="430"/>
      <c r="AC61" s="430"/>
      <c r="AD61" s="430"/>
      <c r="AE61" s="374"/>
      <c r="AF61" s="315"/>
      <c r="AG61" s="351" t="s">
        <v>158</v>
      </c>
      <c r="AH61" s="315"/>
      <c r="AI61" s="351" t="s">
        <v>201</v>
      </c>
      <c r="AJ61" s="351"/>
      <c r="AK61" s="315"/>
      <c r="AL61" s="361" t="s">
        <v>168</v>
      </c>
      <c r="AM61" s="315"/>
      <c r="AN61" s="315"/>
      <c r="AO61" s="315">
        <v>20</v>
      </c>
      <c r="AP61" s="315">
        <v>30</v>
      </c>
      <c r="AQ61" s="315">
        <v>40</v>
      </c>
      <c r="AR61" s="315">
        <v>50</v>
      </c>
      <c r="AS61" s="315" t="s">
        <v>203</v>
      </c>
      <c r="AT61" s="315">
        <v>15</v>
      </c>
      <c r="AU61" s="315"/>
      <c r="AV61" s="315"/>
    </row>
    <row r="62" ht="18.75" customHeight="1">
      <c r="A62" s="338"/>
      <c r="B62" s="430"/>
      <c r="C62" s="430"/>
      <c r="D62" s="430"/>
      <c r="E62" s="430"/>
      <c r="F62" s="430"/>
      <c r="G62" s="430"/>
      <c r="H62" s="431"/>
      <c r="I62" s="431"/>
      <c r="J62" s="431"/>
      <c r="K62" s="431"/>
      <c r="L62" s="432"/>
      <c r="M62" s="432"/>
      <c r="N62" s="474"/>
      <c r="O62" s="474"/>
      <c r="P62" s="474"/>
      <c r="Q62" s="430"/>
      <c r="R62" s="430"/>
      <c r="S62" s="430"/>
      <c r="T62" s="430"/>
      <c r="U62" s="430"/>
      <c r="V62" s="430"/>
      <c r="W62" s="430"/>
      <c r="X62" s="430"/>
      <c r="Y62" s="430"/>
      <c r="Z62" s="430"/>
      <c r="AA62" s="430"/>
      <c r="AB62" s="430"/>
      <c r="AC62" s="430"/>
      <c r="AD62" s="430"/>
      <c r="AE62" s="374"/>
      <c r="AF62" s="315"/>
      <c r="AG62" s="351"/>
      <c r="AH62" s="315"/>
      <c r="AI62" s="351"/>
      <c r="AJ62" s="351"/>
      <c r="AK62" s="315"/>
      <c r="AL62" s="361"/>
      <c r="AM62" s="315"/>
      <c r="AN62" s="315"/>
      <c r="AO62" s="315"/>
      <c r="AP62" s="315"/>
      <c r="AQ62" s="315"/>
      <c r="AR62" s="315"/>
      <c r="AS62" s="315"/>
      <c r="AT62" s="315"/>
      <c r="AU62" s="315"/>
      <c r="AV62" s="315"/>
    </row>
    <row r="63" ht="18.75" customHeight="1">
      <c r="A63" s="338"/>
      <c r="B63" s="430"/>
      <c r="C63" s="430"/>
      <c r="D63" s="430"/>
      <c r="E63" s="430"/>
      <c r="F63" s="430"/>
      <c r="G63" s="430"/>
      <c r="H63" s="431"/>
      <c r="I63" s="431"/>
      <c r="J63" s="431"/>
      <c r="K63" s="431"/>
      <c r="L63" s="432"/>
      <c r="M63" s="432"/>
      <c r="N63" s="474"/>
      <c r="O63" s="474"/>
      <c r="P63" s="474"/>
      <c r="Q63" s="430"/>
      <c r="R63" s="430"/>
      <c r="S63" s="430"/>
      <c r="T63" s="430"/>
      <c r="U63" s="430"/>
      <c r="V63" s="430"/>
      <c r="W63" s="430"/>
      <c r="X63" s="430"/>
      <c r="Y63" s="430"/>
      <c r="Z63" s="430"/>
      <c r="AA63" s="430"/>
      <c r="AB63" s="430"/>
      <c r="AC63" s="430"/>
      <c r="AD63" s="430"/>
      <c r="AE63" s="374"/>
      <c r="AF63" s="315"/>
      <c r="AG63" s="315"/>
      <c r="AH63" s="315"/>
      <c r="AI63" s="315"/>
      <c r="AJ63" s="315"/>
      <c r="AK63" s="315"/>
      <c r="AL63" s="315"/>
      <c r="AM63" s="315"/>
      <c r="AN63" s="315"/>
      <c r="AO63" s="315"/>
      <c r="AP63" s="315"/>
      <c r="AQ63" s="315"/>
      <c r="AR63" s="315"/>
      <c r="AS63" s="315"/>
      <c r="AT63" s="315"/>
      <c r="AU63" s="315"/>
      <c r="AV63" s="315"/>
    </row>
    <row r="64" ht="18.75" customHeight="1">
      <c r="A64" s="338"/>
      <c r="B64" s="430"/>
      <c r="C64" s="430"/>
      <c r="D64" s="430"/>
      <c r="E64" s="430"/>
      <c r="F64" s="430"/>
      <c r="G64" s="430"/>
      <c r="H64" s="431"/>
      <c r="I64" s="431"/>
      <c r="J64" s="431"/>
      <c r="K64" s="431"/>
      <c r="L64" s="432"/>
      <c r="M64" s="432"/>
      <c r="N64" s="474"/>
      <c r="O64" s="474"/>
      <c r="P64" s="474"/>
      <c r="Q64" s="430"/>
      <c r="R64" s="430"/>
      <c r="S64" s="430"/>
      <c r="T64" s="430"/>
      <c r="U64" s="430"/>
      <c r="V64" s="430"/>
      <c r="W64" s="430"/>
      <c r="X64" s="430"/>
      <c r="Y64" s="430"/>
      <c r="Z64" s="430"/>
      <c r="AA64" s="430"/>
      <c r="AB64" s="430"/>
      <c r="AC64" s="430"/>
      <c r="AD64" s="430"/>
      <c r="AE64" s="374"/>
      <c r="AF64" s="315"/>
      <c r="AG64" s="315"/>
      <c r="AH64" s="315"/>
      <c r="AI64" s="315"/>
      <c r="AJ64" s="315"/>
      <c r="AK64" s="315"/>
      <c r="AL64" s="315"/>
      <c r="AM64" s="315"/>
      <c r="AN64" s="315"/>
      <c r="AO64" s="315"/>
      <c r="AP64" s="315"/>
      <c r="AQ64" s="315"/>
      <c r="AR64" s="315"/>
      <c r="AS64" s="315"/>
      <c r="AT64" s="315"/>
      <c r="AU64" s="315"/>
      <c r="AV64" s="315"/>
    </row>
    <row r="65" ht="18.75" customHeight="1">
      <c r="A65" s="338"/>
      <c r="B65" s="430" t="str">
        <f>AG65</f>
        <v>CÔNG TY CỔ PHẦN VIỄN THÔNG DI ĐỘNG TOÀN CẦU</v>
      </c>
      <c r="C65" s="430"/>
      <c r="D65" s="430"/>
      <c r="E65" s="430"/>
      <c r="F65" s="430"/>
      <c r="G65" s="430"/>
      <c r="H65" s="431" t="str">
        <f>AI65</f>
        <v>TB1</v>
      </c>
      <c r="I65" s="431"/>
      <c r="J65" s="431"/>
      <c r="K65" s="431"/>
      <c r="L65" s="432">
        <v>1</v>
      </c>
      <c r="M65" s="432"/>
      <c r="N65" s="474" t="str">
        <f>AL65</f>
        <v>4/4/4</v>
      </c>
      <c r="O65" s="474"/>
      <c r="P65" s="474"/>
      <c r="Q65" s="430" t="str">
        <f>IF(L65=4,AO65&amp;"W/ "&amp;AP65&amp;"W/ "&amp;AQ65&amp;"W/ "&amp;AR65&amp;"W",IF(L65=3,AO65&amp;"W/ "&amp;AP65&amp;"W/ "&amp;AQ65&amp;"W",IF(L65=2,AO65&amp;"W/ "&amp;AP65&amp;"W",AO65&amp;"W")))</f>
        <v>20W</v>
      </c>
      <c r="R65" s="430"/>
      <c r="S65" s="430"/>
      <c r="T65" s="430"/>
      <c r="U65" s="430"/>
      <c r="V65" s="430" t="str">
        <f>IF(AS65="900 &amp; 1800","900MHz &amp; 1800MHz",IF(AS65="900 &amp; 2100","900MHz &amp; 2100MHz",IF(AS65="1800 &amp; 2100","1800MHz &amp; 2100MHz",AS65&amp;"MHz")))</f>
        <v>1800MHz &amp; 2100MHz</v>
      </c>
      <c r="W65" s="430"/>
      <c r="X65" s="430"/>
      <c r="Y65" s="430">
        <f>AT65</f>
        <v>15</v>
      </c>
      <c r="Z65" s="430"/>
      <c r="AA65" s="430"/>
      <c r="AB65" s="430"/>
      <c r="AC65" s="430"/>
      <c r="AD65" s="430"/>
      <c r="AE65" s="374"/>
      <c r="AF65" s="315"/>
      <c r="AG65" s="351" t="s">
        <v>158</v>
      </c>
      <c r="AH65" s="315"/>
      <c r="AI65" s="351" t="s">
        <v>201</v>
      </c>
      <c r="AJ65" s="351"/>
      <c r="AK65" s="315"/>
      <c r="AL65" s="361" t="s">
        <v>168</v>
      </c>
      <c r="AM65" s="315"/>
      <c r="AN65" s="315"/>
      <c r="AO65" s="315">
        <v>20</v>
      </c>
      <c r="AP65" s="315">
        <v>30</v>
      </c>
      <c r="AQ65" s="315">
        <v>40</v>
      </c>
      <c r="AR65" s="315">
        <v>50</v>
      </c>
      <c r="AS65" s="315" t="s">
        <v>204</v>
      </c>
      <c r="AT65" s="315">
        <v>15</v>
      </c>
      <c r="AU65" s="315">
        <v>16</v>
      </c>
      <c r="AV65" s="315">
        <v>17</v>
      </c>
    </row>
    <row r="66" ht="18.75" customHeight="1">
      <c r="A66" s="338"/>
      <c r="B66" s="430"/>
      <c r="C66" s="430"/>
      <c r="D66" s="430"/>
      <c r="E66" s="430"/>
      <c r="F66" s="430"/>
      <c r="G66" s="430"/>
      <c r="H66" s="431"/>
      <c r="I66" s="431"/>
      <c r="J66" s="431"/>
      <c r="K66" s="431"/>
      <c r="L66" s="432"/>
      <c r="M66" s="432"/>
      <c r="N66" s="474"/>
      <c r="O66" s="474"/>
      <c r="P66" s="474"/>
      <c r="Q66" s="430"/>
      <c r="R66" s="430"/>
      <c r="S66" s="430"/>
      <c r="T66" s="430"/>
      <c r="U66" s="430"/>
      <c r="V66" s="430"/>
      <c r="W66" s="430"/>
      <c r="X66" s="430"/>
      <c r="Y66" s="430"/>
      <c r="Z66" s="430"/>
      <c r="AA66" s="430"/>
      <c r="AB66" s="430"/>
      <c r="AC66" s="430"/>
      <c r="AD66" s="430"/>
      <c r="AE66" s="374"/>
      <c r="AF66" s="315"/>
      <c r="AG66" s="351"/>
      <c r="AH66" s="315"/>
      <c r="AI66" s="351"/>
      <c r="AJ66" s="351"/>
      <c r="AK66" s="315"/>
      <c r="AL66" s="361"/>
      <c r="AM66" s="315"/>
      <c r="AN66" s="315"/>
      <c r="AO66" s="315"/>
      <c r="AP66" s="315"/>
      <c r="AQ66" s="315"/>
      <c r="AR66" s="315"/>
      <c r="AS66" s="315"/>
      <c r="AT66" s="315"/>
      <c r="AU66" s="315"/>
      <c r="AV66" s="315"/>
    </row>
    <row r="67" ht="18.75" customHeight="1">
      <c r="A67" s="338"/>
      <c r="B67" s="430"/>
      <c r="C67" s="430"/>
      <c r="D67" s="430"/>
      <c r="E67" s="430"/>
      <c r="F67" s="430"/>
      <c r="G67" s="430"/>
      <c r="H67" s="431"/>
      <c r="I67" s="431"/>
      <c r="J67" s="431"/>
      <c r="K67" s="431"/>
      <c r="L67" s="432"/>
      <c r="M67" s="432"/>
      <c r="N67" s="474"/>
      <c r="O67" s="474"/>
      <c r="P67" s="474"/>
      <c r="Q67" s="430"/>
      <c r="R67" s="430"/>
      <c r="S67" s="430"/>
      <c r="T67" s="430"/>
      <c r="U67" s="430"/>
      <c r="V67" s="430"/>
      <c r="W67" s="430"/>
      <c r="X67" s="430"/>
      <c r="Y67" s="430"/>
      <c r="Z67" s="430"/>
      <c r="AA67" s="430"/>
      <c r="AB67" s="430"/>
      <c r="AC67" s="430"/>
      <c r="AD67" s="430"/>
      <c r="AE67" s="374"/>
      <c r="AF67" s="315"/>
      <c r="AG67" s="315"/>
      <c r="AH67" s="315"/>
      <c r="AI67" s="315"/>
      <c r="AJ67" s="315"/>
      <c r="AK67" s="315"/>
      <c r="AL67" s="315"/>
      <c r="AM67" s="315"/>
      <c r="AN67" s="315"/>
      <c r="AO67" s="315"/>
      <c r="AP67" s="315"/>
      <c r="AQ67" s="315"/>
      <c r="AR67" s="315"/>
      <c r="AS67" s="315"/>
      <c r="AT67" s="315"/>
      <c r="AU67" s="315"/>
      <c r="AV67" s="315"/>
    </row>
    <row r="68" ht="18.75" customHeight="1">
      <c r="A68" s="338"/>
      <c r="B68" s="430"/>
      <c r="C68" s="430"/>
      <c r="D68" s="430"/>
      <c r="E68" s="430"/>
      <c r="F68" s="430"/>
      <c r="G68" s="430"/>
      <c r="H68" s="431"/>
      <c r="I68" s="431"/>
      <c r="J68" s="431"/>
      <c r="K68" s="431"/>
      <c r="L68" s="432"/>
      <c r="M68" s="432"/>
      <c r="N68" s="474"/>
      <c r="O68" s="474"/>
      <c r="P68" s="474"/>
      <c r="Q68" s="430"/>
      <c r="R68" s="430"/>
      <c r="S68" s="430"/>
      <c r="T68" s="430"/>
      <c r="U68" s="430"/>
      <c r="V68" s="430"/>
      <c r="W68" s="430"/>
      <c r="X68" s="430"/>
      <c r="Y68" s="430"/>
      <c r="Z68" s="430"/>
      <c r="AA68" s="430"/>
      <c r="AB68" s="430"/>
      <c r="AC68" s="430"/>
      <c r="AD68" s="430"/>
      <c r="AE68" s="374"/>
      <c r="AF68" s="315"/>
      <c r="AG68" s="315"/>
      <c r="AH68" s="315"/>
      <c r="AI68" s="315"/>
      <c r="AJ68" s="315"/>
      <c r="AK68" s="315"/>
      <c r="AL68" s="315"/>
      <c r="AM68" s="315"/>
      <c r="AN68" s="315"/>
      <c r="AO68" s="315"/>
      <c r="AP68" s="315"/>
      <c r="AQ68" s="315"/>
      <c r="AR68" s="315"/>
      <c r="AS68" s="315"/>
      <c r="AT68" s="315"/>
      <c r="AU68" s="315"/>
      <c r="AV68" s="315"/>
    </row>
    <row r="69" ht="18.75" customHeight="1">
      <c r="A69" s="338"/>
      <c r="B69" s="338"/>
      <c r="C69" s="338"/>
      <c r="D69" s="338"/>
      <c r="E69" s="338"/>
      <c r="F69" s="338"/>
      <c r="G69" s="338"/>
      <c r="H69" s="338"/>
      <c r="I69" s="338"/>
      <c r="J69" s="338"/>
      <c r="K69" s="338"/>
      <c r="L69" s="338"/>
      <c r="M69" s="338"/>
      <c r="N69" s="338"/>
      <c r="O69" s="338"/>
      <c r="P69" s="338"/>
      <c r="Q69" s="338"/>
      <c r="R69" s="338"/>
      <c r="S69" s="338"/>
      <c r="T69" s="338"/>
      <c r="U69" s="338"/>
      <c r="V69" s="338"/>
      <c r="W69" s="338"/>
      <c r="X69" s="338"/>
      <c r="Y69" s="338"/>
      <c r="Z69" s="338"/>
      <c r="AA69" s="338"/>
      <c r="AB69" s="338"/>
      <c r="AC69" s="338"/>
      <c r="AD69" s="338"/>
      <c r="AE69" s="338"/>
      <c r="AF69" s="315"/>
      <c r="AG69" s="315"/>
      <c r="AH69" s="315"/>
      <c r="AI69" s="315"/>
      <c r="AJ69" s="315"/>
      <c r="AK69" s="315"/>
      <c r="AL69" s="315"/>
      <c r="AM69" s="315"/>
      <c r="AN69" s="315"/>
      <c r="AO69" s="315"/>
      <c r="AP69" s="315"/>
      <c r="AQ69" s="315"/>
      <c r="AR69" s="315"/>
      <c r="AS69" s="315"/>
      <c r="AT69" s="315"/>
      <c r="AU69" s="315"/>
      <c r="AV69" s="315"/>
    </row>
    <row r="70" ht="18.75" customHeight="1">
      <c r="A70" s="338"/>
      <c r="B70" s="338"/>
      <c r="C70" s="338"/>
      <c r="D70" s="338"/>
      <c r="E70" s="338"/>
      <c r="F70" s="338"/>
      <c r="G70" s="338"/>
      <c r="H70" s="338"/>
      <c r="I70" s="338"/>
      <c r="J70" s="338"/>
      <c r="K70" s="338"/>
      <c r="L70" s="338"/>
      <c r="M70" s="338"/>
      <c r="N70" s="338"/>
      <c r="O70" s="338"/>
      <c r="P70" s="338"/>
      <c r="Q70" s="338"/>
      <c r="R70" s="338"/>
      <c r="S70" s="338"/>
      <c r="T70" s="338"/>
      <c r="U70" s="338"/>
      <c r="V70" s="338"/>
      <c r="W70" s="338"/>
      <c r="X70" s="338"/>
      <c r="Y70" s="338"/>
      <c r="Z70" s="338"/>
      <c r="AA70" s="338"/>
      <c r="AB70" s="338"/>
      <c r="AC70" s="338"/>
      <c r="AD70" s="338"/>
      <c r="AE70" s="338"/>
      <c r="AF70" s="315"/>
      <c r="AG70" s="315"/>
      <c r="AH70" s="315"/>
      <c r="AI70" s="315"/>
      <c r="AJ70" s="315"/>
      <c r="AK70" s="315"/>
      <c r="AL70" s="315"/>
      <c r="AM70" s="315"/>
      <c r="AN70" s="315"/>
      <c r="AO70" s="315"/>
      <c r="AP70" s="315"/>
      <c r="AQ70" s="315"/>
      <c r="AR70" s="315"/>
      <c r="AS70" s="315"/>
      <c r="AT70" s="315"/>
      <c r="AU70" s="315"/>
      <c r="AV70" s="315"/>
    </row>
    <row r="71" ht="18.75" customHeight="1">
      <c r="A71" s="338"/>
      <c r="B71" s="338"/>
      <c r="C71" s="338"/>
      <c r="D71" s="338"/>
      <c r="E71" s="338"/>
      <c r="F71" s="338"/>
      <c r="G71" s="338"/>
      <c r="H71" s="338"/>
      <c r="I71" s="338"/>
      <c r="J71" s="338"/>
      <c r="K71" s="338"/>
      <c r="L71" s="338"/>
      <c r="M71" s="338"/>
      <c r="N71" s="338"/>
      <c r="O71" s="338"/>
      <c r="P71" s="338"/>
      <c r="Q71" s="338"/>
      <c r="R71" s="338"/>
      <c r="S71" s="338"/>
      <c r="T71" s="338"/>
      <c r="U71" s="338"/>
      <c r="V71" s="338"/>
      <c r="W71" s="338"/>
      <c r="X71" s="338"/>
      <c r="Y71" s="338"/>
      <c r="Z71" s="338"/>
      <c r="AA71" s="338"/>
      <c r="AB71" s="338"/>
      <c r="AC71" s="338"/>
      <c r="AD71" s="338"/>
      <c r="AE71" s="338"/>
      <c r="AF71" s="315"/>
      <c r="AG71" s="315"/>
      <c r="AH71" s="315"/>
      <c r="AI71" s="315"/>
      <c r="AJ71" s="315"/>
      <c r="AK71" s="315"/>
      <c r="AL71" s="315"/>
      <c r="AM71" s="315"/>
      <c r="AN71" s="315"/>
      <c r="AO71" s="315"/>
      <c r="AP71" s="315"/>
      <c r="AQ71" s="315"/>
      <c r="AR71" s="315"/>
      <c r="AS71" s="315"/>
      <c r="AT71" s="315"/>
      <c r="AU71" s="315"/>
      <c r="AV71" s="315"/>
    </row>
    <row r="72" ht="18.75" customHeight="1">
      <c r="A72" s="338"/>
      <c r="B72" s="338"/>
      <c r="C72" s="338"/>
      <c r="D72" s="338"/>
      <c r="E72" s="338"/>
      <c r="F72" s="338"/>
      <c r="G72" s="338"/>
      <c r="H72" s="338"/>
      <c r="I72" s="338"/>
      <c r="J72" s="338"/>
      <c r="K72" s="338"/>
      <c r="L72" s="338"/>
      <c r="M72" s="338"/>
      <c r="N72" s="338"/>
      <c r="O72" s="338"/>
      <c r="P72" s="338"/>
      <c r="Q72" s="338"/>
      <c r="R72" s="338"/>
      <c r="S72" s="338"/>
      <c r="T72" s="338"/>
      <c r="U72" s="338"/>
      <c r="V72" s="338"/>
      <c r="W72" s="338"/>
      <c r="X72" s="338"/>
      <c r="Y72" s="338"/>
      <c r="Z72" s="338"/>
      <c r="AA72" s="338"/>
      <c r="AB72" s="338"/>
      <c r="AC72" s="338"/>
      <c r="AD72" s="338"/>
      <c r="AE72" s="338"/>
      <c r="AF72" s="315"/>
      <c r="AG72" s="315"/>
      <c r="AH72" s="315"/>
      <c r="AI72" s="315"/>
      <c r="AJ72" s="315"/>
      <c r="AK72" s="315"/>
      <c r="AL72" s="315"/>
      <c r="AM72" s="315"/>
      <c r="AN72" s="315"/>
      <c r="AO72" s="315"/>
      <c r="AP72" s="315"/>
      <c r="AQ72" s="315"/>
      <c r="AR72" s="315"/>
      <c r="AS72" s="315"/>
      <c r="AT72" s="315"/>
      <c r="AU72" s="315"/>
      <c r="AV72" s="315"/>
    </row>
    <row r="73" ht="18.75" customHeight="1">
      <c r="A73" s="338"/>
      <c r="B73" s="338"/>
      <c r="C73" s="338"/>
      <c r="D73" s="338"/>
      <c r="E73" s="338"/>
      <c r="F73" s="338"/>
      <c r="G73" s="338"/>
      <c r="H73" s="338"/>
      <c r="I73" s="338"/>
      <c r="J73" s="338"/>
      <c r="K73" s="338"/>
      <c r="L73" s="338"/>
      <c r="M73" s="338"/>
      <c r="N73" s="338"/>
      <c r="O73" s="338"/>
      <c r="P73" s="338"/>
      <c r="Q73" s="338"/>
      <c r="R73" s="338"/>
      <c r="S73" s="338"/>
      <c r="T73" s="338"/>
      <c r="U73" s="338"/>
      <c r="V73" s="338"/>
      <c r="W73" s="338"/>
      <c r="X73" s="338"/>
      <c r="Y73" s="338"/>
      <c r="Z73" s="338"/>
      <c r="AA73" s="338"/>
      <c r="AB73" s="338"/>
      <c r="AC73" s="338"/>
      <c r="AD73" s="338"/>
      <c r="AE73" s="338"/>
      <c r="AF73" s="315"/>
      <c r="AG73" s="315"/>
      <c r="AH73" s="315"/>
      <c r="AI73" s="315"/>
      <c r="AJ73" s="315"/>
      <c r="AK73" s="315"/>
      <c r="AL73" s="315"/>
      <c r="AM73" s="315"/>
      <c r="AN73" s="315"/>
      <c r="AO73" s="315"/>
      <c r="AP73" s="315"/>
      <c r="AQ73" s="315"/>
      <c r="AR73" s="315"/>
      <c r="AS73" s="315"/>
      <c r="AT73" s="315"/>
      <c r="AU73" s="315"/>
      <c r="AV73" s="315"/>
    </row>
    <row r="74" ht="18.75" customHeight="1">
      <c r="A74" s="338"/>
      <c r="B74" s="338"/>
      <c r="C74" s="338"/>
      <c r="D74" s="338"/>
      <c r="E74" s="338"/>
      <c r="F74" s="338"/>
      <c r="G74" s="338"/>
      <c r="H74" s="338"/>
      <c r="I74" s="338"/>
      <c r="J74" s="338"/>
      <c r="K74" s="338"/>
      <c r="L74" s="338"/>
      <c r="M74" s="338"/>
      <c r="N74" s="338"/>
      <c r="O74" s="338"/>
      <c r="P74" s="338"/>
      <c r="Q74" s="338"/>
      <c r="R74" s="338"/>
      <c r="S74" s="338"/>
      <c r="T74" s="338"/>
      <c r="U74" s="338"/>
      <c r="V74" s="338"/>
      <c r="W74" s="338"/>
      <c r="X74" s="338"/>
      <c r="Y74" s="338"/>
      <c r="Z74" s="338"/>
      <c r="AA74" s="338"/>
      <c r="AB74" s="338"/>
      <c r="AC74" s="338"/>
      <c r="AD74" s="338"/>
      <c r="AE74" s="338"/>
      <c r="AF74" s="315"/>
      <c r="AG74" s="315"/>
      <c r="AH74" s="315"/>
      <c r="AI74" s="315"/>
      <c r="AJ74" s="315"/>
      <c r="AK74" s="315"/>
      <c r="AL74" s="315"/>
      <c r="AM74" s="315"/>
      <c r="AN74" s="315"/>
      <c r="AO74" s="315"/>
      <c r="AP74" s="315"/>
      <c r="AQ74" s="315"/>
      <c r="AR74" s="315"/>
      <c r="AS74" s="315"/>
      <c r="AT74" s="315"/>
      <c r="AU74" s="315"/>
      <c r="AV74" s="315"/>
    </row>
    <row r="75" ht="18.75" customHeight="1">
      <c r="A75" s="338"/>
      <c r="B75" s="338"/>
      <c r="C75" s="338"/>
      <c r="D75" s="338"/>
      <c r="E75" s="338"/>
      <c r="F75" s="338"/>
      <c r="G75" s="338"/>
      <c r="H75" s="338"/>
      <c r="I75" s="338"/>
      <c r="J75" s="338"/>
      <c r="K75" s="338"/>
      <c r="L75" s="338"/>
      <c r="M75" s="338"/>
      <c r="N75" s="338"/>
      <c r="O75" s="338"/>
      <c r="P75" s="338"/>
      <c r="Q75" s="338"/>
      <c r="R75" s="338"/>
      <c r="S75" s="338"/>
      <c r="T75" s="338"/>
      <c r="U75" s="338"/>
      <c r="V75" s="338"/>
      <c r="W75" s="338"/>
      <c r="X75" s="338"/>
      <c r="Y75" s="338"/>
      <c r="Z75" s="338"/>
      <c r="AA75" s="338"/>
      <c r="AB75" s="338"/>
      <c r="AC75" s="338"/>
      <c r="AD75" s="338"/>
      <c r="AE75" s="338"/>
      <c r="AF75" s="315"/>
      <c r="AG75" s="315"/>
      <c r="AH75" s="315"/>
      <c r="AI75" s="315"/>
      <c r="AJ75" s="315"/>
      <c r="AK75" s="315"/>
      <c r="AL75" s="315"/>
      <c r="AM75" s="315"/>
      <c r="AN75" s="315"/>
      <c r="AO75" s="315"/>
      <c r="AP75" s="315"/>
      <c r="AQ75" s="315"/>
      <c r="AR75" s="315"/>
      <c r="AS75" s="315"/>
      <c r="AT75" s="315"/>
      <c r="AU75" s="315"/>
      <c r="AV75" s="315"/>
    </row>
    <row r="76" ht="18.75" customHeight="1">
      <c r="A76" s="338"/>
      <c r="B76" s="338"/>
      <c r="C76" s="338"/>
      <c r="D76" s="338"/>
      <c r="E76" s="338"/>
      <c r="F76" s="338"/>
      <c r="G76" s="338"/>
      <c r="H76" s="338"/>
      <c r="I76" s="338"/>
      <c r="J76" s="338"/>
      <c r="K76" s="338"/>
      <c r="L76" s="338"/>
      <c r="M76" s="338"/>
      <c r="N76" s="338"/>
      <c r="O76" s="338"/>
      <c r="P76" s="338"/>
      <c r="Q76" s="338"/>
      <c r="R76" s="338"/>
      <c r="S76" s="338"/>
      <c r="T76" s="338"/>
      <c r="U76" s="338"/>
      <c r="V76" s="338"/>
      <c r="W76" s="338"/>
      <c r="X76" s="338"/>
      <c r="Y76" s="338"/>
      <c r="Z76" s="338"/>
      <c r="AA76" s="338"/>
      <c r="AB76" s="338"/>
      <c r="AC76" s="338"/>
      <c r="AD76" s="338"/>
      <c r="AE76" s="338"/>
      <c r="AF76" s="315"/>
      <c r="AG76" s="315"/>
      <c r="AH76" s="315"/>
      <c r="AI76" s="315"/>
      <c r="AJ76" s="315"/>
      <c r="AK76" s="315"/>
      <c r="AL76" s="315"/>
      <c r="AM76" s="315"/>
      <c r="AN76" s="315"/>
      <c r="AO76" s="315"/>
      <c r="AP76" s="315"/>
      <c r="AQ76" s="315"/>
      <c r="AR76" s="315"/>
      <c r="AS76" s="315"/>
      <c r="AT76" s="315"/>
      <c r="AU76" s="315"/>
      <c r="AV76" s="315"/>
    </row>
    <row r="77" ht="18.75" customHeight="1">
      <c r="A77" s="338"/>
      <c r="B77" s="338"/>
      <c r="C77" s="338"/>
      <c r="D77" s="338"/>
      <c r="E77" s="338"/>
      <c r="F77" s="338"/>
      <c r="G77" s="338"/>
      <c r="H77" s="338"/>
      <c r="I77" s="338"/>
      <c r="J77" s="338"/>
      <c r="K77" s="338"/>
      <c r="L77" s="338"/>
      <c r="M77" s="338"/>
      <c r="N77" s="338"/>
      <c r="O77" s="338"/>
      <c r="P77" s="338"/>
      <c r="Q77" s="338"/>
      <c r="R77" s="338"/>
      <c r="S77" s="338"/>
      <c r="T77" s="338"/>
      <c r="U77" s="338"/>
      <c r="V77" s="338"/>
      <c r="W77" s="338"/>
      <c r="X77" s="338"/>
      <c r="Y77" s="338"/>
      <c r="Z77" s="338"/>
      <c r="AA77" s="338"/>
      <c r="AB77" s="338"/>
      <c r="AC77" s="338"/>
      <c r="AD77" s="338"/>
      <c r="AE77" s="338"/>
      <c r="AF77" s="315"/>
      <c r="AG77" s="315"/>
      <c r="AH77" s="315"/>
      <c r="AI77" s="315"/>
      <c r="AJ77" s="315"/>
      <c r="AK77" s="315"/>
      <c r="AL77" s="315"/>
      <c r="AM77" s="315"/>
      <c r="AN77" s="315"/>
      <c r="AO77" s="315"/>
      <c r="AP77" s="315"/>
      <c r="AQ77" s="315"/>
      <c r="AR77" s="315"/>
      <c r="AS77" s="315"/>
      <c r="AT77" s="315"/>
      <c r="AU77" s="315"/>
      <c r="AV77" s="315"/>
    </row>
    <row r="78" ht="18.75" customHeight="1">
      <c r="A78" s="338"/>
      <c r="B78" s="338"/>
      <c r="C78" s="338"/>
      <c r="D78" s="338"/>
      <c r="E78" s="338"/>
      <c r="F78" s="338"/>
      <c r="G78" s="338"/>
      <c r="H78" s="338"/>
      <c r="I78" s="338"/>
      <c r="J78" s="338"/>
      <c r="K78" s="338"/>
      <c r="L78" s="338"/>
      <c r="M78" s="338"/>
      <c r="N78" s="338"/>
      <c r="O78" s="338"/>
      <c r="P78" s="338"/>
      <c r="Q78" s="338"/>
      <c r="R78" s="338"/>
      <c r="S78" s="338"/>
      <c r="T78" s="338"/>
      <c r="U78" s="338"/>
      <c r="V78" s="338"/>
      <c r="W78" s="338"/>
      <c r="X78" s="338"/>
      <c r="Y78" s="338"/>
      <c r="Z78" s="338"/>
      <c r="AA78" s="338"/>
      <c r="AB78" s="338"/>
      <c r="AC78" s="338"/>
      <c r="AD78" s="338"/>
      <c r="AE78" s="338"/>
      <c r="AF78" s="315"/>
      <c r="AG78" s="315"/>
      <c r="AH78" s="315"/>
      <c r="AI78" s="315"/>
      <c r="AJ78" s="315"/>
      <c r="AK78" s="315"/>
      <c r="AL78" s="315"/>
      <c r="AM78" s="315"/>
      <c r="AN78" s="315"/>
      <c r="AO78" s="315"/>
      <c r="AP78" s="315"/>
      <c r="AQ78" s="315"/>
      <c r="AR78" s="315"/>
      <c r="AS78" s="315"/>
      <c r="AT78" s="315"/>
      <c r="AU78" s="315"/>
      <c r="AV78" s="315"/>
    </row>
    <row r="79" ht="18.75" customHeight="1">
      <c r="A79" s="338"/>
      <c r="B79" s="338"/>
      <c r="C79" s="338"/>
      <c r="D79" s="338"/>
      <c r="E79" s="338"/>
      <c r="F79" s="338"/>
      <c r="G79" s="338"/>
      <c r="H79" s="338"/>
      <c r="I79" s="338"/>
      <c r="J79" s="338"/>
      <c r="K79" s="338"/>
      <c r="L79" s="338"/>
      <c r="M79" s="338"/>
      <c r="N79" s="338"/>
      <c r="O79" s="338"/>
      <c r="P79" s="338"/>
      <c r="Q79" s="338"/>
      <c r="R79" s="338"/>
      <c r="S79" s="338"/>
      <c r="T79" s="338"/>
      <c r="U79" s="338"/>
      <c r="V79" s="338"/>
      <c r="W79" s="338"/>
      <c r="X79" s="338"/>
      <c r="Y79" s="338"/>
      <c r="Z79" s="338"/>
      <c r="AA79" s="338"/>
      <c r="AB79" s="338"/>
      <c r="AC79" s="338"/>
      <c r="AD79" s="338"/>
      <c r="AE79" s="338"/>
      <c r="AF79" s="315"/>
      <c r="AG79" s="315"/>
      <c r="AH79" s="315"/>
      <c r="AI79" s="315"/>
      <c r="AJ79" s="315"/>
      <c r="AK79" s="315"/>
      <c r="AL79" s="315"/>
      <c r="AM79" s="315"/>
      <c r="AN79" s="315"/>
      <c r="AO79" s="315"/>
      <c r="AP79" s="315"/>
      <c r="AQ79" s="315"/>
      <c r="AR79" s="315"/>
      <c r="AS79" s="315"/>
      <c r="AT79" s="315"/>
      <c r="AU79" s="315"/>
      <c r="AV79" s="315"/>
    </row>
    <row r="80" ht="18.75" customHeight="1">
      <c r="A80" s="338"/>
      <c r="B80" s="338"/>
      <c r="C80" s="338"/>
      <c r="D80" s="338"/>
      <c r="E80" s="338"/>
      <c r="F80" s="338"/>
      <c r="G80" s="338"/>
      <c r="H80" s="338"/>
      <c r="I80" s="338"/>
      <c r="J80" s="338"/>
      <c r="K80" s="338"/>
      <c r="L80" s="338"/>
      <c r="M80" s="338"/>
      <c r="N80" s="338"/>
      <c r="O80" s="338"/>
      <c r="P80" s="338"/>
      <c r="Q80" s="338"/>
      <c r="R80" s="338"/>
      <c r="S80" s="338"/>
      <c r="T80" s="338"/>
      <c r="U80" s="338"/>
      <c r="V80" s="338"/>
      <c r="W80" s="338"/>
      <c r="X80" s="338"/>
      <c r="Y80" s="338"/>
      <c r="Z80" s="338"/>
      <c r="AA80" s="338"/>
      <c r="AB80" s="338"/>
      <c r="AC80" s="338"/>
      <c r="AD80" s="338"/>
      <c r="AE80" s="338"/>
      <c r="AF80" s="315"/>
      <c r="AG80" s="315"/>
      <c r="AH80" s="315"/>
      <c r="AI80" s="315"/>
      <c r="AJ80" s="315"/>
      <c r="AK80" s="315"/>
      <c r="AL80" s="315"/>
      <c r="AM80" s="315"/>
      <c r="AN80" s="315"/>
      <c r="AO80" s="315"/>
      <c r="AP80" s="315"/>
      <c r="AQ80" s="315"/>
      <c r="AR80" s="315"/>
      <c r="AS80" s="315"/>
      <c r="AT80" s="315"/>
      <c r="AU80" s="315"/>
      <c r="AV80" s="315"/>
    </row>
    <row r="81" ht="18.75" customHeight="1">
      <c r="A81" s="338"/>
      <c r="B81" s="338"/>
      <c r="C81" s="338"/>
      <c r="D81" s="338"/>
      <c r="E81" s="338"/>
      <c r="F81" s="338"/>
      <c r="G81" s="338"/>
      <c r="H81" s="338"/>
      <c r="I81" s="338"/>
      <c r="J81" s="338"/>
      <c r="K81" s="338"/>
      <c r="L81" s="338"/>
      <c r="M81" s="338"/>
      <c r="N81" s="338"/>
      <c r="O81" s="338"/>
      <c r="P81" s="338"/>
      <c r="Q81" s="338"/>
      <c r="R81" s="338"/>
      <c r="S81" s="338"/>
      <c r="T81" s="338"/>
      <c r="U81" s="338"/>
      <c r="V81" s="338"/>
      <c r="W81" s="338"/>
      <c r="X81" s="338"/>
      <c r="Y81" s="338"/>
      <c r="Z81" s="338"/>
      <c r="AA81" s="338"/>
      <c r="AB81" s="338"/>
      <c r="AC81" s="338"/>
      <c r="AD81" s="338"/>
      <c r="AE81" s="338"/>
      <c r="AF81" s="315"/>
      <c r="AG81" s="315"/>
      <c r="AH81" s="315"/>
      <c r="AI81" s="315"/>
      <c r="AJ81" s="315"/>
      <c r="AK81" s="315"/>
      <c r="AL81" s="315"/>
      <c r="AM81" s="315"/>
      <c r="AN81" s="315"/>
      <c r="AO81" s="315"/>
      <c r="AP81" s="315"/>
      <c r="AQ81" s="315"/>
      <c r="AR81" s="315"/>
      <c r="AS81" s="315"/>
      <c r="AT81" s="315"/>
      <c r="AU81" s="315"/>
      <c r="AV81" s="315"/>
    </row>
    <row r="82" ht="18.75" customHeight="1">
      <c r="A82" s="338"/>
      <c r="B82" s="338"/>
      <c r="C82" s="338"/>
      <c r="D82" s="338"/>
      <c r="E82" s="338"/>
      <c r="F82" s="338"/>
      <c r="G82" s="338"/>
      <c r="H82" s="338"/>
      <c r="I82" s="338"/>
      <c r="J82" s="338"/>
      <c r="K82" s="338"/>
      <c r="L82" s="338"/>
      <c r="M82" s="338"/>
      <c r="N82" s="338"/>
      <c r="O82" s="338"/>
      <c r="P82" s="338"/>
      <c r="Q82" s="338"/>
      <c r="R82" s="338"/>
      <c r="S82" s="338"/>
      <c r="T82" s="338"/>
      <c r="U82" s="338"/>
      <c r="V82" s="338"/>
      <c r="W82" s="338"/>
      <c r="X82" s="338"/>
      <c r="Y82" s="338"/>
      <c r="Z82" s="338"/>
      <c r="AA82" s="338"/>
      <c r="AB82" s="338"/>
      <c r="AC82" s="338"/>
      <c r="AD82" s="338"/>
      <c r="AE82" s="338"/>
      <c r="AF82" s="315"/>
      <c r="AG82" s="315"/>
      <c r="AH82" s="315"/>
      <c r="AI82" s="315"/>
      <c r="AJ82" s="315"/>
      <c r="AK82" s="315"/>
      <c r="AL82" s="315"/>
      <c r="AM82" s="315"/>
      <c r="AN82" s="315"/>
      <c r="AO82" s="315"/>
      <c r="AP82" s="315"/>
      <c r="AQ82" s="315"/>
      <c r="AR82" s="315"/>
      <c r="AS82" s="315"/>
      <c r="AT82" s="315"/>
      <c r="AU82" s="315"/>
      <c r="AV82" s="315"/>
    </row>
    <row r="83" ht="18.75" customHeight="1">
      <c r="A83" s="338"/>
      <c r="B83" s="338"/>
      <c r="C83" s="338"/>
      <c r="D83" s="338"/>
      <c r="E83" s="338"/>
      <c r="F83" s="338"/>
      <c r="G83" s="338"/>
      <c r="H83" s="338"/>
      <c r="I83" s="338"/>
      <c r="J83" s="338"/>
      <c r="K83" s="338"/>
      <c r="L83" s="338"/>
      <c r="M83" s="338"/>
      <c r="N83" s="338"/>
      <c r="O83" s="338"/>
      <c r="P83" s="338"/>
      <c r="Q83" s="338"/>
      <c r="R83" s="338"/>
      <c r="S83" s="338"/>
      <c r="T83" s="338"/>
      <c r="U83" s="338"/>
      <c r="V83" s="338"/>
      <c r="W83" s="338"/>
      <c r="X83" s="338"/>
      <c r="Y83" s="338"/>
      <c r="Z83" s="338"/>
      <c r="AA83" s="338"/>
      <c r="AB83" s="338"/>
      <c r="AC83" s="338"/>
      <c r="AD83" s="338"/>
      <c r="AE83" s="338"/>
      <c r="AF83" s="315"/>
      <c r="AG83" s="315"/>
      <c r="AH83" s="315"/>
      <c r="AI83" s="315"/>
      <c r="AJ83" s="315"/>
      <c r="AK83" s="315"/>
      <c r="AL83" s="315"/>
      <c r="AM83" s="315"/>
      <c r="AN83" s="315"/>
      <c r="AO83" s="315"/>
      <c r="AP83" s="315"/>
      <c r="AQ83" s="315"/>
      <c r="AR83" s="315"/>
      <c r="AS83" s="315"/>
      <c r="AT83" s="315"/>
      <c r="AU83" s="315"/>
      <c r="AV83" s="315"/>
    </row>
    <row r="84" ht="18.75" customHeight="1">
      <c r="A84" s="315"/>
      <c r="B84" s="315"/>
      <c r="C84" s="338"/>
      <c r="D84" s="338"/>
      <c r="E84" s="338"/>
      <c r="F84" s="338"/>
      <c r="G84" s="338"/>
      <c r="H84" s="338"/>
      <c r="I84" s="338"/>
      <c r="J84" s="338"/>
      <c r="K84" s="338"/>
      <c r="L84" s="338"/>
      <c r="M84" s="338"/>
      <c r="N84" s="338"/>
      <c r="O84" s="338"/>
      <c r="P84" s="338"/>
      <c r="Q84" s="338"/>
      <c r="R84" s="338"/>
      <c r="S84" s="338"/>
      <c r="T84" s="338"/>
      <c r="U84" s="338"/>
      <c r="V84" s="338"/>
      <c r="W84" s="338"/>
      <c r="X84" s="338"/>
      <c r="Y84" s="338"/>
      <c r="Z84" s="338"/>
      <c r="AA84" s="338"/>
      <c r="AB84" s="338"/>
      <c r="AC84" s="338"/>
      <c r="AD84" s="338"/>
      <c r="AE84" s="338"/>
      <c r="AF84" s="315"/>
      <c r="AG84" s="315"/>
      <c r="AH84" s="315"/>
      <c r="AI84" s="315"/>
      <c r="AJ84" s="315"/>
      <c r="AK84" s="315"/>
      <c r="AL84" s="315"/>
      <c r="AM84" s="315"/>
      <c r="AN84" s="315"/>
      <c r="AO84" s="315"/>
      <c r="AP84" s="315"/>
      <c r="AQ84" s="315"/>
      <c r="AR84" s="315"/>
      <c r="AS84" s="315"/>
      <c r="AT84" s="315"/>
      <c r="AU84" s="315"/>
      <c r="AV84" s="315"/>
    </row>
    <row r="85" ht="18.75" customHeight="1">
      <c r="A85" s="315"/>
      <c r="B85" s="315"/>
      <c r="C85" s="338"/>
      <c r="D85" s="338"/>
      <c r="E85" s="338"/>
      <c r="F85" s="338"/>
      <c r="G85" s="338"/>
      <c r="H85" s="338"/>
      <c r="I85" s="338"/>
      <c r="J85" s="338"/>
      <c r="K85" s="338"/>
      <c r="L85" s="338"/>
      <c r="M85" s="338"/>
      <c r="N85" s="338"/>
      <c r="O85" s="338"/>
      <c r="P85" s="338"/>
      <c r="Q85" s="338"/>
      <c r="R85" s="338"/>
      <c r="S85" s="338"/>
      <c r="T85" s="338"/>
      <c r="U85" s="338"/>
      <c r="V85" s="338"/>
      <c r="W85" s="338"/>
      <c r="X85" s="338"/>
      <c r="Y85" s="338"/>
      <c r="Z85" s="338"/>
      <c r="AA85" s="338"/>
      <c r="AB85" s="338"/>
      <c r="AC85" s="338"/>
      <c r="AD85" s="338"/>
      <c r="AE85" s="338"/>
      <c r="AF85" s="315"/>
      <c r="AG85" s="315"/>
      <c r="AH85" s="315"/>
      <c r="AI85" s="315"/>
      <c r="AJ85" s="315"/>
      <c r="AK85" s="315"/>
      <c r="AL85" s="315"/>
      <c r="AM85" s="315"/>
      <c r="AN85" s="315"/>
      <c r="AO85" s="315"/>
      <c r="AP85" s="315"/>
      <c r="AQ85" s="315"/>
      <c r="AR85" s="315"/>
      <c r="AS85" s="315"/>
      <c r="AT85" s="315"/>
      <c r="AU85" s="315"/>
      <c r="AV85" s="315"/>
    </row>
    <row r="86" ht="18.75" customHeight="1">
      <c r="A86" s="315"/>
      <c r="B86" s="315"/>
      <c r="C86" s="338"/>
      <c r="D86" s="338"/>
      <c r="E86" s="338"/>
      <c r="F86" s="338"/>
      <c r="G86" s="338"/>
      <c r="H86" s="338"/>
      <c r="I86" s="338"/>
      <c r="J86" s="338"/>
      <c r="K86" s="338"/>
      <c r="L86" s="338"/>
      <c r="M86" s="338"/>
      <c r="N86" s="338"/>
      <c r="O86" s="338"/>
      <c r="P86" s="338"/>
      <c r="Q86" s="338"/>
      <c r="R86" s="338"/>
      <c r="S86" s="338"/>
      <c r="T86" s="338"/>
      <c r="U86" s="338"/>
      <c r="V86" s="338"/>
      <c r="W86" s="338"/>
      <c r="X86" s="338"/>
      <c r="Y86" s="338"/>
      <c r="Z86" s="338"/>
      <c r="AA86" s="338"/>
      <c r="AB86" s="338"/>
      <c r="AC86" s="338"/>
      <c r="AD86" s="338"/>
      <c r="AE86" s="338"/>
      <c r="AF86" s="315"/>
      <c r="AG86" s="315"/>
      <c r="AH86" s="315"/>
      <c r="AI86" s="315"/>
      <c r="AJ86" s="315"/>
      <c r="AK86" s="315"/>
      <c r="AL86" s="315"/>
      <c r="AM86" s="315"/>
      <c r="AN86" s="315"/>
      <c r="AO86" s="315"/>
      <c r="AP86" s="315"/>
      <c r="AQ86" s="315"/>
      <c r="AR86" s="315"/>
      <c r="AS86" s="315"/>
      <c r="AT86" s="315"/>
      <c r="AU86" s="315"/>
      <c r="AV86" s="315"/>
    </row>
    <row r="87" ht="18.75" customHeight="1">
      <c r="A87" s="315"/>
      <c r="B87" s="315"/>
      <c r="C87" s="338"/>
      <c r="D87" s="338"/>
      <c r="E87" s="338"/>
      <c r="F87" s="338"/>
      <c r="G87" s="338"/>
      <c r="H87" s="338"/>
      <c r="I87" s="338"/>
      <c r="J87" s="338"/>
      <c r="K87" s="338"/>
      <c r="L87" s="338"/>
      <c r="M87" s="338"/>
      <c r="N87" s="338"/>
      <c r="O87" s="338"/>
      <c r="P87" s="338"/>
      <c r="Q87" s="338"/>
      <c r="R87" s="338"/>
      <c r="S87" s="338"/>
      <c r="T87" s="338"/>
      <c r="U87" s="338"/>
      <c r="V87" s="338"/>
      <c r="W87" s="338"/>
      <c r="X87" s="338"/>
      <c r="Y87" s="338"/>
      <c r="Z87" s="338"/>
      <c r="AA87" s="338"/>
      <c r="AB87" s="338"/>
      <c r="AC87" s="338"/>
      <c r="AD87" s="338"/>
      <c r="AE87" s="338"/>
      <c r="AF87" s="315"/>
      <c r="AG87" s="315"/>
      <c r="AH87" s="315"/>
      <c r="AI87" s="315"/>
      <c r="AJ87" s="315"/>
      <c r="AK87" s="315"/>
      <c r="AL87" s="315"/>
      <c r="AM87" s="315"/>
      <c r="AN87" s="315"/>
      <c r="AO87" s="315"/>
      <c r="AP87" s="315"/>
      <c r="AQ87" s="315"/>
      <c r="AR87" s="315"/>
      <c r="AS87" s="315"/>
      <c r="AT87" s="315"/>
      <c r="AU87" s="315"/>
      <c r="AV87" s="315"/>
    </row>
    <row r="88" ht="18.75" customHeight="1">
      <c r="A88" s="315"/>
      <c r="B88" s="315"/>
      <c r="C88" s="338"/>
      <c r="D88" s="338"/>
      <c r="E88" s="338"/>
      <c r="F88" s="338"/>
      <c r="G88" s="338"/>
      <c r="H88" s="338"/>
      <c r="I88" s="338"/>
      <c r="J88" s="338"/>
      <c r="K88" s="338"/>
      <c r="L88" s="338"/>
      <c r="M88" s="338"/>
      <c r="N88" s="338"/>
      <c r="O88" s="338"/>
      <c r="P88" s="338"/>
      <c r="Q88" s="338"/>
      <c r="R88" s="338"/>
      <c r="S88" s="338"/>
      <c r="T88" s="338"/>
      <c r="U88" s="338"/>
      <c r="V88" s="338"/>
      <c r="W88" s="338"/>
      <c r="X88" s="338"/>
      <c r="Y88" s="338"/>
      <c r="Z88" s="338"/>
      <c r="AA88" s="338"/>
      <c r="AB88" s="338"/>
      <c r="AC88" s="338"/>
      <c r="AD88" s="338"/>
      <c r="AE88" s="338"/>
      <c r="AF88" s="315"/>
      <c r="AG88" s="315"/>
      <c r="AH88" s="315"/>
      <c r="AI88" s="315"/>
      <c r="AJ88" s="315"/>
      <c r="AK88" s="315"/>
      <c r="AL88" s="315"/>
      <c r="AM88" s="315"/>
      <c r="AN88" s="315"/>
      <c r="AO88" s="315"/>
      <c r="AP88" s="315"/>
      <c r="AQ88" s="315"/>
      <c r="AR88" s="315"/>
      <c r="AS88" s="315"/>
      <c r="AT88" s="315"/>
      <c r="AU88" s="315"/>
      <c r="AV88" s="315"/>
    </row>
    <row r="89" ht="18.75" customHeight="1">
      <c r="A89" s="315"/>
      <c r="B89" s="315"/>
      <c r="C89" s="338"/>
      <c r="D89" s="338"/>
      <c r="E89" s="338"/>
      <c r="F89" s="338"/>
      <c r="G89" s="338"/>
      <c r="H89" s="338"/>
      <c r="I89" s="338"/>
      <c r="J89" s="338"/>
      <c r="K89" s="338"/>
      <c r="L89" s="338"/>
      <c r="M89" s="338"/>
      <c r="N89" s="338"/>
      <c r="O89" s="338"/>
      <c r="P89" s="338"/>
      <c r="Q89" s="338"/>
      <c r="R89" s="338"/>
      <c r="S89" s="338"/>
      <c r="T89" s="338"/>
      <c r="U89" s="338"/>
      <c r="V89" s="338"/>
      <c r="W89" s="338"/>
      <c r="X89" s="338"/>
      <c r="Y89" s="338"/>
      <c r="Z89" s="338"/>
      <c r="AA89" s="338"/>
      <c r="AB89" s="338"/>
      <c r="AC89" s="338"/>
      <c r="AD89" s="338"/>
      <c r="AE89" s="338"/>
      <c r="AF89" s="315"/>
      <c r="AG89" s="315"/>
      <c r="AH89" s="315"/>
      <c r="AI89" s="315"/>
      <c r="AJ89" s="315"/>
      <c r="AK89" s="315"/>
      <c r="AL89" s="315"/>
      <c r="AM89" s="315"/>
      <c r="AN89" s="315"/>
      <c r="AO89" s="315"/>
      <c r="AP89" s="315"/>
      <c r="AQ89" s="315"/>
      <c r="AR89" s="315"/>
      <c r="AS89" s="315"/>
      <c r="AT89" s="315"/>
      <c r="AU89" s="315"/>
      <c r="AV89" s="315"/>
    </row>
    <row r="90" ht="18.75" customHeight="1">
      <c r="A90" s="315"/>
      <c r="B90" s="315"/>
      <c r="C90" s="338"/>
      <c r="D90" s="338"/>
      <c r="E90" s="338"/>
      <c r="F90" s="338"/>
      <c r="G90" s="338"/>
      <c r="H90" s="338"/>
      <c r="I90" s="338"/>
      <c r="J90" s="338"/>
      <c r="K90" s="338"/>
      <c r="L90" s="338"/>
      <c r="M90" s="338"/>
      <c r="N90" s="338"/>
      <c r="O90" s="338"/>
      <c r="P90" s="338"/>
      <c r="Q90" s="338"/>
      <c r="R90" s="338"/>
      <c r="S90" s="338"/>
      <c r="T90" s="338"/>
      <c r="U90" s="338"/>
      <c r="V90" s="338"/>
      <c r="W90" s="338"/>
      <c r="X90" s="338"/>
      <c r="Y90" s="338"/>
      <c r="Z90" s="338"/>
      <c r="AA90" s="338"/>
      <c r="AB90" s="338"/>
      <c r="AC90" s="338"/>
      <c r="AD90" s="338"/>
      <c r="AE90" s="338"/>
      <c r="AF90" s="315"/>
      <c r="AG90" s="315"/>
      <c r="AH90" s="315"/>
      <c r="AI90" s="315"/>
      <c r="AJ90" s="315"/>
      <c r="AK90" s="315"/>
      <c r="AL90" s="315"/>
      <c r="AM90" s="315"/>
      <c r="AN90" s="315"/>
      <c r="AO90" s="315"/>
      <c r="AP90" s="315"/>
      <c r="AQ90" s="315"/>
      <c r="AR90" s="315"/>
      <c r="AS90" s="315"/>
      <c r="AT90" s="315"/>
      <c r="AU90" s="315"/>
      <c r="AV90" s="315"/>
    </row>
    <row r="91" ht="18.75" customHeight="1">
      <c r="A91" s="315"/>
      <c r="B91" s="315"/>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15"/>
      <c r="AG91" s="315"/>
      <c r="AH91" s="315"/>
      <c r="AI91" s="315"/>
      <c r="AJ91" s="315"/>
      <c r="AK91" s="315"/>
      <c r="AL91" s="315"/>
      <c r="AM91" s="315"/>
      <c r="AN91" s="315"/>
      <c r="AO91" s="315"/>
      <c r="AP91" s="315"/>
      <c r="AQ91" s="315"/>
      <c r="AR91" s="315"/>
      <c r="AS91" s="315"/>
      <c r="AT91" s="315"/>
      <c r="AU91" s="315"/>
      <c r="AV91" s="315"/>
    </row>
    <row r="92">
      <c r="A92" s="315"/>
      <c r="B92" s="315"/>
      <c r="C92" s="338"/>
      <c r="D92" s="338"/>
      <c r="E92" s="338"/>
      <c r="F92" s="338"/>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15"/>
      <c r="AG92" s="315"/>
      <c r="AH92" s="315"/>
      <c r="AI92" s="315"/>
      <c r="AJ92" s="315"/>
      <c r="AK92" s="315"/>
      <c r="AL92" s="315"/>
      <c r="AM92" s="315"/>
      <c r="AN92" s="315"/>
      <c r="AO92" s="315"/>
      <c r="AP92" s="315"/>
      <c r="AQ92" s="315"/>
      <c r="AR92" s="315"/>
      <c r="AS92" s="315"/>
      <c r="AT92" s="315"/>
      <c r="AU92" s="315"/>
      <c r="AV92" s="315"/>
    </row>
    <row r="93">
      <c r="A93" s="315"/>
      <c r="B93" s="315"/>
      <c r="C93" s="338"/>
      <c r="D93" s="338"/>
      <c r="E93" s="338"/>
      <c r="F93" s="338"/>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15"/>
      <c r="AG93" s="315"/>
      <c r="AH93" s="315"/>
      <c r="AI93" s="315"/>
      <c r="AJ93" s="315"/>
      <c r="AK93" s="315"/>
      <c r="AL93" s="315"/>
      <c r="AM93" s="315"/>
      <c r="AN93" s="315"/>
      <c r="AO93" s="315"/>
      <c r="AP93" s="315"/>
      <c r="AQ93" s="315"/>
      <c r="AR93" s="315"/>
      <c r="AS93" s="315"/>
      <c r="AT93" s="315"/>
      <c r="AU93" s="315"/>
      <c r="AV93" s="315"/>
    </row>
    <row r="94">
      <c r="A94" s="315"/>
      <c r="B94" s="315"/>
      <c r="C94" s="338"/>
      <c r="D94" s="338"/>
      <c r="E94" s="338"/>
      <c r="F94" s="338"/>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15"/>
      <c r="AG94" s="315"/>
      <c r="AH94" s="315"/>
      <c r="AI94" s="315"/>
      <c r="AJ94" s="315"/>
      <c r="AK94" s="315"/>
      <c r="AL94" s="315"/>
      <c r="AM94" s="315"/>
      <c r="AN94" s="315"/>
      <c r="AO94" s="315"/>
      <c r="AP94" s="315"/>
      <c r="AQ94" s="315"/>
      <c r="AR94" s="315"/>
      <c r="AS94" s="315"/>
      <c r="AT94" s="315"/>
      <c r="AU94" s="315"/>
      <c r="AV94" s="315"/>
    </row>
    <row r="95">
      <c r="A95" s="315"/>
      <c r="B95" s="315"/>
      <c r="C95" s="338"/>
      <c r="D95" s="338"/>
      <c r="E95" s="338"/>
      <c r="F95" s="338"/>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15"/>
      <c r="AG95" s="315"/>
      <c r="AH95" s="315"/>
      <c r="AI95" s="315"/>
      <c r="AJ95" s="315"/>
      <c r="AK95" s="315"/>
      <c r="AL95" s="315"/>
      <c r="AM95" s="315"/>
      <c r="AN95" s="315"/>
      <c r="AO95" s="315"/>
      <c r="AP95" s="315"/>
      <c r="AQ95" s="315"/>
      <c r="AR95" s="315"/>
      <c r="AS95" s="315"/>
      <c r="AT95" s="315"/>
      <c r="AU95" s="315"/>
      <c r="AV95" s="315"/>
    </row>
    <row r="96">
      <c r="A96" s="315"/>
      <c r="B96" s="315"/>
      <c r="C96" s="338"/>
      <c r="D96" s="338"/>
      <c r="E96" s="338"/>
      <c r="F96" s="338"/>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15"/>
      <c r="AG96" s="315"/>
      <c r="AH96" s="315"/>
      <c r="AI96" s="315"/>
      <c r="AJ96" s="315"/>
      <c r="AK96" s="315"/>
      <c r="AL96" s="315"/>
      <c r="AM96" s="315"/>
      <c r="AN96" s="315"/>
      <c r="AO96" s="315"/>
      <c r="AP96" s="315"/>
      <c r="AQ96" s="315"/>
      <c r="AR96" s="315"/>
      <c r="AS96" s="315"/>
      <c r="AT96" s="315"/>
      <c r="AU96" s="315"/>
      <c r="AV96" s="315"/>
    </row>
    <row r="97">
      <c r="A97" s="315"/>
      <c r="B97" s="315"/>
      <c r="C97" s="338"/>
      <c r="D97" s="338"/>
      <c r="E97" s="338"/>
      <c r="F97" s="338"/>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15"/>
      <c r="AG97" s="315"/>
      <c r="AH97" s="315"/>
      <c r="AI97" s="315"/>
      <c r="AJ97" s="315"/>
      <c r="AK97" s="315"/>
      <c r="AL97" s="315"/>
      <c r="AM97" s="315"/>
      <c r="AN97" s="315"/>
      <c r="AO97" s="315"/>
      <c r="AP97" s="315"/>
      <c r="AQ97" s="315"/>
      <c r="AR97" s="315"/>
      <c r="AS97" s="315"/>
      <c r="AT97" s="315"/>
      <c r="AU97" s="315"/>
      <c r="AV97" s="315"/>
    </row>
    <row r="98">
      <c r="A98" s="315"/>
      <c r="B98" s="315"/>
      <c r="C98" s="338"/>
      <c r="D98" s="338"/>
      <c r="E98" s="338"/>
      <c r="F98" s="338"/>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15"/>
      <c r="AG98" s="315"/>
      <c r="AH98" s="315"/>
      <c r="AI98" s="315"/>
      <c r="AJ98" s="315"/>
      <c r="AK98" s="315"/>
      <c r="AL98" s="315"/>
      <c r="AM98" s="315"/>
      <c r="AN98" s="315"/>
      <c r="AO98" s="315"/>
      <c r="AP98" s="315"/>
      <c r="AQ98" s="315"/>
      <c r="AR98" s="315"/>
      <c r="AS98" s="315"/>
      <c r="AT98" s="315"/>
      <c r="AU98" s="315"/>
      <c r="AV98" s="315"/>
    </row>
  </sheetData>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02"/>
    <col min="16" max="30" width="3.28515625" customWidth="1" style="202"/>
    <col min="31" max="31" width="3.28515625" customWidth="1" style="204"/>
    <col min="32" max="146" width="3.140625" customWidth="1" style="202"/>
    <col min="147" max="16384" width="9.140625" customWidth="1" style="202"/>
  </cols>
  <sheetData>
    <row r="1" ht="19.7" customHeight="1">
      <c r="B1" s="452" t="s">
        <v>147</v>
      </c>
      <c r="C1" s="452"/>
      <c r="D1" s="452"/>
      <c r="E1" s="452"/>
      <c r="F1" s="452"/>
      <c r="G1" s="452"/>
      <c r="H1" s="452"/>
      <c r="I1" s="452"/>
      <c r="J1" s="452"/>
      <c r="K1" s="452"/>
      <c r="L1" s="452"/>
      <c r="M1" s="452"/>
      <c r="N1" s="350"/>
      <c r="O1" s="350"/>
      <c r="P1" s="433" t="s">
        <v>148</v>
      </c>
      <c r="Q1" s="433"/>
      <c r="R1" s="433"/>
      <c r="S1" s="433"/>
      <c r="T1" s="433"/>
      <c r="U1" s="433"/>
      <c r="V1" s="433"/>
      <c r="W1" s="433"/>
      <c r="X1" s="433"/>
      <c r="Y1" s="433"/>
      <c r="Z1" s="433"/>
      <c r="AA1" s="433"/>
      <c r="AB1" s="433"/>
      <c r="AC1" s="433"/>
      <c r="AD1" s="433"/>
      <c r="AE1" s="336"/>
      <c r="AF1" s="315"/>
      <c r="AG1" s="315"/>
      <c r="AH1" s="315"/>
      <c r="AI1" s="315"/>
      <c r="AJ1" s="315"/>
      <c r="AK1" s="315"/>
      <c r="AL1" s="315"/>
      <c r="AM1" s="315"/>
      <c r="AN1" s="315"/>
      <c r="AO1" s="315"/>
      <c r="AP1" s="315"/>
      <c r="AQ1" s="315"/>
      <c r="AR1" s="315"/>
      <c r="AS1" s="315"/>
      <c r="AT1" s="315"/>
      <c r="AU1" s="315"/>
      <c r="AV1" s="315"/>
    </row>
    <row r="2" ht="19.7" customHeight="1">
      <c r="B2" s="315"/>
      <c r="C2" s="452" t="s">
        <v>149</v>
      </c>
      <c r="D2" s="452"/>
      <c r="E2" s="452"/>
      <c r="F2" s="452"/>
      <c r="G2" s="452"/>
      <c r="H2" s="452"/>
      <c r="I2" s="452"/>
      <c r="J2" s="452"/>
      <c r="K2" s="452"/>
      <c r="L2" s="452"/>
      <c r="M2" s="350"/>
      <c r="N2" s="375"/>
      <c r="O2" s="350"/>
      <c r="P2" s="453" t="s">
        <v>150</v>
      </c>
      <c r="Q2" s="453"/>
      <c r="R2" s="453"/>
      <c r="S2" s="453"/>
      <c r="T2" s="453"/>
      <c r="U2" s="453"/>
      <c r="V2" s="453"/>
      <c r="W2" s="453"/>
      <c r="X2" s="453"/>
      <c r="Y2" s="453"/>
      <c r="Z2" s="453"/>
      <c r="AA2" s="453"/>
      <c r="AB2" s="453"/>
      <c r="AC2" s="453"/>
      <c r="AD2" s="453"/>
      <c r="AE2" s="338"/>
      <c r="AF2" s="315"/>
      <c r="AG2" s="315"/>
      <c r="AH2" s="315"/>
      <c r="AI2" s="315"/>
      <c r="AJ2" s="315"/>
      <c r="AK2" s="315"/>
      <c r="AL2" s="315"/>
      <c r="AM2" s="315"/>
      <c r="AN2" s="315"/>
      <c r="AO2" s="315"/>
      <c r="AP2" s="315"/>
      <c r="AQ2" s="315"/>
      <c r="AR2" s="315"/>
      <c r="AS2" s="315"/>
      <c r="AT2" s="315"/>
      <c r="AU2" s="315"/>
      <c r="AV2" s="315"/>
    </row>
    <row r="3" ht="12" customHeight="1">
      <c r="B3" s="315"/>
      <c r="C3" s="349"/>
      <c r="D3" s="349"/>
      <c r="E3" s="376"/>
      <c r="F3" s="376"/>
      <c r="G3" s="376"/>
      <c r="H3" s="376"/>
      <c r="I3" s="376"/>
      <c r="J3" s="376"/>
      <c r="K3" s="349"/>
      <c r="L3" s="348"/>
      <c r="M3" s="349"/>
      <c r="N3" s="349"/>
      <c r="O3" s="349"/>
      <c r="P3" s="349"/>
      <c r="Q3" s="345"/>
      <c r="R3" s="345"/>
      <c r="S3" s="376"/>
      <c r="T3" s="376"/>
      <c r="U3" s="376"/>
      <c r="V3" s="376"/>
      <c r="W3" s="376"/>
      <c r="X3" s="376"/>
      <c r="Y3" s="376"/>
      <c r="Z3" s="376"/>
      <c r="AA3" s="376"/>
      <c r="AB3" s="350"/>
      <c r="AC3" s="350"/>
      <c r="AD3" s="350"/>
      <c r="AE3" s="338"/>
      <c r="AF3" s="315"/>
      <c r="AG3" s="315"/>
      <c r="AH3" s="315"/>
      <c r="AI3" s="315"/>
      <c r="AJ3" s="315"/>
      <c r="AK3" s="315"/>
      <c r="AL3" s="315"/>
      <c r="AM3" s="315"/>
      <c r="AN3" s="315"/>
      <c r="AO3" s="315"/>
      <c r="AP3" s="315"/>
      <c r="AQ3" s="315"/>
      <c r="AR3" s="315"/>
      <c r="AS3" s="315"/>
      <c r="AT3" s="315"/>
      <c r="AU3" s="315"/>
      <c r="AV3" s="315"/>
    </row>
    <row r="4" ht="6.75" customHeight="1">
      <c r="B4" s="315"/>
      <c r="C4" s="343"/>
      <c r="D4" s="343"/>
      <c r="E4" s="344"/>
      <c r="F4" s="344"/>
      <c r="G4" s="344"/>
      <c r="H4" s="344"/>
      <c r="I4" s="344"/>
      <c r="J4" s="344"/>
      <c r="K4" s="344"/>
      <c r="L4" s="345"/>
      <c r="M4" s="345"/>
      <c r="N4" s="345"/>
      <c r="O4" s="345"/>
      <c r="P4" s="344"/>
      <c r="Q4" s="375"/>
      <c r="R4" s="375"/>
      <c r="S4" s="375"/>
      <c r="T4" s="375"/>
      <c r="U4" s="375"/>
      <c r="V4" s="375"/>
      <c r="W4" s="375"/>
      <c r="X4" s="375"/>
      <c r="Y4" s="375"/>
      <c r="Z4" s="375"/>
      <c r="AA4" s="375"/>
      <c r="AB4" s="375"/>
      <c r="AC4" s="375"/>
      <c r="AD4" s="375"/>
      <c r="AE4" s="338"/>
      <c r="AF4" s="315"/>
      <c r="AG4" s="315"/>
      <c r="AH4" s="315"/>
      <c r="AI4" s="315"/>
      <c r="AJ4" s="315"/>
      <c r="AK4" s="315"/>
      <c r="AL4" s="315"/>
      <c r="AM4" s="315"/>
      <c r="AN4" s="315"/>
      <c r="AO4" s="315"/>
      <c r="AP4" s="315"/>
      <c r="AQ4" s="315"/>
      <c r="AR4" s="315"/>
      <c r="AS4" s="315"/>
      <c r="AT4" s="315"/>
      <c r="AU4" s="315"/>
      <c r="AV4" s="315"/>
    </row>
    <row r="5" ht="0.75" customHeight="1">
      <c r="B5" s="315"/>
      <c r="C5" s="377"/>
      <c r="D5" s="377"/>
      <c r="E5" s="349"/>
      <c r="F5" s="349"/>
      <c r="G5" s="349"/>
      <c r="H5" s="349"/>
      <c r="I5" s="349"/>
      <c r="J5" s="349"/>
      <c r="K5" s="349"/>
      <c r="L5" s="349"/>
      <c r="M5" s="349"/>
      <c r="N5" s="349"/>
      <c r="O5" s="349"/>
      <c r="P5" s="349"/>
      <c r="Q5" s="349"/>
      <c r="R5" s="349"/>
      <c r="S5" s="349"/>
      <c r="T5" s="349"/>
      <c r="U5" s="349"/>
      <c r="V5" s="349"/>
      <c r="W5" s="349"/>
      <c r="X5" s="349"/>
      <c r="Y5" s="349"/>
      <c r="Z5" s="349"/>
      <c r="AA5" s="349"/>
      <c r="AB5" s="350"/>
      <c r="AC5" s="350"/>
      <c r="AD5" s="350"/>
      <c r="AE5" s="338"/>
      <c r="AF5" s="315"/>
      <c r="AG5" s="315"/>
      <c r="AH5" s="315"/>
      <c r="AI5" s="315"/>
      <c r="AJ5" s="315"/>
      <c r="AK5" s="315"/>
      <c r="AL5" s="315"/>
      <c r="AM5" s="315"/>
      <c r="AN5" s="315"/>
      <c r="AO5" s="315"/>
      <c r="AP5" s="315"/>
      <c r="AQ5" s="315"/>
      <c r="AR5" s="315"/>
      <c r="AS5" s="315"/>
      <c r="AT5" s="315"/>
      <c r="AU5" s="315"/>
      <c r="AV5" s="315"/>
    </row>
    <row r="6" ht="19.7" customHeight="1">
      <c r="B6" s="315"/>
      <c r="C6" s="445" t="s">
        <v>151</v>
      </c>
      <c r="D6" s="445"/>
      <c r="E6" s="445"/>
      <c r="F6" s="445"/>
      <c r="G6" s="445"/>
      <c r="H6" s="445"/>
      <c r="I6" s="445"/>
      <c r="J6" s="445"/>
      <c r="K6" s="445"/>
      <c r="L6" s="445"/>
      <c r="M6" s="445"/>
      <c r="N6" s="445"/>
      <c r="O6" s="445"/>
      <c r="P6" s="445"/>
      <c r="Q6" s="445"/>
      <c r="R6" s="445"/>
      <c r="S6" s="445"/>
      <c r="T6" s="445"/>
      <c r="U6" s="445"/>
      <c r="V6" s="445"/>
      <c r="W6" s="445"/>
      <c r="X6" s="445"/>
      <c r="Y6" s="445"/>
      <c r="Z6" s="445"/>
      <c r="AA6" s="445"/>
      <c r="AB6" s="445"/>
      <c r="AC6" s="445"/>
      <c r="AD6" s="445"/>
      <c r="AE6" s="338"/>
      <c r="AF6" s="315"/>
      <c r="AG6" s="315"/>
      <c r="AH6" s="315"/>
      <c r="AI6" s="315"/>
      <c r="AJ6" s="315"/>
      <c r="AK6" s="315"/>
      <c r="AL6" s="315"/>
      <c r="AM6" s="315"/>
      <c r="AN6" s="315"/>
      <c r="AO6" s="315"/>
      <c r="AP6" s="315"/>
      <c r="AQ6" s="315"/>
      <c r="AR6" s="315"/>
      <c r="AS6" s="315"/>
      <c r="AT6" s="315"/>
      <c r="AU6" s="315"/>
      <c r="AV6" s="315"/>
    </row>
    <row r="7" ht="19.7" customHeight="1">
      <c r="B7" s="315"/>
      <c r="C7" s="445" t="s">
        <v>152</v>
      </c>
      <c r="D7" s="445"/>
      <c r="E7" s="445"/>
      <c r="F7" s="445"/>
      <c r="G7" s="445"/>
      <c r="H7" s="445"/>
      <c r="I7" s="445"/>
      <c r="J7" s="445"/>
      <c r="K7" s="445"/>
      <c r="L7" s="445"/>
      <c r="M7" s="445"/>
      <c r="N7" s="445"/>
      <c r="O7" s="445"/>
      <c r="P7" s="445"/>
      <c r="Q7" s="445"/>
      <c r="R7" s="445"/>
      <c r="S7" s="445"/>
      <c r="T7" s="445"/>
      <c r="U7" s="445"/>
      <c r="V7" s="445"/>
      <c r="W7" s="445"/>
      <c r="X7" s="445"/>
      <c r="Y7" s="445"/>
      <c r="Z7" s="445"/>
      <c r="AA7" s="445"/>
      <c r="AB7" s="445"/>
      <c r="AC7" s="445"/>
      <c r="AD7" s="445"/>
      <c r="AE7" s="338"/>
      <c r="AF7" s="315"/>
      <c r="AG7" s="315"/>
      <c r="AH7" s="315"/>
      <c r="AI7" s="315"/>
      <c r="AJ7" s="315"/>
      <c r="AK7" s="315"/>
      <c r="AL7" s="315"/>
      <c r="AM7" s="315"/>
      <c r="AN7" s="315"/>
      <c r="AO7" s="315"/>
      <c r="AP7" s="315"/>
      <c r="AQ7" s="315"/>
      <c r="AR7" s="315"/>
      <c r="AS7" s="315"/>
      <c r="AT7" s="315"/>
      <c r="AU7" s="315"/>
      <c r="AV7" s="315"/>
    </row>
    <row r="8" ht="12.75" customHeight="1">
      <c r="B8" s="315"/>
      <c r="C8" s="348"/>
      <c r="D8" s="349"/>
      <c r="E8" s="349"/>
      <c r="F8" s="349"/>
      <c r="G8" s="349"/>
      <c r="H8" s="349"/>
      <c r="I8" s="349"/>
      <c r="J8" s="349"/>
      <c r="K8" s="349"/>
      <c r="L8" s="349"/>
      <c r="M8" s="349"/>
      <c r="N8" s="349"/>
      <c r="O8" s="349"/>
      <c r="P8" s="349"/>
      <c r="Q8" s="349"/>
      <c r="R8" s="349"/>
      <c r="S8" s="349"/>
      <c r="T8" s="349"/>
      <c r="U8" s="349"/>
      <c r="V8" s="349"/>
      <c r="W8" s="349"/>
      <c r="X8" s="349"/>
      <c r="Y8" s="349"/>
      <c r="Z8" s="349"/>
      <c r="AA8" s="349"/>
      <c r="AB8" s="350"/>
      <c r="AC8" s="350"/>
      <c r="AD8" s="350"/>
      <c r="AE8" s="338"/>
      <c r="AF8" s="315"/>
      <c r="AG8" s="315"/>
      <c r="AH8" s="315"/>
      <c r="AI8" s="315"/>
      <c r="AJ8" s="315"/>
      <c r="AK8" s="315"/>
      <c r="AL8" s="315"/>
      <c r="AM8" s="315"/>
      <c r="AN8" s="315"/>
      <c r="AO8" s="315"/>
      <c r="AP8" s="315"/>
      <c r="AQ8" s="315"/>
      <c r="AR8" s="315"/>
      <c r="AS8" s="315"/>
      <c r="AT8" s="315"/>
      <c r="AU8" s="315"/>
      <c r="AV8" s="315"/>
    </row>
    <row r="9" ht="15.75" customHeight="1">
      <c r="B9" s="315"/>
      <c r="C9" s="453" t="str">
        <f>"Số: "&amp;AG9</f>
        <v>Số: B08600120811TG05</v>
      </c>
      <c r="D9" s="453"/>
      <c r="E9" s="453"/>
      <c r="F9" s="453"/>
      <c r="G9" s="453"/>
      <c r="H9" s="453"/>
      <c r="I9" s="453"/>
      <c r="J9" s="453"/>
      <c r="K9" s="453"/>
      <c r="L9" s="453"/>
      <c r="M9" s="453"/>
      <c r="N9" s="453"/>
      <c r="O9" s="453"/>
      <c r="P9" s="453"/>
      <c r="Q9" s="453"/>
      <c r="R9" s="453"/>
      <c r="S9" s="453"/>
      <c r="T9" s="453"/>
      <c r="U9" s="453"/>
      <c r="V9" s="453"/>
      <c r="W9" s="453"/>
      <c r="X9" s="453"/>
      <c r="Y9" s="453"/>
      <c r="Z9" s="453"/>
      <c r="AA9" s="453"/>
      <c r="AB9" s="453"/>
      <c r="AC9" s="453"/>
      <c r="AD9" s="453"/>
      <c r="AE9" s="338"/>
      <c r="AF9" s="315"/>
      <c r="AG9" s="351" t="s">
        <v>153</v>
      </c>
      <c r="AH9" s="315"/>
      <c r="AI9" s="315"/>
      <c r="AJ9" s="315"/>
      <c r="AK9" s="315"/>
      <c r="AL9" s="315"/>
      <c r="AM9" s="315"/>
      <c r="AN9" s="315"/>
      <c r="AO9" s="315"/>
      <c r="AP9" s="315"/>
      <c r="AQ9" s="315"/>
      <c r="AR9" s="315"/>
      <c r="AS9" s="315"/>
      <c r="AT9" s="315"/>
      <c r="AU9" s="315"/>
      <c r="AV9" s="315"/>
    </row>
    <row r="10" ht="10.5" customHeight="1">
      <c r="B10" s="315"/>
      <c r="C10" s="352"/>
      <c r="D10" s="349"/>
      <c r="E10" s="349"/>
      <c r="F10" s="349"/>
      <c r="G10" s="349"/>
      <c r="H10" s="349"/>
      <c r="I10" s="349"/>
      <c r="J10" s="349"/>
      <c r="K10" s="349"/>
      <c r="L10" s="349"/>
      <c r="M10" s="349"/>
      <c r="N10" s="349"/>
      <c r="O10" s="349"/>
      <c r="P10" s="349"/>
      <c r="Q10" s="349"/>
      <c r="R10" s="349"/>
      <c r="S10" s="349"/>
      <c r="T10" s="349"/>
      <c r="U10" s="349"/>
      <c r="V10" s="349"/>
      <c r="W10" s="349"/>
      <c r="X10" s="349"/>
      <c r="Y10" s="349"/>
      <c r="Z10" s="349"/>
      <c r="AA10" s="349"/>
      <c r="AB10" s="350"/>
      <c r="AC10" s="350"/>
      <c r="AD10" s="350"/>
      <c r="AE10" s="338"/>
      <c r="AF10" s="315"/>
      <c r="AG10" s="315"/>
      <c r="AH10" s="315"/>
      <c r="AI10" s="315"/>
      <c r="AJ10" s="315"/>
      <c r="AK10" s="315"/>
      <c r="AL10" s="315"/>
      <c r="AM10" s="315"/>
      <c r="AN10" s="315"/>
      <c r="AO10" s="315"/>
      <c r="AP10" s="315"/>
      <c r="AQ10" s="315"/>
      <c r="AR10" s="315"/>
      <c r="AS10" s="315"/>
      <c r="AT10" s="315"/>
      <c r="AU10" s="315"/>
      <c r="AV10" s="315"/>
    </row>
    <row r="11" ht="19.7" customHeight="1">
      <c r="B11" s="315"/>
      <c r="C11" s="445" t="s">
        <v>154</v>
      </c>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338"/>
      <c r="AF11" s="315"/>
      <c r="AG11" s="315"/>
      <c r="AH11" s="315"/>
      <c r="AI11" s="315"/>
      <c r="AJ11" s="315"/>
      <c r="AK11" s="315"/>
      <c r="AL11" s="315"/>
      <c r="AM11" s="315"/>
      <c r="AN11" s="315"/>
      <c r="AO11" s="315"/>
      <c r="AP11" s="315"/>
      <c r="AQ11" s="315"/>
      <c r="AR11" s="315"/>
      <c r="AS11" s="315"/>
      <c r="AT11" s="315"/>
      <c r="AU11" s="315"/>
      <c r="AV11" s="315"/>
    </row>
    <row r="12" ht="19.7" customHeight="1">
      <c r="B12" s="315"/>
      <c r="C12" s="445" t="s">
        <v>155</v>
      </c>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338"/>
      <c r="AF12" s="315"/>
      <c r="AG12" s="315"/>
      <c r="AH12" s="315"/>
      <c r="AI12" s="315"/>
      <c r="AJ12" s="315"/>
      <c r="AK12" s="315"/>
      <c r="AL12" s="315"/>
      <c r="AM12" s="315"/>
      <c r="AN12" s="315"/>
      <c r="AO12" s="315"/>
      <c r="AP12" s="315"/>
      <c r="AQ12" s="315"/>
      <c r="AR12" s="315"/>
      <c r="AS12" s="315"/>
      <c r="AT12" s="315"/>
      <c r="AU12" s="315"/>
      <c r="AV12" s="315"/>
    </row>
    <row r="13" ht="7.5" customHeight="1">
      <c r="B13" s="315"/>
      <c r="C13" s="353"/>
      <c r="D13" s="339"/>
      <c r="E13" s="339"/>
      <c r="F13" s="339"/>
      <c r="G13" s="339"/>
      <c r="H13" s="339"/>
      <c r="I13" s="339"/>
      <c r="J13" s="339"/>
      <c r="K13" s="339"/>
      <c r="L13" s="339"/>
      <c r="M13" s="339"/>
      <c r="N13" s="339"/>
      <c r="O13" s="339"/>
      <c r="P13" s="339"/>
      <c r="Q13" s="339"/>
      <c r="R13" s="339"/>
      <c r="S13" s="339"/>
      <c r="T13" s="339"/>
      <c r="U13" s="339"/>
      <c r="V13" s="339"/>
      <c r="W13" s="339"/>
      <c r="X13" s="339"/>
      <c r="Y13" s="339"/>
      <c r="Z13" s="339"/>
      <c r="AA13" s="339"/>
      <c r="AB13" s="315"/>
      <c r="AC13" s="315"/>
      <c r="AD13" s="315"/>
      <c r="AE13" s="338"/>
      <c r="AF13" s="315"/>
      <c r="AG13" s="315"/>
      <c r="AH13" s="315"/>
      <c r="AI13" s="315"/>
      <c r="AJ13" s="315"/>
      <c r="AK13" s="315"/>
      <c r="AL13" s="315"/>
      <c r="AM13" s="315"/>
      <c r="AN13" s="315"/>
      <c r="AO13" s="315"/>
      <c r="AP13" s="315"/>
      <c r="AQ13" s="315"/>
      <c r="AR13" s="315"/>
      <c r="AS13" s="315"/>
      <c r="AT13" s="315"/>
      <c r="AU13" s="315"/>
      <c r="AV13" s="315"/>
    </row>
    <row r="14" ht="3" customHeight="1">
      <c r="B14" s="315"/>
      <c r="C14" s="354"/>
      <c r="D14" s="339"/>
      <c r="E14" s="339"/>
      <c r="F14" s="339"/>
      <c r="G14" s="339"/>
      <c r="H14" s="339"/>
      <c r="I14" s="339"/>
      <c r="J14" s="339"/>
      <c r="K14" s="339"/>
      <c r="L14" s="339"/>
      <c r="M14" s="339"/>
      <c r="N14" s="339"/>
      <c r="O14" s="339"/>
      <c r="P14" s="339"/>
      <c r="Q14" s="339"/>
      <c r="R14" s="339"/>
      <c r="S14" s="339"/>
      <c r="T14" s="339"/>
      <c r="U14" s="339"/>
      <c r="V14" s="339"/>
      <c r="W14" s="339"/>
      <c r="X14" s="339"/>
      <c r="Y14" s="339"/>
      <c r="Z14" s="339"/>
      <c r="AA14" s="339"/>
      <c r="AB14" s="315"/>
      <c r="AC14" s="315"/>
      <c r="AD14" s="315"/>
      <c r="AE14" s="338"/>
      <c r="AF14" s="315"/>
      <c r="AG14" s="315"/>
      <c r="AH14" s="315"/>
      <c r="AI14" s="315"/>
      <c r="AJ14" s="315"/>
      <c r="AK14" s="315"/>
      <c r="AL14" s="315"/>
      <c r="AM14" s="315"/>
      <c r="AN14" s="315"/>
      <c r="AO14" s="315"/>
      <c r="AP14" s="315"/>
      <c r="AQ14" s="315"/>
      <c r="AR14" s="315"/>
      <c r="AS14" s="315"/>
      <c r="AT14" s="315"/>
      <c r="AU14" s="315"/>
      <c r="AV14" s="315"/>
    </row>
    <row r="15" ht="23.25" customHeight="1">
      <c r="B15" s="315"/>
      <c r="C15" s="446" t="s">
        <v>152</v>
      </c>
      <c r="D15" s="447"/>
      <c r="E15" s="447"/>
      <c r="F15" s="447"/>
      <c r="G15" s="447"/>
      <c r="H15" s="447"/>
      <c r="I15" s="447"/>
      <c r="J15" s="447"/>
      <c r="K15" s="447"/>
      <c r="L15" s="447"/>
      <c r="M15" s="447"/>
      <c r="N15" s="447"/>
      <c r="O15" s="447"/>
      <c r="P15" s="447"/>
      <c r="Q15" s="447"/>
      <c r="R15" s="447"/>
      <c r="S15" s="447"/>
      <c r="T15" s="447"/>
      <c r="U15" s="447"/>
      <c r="V15" s="447"/>
      <c r="W15" s="447"/>
      <c r="X15" s="447"/>
      <c r="Y15" s="447"/>
      <c r="Z15" s="447"/>
      <c r="AA15" s="447"/>
      <c r="AB15" s="447"/>
      <c r="AC15" s="447"/>
      <c r="AD15" s="448"/>
      <c r="AE15" s="355"/>
      <c r="AF15" s="315"/>
      <c r="AG15" s="356">
        <v>1</v>
      </c>
      <c r="AH15" s="356"/>
      <c r="AI15" s="356"/>
      <c r="AJ15" s="356"/>
      <c r="AK15" s="356">
        <v>2</v>
      </c>
      <c r="AL15" s="356"/>
      <c r="AM15" s="356"/>
      <c r="AN15" s="356"/>
      <c r="AO15" s="356">
        <v>3</v>
      </c>
      <c r="AP15" s="315"/>
      <c r="AQ15" s="315"/>
      <c r="AR15" s="315"/>
      <c r="AS15" s="315">
        <v>4</v>
      </c>
      <c r="AT15" s="315"/>
      <c r="AU15" s="315"/>
      <c r="AV15" s="315"/>
    </row>
    <row r="16" ht="38.25" customHeight="1">
      <c r="B16" s="315"/>
      <c r="C16" s="477" t="s">
        <v>89</v>
      </c>
      <c r="D16" s="478"/>
      <c r="E16" s="478"/>
      <c r="F16" s="478"/>
      <c r="G16" s="478"/>
      <c r="H16" s="478"/>
      <c r="I16" s="478"/>
      <c r="J16" s="478"/>
      <c r="K16" s="478"/>
      <c r="L16" s="479"/>
      <c r="M16" s="457" t="str">
        <f>AG16</f>
        <v>Ấp Bàu Trâu, xã Phước Thạnh, huyện Củ Chi, thành phố Hồ Chí Minh.</v>
      </c>
      <c r="N16" s="458"/>
      <c r="O16" s="458"/>
      <c r="P16" s="458"/>
      <c r="Q16" s="458"/>
      <c r="R16" s="458"/>
      <c r="S16" s="458"/>
      <c r="T16" s="458"/>
      <c r="U16" s="458"/>
      <c r="V16" s="458"/>
      <c r="W16" s="458"/>
      <c r="X16" s="458"/>
      <c r="Y16" s="458"/>
      <c r="Z16" s="458"/>
      <c r="AA16" s="458"/>
      <c r="AB16" s="458"/>
      <c r="AC16" s="458"/>
      <c r="AD16" s="459"/>
      <c r="AE16" s="355"/>
      <c r="AF16" s="315"/>
      <c r="AG16" s="378" t="s">
        <v>156</v>
      </c>
      <c r="AH16" s="315"/>
      <c r="AI16" s="315"/>
      <c r="AJ16" s="315"/>
      <c r="AK16" s="315"/>
      <c r="AL16" s="315"/>
      <c r="AM16" s="315"/>
      <c r="AN16" s="315"/>
      <c r="AO16" s="315"/>
      <c r="AP16" s="315"/>
      <c r="AQ16" s="315"/>
      <c r="AR16" s="315"/>
      <c r="AS16" s="315"/>
      <c r="AT16" s="315"/>
      <c r="AU16" s="315"/>
      <c r="AV16" s="315"/>
    </row>
    <row r="17" ht="21" customHeight="1">
      <c r="B17" s="315"/>
      <c r="C17" s="454" t="s">
        <v>88</v>
      </c>
      <c r="D17" s="455"/>
      <c r="E17" s="455"/>
      <c r="F17" s="455"/>
      <c r="G17" s="455"/>
      <c r="H17" s="455"/>
      <c r="I17" s="455"/>
      <c r="J17" s="455"/>
      <c r="K17" s="455"/>
      <c r="L17" s="456"/>
      <c r="M17" s="446" t="str">
        <f>IF(AG17="","",AG17)</f>
      </c>
      <c r="N17" s="447"/>
      <c r="O17" s="447"/>
      <c r="P17" s="447"/>
      <c r="Q17" s="447"/>
      <c r="R17" s="447"/>
      <c r="S17" s="447"/>
      <c r="T17" s="447"/>
      <c r="U17" s="447"/>
      <c r="V17" s="447"/>
      <c r="W17" s="447"/>
      <c r="X17" s="447"/>
      <c r="Y17" s="447"/>
      <c r="Z17" s="447"/>
      <c r="AA17" s="447"/>
      <c r="AB17" s="447"/>
      <c r="AC17" s="447"/>
      <c r="AD17" s="448"/>
      <c r="AE17" s="355"/>
      <c r="AF17" s="315"/>
      <c r="AG17" s="315"/>
      <c r="AH17" s="315"/>
      <c r="AI17" s="315"/>
      <c r="AJ17" s="315"/>
      <c r="AK17" s="315"/>
      <c r="AL17" s="315"/>
      <c r="AM17" s="315"/>
      <c r="AN17" s="315"/>
      <c r="AO17" s="315"/>
      <c r="AP17" s="315"/>
      <c r="AQ17" s="315"/>
      <c r="AR17" s="315"/>
      <c r="AS17" s="315"/>
      <c r="AT17" s="315"/>
      <c r="AU17" s="315"/>
      <c r="AV17" s="315"/>
    </row>
    <row r="18" ht="33.95" customHeight="1">
      <c r="B18" s="315"/>
      <c r="C18" s="449" t="s">
        <v>157</v>
      </c>
      <c r="D18" s="450"/>
      <c r="E18" s="450"/>
      <c r="F18" s="450"/>
      <c r="G18" s="450"/>
      <c r="H18" s="450"/>
      <c r="I18" s="450"/>
      <c r="J18" s="450"/>
      <c r="K18" s="450"/>
      <c r="L18" s="451"/>
      <c r="M18" s="442" t="str">
        <f>AG18</f>
        <v>CÔNG TY CỔ PHẦN VIỄN THÔNG DI ĐỘNG TOÀN CẦU</v>
      </c>
      <c r="N18" s="443"/>
      <c r="O18" s="443"/>
      <c r="P18" s="443"/>
      <c r="Q18" s="443"/>
      <c r="R18" s="443"/>
      <c r="S18" s="443"/>
      <c r="T18" s="443"/>
      <c r="U18" s="443"/>
      <c r="V18" s="443"/>
      <c r="W18" s="443"/>
      <c r="X18" s="443"/>
      <c r="Y18" s="443"/>
      <c r="Z18" s="443"/>
      <c r="AA18" s="443"/>
      <c r="AB18" s="443"/>
      <c r="AC18" s="443"/>
      <c r="AD18" s="444"/>
      <c r="AE18" s="355"/>
      <c r="AF18" s="315"/>
      <c r="AG18" s="351" t="s">
        <v>158</v>
      </c>
      <c r="AH18" s="315"/>
      <c r="AI18" s="315"/>
      <c r="AJ18" s="315"/>
      <c r="AK18" s="315"/>
      <c r="AL18" s="315"/>
      <c r="AM18" s="315"/>
      <c r="AN18" s="315"/>
      <c r="AO18" s="315"/>
      <c r="AP18" s="315"/>
      <c r="AQ18" s="315"/>
      <c r="AR18" s="315"/>
      <c r="AS18" s="315"/>
      <c r="AT18" s="315"/>
      <c r="AU18" s="315"/>
      <c r="AV18" s="315"/>
    </row>
    <row r="19" ht="33.95" customHeight="1">
      <c r="B19" s="315"/>
      <c r="C19" s="449" t="s">
        <v>159</v>
      </c>
      <c r="D19" s="450"/>
      <c r="E19" s="450"/>
      <c r="F19" s="450"/>
      <c r="G19" s="450"/>
      <c r="H19" s="450"/>
      <c r="I19" s="450"/>
      <c r="J19" s="450"/>
      <c r="K19" s="450"/>
      <c r="L19" s="451"/>
      <c r="M19" s="442" t="str">
        <f>AG19</f>
        <v>CÔNG TY CỔ PHẦN VIỄN THÔNG DI ĐỘNG TOÀN CẦU</v>
      </c>
      <c r="N19" s="443"/>
      <c r="O19" s="443"/>
      <c r="P19" s="443"/>
      <c r="Q19" s="443"/>
      <c r="R19" s="443"/>
      <c r="S19" s="443"/>
      <c r="T19" s="443"/>
      <c r="U19" s="443"/>
      <c r="V19" s="443"/>
      <c r="W19" s="443"/>
      <c r="X19" s="443"/>
      <c r="Y19" s="443"/>
      <c r="Z19" s="443"/>
      <c r="AA19" s="443"/>
      <c r="AB19" s="443"/>
      <c r="AC19" s="443"/>
      <c r="AD19" s="444"/>
      <c r="AE19" s="358"/>
      <c r="AF19" s="315"/>
      <c r="AG19" s="351" t="s">
        <v>158</v>
      </c>
      <c r="AH19" s="315"/>
      <c r="AI19" s="315"/>
      <c r="AJ19" s="315"/>
      <c r="AK19" s="315"/>
      <c r="AL19" s="315"/>
      <c r="AM19" s="315"/>
      <c r="AN19" s="315"/>
      <c r="AO19" s="315"/>
      <c r="AP19" s="315"/>
      <c r="AQ19" s="315"/>
      <c r="AR19" s="315"/>
      <c r="AS19" s="315"/>
      <c r="AT19" s="315"/>
      <c r="AU19" s="315"/>
      <c r="AV19" s="315"/>
    </row>
    <row r="20" ht="21" customHeight="1">
      <c r="B20" s="315"/>
      <c r="C20" s="466" t="s">
        <v>160</v>
      </c>
      <c r="D20" s="467"/>
      <c r="E20" s="467"/>
      <c r="F20" s="467"/>
      <c r="G20" s="467"/>
      <c r="H20" s="467"/>
      <c r="I20" s="467"/>
      <c r="J20" s="467"/>
      <c r="K20" s="467"/>
      <c r="L20" s="467"/>
      <c r="M20" s="467"/>
      <c r="N20" s="467"/>
      <c r="O20" s="467"/>
      <c r="P20" s="467"/>
      <c r="Q20" s="467"/>
      <c r="R20" s="467"/>
      <c r="S20" s="467"/>
      <c r="T20" s="467"/>
      <c r="U20" s="467"/>
      <c r="V20" s="467"/>
      <c r="W20" s="467"/>
      <c r="X20" s="467"/>
      <c r="Y20" s="467"/>
      <c r="Z20" s="467"/>
      <c r="AA20" s="467"/>
      <c r="AB20" s="467"/>
      <c r="AC20" s="467"/>
      <c r="AD20" s="468"/>
      <c r="AE20" s="359"/>
      <c r="AF20" s="315"/>
      <c r="AG20" s="315"/>
      <c r="AH20" s="315"/>
      <c r="AI20" s="315"/>
      <c r="AJ20" s="315"/>
      <c r="AK20" s="315"/>
      <c r="AL20" s="315"/>
      <c r="AM20" s="315"/>
      <c r="AN20" s="315"/>
      <c r="AO20" s="315"/>
      <c r="AP20" s="315"/>
      <c r="AQ20" s="315"/>
      <c r="AR20" s="315"/>
      <c r="AS20" s="315"/>
      <c r="AT20" s="315"/>
      <c r="AU20" s="315"/>
      <c r="AV20" s="315"/>
    </row>
    <row r="21" ht="33.95" customHeight="1">
      <c r="B21" s="315"/>
      <c r="C21" s="460" t="s">
        <v>161</v>
      </c>
      <c r="D21" s="460"/>
      <c r="E21" s="460"/>
      <c r="F21" s="460"/>
      <c r="G21" s="460"/>
      <c r="H21" s="460"/>
      <c r="I21" s="460"/>
      <c r="J21" s="460"/>
      <c r="K21" s="460"/>
      <c r="L21" s="460"/>
      <c r="M21" s="480" t="str">
        <f>AG21</f>
        <v>MOTOROLA HORIZON II MACRO</v>
      </c>
      <c r="N21" s="480"/>
      <c r="O21" s="480"/>
      <c r="P21" s="480"/>
      <c r="Q21" s="480"/>
      <c r="R21" s="480"/>
      <c r="S21" s="480"/>
      <c r="T21" s="480"/>
      <c r="U21" s="480"/>
      <c r="V21" s="480" t="str">
        <f>AK21</f>
        <v>MOTOROLA HORIZON II MACRO</v>
      </c>
      <c r="W21" s="480"/>
      <c r="X21" s="480"/>
      <c r="Y21" s="480"/>
      <c r="Z21" s="480"/>
      <c r="AA21" s="480"/>
      <c r="AB21" s="480"/>
      <c r="AC21" s="480"/>
      <c r="AD21" s="480"/>
      <c r="AE21" s="355"/>
      <c r="AF21" s="315"/>
      <c r="AG21" s="351" t="s">
        <v>205</v>
      </c>
      <c r="AH21" s="315"/>
      <c r="AI21" s="315"/>
      <c r="AJ21" s="315"/>
      <c r="AK21" s="351" t="s">
        <v>205</v>
      </c>
      <c r="AL21" s="315"/>
      <c r="AM21" s="315"/>
      <c r="AN21" s="315"/>
      <c r="AO21" s="351" t="s">
        <v>164</v>
      </c>
      <c r="AP21" s="315"/>
      <c r="AQ21" s="315"/>
      <c r="AR21" s="315"/>
      <c r="AS21" s="351" t="s">
        <v>165</v>
      </c>
      <c r="AT21" s="315"/>
      <c r="AU21" s="315"/>
      <c r="AV21" s="315"/>
    </row>
    <row r="22" ht="19.7" customHeight="1">
      <c r="B22" s="315"/>
      <c r="C22" s="469" t="s">
        <v>166</v>
      </c>
      <c r="D22" s="470"/>
      <c r="E22" s="470"/>
      <c r="F22" s="470"/>
      <c r="G22" s="470"/>
      <c r="H22" s="470"/>
      <c r="I22" s="470"/>
      <c r="J22" s="470"/>
      <c r="K22" s="470"/>
      <c r="L22" s="471"/>
      <c r="M22" s="442">
        <f>AG22</f>
        <v>3</v>
      </c>
      <c r="N22" s="443"/>
      <c r="O22" s="443"/>
      <c r="P22" s="443"/>
      <c r="Q22" s="443"/>
      <c r="R22" s="443"/>
      <c r="S22" s="443"/>
      <c r="T22" s="443"/>
      <c r="U22" s="444"/>
      <c r="V22" s="442">
        <f>AK22</f>
        <v>3</v>
      </c>
      <c r="W22" s="443"/>
      <c r="X22" s="443"/>
      <c r="Y22" s="443"/>
      <c r="Z22" s="443"/>
      <c r="AA22" s="443"/>
      <c r="AB22" s="443"/>
      <c r="AC22" s="443"/>
      <c r="AD22" s="444"/>
      <c r="AE22" s="355"/>
      <c r="AF22" s="315"/>
      <c r="AG22" s="356">
        <v>3</v>
      </c>
      <c r="AH22" s="356"/>
      <c r="AI22" s="356"/>
      <c r="AJ22" s="356"/>
      <c r="AK22" s="356">
        <v>3</v>
      </c>
      <c r="AL22" s="356"/>
      <c r="AM22" s="356"/>
      <c r="AN22" s="356"/>
      <c r="AO22" s="356">
        <v>3</v>
      </c>
      <c r="AP22" s="315"/>
      <c r="AQ22" s="315"/>
      <c r="AR22" s="315"/>
      <c r="AS22" s="315">
        <v>1</v>
      </c>
      <c r="AT22" s="315"/>
      <c r="AU22" s="315"/>
      <c r="AV22" s="315"/>
    </row>
    <row r="23" ht="19.7" customHeight="1">
      <c r="B23" s="315"/>
      <c r="C23" s="460" t="s">
        <v>167</v>
      </c>
      <c r="D23" s="460"/>
      <c r="E23" s="460"/>
      <c r="F23" s="460"/>
      <c r="G23" s="460"/>
      <c r="H23" s="460"/>
      <c r="I23" s="460"/>
      <c r="J23" s="460"/>
      <c r="K23" s="460"/>
      <c r="L23" s="460"/>
      <c r="M23" s="483" t="str">
        <f>AG23</f>
        <v>4/4/4</v>
      </c>
      <c r="N23" s="484"/>
      <c r="O23" s="484"/>
      <c r="P23" s="484"/>
      <c r="Q23" s="484"/>
      <c r="R23" s="484"/>
      <c r="S23" s="484"/>
      <c r="T23" s="484"/>
      <c r="U23" s="484"/>
      <c r="V23" s="464" t="str">
        <f>AK23</f>
        <v>2/2/2</v>
      </c>
      <c r="W23" s="481"/>
      <c r="X23" s="481"/>
      <c r="Y23" s="481"/>
      <c r="Z23" s="481"/>
      <c r="AA23" s="481"/>
      <c r="AB23" s="481"/>
      <c r="AC23" s="481"/>
      <c r="AD23" s="482"/>
      <c r="AE23" s="360"/>
      <c r="AF23" s="315"/>
      <c r="AG23" s="361" t="s">
        <v>168</v>
      </c>
      <c r="AH23" s="362"/>
      <c r="AI23" s="362"/>
      <c r="AJ23" s="362"/>
      <c r="AK23" s="361" t="s">
        <v>169</v>
      </c>
      <c r="AL23" s="362"/>
      <c r="AM23" s="362"/>
      <c r="AN23" s="362"/>
      <c r="AO23" s="361" t="s">
        <v>170</v>
      </c>
      <c r="AP23" s="362"/>
      <c r="AQ23" s="362"/>
      <c r="AR23" s="362"/>
      <c r="AS23" s="361" t="s">
        <v>171</v>
      </c>
      <c r="AT23" s="315"/>
      <c r="AU23" s="315"/>
      <c r="AV23" s="315"/>
    </row>
    <row r="24" ht="18.75" customHeight="1">
      <c r="B24" s="315"/>
      <c r="C24" s="469" t="s">
        <v>172</v>
      </c>
      <c r="D24" s="470"/>
      <c r="E24" s="470"/>
      <c r="F24" s="470"/>
      <c r="G24" s="470"/>
      <c r="H24" s="470"/>
      <c r="I24" s="470"/>
      <c r="J24" s="470"/>
      <c r="K24" s="470"/>
      <c r="L24" s="471"/>
      <c r="M24" s="442" t="str">
        <f>IF(M22=4,AG24&amp;"W/ "&amp;AH24&amp;"W/ "&amp;AI24&amp;"W/ "&amp;AJ24&amp;"W",IF(M22=3,AG24&amp;"W/ "&amp;AH24&amp;"W/ "&amp;AI24&amp;"W",IF(M22=2,AG24&amp;"W/ "&amp;AH24&amp;"W",AG24&amp;"W")))</f>
        <v>100,45W/ 100,45W/ 100,45W</v>
      </c>
      <c r="N24" s="443"/>
      <c r="O24" s="443"/>
      <c r="P24" s="443"/>
      <c r="Q24" s="443"/>
      <c r="R24" s="443"/>
      <c r="S24" s="443"/>
      <c r="T24" s="443"/>
      <c r="U24" s="444"/>
      <c r="V24" s="442" t="str">
        <f>IF(V22=4,AK24&amp;"W/ "&amp;AL24&amp;"W/ "&amp;AM24&amp;"W/ "&amp;AN24&amp;"W",IF(V22=3,AK24&amp;"W/ "&amp;AL24&amp;"W/ "&amp;AM24&amp;"W",IF(V22=2,AK24&amp;"W/"&amp;AL24&amp;"W",AK24&amp;"W")))</f>
        <v>40W/ 40W/ 40W</v>
      </c>
      <c r="W24" s="443"/>
      <c r="X24" s="443"/>
      <c r="Y24" s="443"/>
      <c r="Z24" s="443"/>
      <c r="AA24" s="443"/>
      <c r="AB24" s="443"/>
      <c r="AC24" s="443"/>
      <c r="AD24" s="444"/>
      <c r="AE24" s="358"/>
      <c r="AF24" s="315"/>
      <c r="AG24" s="315" t="s">
        <v>206</v>
      </c>
      <c r="AH24" s="315" t="s">
        <v>206</v>
      </c>
      <c r="AI24" s="315" t="s">
        <v>206</v>
      </c>
      <c r="AJ24" s="315" t="s">
        <v>206</v>
      </c>
      <c r="AK24" s="315">
        <v>40</v>
      </c>
      <c r="AL24" s="315">
        <v>40</v>
      </c>
      <c r="AM24" s="315">
        <v>40</v>
      </c>
      <c r="AN24" s="315">
        <v>40</v>
      </c>
      <c r="AO24" s="315">
        <v>60</v>
      </c>
      <c r="AP24" s="315">
        <v>60</v>
      </c>
      <c r="AQ24" s="315">
        <v>60</v>
      </c>
      <c r="AR24" s="315"/>
      <c r="AS24" s="315">
        <v>80</v>
      </c>
      <c r="AT24" s="315">
        <v>80</v>
      </c>
      <c r="AU24" s="315">
        <v>80</v>
      </c>
      <c r="AV24" s="315"/>
    </row>
    <row r="25" ht="19.7" customHeight="1">
      <c r="B25" s="315"/>
      <c r="C25" s="460" t="s">
        <v>173</v>
      </c>
      <c r="D25" s="460"/>
      <c r="E25" s="460"/>
      <c r="F25" s="460"/>
      <c r="G25" s="460"/>
      <c r="H25" s="460"/>
      <c r="I25" s="460"/>
      <c r="J25" s="460"/>
      <c r="K25" s="460"/>
      <c r="L25" s="460"/>
      <c r="M25" s="480" t="str">
        <f>IF(AG25="900 &amp; 1800","900MHz &amp; 1800MHz",IF(AG25="900 &amp; 2100","900MHz &amp; 2100MHz",IF(AG25="1800 &amp; 2100","1800MHz &amp; 2100MHz",AG25&amp;"MHz")))</f>
        <v>1800MHz</v>
      </c>
      <c r="N25" s="480"/>
      <c r="O25" s="480"/>
      <c r="P25" s="480"/>
      <c r="Q25" s="480"/>
      <c r="R25" s="480"/>
      <c r="S25" s="480"/>
      <c r="T25" s="480"/>
      <c r="U25" s="480"/>
      <c r="V25" s="480" t="str">
        <f>IF(AK25="900 &amp; 1800","900MHz &amp; 1800MHz",IF(AK25="900 &amp; 2100","900MHz &amp; 2100MHz",AK25&amp;"MHz"))</f>
        <v>1800MHz</v>
      </c>
      <c r="W25" s="480"/>
      <c r="X25" s="480"/>
      <c r="Y25" s="480"/>
      <c r="Z25" s="480"/>
      <c r="AA25" s="480"/>
      <c r="AB25" s="480"/>
      <c r="AC25" s="480"/>
      <c r="AD25" s="480"/>
      <c r="AE25" s="355"/>
      <c r="AF25" s="315"/>
      <c r="AG25" s="315">
        <v>1800</v>
      </c>
      <c r="AH25" s="315"/>
      <c r="AI25" s="315"/>
      <c r="AJ25" s="315"/>
      <c r="AK25" s="315">
        <v>1800</v>
      </c>
      <c r="AL25" s="315"/>
      <c r="AM25" s="315"/>
      <c r="AN25" s="315"/>
      <c r="AO25" s="315">
        <v>2100</v>
      </c>
      <c r="AP25" s="315"/>
      <c r="AQ25" s="315"/>
      <c r="AR25" s="315"/>
      <c r="AS25" s="351" t="s">
        <v>207</v>
      </c>
      <c r="AT25" s="315"/>
      <c r="AU25" s="315"/>
      <c r="AV25" s="315"/>
    </row>
    <row r="26" ht="33.95" customHeight="1">
      <c r="B26" s="315"/>
      <c r="C26" s="460" t="s">
        <v>208</v>
      </c>
      <c r="D26" s="460"/>
      <c r="E26" s="460"/>
      <c r="F26" s="460"/>
      <c r="G26" s="460"/>
      <c r="H26" s="460"/>
      <c r="I26" s="460"/>
      <c r="J26" s="460"/>
      <c r="K26" s="460"/>
      <c r="L26" s="460"/>
      <c r="M26" s="480">
        <f>AG26</f>
        <v>15</v>
      </c>
      <c r="N26" s="480"/>
      <c r="O26" s="480"/>
      <c r="P26" s="480"/>
      <c r="Q26" s="480"/>
      <c r="R26" s="480"/>
      <c r="S26" s="480"/>
      <c r="T26" s="480"/>
      <c r="U26" s="480"/>
      <c r="V26" s="480">
        <f>AK26</f>
        <v>16</v>
      </c>
      <c r="W26" s="480"/>
      <c r="X26" s="480"/>
      <c r="Y26" s="480"/>
      <c r="Z26" s="480"/>
      <c r="AA26" s="480"/>
      <c r="AB26" s="480"/>
      <c r="AC26" s="480"/>
      <c r="AD26" s="480"/>
      <c r="AE26" s="358"/>
      <c r="AF26" s="315"/>
      <c r="AG26" s="315">
        <v>15</v>
      </c>
      <c r="AH26" s="315"/>
      <c r="AI26" s="315"/>
      <c r="AJ26" s="315"/>
      <c r="AK26" s="315">
        <v>16</v>
      </c>
      <c r="AL26" s="315"/>
      <c r="AM26" s="315"/>
      <c r="AN26" s="315"/>
      <c r="AO26" s="315">
        <v>17</v>
      </c>
      <c r="AP26" s="315"/>
      <c r="AQ26" s="315"/>
      <c r="AR26" s="315"/>
      <c r="AS26" s="315">
        <v>18</v>
      </c>
      <c r="AT26" s="315"/>
      <c r="AU26" s="315"/>
      <c r="AV26" s="315"/>
    </row>
    <row r="27" ht="25.5" customHeight="1">
      <c r="B27" s="315"/>
      <c r="C27" s="461" t="s">
        <v>176</v>
      </c>
      <c r="D27" s="461"/>
      <c r="E27" s="461"/>
      <c r="F27" s="461"/>
      <c r="G27" s="461"/>
      <c r="H27" s="461"/>
      <c r="I27" s="461"/>
      <c r="J27" s="461"/>
      <c r="K27" s="461"/>
      <c r="L27" s="461"/>
      <c r="M27" s="461"/>
      <c r="N27" s="461"/>
      <c r="O27" s="461"/>
      <c r="P27" s="461"/>
      <c r="Q27" s="461"/>
      <c r="R27" s="461"/>
      <c r="S27" s="461"/>
      <c r="T27" s="461"/>
      <c r="U27" s="461"/>
      <c r="V27" s="461"/>
      <c r="W27" s="461"/>
      <c r="X27" s="461"/>
      <c r="Y27" s="461"/>
      <c r="Z27" s="461"/>
      <c r="AA27" s="461"/>
      <c r="AB27" s="363"/>
      <c r="AC27" s="363"/>
      <c r="AD27" s="363"/>
      <c r="AE27" s="338"/>
      <c r="AF27" s="315"/>
      <c r="AG27" s="315"/>
      <c r="AH27" s="315"/>
      <c r="AI27" s="315"/>
      <c r="AJ27" s="315"/>
      <c r="AK27" s="315"/>
      <c r="AL27" s="315"/>
      <c r="AM27" s="315"/>
      <c r="AN27" s="315"/>
      <c r="AO27" s="315"/>
      <c r="AP27" s="315"/>
      <c r="AQ27" s="315"/>
      <c r="AR27" s="315"/>
      <c r="AS27" s="315"/>
      <c r="AT27" s="315"/>
      <c r="AU27" s="315"/>
      <c r="AV27" s="315"/>
    </row>
    <row r="28" ht="24.75" customHeight="1">
      <c r="B28" s="315"/>
      <c r="C28" s="47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72"/>
      <c r="E28" s="472"/>
      <c r="F28" s="472"/>
      <c r="G28" s="472"/>
      <c r="H28" s="472"/>
      <c r="I28" s="472"/>
      <c r="J28" s="472"/>
      <c r="K28" s="472"/>
      <c r="L28" s="472"/>
      <c r="M28" s="472"/>
      <c r="N28" s="472"/>
      <c r="O28" s="472"/>
      <c r="P28" s="472"/>
      <c r="Q28" s="472"/>
      <c r="R28" s="472"/>
      <c r="S28" s="472"/>
      <c r="T28" s="472"/>
      <c r="U28" s="472"/>
      <c r="V28" s="472"/>
      <c r="W28" s="472"/>
      <c r="X28" s="472"/>
      <c r="Y28" s="472"/>
      <c r="Z28" s="472"/>
      <c r="AA28" s="472"/>
      <c r="AB28" s="472"/>
      <c r="AC28" s="472"/>
      <c r="AD28" s="472"/>
      <c r="AE28" s="338"/>
      <c r="AF28" s="315"/>
      <c r="AG28" s="315">
        <v>30</v>
      </c>
      <c r="AH28" s="315"/>
      <c r="AI28" s="315"/>
      <c r="AJ28" s="315"/>
      <c r="AK28" s="315"/>
      <c r="AL28" s="315"/>
      <c r="AM28" s="315"/>
      <c r="AN28" s="315"/>
      <c r="AO28" s="315" t="s">
        <v>177</v>
      </c>
      <c r="AP28" s="315"/>
      <c r="AQ28" s="315"/>
      <c r="AR28" s="315"/>
      <c r="AS28" s="315"/>
      <c r="AT28" s="315"/>
      <c r="AU28" s="315"/>
      <c r="AV28" s="315"/>
    </row>
    <row r="29" ht="24.75" customHeight="1">
      <c r="B29" s="315"/>
      <c r="C29" s="472"/>
      <c r="D29" s="472"/>
      <c r="E29" s="472"/>
      <c r="F29" s="472"/>
      <c r="G29" s="472"/>
      <c r="H29" s="472"/>
      <c r="I29" s="472"/>
      <c r="J29" s="472"/>
      <c r="K29" s="472"/>
      <c r="L29" s="472"/>
      <c r="M29" s="472"/>
      <c r="N29" s="472"/>
      <c r="O29" s="472"/>
      <c r="P29" s="472"/>
      <c r="Q29" s="472"/>
      <c r="R29" s="472"/>
      <c r="S29" s="472"/>
      <c r="T29" s="472"/>
      <c r="U29" s="472"/>
      <c r="V29" s="472"/>
      <c r="W29" s="472"/>
      <c r="X29" s="472"/>
      <c r="Y29" s="472"/>
      <c r="Z29" s="472"/>
      <c r="AA29" s="472"/>
      <c r="AB29" s="472"/>
      <c r="AC29" s="472"/>
      <c r="AD29" s="472"/>
      <c r="AE29" s="338"/>
      <c r="AF29" s="315"/>
      <c r="AG29" s="315">
        <v>1</v>
      </c>
      <c r="AH29" s="315"/>
      <c r="AI29" s="315"/>
      <c r="AJ29" s="315"/>
      <c r="AK29" s="315"/>
      <c r="AL29" s="315"/>
      <c r="AM29" s="315"/>
      <c r="AN29" s="315"/>
      <c r="AO29" s="315"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15" t="s">
        <v>178</v>
      </c>
      <c r="AQ29" s="315" t="str">
        <f>IF(AG28&gt;=0," cao hơn "," thấp hơn ")</f>
        <v> cao hơn </v>
      </c>
      <c r="AR29" s="315" t="s">
        <v>179</v>
      </c>
      <c r="AS29" s="315"/>
      <c r="AT29" s="315"/>
      <c r="AU29" s="315"/>
      <c r="AV29" s="315"/>
    </row>
    <row r="30" ht="16.5" customHeight="1">
      <c r="B30" s="315"/>
      <c r="C30" s="462" t="str">
        <f>IF(AG31=1,AO31,IF(AG31=2,AO30))</f>
        <v>Trạm gốc điện thoại di động mặt đất công cộng này có mức an toàn phơi nhiễm trường điện từ tuân thủ quy chuẩn kỹ thuật trên.</v>
      </c>
      <c r="D30" s="462"/>
      <c r="E30" s="462"/>
      <c r="F30" s="462"/>
      <c r="G30" s="462"/>
      <c r="H30" s="462"/>
      <c r="I30" s="462"/>
      <c r="J30" s="462"/>
      <c r="K30" s="462"/>
      <c r="L30" s="462"/>
      <c r="M30" s="462"/>
      <c r="N30" s="462"/>
      <c r="O30" s="462"/>
      <c r="P30" s="462"/>
      <c r="Q30" s="462"/>
      <c r="R30" s="462"/>
      <c r="S30" s="462"/>
      <c r="T30" s="462"/>
      <c r="U30" s="462"/>
      <c r="V30" s="462"/>
      <c r="W30" s="462"/>
      <c r="X30" s="462"/>
      <c r="Y30" s="462"/>
      <c r="Z30" s="462"/>
      <c r="AA30" s="462"/>
      <c r="AB30" s="462"/>
      <c r="AC30" s="462"/>
      <c r="AD30" s="462"/>
      <c r="AE30" s="338"/>
      <c r="AF30" s="315"/>
      <c r="AG30" s="315">
        <v>20</v>
      </c>
      <c r="AH30" s="315"/>
      <c r="AI30" s="315"/>
      <c r="AJ30" s="315"/>
      <c r="AK30" s="315"/>
      <c r="AL30" s="315"/>
      <c r="AM30" s="315"/>
      <c r="AN30" s="315"/>
      <c r="AO30" s="315" t="s">
        <v>180</v>
      </c>
      <c r="AP30" s="315"/>
      <c r="AQ30" s="315"/>
      <c r="AR30" s="315"/>
      <c r="AS30" s="315"/>
      <c r="AT30" s="315"/>
      <c r="AU30" s="315"/>
      <c r="AV30" s="315"/>
    </row>
    <row r="31" ht="16.5" customHeight="1">
      <c r="B31" s="315"/>
      <c r="C31" s="462"/>
      <c r="D31" s="462"/>
      <c r="E31" s="462"/>
      <c r="F31" s="462"/>
      <c r="G31" s="462"/>
      <c r="H31" s="462"/>
      <c r="I31" s="462"/>
      <c r="J31" s="462"/>
      <c r="K31" s="462"/>
      <c r="L31" s="462"/>
      <c r="M31" s="462"/>
      <c r="N31" s="462"/>
      <c r="O31" s="462"/>
      <c r="P31" s="462"/>
      <c r="Q31" s="462"/>
      <c r="R31" s="462"/>
      <c r="S31" s="462"/>
      <c r="T31" s="462"/>
      <c r="U31" s="462"/>
      <c r="V31" s="462"/>
      <c r="W31" s="462"/>
      <c r="X31" s="462"/>
      <c r="Y31" s="462"/>
      <c r="Z31" s="462"/>
      <c r="AA31" s="462"/>
      <c r="AB31" s="462"/>
      <c r="AC31" s="462"/>
      <c r="AD31" s="462"/>
      <c r="AE31" s="338"/>
      <c r="AF31" s="315"/>
      <c r="AG31" s="315">
        <v>2</v>
      </c>
      <c r="AH31" s="315"/>
      <c r="AI31" s="315"/>
      <c r="AJ31" s="315"/>
      <c r="AK31" s="315"/>
      <c r="AL31" s="315"/>
      <c r="AM31" s="315"/>
      <c r="AN31" s="315"/>
      <c r="AO31" s="36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c r="AP31" s="315"/>
      <c r="AQ31" s="315"/>
      <c r="AR31" s="315"/>
      <c r="AS31" s="315"/>
      <c r="AT31" s="315"/>
      <c r="AU31" s="315"/>
      <c r="AV31" s="315"/>
    </row>
    <row r="32" ht="17.1" customHeight="1">
      <c r="B32" s="315"/>
      <c r="C32" s="473" t="s">
        <v>180</v>
      </c>
      <c r="D32" s="473"/>
      <c r="E32" s="473"/>
      <c r="F32" s="473"/>
      <c r="G32" s="473"/>
      <c r="H32" s="473"/>
      <c r="I32" s="473"/>
      <c r="J32" s="473"/>
      <c r="K32" s="473"/>
      <c r="L32" s="473"/>
      <c r="M32" s="473"/>
      <c r="N32" s="473"/>
      <c r="O32" s="473"/>
      <c r="P32" s="473"/>
      <c r="Q32" s="473"/>
      <c r="R32" s="473"/>
      <c r="S32" s="473"/>
      <c r="T32" s="473"/>
      <c r="U32" s="473"/>
      <c r="V32" s="473"/>
      <c r="W32" s="473"/>
      <c r="X32" s="473"/>
      <c r="Y32" s="473"/>
      <c r="Z32" s="473"/>
      <c r="AA32" s="473"/>
      <c r="AB32" s="473"/>
      <c r="AC32" s="473"/>
      <c r="AD32" s="473"/>
      <c r="AE32" s="338"/>
      <c r="AF32" s="315"/>
      <c r="AG32" s="315"/>
      <c r="AH32" s="315"/>
      <c r="AI32" s="315"/>
      <c r="AJ32" s="315"/>
      <c r="AK32" s="315"/>
      <c r="AL32" s="315"/>
      <c r="AM32" s="315"/>
      <c r="AN32" s="315"/>
      <c r="AO32" s="315"/>
      <c r="AP32" s="315"/>
      <c r="AQ32" s="315"/>
      <c r="AR32" s="315"/>
      <c r="AS32" s="315"/>
      <c r="AT32" s="315"/>
      <c r="AU32" s="315"/>
      <c r="AV32" s="315"/>
    </row>
    <row r="33" ht="17.1" customHeight="1">
      <c r="B33" s="315"/>
      <c r="C33" s="473"/>
      <c r="D33" s="473"/>
      <c r="E33" s="473"/>
      <c r="F33" s="473"/>
      <c r="G33" s="473"/>
      <c r="H33" s="473"/>
      <c r="I33" s="473"/>
      <c r="J33" s="473"/>
      <c r="K33" s="473"/>
      <c r="L33" s="473"/>
      <c r="M33" s="473"/>
      <c r="N33" s="473"/>
      <c r="O33" s="473"/>
      <c r="P33" s="473"/>
      <c r="Q33" s="473"/>
      <c r="R33" s="473"/>
      <c r="S33" s="473"/>
      <c r="T33" s="473"/>
      <c r="U33" s="473"/>
      <c r="V33" s="473"/>
      <c r="W33" s="473"/>
      <c r="X33" s="473"/>
      <c r="Y33" s="473"/>
      <c r="Z33" s="473"/>
      <c r="AA33" s="473"/>
      <c r="AB33" s="473"/>
      <c r="AC33" s="473"/>
      <c r="AD33" s="473"/>
      <c r="AE33" s="365"/>
      <c r="AF33" s="315"/>
      <c r="AG33" s="315"/>
      <c r="AH33" s="315"/>
      <c r="AI33" s="315"/>
      <c r="AJ33" s="315"/>
      <c r="AK33" s="315"/>
      <c r="AL33" s="315"/>
      <c r="AM33" s="315"/>
      <c r="AN33" s="315"/>
      <c r="AO33" s="315"/>
      <c r="AP33" s="315"/>
      <c r="AQ33" s="315"/>
      <c r="AR33" s="315"/>
      <c r="AS33" s="315"/>
      <c r="AT33" s="315"/>
      <c r="AU33" s="315"/>
      <c r="AV33" s="315"/>
    </row>
    <row r="34" ht="17.1" customHeight="1">
      <c r="B34" s="315"/>
      <c r="C34" s="439"/>
      <c r="D34" s="439"/>
      <c r="E34" s="439"/>
      <c r="F34" s="439"/>
      <c r="G34" s="439"/>
      <c r="H34" s="363"/>
      <c r="I34" s="440"/>
      <c r="J34" s="440"/>
      <c r="K34" s="440"/>
      <c r="L34" s="440"/>
      <c r="M34" s="440"/>
      <c r="N34" s="440"/>
      <c r="O34" s="363"/>
      <c r="P34" s="336"/>
      <c r="Q34" s="336"/>
      <c r="R34" s="336"/>
      <c r="S34" s="336"/>
      <c r="T34" s="434" t="str">
        <f>IF(AI41=0,AO34,IF(AI41=1,AK34,AS34))</f>
        <v>KT. GIÁM ĐỐC</v>
      </c>
      <c r="U34" s="434"/>
      <c r="V34" s="434"/>
      <c r="W34" s="434"/>
      <c r="X34" s="434"/>
      <c r="Y34" s="434"/>
      <c r="Z34" s="434"/>
      <c r="AA34" s="434"/>
      <c r="AB34" s="434"/>
      <c r="AC34" s="434"/>
      <c r="AD34" s="434"/>
      <c r="AE34" s="434"/>
      <c r="AF34" s="315"/>
      <c r="AG34" s="315"/>
      <c r="AH34" s="315"/>
      <c r="AI34" s="315"/>
      <c r="AJ34" s="315"/>
      <c r="AK34" s="315" t="s">
        <v>181</v>
      </c>
      <c r="AL34" s="315"/>
      <c r="AM34" s="315"/>
      <c r="AN34" s="315"/>
      <c r="AO34" s="315" t="s">
        <v>182</v>
      </c>
      <c r="AP34" s="315"/>
      <c r="AQ34" s="315"/>
      <c r="AR34" s="315"/>
      <c r="AS34" s="315" t="s">
        <v>183</v>
      </c>
      <c r="AT34" s="315"/>
      <c r="AU34" s="315"/>
      <c r="AV34" s="315"/>
    </row>
    <row r="35" ht="17.1" customHeight="1">
      <c r="B35" s="315"/>
      <c r="C35" s="435" t="s">
        <v>184</v>
      </c>
      <c r="D35" s="435"/>
      <c r="E35" s="435"/>
      <c r="F35" s="435"/>
      <c r="G35" s="435"/>
      <c r="H35" s="366" t="s">
        <v>185</v>
      </c>
      <c r="I35" s="437" t="s">
        <v>186</v>
      </c>
      <c r="J35" s="437"/>
      <c r="K35" s="437"/>
      <c r="L35" s="437"/>
      <c r="M35" s="437"/>
      <c r="N35" s="437"/>
      <c r="O35" s="367"/>
      <c r="P35" s="367"/>
      <c r="Q35" s="363"/>
      <c r="R35" s="363"/>
      <c r="S35" s="363"/>
      <c r="T35" s="434" t="str">
        <f>IF(AI41=0,AO35,IF(AI41=1,"",AS35))</f>
        <v>PHÓ GIÁM ĐỐC</v>
      </c>
      <c r="U35" s="434"/>
      <c r="V35" s="434"/>
      <c r="W35" s="434"/>
      <c r="X35" s="434"/>
      <c r="Y35" s="434"/>
      <c r="Z35" s="434"/>
      <c r="AA35" s="434"/>
      <c r="AB35" s="434"/>
      <c r="AC35" s="434"/>
      <c r="AD35" s="434"/>
      <c r="AE35" s="434"/>
      <c r="AF35" s="315"/>
      <c r="AG35" s="315"/>
      <c r="AH35" s="315"/>
      <c r="AI35" s="315"/>
      <c r="AJ35" s="315"/>
      <c r="AK35" s="315"/>
      <c r="AL35" s="315"/>
      <c r="AM35" s="315"/>
      <c r="AN35" s="315"/>
      <c r="AO35" s="315" t="s">
        <v>187</v>
      </c>
      <c r="AP35" s="315"/>
      <c r="AQ35" s="315"/>
      <c r="AR35" s="315"/>
      <c r="AS35" s="315" t="s">
        <v>188</v>
      </c>
      <c r="AT35" s="315"/>
      <c r="AU35" s="315"/>
      <c r="AV35" s="315"/>
    </row>
    <row r="36" ht="17.1" customHeight="1">
      <c r="B36" s="315"/>
      <c r="C36" s="435" t="s">
        <v>189</v>
      </c>
      <c r="D36" s="435"/>
      <c r="E36" s="435"/>
      <c r="F36" s="435"/>
      <c r="G36" s="435"/>
      <c r="H36" s="366" t="s">
        <v>185</v>
      </c>
      <c r="I36" s="436">
        <f>AG36</f>
        <v>40806</v>
      </c>
      <c r="J36" s="437"/>
      <c r="K36" s="437"/>
      <c r="L36" s="437"/>
      <c r="M36" s="437"/>
      <c r="N36" s="368"/>
      <c r="O36" s="368"/>
      <c r="P36" s="368"/>
      <c r="Q36" s="363"/>
      <c r="R36" s="363"/>
      <c r="S36" s="363"/>
      <c r="T36" s="363"/>
      <c r="U36" s="363"/>
      <c r="V36" s="363"/>
      <c r="W36" s="363"/>
      <c r="X36" s="363"/>
      <c r="Y36" s="363"/>
      <c r="Z36" s="363"/>
      <c r="AA36" s="363"/>
      <c r="AB36" s="363"/>
      <c r="AC36" s="363"/>
      <c r="AD36" s="363"/>
      <c r="AE36" s="338"/>
      <c r="AF36" s="315"/>
      <c r="AG36" s="369">
        <v>40806</v>
      </c>
      <c r="AH36" s="315"/>
      <c r="AI36" s="315"/>
      <c r="AJ36" s="315"/>
      <c r="AK36" s="315"/>
      <c r="AL36" s="315"/>
      <c r="AM36" s="315"/>
      <c r="AN36" s="315"/>
      <c r="AO36" s="315"/>
      <c r="AP36" s="315"/>
      <c r="AQ36" s="315"/>
      <c r="AR36" s="315"/>
      <c r="AS36" s="315"/>
      <c r="AT36" s="315"/>
      <c r="AU36" s="315"/>
      <c r="AV36" s="315"/>
    </row>
    <row r="37" ht="17.1" customHeight="1">
      <c r="B37" s="315"/>
      <c r="C37" s="435" t="s">
        <v>190</v>
      </c>
      <c r="D37" s="435"/>
      <c r="E37" s="435"/>
      <c r="F37" s="435"/>
      <c r="G37" s="435"/>
      <c r="H37" s="366" t="s">
        <v>185</v>
      </c>
      <c r="I37" s="436">
        <f>AG37</f>
        <v>42633</v>
      </c>
      <c r="J37" s="437"/>
      <c r="K37" s="437"/>
      <c r="L37" s="437"/>
      <c r="M37" s="437"/>
      <c r="N37" s="368"/>
      <c r="O37" s="368"/>
      <c r="P37" s="368"/>
      <c r="Q37" s="363"/>
      <c r="R37" s="363"/>
      <c r="S37" s="363"/>
      <c r="T37" s="363"/>
      <c r="U37" s="363"/>
      <c r="V37" s="363"/>
      <c r="W37" s="363"/>
      <c r="X37" s="363"/>
      <c r="Y37" s="363"/>
      <c r="Z37" s="363"/>
      <c r="AA37" s="363"/>
      <c r="AB37" s="363"/>
      <c r="AC37" s="363"/>
      <c r="AD37" s="363"/>
      <c r="AE37" s="338"/>
      <c r="AF37" s="315"/>
      <c r="AG37" s="369">
        <v>42633</v>
      </c>
      <c r="AH37" s="315"/>
      <c r="AI37" s="315"/>
      <c r="AJ37" s="315"/>
      <c r="AK37" s="315"/>
      <c r="AL37" s="315"/>
      <c r="AM37" s="315"/>
      <c r="AN37" s="315"/>
      <c r="AO37" s="315"/>
      <c r="AP37" s="315"/>
      <c r="AQ37" s="315"/>
      <c r="AR37" s="315"/>
      <c r="AS37" s="315"/>
      <c r="AT37" s="315"/>
      <c r="AU37" s="315"/>
      <c r="AV37" s="315"/>
    </row>
    <row r="38" ht="17.1" customHeight="1">
      <c r="B38" s="315"/>
      <c r="C38" s="370"/>
      <c r="D38" s="370"/>
      <c r="E38" s="370"/>
      <c r="F38" s="347"/>
      <c r="G38" s="339"/>
      <c r="H38" s="339"/>
      <c r="I38" s="339"/>
      <c r="J38" s="339"/>
      <c r="K38" s="339"/>
      <c r="L38" s="339"/>
      <c r="M38" s="339"/>
      <c r="N38" s="339"/>
      <c r="O38" s="339"/>
      <c r="P38" s="339"/>
      <c r="Q38" s="339"/>
      <c r="R38" s="339"/>
      <c r="S38" s="339"/>
      <c r="T38" s="339"/>
      <c r="U38" s="339"/>
      <c r="V38" s="339"/>
      <c r="W38" s="339"/>
      <c r="X38" s="339"/>
      <c r="Y38" s="339"/>
      <c r="Z38" s="339"/>
      <c r="AA38" s="339"/>
      <c r="AB38" s="363"/>
      <c r="AC38" s="363"/>
      <c r="AD38" s="363"/>
      <c r="AE38" s="338"/>
      <c r="AF38" s="315"/>
      <c r="AG38" s="315"/>
      <c r="AH38" s="315"/>
      <c r="AI38" s="315"/>
      <c r="AJ38" s="315"/>
      <c r="AK38" s="315"/>
      <c r="AL38" s="315"/>
      <c r="AM38" s="315"/>
      <c r="AN38" s="315"/>
      <c r="AO38" s="315"/>
      <c r="AP38" s="315"/>
      <c r="AQ38" s="315"/>
      <c r="AR38" s="315"/>
      <c r="AS38" s="315"/>
      <c r="AT38" s="315"/>
      <c r="AU38" s="315"/>
      <c r="AV38" s="315"/>
    </row>
    <row r="39" ht="17.1" customHeight="1">
      <c r="B39" s="315"/>
      <c r="C39" s="370"/>
      <c r="D39" s="370"/>
      <c r="E39" s="370"/>
      <c r="F39" s="347"/>
      <c r="G39" s="339"/>
      <c r="H39" s="339"/>
      <c r="I39" s="339"/>
      <c r="J39" s="339"/>
      <c r="K39" s="339"/>
      <c r="L39" s="339"/>
      <c r="M39" s="339"/>
      <c r="N39" s="339"/>
      <c r="O39" s="339"/>
      <c r="P39" s="339"/>
      <c r="Q39" s="339"/>
      <c r="R39" s="339"/>
      <c r="S39" s="339"/>
      <c r="T39" s="438"/>
      <c r="U39" s="438"/>
      <c r="V39" s="438"/>
      <c r="W39" s="438"/>
      <c r="X39" s="438"/>
      <c r="Y39" s="438"/>
      <c r="Z39" s="438"/>
      <c r="AA39" s="438"/>
      <c r="AB39" s="438"/>
      <c r="AC39" s="438"/>
      <c r="AD39" s="438"/>
      <c r="AE39" s="438"/>
      <c r="AF39" s="315"/>
      <c r="AG39" s="315"/>
      <c r="AH39" s="315"/>
      <c r="AI39" s="315">
        <v>0</v>
      </c>
      <c r="AJ39" s="315"/>
      <c r="AK39" s="315"/>
      <c r="AL39" s="315"/>
      <c r="AM39" s="315"/>
      <c r="AN39" s="315"/>
      <c r="AO39" s="315"/>
      <c r="AP39" s="315"/>
      <c r="AQ39" s="315"/>
      <c r="AR39" s="315"/>
      <c r="AS39" s="315"/>
      <c r="AT39" s="315"/>
      <c r="AU39" s="315"/>
      <c r="AV39" s="315"/>
    </row>
    <row r="40" ht="17.1" customHeight="1">
      <c r="B40" s="315"/>
      <c r="C40" s="370"/>
      <c r="D40" s="370"/>
      <c r="E40" s="370"/>
      <c r="F40" s="347"/>
      <c r="G40" s="339"/>
      <c r="H40" s="339"/>
      <c r="I40" s="339"/>
      <c r="J40" s="339"/>
      <c r="K40" s="339"/>
      <c r="L40" s="339"/>
      <c r="M40" s="339"/>
      <c r="N40" s="339"/>
      <c r="O40" s="339"/>
      <c r="P40" s="336"/>
      <c r="Q40" s="336"/>
      <c r="R40" s="336"/>
      <c r="S40" s="336"/>
      <c r="T40" s="433"/>
      <c r="U40" s="433"/>
      <c r="V40" s="433"/>
      <c r="W40" s="433"/>
      <c r="X40" s="433"/>
      <c r="Y40" s="433"/>
      <c r="Z40" s="433"/>
      <c r="AA40" s="433"/>
      <c r="AB40" s="433"/>
      <c r="AC40" s="433"/>
      <c r="AD40" s="433"/>
      <c r="AE40" s="433"/>
      <c r="AF40" s="315"/>
      <c r="AG40" s="315"/>
      <c r="AH40" s="315"/>
      <c r="AI40" s="315"/>
      <c r="AJ40" s="315"/>
      <c r="AK40" s="315"/>
      <c r="AL40" s="315"/>
      <c r="AM40" s="315"/>
      <c r="AN40" s="315"/>
      <c r="AO40" s="315"/>
      <c r="AP40" s="315"/>
      <c r="AQ40" s="315"/>
      <c r="AR40" s="315"/>
      <c r="AS40" s="315"/>
      <c r="AT40" s="315"/>
      <c r="AU40" s="315"/>
      <c r="AV40" s="315"/>
    </row>
    <row r="41" ht="17.1" customHeight="1">
      <c r="B41" s="315"/>
      <c r="C41" s="370"/>
      <c r="D41" s="370"/>
      <c r="E41" s="370"/>
      <c r="F41" s="347"/>
      <c r="G41" s="339"/>
      <c r="H41" s="339"/>
      <c r="I41" s="339"/>
      <c r="J41" s="339"/>
      <c r="K41" s="339"/>
      <c r="L41" s="339"/>
      <c r="M41" s="339"/>
      <c r="N41" s="339"/>
      <c r="O41" s="339"/>
      <c r="P41" s="339"/>
      <c r="Q41" s="339"/>
      <c r="R41" s="339"/>
      <c r="S41" s="339"/>
      <c r="T41" s="433" t="str">
        <f>IF(AI41=0,AO41,IF(AI41=1,AK41,AT41))</f>
        <v>Trần Công Khanh</v>
      </c>
      <c r="U41" s="433"/>
      <c r="V41" s="433"/>
      <c r="W41" s="433"/>
      <c r="X41" s="433"/>
      <c r="Y41" s="433"/>
      <c r="Z41" s="433"/>
      <c r="AA41" s="433"/>
      <c r="AB41" s="433"/>
      <c r="AC41" s="433"/>
      <c r="AD41" s="433"/>
      <c r="AE41" s="433"/>
      <c r="AF41" s="315"/>
      <c r="AG41" s="315"/>
      <c r="AH41" s="315"/>
      <c r="AI41" s="315">
        <v>0</v>
      </c>
      <c r="AJ41" s="315"/>
      <c r="AK41" s="315" t="s">
        <v>191</v>
      </c>
      <c r="AL41" s="315"/>
      <c r="AM41" s="315"/>
      <c r="AN41" s="315"/>
      <c r="AO41" s="315" t="s">
        <v>192</v>
      </c>
      <c r="AP41" s="315"/>
      <c r="AQ41" s="315"/>
      <c r="AR41" s="315"/>
      <c r="AS41" s="315"/>
      <c r="AT41" s="315" t="s">
        <v>193</v>
      </c>
      <c r="AU41" s="315"/>
      <c r="AV41" s="315"/>
    </row>
    <row r="42" ht="16.5">
      <c r="B42" s="315"/>
      <c r="C42" s="342"/>
      <c r="D42" s="342"/>
      <c r="E42" s="342"/>
      <c r="F42" s="342"/>
      <c r="G42" s="342"/>
      <c r="H42" s="342"/>
      <c r="I42" s="342"/>
      <c r="J42" s="342"/>
      <c r="K42" s="342"/>
      <c r="L42" s="342"/>
      <c r="M42" s="342"/>
      <c r="N42" s="342"/>
      <c r="O42" s="342"/>
      <c r="P42" s="342"/>
      <c r="Q42" s="342"/>
      <c r="R42" s="342"/>
      <c r="S42" s="342"/>
      <c r="T42" s="342"/>
      <c r="U42" s="342"/>
      <c r="V42" s="342"/>
      <c r="W42" s="342"/>
      <c r="X42" s="342"/>
      <c r="Y42" s="342"/>
      <c r="Z42" s="342"/>
      <c r="AA42" s="342"/>
      <c r="AB42" s="371"/>
      <c r="AC42" s="371"/>
      <c r="AD42" s="371"/>
      <c r="AE42" s="338"/>
      <c r="AF42" s="315"/>
      <c r="AG42" s="315"/>
      <c r="AH42" s="315"/>
      <c r="AI42" s="315"/>
      <c r="AJ42" s="315"/>
      <c r="AK42" s="315"/>
      <c r="AL42" s="315"/>
      <c r="AM42" s="315"/>
      <c r="AN42" s="315"/>
      <c r="AO42" s="315"/>
      <c r="AP42" s="315"/>
      <c r="AQ42" s="315"/>
      <c r="AR42" s="315"/>
      <c r="AS42" s="315"/>
      <c r="AT42" s="315"/>
      <c r="AU42" s="315"/>
      <c r="AV42" s="315"/>
    </row>
    <row r="43" ht="16.5" customHeight="1">
      <c r="B43" s="475" t="s">
        <v>194</v>
      </c>
      <c r="C43" s="475"/>
      <c r="D43" s="475"/>
      <c r="E43" s="475"/>
      <c r="F43" s="475"/>
      <c r="G43" s="475"/>
      <c r="H43" s="476" t="s">
        <v>160</v>
      </c>
      <c r="I43" s="476"/>
      <c r="J43" s="476"/>
      <c r="K43" s="476"/>
      <c r="L43" s="476"/>
      <c r="M43" s="476"/>
      <c r="N43" s="476"/>
      <c r="O43" s="476"/>
      <c r="P43" s="476"/>
      <c r="Q43" s="476"/>
      <c r="R43" s="476"/>
      <c r="S43" s="476"/>
      <c r="T43" s="476"/>
      <c r="U43" s="476"/>
      <c r="V43" s="476"/>
      <c r="W43" s="476"/>
      <c r="X43" s="476"/>
      <c r="Y43" s="476"/>
      <c r="Z43" s="476"/>
      <c r="AA43" s="476"/>
      <c r="AB43" s="476"/>
      <c r="AC43" s="476"/>
      <c r="AD43" s="476"/>
      <c r="AE43" s="338"/>
      <c r="AF43" s="315"/>
      <c r="AG43" s="315"/>
      <c r="AH43" s="315"/>
      <c r="AI43" s="315"/>
      <c r="AJ43" s="315"/>
      <c r="AK43" s="315"/>
      <c r="AL43" s="315"/>
      <c r="AM43" s="315"/>
      <c r="AN43" s="315"/>
      <c r="AO43" s="315"/>
      <c r="AP43" s="315"/>
      <c r="AQ43" s="315"/>
      <c r="AR43" s="315"/>
      <c r="AS43" s="315"/>
      <c r="AT43" s="315"/>
      <c r="AU43" s="315"/>
      <c r="AV43" s="315"/>
    </row>
    <row r="44" ht="16.5" customHeight="1">
      <c r="B44" s="475"/>
      <c r="C44" s="475"/>
      <c r="D44" s="475"/>
      <c r="E44" s="475"/>
      <c r="F44" s="475"/>
      <c r="G44" s="475"/>
      <c r="H44" s="476"/>
      <c r="I44" s="476"/>
      <c r="J44" s="476"/>
      <c r="K44" s="476"/>
      <c r="L44" s="476"/>
      <c r="M44" s="476"/>
      <c r="N44" s="476"/>
      <c r="O44" s="476"/>
      <c r="P44" s="476"/>
      <c r="Q44" s="476"/>
      <c r="R44" s="476"/>
      <c r="S44" s="476"/>
      <c r="T44" s="476"/>
      <c r="U44" s="476"/>
      <c r="V44" s="476"/>
      <c r="W44" s="476"/>
      <c r="X44" s="476"/>
      <c r="Y44" s="476"/>
      <c r="Z44" s="476"/>
      <c r="AA44" s="476"/>
      <c r="AB44" s="476"/>
      <c r="AC44" s="476"/>
      <c r="AD44" s="476"/>
      <c r="AE44" s="338"/>
      <c r="AF44" s="315"/>
      <c r="AG44" s="315"/>
      <c r="AH44" s="315"/>
      <c r="AI44" s="315"/>
      <c r="AJ44" s="315"/>
      <c r="AK44" s="315"/>
      <c r="AL44" s="315"/>
      <c r="AM44" s="315"/>
      <c r="AN44" s="315"/>
      <c r="AO44" s="315"/>
      <c r="AP44" s="315"/>
      <c r="AQ44" s="315"/>
      <c r="AR44" s="315"/>
      <c r="AS44" s="315"/>
      <c r="AT44" s="315"/>
      <c r="AU44" s="315"/>
      <c r="AV44" s="315"/>
    </row>
    <row r="45" ht="16.5" customHeight="1">
      <c r="B45" s="475"/>
      <c r="C45" s="475"/>
      <c r="D45" s="475"/>
      <c r="E45" s="475"/>
      <c r="F45" s="475"/>
      <c r="G45" s="475"/>
      <c r="H45" s="430" t="s">
        <v>195</v>
      </c>
      <c r="I45" s="430"/>
      <c r="J45" s="430"/>
      <c r="K45" s="430"/>
      <c r="L45" s="430" t="s">
        <v>196</v>
      </c>
      <c r="M45" s="430"/>
      <c r="N45" s="430" t="s">
        <v>197</v>
      </c>
      <c r="O45" s="430"/>
      <c r="P45" s="430"/>
      <c r="Q45" s="430" t="s">
        <v>198</v>
      </c>
      <c r="R45" s="430"/>
      <c r="S45" s="430"/>
      <c r="T45" s="430"/>
      <c r="U45" s="430"/>
      <c r="V45" s="430" t="s">
        <v>199</v>
      </c>
      <c r="W45" s="430"/>
      <c r="X45" s="430"/>
      <c r="Y45" s="430" t="s">
        <v>200</v>
      </c>
      <c r="Z45" s="430"/>
      <c r="AA45" s="430"/>
      <c r="AB45" s="430"/>
      <c r="AC45" s="430"/>
      <c r="AD45" s="430"/>
      <c r="AE45" s="338"/>
      <c r="AF45" s="315"/>
      <c r="AG45" s="315"/>
      <c r="AH45" s="315"/>
      <c r="AI45" s="315"/>
      <c r="AJ45" s="315"/>
      <c r="AK45" s="315"/>
      <c r="AL45" s="315"/>
      <c r="AM45" s="315"/>
      <c r="AN45" s="315"/>
      <c r="AO45" s="315"/>
      <c r="AP45" s="315"/>
      <c r="AQ45" s="315"/>
      <c r="AR45" s="315"/>
      <c r="AS45" s="315"/>
      <c r="AT45" s="315"/>
      <c r="AU45" s="315"/>
      <c r="AV45" s="315"/>
    </row>
    <row r="46" ht="16.5" customHeight="1">
      <c r="B46" s="475"/>
      <c r="C46" s="475"/>
      <c r="D46" s="475"/>
      <c r="E46" s="475"/>
      <c r="F46" s="475"/>
      <c r="G46" s="475"/>
      <c r="H46" s="430"/>
      <c r="I46" s="430"/>
      <c r="J46" s="430"/>
      <c r="K46" s="430"/>
      <c r="L46" s="430"/>
      <c r="M46" s="430"/>
      <c r="N46" s="430"/>
      <c r="O46" s="430"/>
      <c r="P46" s="430"/>
      <c r="Q46" s="430"/>
      <c r="R46" s="430"/>
      <c r="S46" s="430"/>
      <c r="T46" s="430"/>
      <c r="U46" s="430"/>
      <c r="V46" s="430"/>
      <c r="W46" s="430"/>
      <c r="X46" s="430"/>
      <c r="Y46" s="430"/>
      <c r="Z46" s="430"/>
      <c r="AA46" s="430"/>
      <c r="AB46" s="430"/>
      <c r="AC46" s="430"/>
      <c r="AD46" s="430"/>
      <c r="AE46" s="338"/>
      <c r="AF46" s="315"/>
      <c r="AG46" s="315"/>
      <c r="AH46" s="315"/>
      <c r="AI46" s="315"/>
      <c r="AJ46" s="315"/>
      <c r="AK46" s="315"/>
      <c r="AL46" s="315"/>
      <c r="AM46" s="315"/>
      <c r="AN46" s="315"/>
      <c r="AO46" s="315"/>
      <c r="AP46" s="315"/>
      <c r="AQ46" s="315"/>
      <c r="AR46" s="315"/>
      <c r="AS46" s="315"/>
      <c r="AT46" s="315"/>
      <c r="AU46" s="315"/>
      <c r="AV46" s="315"/>
    </row>
    <row r="47" ht="16.5" customHeight="1">
      <c r="B47" s="475"/>
      <c r="C47" s="475"/>
      <c r="D47" s="475"/>
      <c r="E47" s="475"/>
      <c r="F47" s="475"/>
      <c r="G47" s="475"/>
      <c r="H47" s="430"/>
      <c r="I47" s="430"/>
      <c r="J47" s="430"/>
      <c r="K47" s="430"/>
      <c r="L47" s="430"/>
      <c r="M47" s="430"/>
      <c r="N47" s="430"/>
      <c r="O47" s="430"/>
      <c r="P47" s="430"/>
      <c r="Q47" s="430"/>
      <c r="R47" s="430"/>
      <c r="S47" s="430"/>
      <c r="T47" s="430"/>
      <c r="U47" s="430"/>
      <c r="V47" s="430"/>
      <c r="W47" s="430"/>
      <c r="X47" s="430"/>
      <c r="Y47" s="430"/>
      <c r="Z47" s="430"/>
      <c r="AA47" s="430"/>
      <c r="AB47" s="430"/>
      <c r="AC47" s="430"/>
      <c r="AD47" s="430"/>
      <c r="AE47" s="338"/>
      <c r="AF47" s="315"/>
      <c r="AG47" s="315"/>
      <c r="AH47" s="315"/>
      <c r="AI47" s="315"/>
      <c r="AJ47" s="315"/>
      <c r="AK47" s="315"/>
      <c r="AL47" s="315"/>
      <c r="AM47" s="315"/>
      <c r="AN47" s="315"/>
      <c r="AO47" s="315"/>
      <c r="AP47" s="315"/>
      <c r="AQ47" s="315"/>
      <c r="AR47" s="315"/>
      <c r="AS47" s="315"/>
      <c r="AT47" s="315"/>
      <c r="AU47" s="315"/>
      <c r="AV47" s="315"/>
    </row>
    <row r="48" ht="16.5" customHeight="1">
      <c r="B48" s="475"/>
      <c r="C48" s="475"/>
      <c r="D48" s="475"/>
      <c r="E48" s="475"/>
      <c r="F48" s="475"/>
      <c r="G48" s="475"/>
      <c r="H48" s="430"/>
      <c r="I48" s="430"/>
      <c r="J48" s="430"/>
      <c r="K48" s="430"/>
      <c r="L48" s="430"/>
      <c r="M48" s="430"/>
      <c r="N48" s="430"/>
      <c r="O48" s="430"/>
      <c r="P48" s="430"/>
      <c r="Q48" s="430"/>
      <c r="R48" s="430"/>
      <c r="S48" s="430"/>
      <c r="T48" s="430"/>
      <c r="U48" s="430"/>
      <c r="V48" s="430"/>
      <c r="W48" s="430"/>
      <c r="X48" s="430"/>
      <c r="Y48" s="430"/>
      <c r="Z48" s="430"/>
      <c r="AA48" s="430"/>
      <c r="AB48" s="430"/>
      <c r="AC48" s="430"/>
      <c r="AD48" s="430"/>
      <c r="AE48" s="338"/>
      <c r="AF48" s="315"/>
      <c r="AG48" s="315">
        <v>33</v>
      </c>
      <c r="AH48" s="315"/>
      <c r="AI48" s="315">
        <v>35</v>
      </c>
      <c r="AJ48" s="315"/>
      <c r="AK48" s="315"/>
      <c r="AL48" s="315">
        <v>37</v>
      </c>
      <c r="AM48" s="315"/>
      <c r="AN48" s="315"/>
      <c r="AO48" s="315">
        <v>39</v>
      </c>
      <c r="AP48" s="315">
        <v>40</v>
      </c>
      <c r="AQ48" s="315">
        <v>41</v>
      </c>
      <c r="AR48" s="315"/>
      <c r="AS48" s="315">
        <v>42</v>
      </c>
      <c r="AT48" s="315">
        <v>43</v>
      </c>
      <c r="AU48" s="315">
        <v>44</v>
      </c>
      <c r="AV48" s="315">
        <v>45</v>
      </c>
    </row>
    <row r="49" ht="18.75" customHeight="1">
      <c r="B49" s="430" t="str">
        <f>AG49</f>
        <v>CÔNG TY CỔ PHẦN VIỄN THÔNG DI ĐỘNG TOÀN CẦU</v>
      </c>
      <c r="C49" s="430"/>
      <c r="D49" s="430"/>
      <c r="E49" s="430"/>
      <c r="F49" s="430"/>
      <c r="G49" s="430"/>
      <c r="H49" s="431" t="str">
        <f>AI49</f>
        <v>TB1</v>
      </c>
      <c r="I49" s="431"/>
      <c r="J49" s="431"/>
      <c r="K49" s="431"/>
      <c r="L49" s="432">
        <v>2</v>
      </c>
      <c r="M49" s="432"/>
      <c r="N49" s="474" t="str">
        <f>AL49</f>
        <v>4/4/4</v>
      </c>
      <c r="O49" s="474"/>
      <c r="P49" s="474"/>
      <c r="Q49" s="430" t="str">
        <f>IF(L49=4,AO49&amp;"W/ "&amp;AP49&amp;"W/ "&amp;AQ49&amp;"W/ "&amp;AR49&amp;"W",IF(L49=3,AO49&amp;"W/ "&amp;AP49&amp;"W/ "&amp;AQ49&amp;"W",IF(L49=2,AO49&amp;"W/ "&amp;AP49&amp;"W",AO49&amp;"W")))</f>
        <v>20W/ 30W</v>
      </c>
      <c r="R49" s="430"/>
      <c r="S49" s="430"/>
      <c r="T49" s="430"/>
      <c r="U49" s="430"/>
      <c r="V49" s="430" t="str">
        <f>IF(AS49="900 &amp; 1800","900MHz &amp; 1800MHz",IF(AS49="900 &amp; 2100","900MHz &amp; 2100MHz",IF(AS49="1800 &amp; 2100","1800MHz &amp; 2100MHz",AS49&amp;"MHz")))</f>
        <v>900MHz</v>
      </c>
      <c r="W49" s="430"/>
      <c r="X49" s="430"/>
      <c r="Y49" s="430">
        <f>AT49</f>
        <v>15</v>
      </c>
      <c r="Z49" s="430"/>
      <c r="AA49" s="430"/>
      <c r="AB49" s="430"/>
      <c r="AC49" s="430"/>
      <c r="AD49" s="430"/>
      <c r="AE49" s="338"/>
      <c r="AF49" s="315"/>
      <c r="AG49" s="351" t="s">
        <v>158</v>
      </c>
      <c r="AH49" s="315"/>
      <c r="AI49" s="351" t="s">
        <v>201</v>
      </c>
      <c r="AJ49" s="351"/>
      <c r="AK49" s="315"/>
      <c r="AL49" s="361" t="s">
        <v>168</v>
      </c>
      <c r="AM49" s="315"/>
      <c r="AN49" s="315"/>
      <c r="AO49" s="315">
        <v>20</v>
      </c>
      <c r="AP49" s="315">
        <v>30</v>
      </c>
      <c r="AQ49" s="315">
        <v>40</v>
      </c>
      <c r="AR49" s="315"/>
      <c r="AS49" s="315">
        <v>900</v>
      </c>
      <c r="AT49" s="315">
        <v>15</v>
      </c>
      <c r="AU49" s="315">
        <v>16</v>
      </c>
      <c r="AV49" s="315">
        <v>17</v>
      </c>
    </row>
    <row r="50" ht="18.75" customHeight="1">
      <c r="B50" s="430"/>
      <c r="C50" s="430"/>
      <c r="D50" s="430"/>
      <c r="E50" s="430"/>
      <c r="F50" s="430"/>
      <c r="G50" s="430"/>
      <c r="H50" s="431"/>
      <c r="I50" s="431"/>
      <c r="J50" s="431"/>
      <c r="K50" s="431"/>
      <c r="L50" s="432"/>
      <c r="M50" s="432"/>
      <c r="N50" s="474"/>
      <c r="O50" s="474"/>
      <c r="P50" s="474"/>
      <c r="Q50" s="430"/>
      <c r="R50" s="430"/>
      <c r="S50" s="430"/>
      <c r="T50" s="430"/>
      <c r="U50" s="430"/>
      <c r="V50" s="430"/>
      <c r="W50" s="430"/>
      <c r="X50" s="430"/>
      <c r="Y50" s="430"/>
      <c r="Z50" s="430"/>
      <c r="AA50" s="430"/>
      <c r="AB50" s="430"/>
      <c r="AC50" s="430"/>
      <c r="AD50" s="430"/>
      <c r="AE50" s="338"/>
      <c r="AF50" s="315"/>
      <c r="AG50" s="315"/>
      <c r="AH50" s="315"/>
      <c r="AI50" s="315"/>
      <c r="AJ50" s="315"/>
      <c r="AK50" s="315"/>
      <c r="AL50" s="315"/>
      <c r="AM50" s="315"/>
      <c r="AN50" s="315"/>
      <c r="AO50" s="315"/>
      <c r="AP50" s="315"/>
      <c r="AQ50" s="315"/>
      <c r="AR50" s="315"/>
      <c r="AS50" s="315"/>
      <c r="AT50" s="315"/>
      <c r="AU50" s="315"/>
      <c r="AV50" s="315"/>
    </row>
    <row r="51" ht="18.75" customHeight="1">
      <c r="B51" s="430"/>
      <c r="C51" s="430"/>
      <c r="D51" s="430"/>
      <c r="E51" s="430"/>
      <c r="F51" s="430"/>
      <c r="G51" s="430"/>
      <c r="H51" s="431"/>
      <c r="I51" s="431"/>
      <c r="J51" s="431"/>
      <c r="K51" s="431"/>
      <c r="L51" s="432"/>
      <c r="M51" s="432"/>
      <c r="N51" s="474"/>
      <c r="O51" s="474"/>
      <c r="P51" s="474"/>
      <c r="Q51" s="430"/>
      <c r="R51" s="430"/>
      <c r="S51" s="430"/>
      <c r="T51" s="430"/>
      <c r="U51" s="430"/>
      <c r="V51" s="430"/>
      <c r="W51" s="430"/>
      <c r="X51" s="430"/>
      <c r="Y51" s="430"/>
      <c r="Z51" s="430"/>
      <c r="AA51" s="430"/>
      <c r="AB51" s="430"/>
      <c r="AC51" s="430"/>
      <c r="AD51" s="430"/>
      <c r="AE51" s="338"/>
      <c r="AF51" s="315"/>
      <c r="AG51" s="315"/>
      <c r="AH51" s="315"/>
      <c r="AI51" s="315"/>
      <c r="AJ51" s="315"/>
      <c r="AK51" s="315"/>
      <c r="AL51" s="315"/>
      <c r="AM51" s="315"/>
      <c r="AN51" s="315"/>
      <c r="AO51" s="315"/>
      <c r="AP51" s="315"/>
      <c r="AQ51" s="315"/>
      <c r="AR51" s="315"/>
      <c r="AS51" s="315"/>
      <c r="AT51" s="315"/>
      <c r="AU51" s="315"/>
      <c r="AV51" s="315"/>
    </row>
    <row r="52" ht="18.75" customHeight="1">
      <c r="B52" s="430"/>
      <c r="C52" s="430"/>
      <c r="D52" s="430"/>
      <c r="E52" s="430"/>
      <c r="F52" s="430"/>
      <c r="G52" s="430"/>
      <c r="H52" s="431"/>
      <c r="I52" s="431"/>
      <c r="J52" s="431"/>
      <c r="K52" s="431"/>
      <c r="L52" s="432"/>
      <c r="M52" s="432"/>
      <c r="N52" s="474"/>
      <c r="O52" s="474"/>
      <c r="P52" s="474"/>
      <c r="Q52" s="430"/>
      <c r="R52" s="430"/>
      <c r="S52" s="430"/>
      <c r="T52" s="430"/>
      <c r="U52" s="430"/>
      <c r="V52" s="430"/>
      <c r="W52" s="430"/>
      <c r="X52" s="430"/>
      <c r="Y52" s="430"/>
      <c r="Z52" s="430"/>
      <c r="AA52" s="430"/>
      <c r="AB52" s="430"/>
      <c r="AC52" s="430"/>
      <c r="AD52" s="430"/>
      <c r="AE52" s="338"/>
      <c r="AF52" s="315"/>
      <c r="AG52" s="315"/>
      <c r="AH52" s="315"/>
      <c r="AI52" s="315"/>
      <c r="AJ52" s="315"/>
      <c r="AK52" s="315"/>
      <c r="AL52" s="315"/>
      <c r="AM52" s="315"/>
      <c r="AN52" s="315"/>
      <c r="AO52" s="315"/>
      <c r="AP52" s="315"/>
      <c r="AQ52" s="315"/>
      <c r="AR52" s="315"/>
      <c r="AS52" s="315"/>
      <c r="AT52" s="315"/>
      <c r="AU52" s="315"/>
      <c r="AV52" s="315"/>
    </row>
    <row r="53" ht="18.75" customHeight="1">
      <c r="B53" s="430" t="str">
        <f>AG53</f>
        <v>CÔNG TY CỔ PHẦN VIỄN THÔNG DI ĐỘNG TOÀN CẦU</v>
      </c>
      <c r="C53" s="430"/>
      <c r="D53" s="430"/>
      <c r="E53" s="430"/>
      <c r="F53" s="430"/>
      <c r="G53" s="430"/>
      <c r="H53" s="431" t="str">
        <f>AI53</f>
        <v>TB1</v>
      </c>
      <c r="I53" s="431"/>
      <c r="J53" s="431"/>
      <c r="K53" s="431"/>
      <c r="L53" s="432">
        <v>4</v>
      </c>
      <c r="M53" s="432"/>
      <c r="N53" s="474" t="str">
        <f>AL53</f>
        <v>4/4/4</v>
      </c>
      <c r="O53" s="474"/>
      <c r="P53" s="474"/>
      <c r="Q53" s="430" t="str">
        <f>IF(L53=4,AO53&amp;"W/ "&amp;AP53&amp;"W/ "&amp;AQ53&amp;"W/ "&amp;AR53&amp;"W",IF(L53=3,AO53&amp;"W/ "&amp;AP53&amp;"W/ "&amp;AQ53&amp;"W",IF(L53=2,AO53&amp;"W/ "&amp;AP53&amp;"W",AO53&amp;"W")))</f>
        <v>20W/ 30W/ 40W/ W</v>
      </c>
      <c r="R53" s="430"/>
      <c r="S53" s="430"/>
      <c r="T53" s="430"/>
      <c r="U53" s="430"/>
      <c r="V53" s="430" t="str">
        <f>IF(AS53="900 &amp; 1800","900MHz &amp; 1800MHz",IF(AS53="900 &amp; 2100","900MHz &amp; 2100MHz",IF(AS53="1800 &amp; 2100","1800MHz &amp; 2100MHz",AS53&amp;"MHz")))</f>
        <v>1800MHz</v>
      </c>
      <c r="W53" s="430"/>
      <c r="X53" s="430"/>
      <c r="Y53" s="430">
        <f>AT53</f>
        <v>15</v>
      </c>
      <c r="Z53" s="430"/>
      <c r="AA53" s="430"/>
      <c r="AB53" s="430"/>
      <c r="AC53" s="430"/>
      <c r="AD53" s="430"/>
      <c r="AE53" s="338"/>
      <c r="AF53" s="315"/>
      <c r="AG53" s="351" t="s">
        <v>158</v>
      </c>
      <c r="AH53" s="315"/>
      <c r="AI53" s="351" t="s">
        <v>201</v>
      </c>
      <c r="AJ53" s="351"/>
      <c r="AK53" s="315"/>
      <c r="AL53" s="361" t="s">
        <v>168</v>
      </c>
      <c r="AM53" s="315"/>
      <c r="AN53" s="315"/>
      <c r="AO53" s="315">
        <v>20</v>
      </c>
      <c r="AP53" s="315">
        <v>30</v>
      </c>
      <c r="AQ53" s="315">
        <v>40</v>
      </c>
      <c r="AR53" s="315"/>
      <c r="AS53" s="315">
        <v>1800</v>
      </c>
      <c r="AT53" s="315">
        <v>15</v>
      </c>
      <c r="AU53" s="315">
        <v>16</v>
      </c>
      <c r="AV53" s="315">
        <v>17</v>
      </c>
    </row>
    <row r="54" ht="18.75" customHeight="1">
      <c r="B54" s="430"/>
      <c r="C54" s="430"/>
      <c r="D54" s="430"/>
      <c r="E54" s="430"/>
      <c r="F54" s="430"/>
      <c r="G54" s="430"/>
      <c r="H54" s="431"/>
      <c r="I54" s="431"/>
      <c r="J54" s="431"/>
      <c r="K54" s="431"/>
      <c r="L54" s="432"/>
      <c r="M54" s="432"/>
      <c r="N54" s="474"/>
      <c r="O54" s="474"/>
      <c r="P54" s="474"/>
      <c r="Q54" s="430"/>
      <c r="R54" s="430"/>
      <c r="S54" s="430"/>
      <c r="T54" s="430"/>
      <c r="U54" s="430"/>
      <c r="V54" s="430"/>
      <c r="W54" s="430"/>
      <c r="X54" s="430"/>
      <c r="Y54" s="430"/>
      <c r="Z54" s="430"/>
      <c r="AA54" s="430"/>
      <c r="AB54" s="430"/>
      <c r="AC54" s="430"/>
      <c r="AD54" s="430"/>
      <c r="AE54" s="338"/>
      <c r="AF54" s="315"/>
      <c r="AG54" s="351"/>
      <c r="AH54" s="315"/>
      <c r="AI54" s="351"/>
      <c r="AJ54" s="351"/>
      <c r="AK54" s="315"/>
      <c r="AL54" s="361"/>
      <c r="AM54" s="315"/>
      <c r="AN54" s="315"/>
      <c r="AO54" s="315"/>
      <c r="AP54" s="315"/>
      <c r="AQ54" s="315"/>
      <c r="AR54" s="315"/>
      <c r="AS54" s="315"/>
      <c r="AT54" s="315"/>
      <c r="AU54" s="315"/>
      <c r="AV54" s="315"/>
    </row>
    <row r="55" ht="18.75" customHeight="1">
      <c r="B55" s="430"/>
      <c r="C55" s="430"/>
      <c r="D55" s="430"/>
      <c r="E55" s="430"/>
      <c r="F55" s="430"/>
      <c r="G55" s="430"/>
      <c r="H55" s="431"/>
      <c r="I55" s="431"/>
      <c r="J55" s="431"/>
      <c r="K55" s="431"/>
      <c r="L55" s="432"/>
      <c r="M55" s="432"/>
      <c r="N55" s="474"/>
      <c r="O55" s="474"/>
      <c r="P55" s="474"/>
      <c r="Q55" s="430"/>
      <c r="R55" s="430"/>
      <c r="S55" s="430"/>
      <c r="T55" s="430"/>
      <c r="U55" s="430"/>
      <c r="V55" s="430"/>
      <c r="W55" s="430"/>
      <c r="X55" s="430"/>
      <c r="Y55" s="430"/>
      <c r="Z55" s="430"/>
      <c r="AA55" s="430"/>
      <c r="AB55" s="430"/>
      <c r="AC55" s="430"/>
      <c r="AD55" s="430"/>
      <c r="AE55" s="338"/>
      <c r="AF55" s="315"/>
      <c r="AG55" s="315"/>
      <c r="AH55" s="315"/>
      <c r="AI55" s="315"/>
      <c r="AJ55" s="315"/>
      <c r="AK55" s="315"/>
      <c r="AL55" s="315"/>
      <c r="AM55" s="315"/>
      <c r="AN55" s="315"/>
      <c r="AO55" s="315"/>
      <c r="AP55" s="315"/>
      <c r="AQ55" s="315"/>
      <c r="AR55" s="315"/>
      <c r="AS55" s="315"/>
      <c r="AT55" s="315"/>
      <c r="AU55" s="315"/>
      <c r="AV55" s="315"/>
    </row>
    <row r="56" ht="18.75" customHeight="1">
      <c r="B56" s="430"/>
      <c r="C56" s="430"/>
      <c r="D56" s="430"/>
      <c r="E56" s="430"/>
      <c r="F56" s="430"/>
      <c r="G56" s="430"/>
      <c r="H56" s="431"/>
      <c r="I56" s="431"/>
      <c r="J56" s="431"/>
      <c r="K56" s="431"/>
      <c r="L56" s="432"/>
      <c r="M56" s="432"/>
      <c r="N56" s="474"/>
      <c r="O56" s="474"/>
      <c r="P56" s="474"/>
      <c r="Q56" s="430"/>
      <c r="R56" s="430"/>
      <c r="S56" s="430"/>
      <c r="T56" s="430"/>
      <c r="U56" s="430"/>
      <c r="V56" s="430"/>
      <c r="W56" s="430"/>
      <c r="X56" s="430"/>
      <c r="Y56" s="430"/>
      <c r="Z56" s="430"/>
      <c r="AA56" s="430"/>
      <c r="AB56" s="430"/>
      <c r="AC56" s="430"/>
      <c r="AD56" s="430"/>
      <c r="AE56" s="338"/>
      <c r="AF56" s="315"/>
      <c r="AG56" s="315"/>
      <c r="AH56" s="315"/>
      <c r="AI56" s="315"/>
      <c r="AJ56" s="315"/>
      <c r="AK56" s="315"/>
      <c r="AL56" s="315"/>
      <c r="AM56" s="315"/>
      <c r="AN56" s="315"/>
      <c r="AO56" s="315"/>
      <c r="AP56" s="315"/>
      <c r="AQ56" s="315"/>
      <c r="AR56" s="315"/>
      <c r="AS56" s="315"/>
      <c r="AT56" s="315"/>
      <c r="AU56" s="315"/>
      <c r="AV56" s="315"/>
    </row>
    <row r="57" ht="18.75" customHeight="1">
      <c r="B57" s="430" t="str">
        <f>AG57</f>
        <v>CÔNG TY CỔ PHẦN VIỄN THÔNG DI ĐỘNG TOÀN CẦU</v>
      </c>
      <c r="C57" s="430"/>
      <c r="D57" s="430"/>
      <c r="E57" s="430"/>
      <c r="F57" s="430"/>
      <c r="G57" s="430"/>
      <c r="H57" s="431" t="str">
        <f>AI57</f>
        <v>TB1</v>
      </c>
      <c r="I57" s="431"/>
      <c r="J57" s="431"/>
      <c r="K57" s="431"/>
      <c r="L57" s="432">
        <v>3</v>
      </c>
      <c r="M57" s="432"/>
      <c r="N57" s="474" t="str">
        <f>AL57</f>
        <v>4/4/4</v>
      </c>
      <c r="O57" s="474"/>
      <c r="P57" s="474"/>
      <c r="Q57" s="430" t="str">
        <f>IF(L57=4,AO57&amp;"W/ "&amp;AP57&amp;"W/ "&amp;AQ57&amp;"W/ "&amp;AR57&amp;"W",IF(L57=3,AO57&amp;"W/ "&amp;AP57&amp;"W/ "&amp;AQ57&amp;"W",IF(L57=2,AO57&amp;"W/ "&amp;AP57&amp;"W",AO57&amp;"W")))</f>
        <v>20W/ 30W/ 40W</v>
      </c>
      <c r="R57" s="430"/>
      <c r="S57" s="430"/>
      <c r="T57" s="430"/>
      <c r="U57" s="430"/>
      <c r="V57" s="430" t="str">
        <f>IF(AS57="900 &amp; 1800","900MHz &amp; 1800MHz",IF(AS57="900 &amp; 2100","900MHz &amp; 2100MHz",IF(AS57="1800 &amp; 2100","1800MHz &amp; 2100MHz",AS57&amp;"MHz")))</f>
        <v>900MHz &amp; 1800MHz</v>
      </c>
      <c r="W57" s="430"/>
      <c r="X57" s="430"/>
      <c r="Y57" s="430">
        <f>AT57</f>
        <v>15</v>
      </c>
      <c r="Z57" s="430"/>
      <c r="AA57" s="430"/>
      <c r="AB57" s="430"/>
      <c r="AC57" s="430"/>
      <c r="AD57" s="430"/>
      <c r="AE57" s="338"/>
      <c r="AF57" s="315"/>
      <c r="AG57" s="351" t="s">
        <v>158</v>
      </c>
      <c r="AH57" s="315"/>
      <c r="AI57" s="351" t="s">
        <v>201</v>
      </c>
      <c r="AJ57" s="351"/>
      <c r="AK57" s="315"/>
      <c r="AL57" s="361" t="s">
        <v>168</v>
      </c>
      <c r="AM57" s="315"/>
      <c r="AN57" s="315"/>
      <c r="AO57" s="315">
        <v>20</v>
      </c>
      <c r="AP57" s="315">
        <v>30</v>
      </c>
      <c r="AQ57" s="315">
        <v>40</v>
      </c>
      <c r="AR57" s="315"/>
      <c r="AS57" s="315" t="s">
        <v>174</v>
      </c>
      <c r="AT57" s="315">
        <v>15</v>
      </c>
      <c r="AU57" s="315">
        <v>16</v>
      </c>
      <c r="AV57" s="315">
        <v>17</v>
      </c>
    </row>
    <row r="58" ht="18.75" customHeight="1">
      <c r="B58" s="430"/>
      <c r="C58" s="430"/>
      <c r="D58" s="430"/>
      <c r="E58" s="430"/>
      <c r="F58" s="430"/>
      <c r="G58" s="430"/>
      <c r="H58" s="431"/>
      <c r="I58" s="431"/>
      <c r="J58" s="431"/>
      <c r="K58" s="431"/>
      <c r="L58" s="432"/>
      <c r="M58" s="432"/>
      <c r="N58" s="474"/>
      <c r="O58" s="474"/>
      <c r="P58" s="474"/>
      <c r="Q58" s="430"/>
      <c r="R58" s="430"/>
      <c r="S58" s="430"/>
      <c r="T58" s="430"/>
      <c r="U58" s="430"/>
      <c r="V58" s="430"/>
      <c r="W58" s="430"/>
      <c r="X58" s="430"/>
      <c r="Y58" s="430"/>
      <c r="Z58" s="430"/>
      <c r="AA58" s="430"/>
      <c r="AB58" s="430"/>
      <c r="AC58" s="430"/>
      <c r="AD58" s="430"/>
      <c r="AE58" s="338"/>
      <c r="AF58" s="315"/>
      <c r="AG58" s="351"/>
      <c r="AH58" s="315"/>
      <c r="AI58" s="351"/>
      <c r="AJ58" s="351"/>
      <c r="AK58" s="315"/>
      <c r="AL58" s="361"/>
      <c r="AM58" s="315"/>
      <c r="AN58" s="315"/>
      <c r="AO58" s="315"/>
      <c r="AP58" s="315"/>
      <c r="AQ58" s="315"/>
      <c r="AR58" s="315"/>
      <c r="AS58" s="315"/>
      <c r="AT58" s="315"/>
      <c r="AU58" s="315"/>
      <c r="AV58" s="315"/>
    </row>
    <row r="59" ht="18.75" customHeight="1">
      <c r="B59" s="430"/>
      <c r="C59" s="430"/>
      <c r="D59" s="430"/>
      <c r="E59" s="430"/>
      <c r="F59" s="430"/>
      <c r="G59" s="430"/>
      <c r="H59" s="431"/>
      <c r="I59" s="431"/>
      <c r="J59" s="431"/>
      <c r="K59" s="431"/>
      <c r="L59" s="432"/>
      <c r="M59" s="432"/>
      <c r="N59" s="474"/>
      <c r="O59" s="474"/>
      <c r="P59" s="474"/>
      <c r="Q59" s="430"/>
      <c r="R59" s="430"/>
      <c r="S59" s="430"/>
      <c r="T59" s="430"/>
      <c r="U59" s="430"/>
      <c r="V59" s="430"/>
      <c r="W59" s="430"/>
      <c r="X59" s="430"/>
      <c r="Y59" s="430"/>
      <c r="Z59" s="430"/>
      <c r="AA59" s="430"/>
      <c r="AB59" s="430"/>
      <c r="AC59" s="430"/>
      <c r="AD59" s="430"/>
      <c r="AE59" s="338"/>
      <c r="AF59" s="315"/>
      <c r="AG59" s="315"/>
      <c r="AH59" s="315"/>
      <c r="AI59" s="315"/>
      <c r="AJ59" s="315"/>
      <c r="AK59" s="315"/>
      <c r="AL59" s="315"/>
      <c r="AM59" s="315"/>
      <c r="AN59" s="315"/>
      <c r="AO59" s="315"/>
      <c r="AP59" s="315"/>
      <c r="AQ59" s="315"/>
      <c r="AR59" s="315"/>
      <c r="AS59" s="315"/>
      <c r="AT59" s="315"/>
      <c r="AU59" s="315"/>
      <c r="AV59" s="315"/>
    </row>
    <row r="60" ht="18.75" customHeight="1">
      <c r="B60" s="430"/>
      <c r="C60" s="430"/>
      <c r="D60" s="430"/>
      <c r="E60" s="430"/>
      <c r="F60" s="430"/>
      <c r="G60" s="430"/>
      <c r="H60" s="431"/>
      <c r="I60" s="431"/>
      <c r="J60" s="431"/>
      <c r="K60" s="431"/>
      <c r="L60" s="432"/>
      <c r="M60" s="432"/>
      <c r="N60" s="474"/>
      <c r="O60" s="474"/>
      <c r="P60" s="474"/>
      <c r="Q60" s="430"/>
      <c r="R60" s="430"/>
      <c r="S60" s="430"/>
      <c r="T60" s="430"/>
      <c r="U60" s="430"/>
      <c r="V60" s="430"/>
      <c r="W60" s="430"/>
      <c r="X60" s="430"/>
      <c r="Y60" s="430"/>
      <c r="Z60" s="430"/>
      <c r="AA60" s="430"/>
      <c r="AB60" s="430"/>
      <c r="AC60" s="430"/>
      <c r="AD60" s="430"/>
      <c r="AE60" s="338"/>
      <c r="AF60" s="315"/>
      <c r="AG60" s="315"/>
      <c r="AH60" s="315"/>
      <c r="AI60" s="315"/>
      <c r="AJ60" s="315"/>
      <c r="AK60" s="315"/>
      <c r="AL60" s="315"/>
      <c r="AM60" s="315"/>
      <c r="AN60" s="315"/>
      <c r="AO60" s="315"/>
      <c r="AP60" s="315"/>
      <c r="AQ60" s="315"/>
      <c r="AR60" s="315"/>
      <c r="AS60" s="315"/>
      <c r="AT60" s="315"/>
      <c r="AU60" s="315"/>
      <c r="AV60" s="315"/>
    </row>
    <row r="61" ht="18.75" customHeight="1">
      <c r="B61" s="430" t="str">
        <f>AG61</f>
        <v>CÔNG TY CỔ PHẦN VIỄN THÔNG DI ĐỘNG TOÀN CẦU</v>
      </c>
      <c r="C61" s="430"/>
      <c r="D61" s="430"/>
      <c r="E61" s="430"/>
      <c r="F61" s="430"/>
      <c r="G61" s="430"/>
      <c r="H61" s="431" t="str">
        <f>AI61</f>
        <v>TB1</v>
      </c>
      <c r="I61" s="431"/>
      <c r="J61" s="431"/>
      <c r="K61" s="431"/>
      <c r="L61" s="432">
        <v>2</v>
      </c>
      <c r="M61" s="432"/>
      <c r="N61" s="474" t="str">
        <f>AL61</f>
        <v>4/4/4</v>
      </c>
      <c r="O61" s="474"/>
      <c r="P61" s="474"/>
      <c r="Q61" s="430" t="str">
        <f>IF(L61=4,AO61&amp;"W/ "&amp;AP61&amp;"W/ "&amp;AQ61&amp;"W/ "&amp;AR61&amp;"W",IF(L61=3,AO61&amp;"W/ "&amp;AP61&amp;"W/ "&amp;AQ61&amp;"W",IF(L61=2,AO61&amp;"W/ "&amp;AP61&amp;"W",AO61&amp;"W")))</f>
        <v>20W/ 30W</v>
      </c>
      <c r="R61" s="430"/>
      <c r="S61" s="430"/>
      <c r="T61" s="430"/>
      <c r="U61" s="430"/>
      <c r="V61" s="430" t="str">
        <f>IF(AS61="900 &amp; 1800","900MHz &amp; 1800MHz",IF(AS61="900 &amp; 2100","900MHz &amp; 2100MHz",IF(AS61="1800 &amp; 2100","1800MHz &amp; 2100MHz",AS61&amp;"MHz")))</f>
        <v>9000 &amp; 2100MHz</v>
      </c>
      <c r="W61" s="430"/>
      <c r="X61" s="430"/>
      <c r="Y61" s="430">
        <f>AT61</f>
        <v>15</v>
      </c>
      <c r="Z61" s="430"/>
      <c r="AA61" s="430"/>
      <c r="AB61" s="430"/>
      <c r="AC61" s="430"/>
      <c r="AD61" s="430"/>
      <c r="AE61" s="338"/>
      <c r="AF61" s="315"/>
      <c r="AG61" s="351" t="s">
        <v>158</v>
      </c>
      <c r="AH61" s="315"/>
      <c r="AI61" s="351" t="s">
        <v>201</v>
      </c>
      <c r="AJ61" s="351"/>
      <c r="AK61" s="315"/>
      <c r="AL61" s="361" t="s">
        <v>168</v>
      </c>
      <c r="AM61" s="315"/>
      <c r="AN61" s="315"/>
      <c r="AO61" s="315">
        <v>20</v>
      </c>
      <c r="AP61" s="315">
        <v>30</v>
      </c>
      <c r="AQ61" s="315">
        <v>40</v>
      </c>
      <c r="AR61" s="315"/>
      <c r="AS61" s="315" t="s">
        <v>203</v>
      </c>
      <c r="AT61" s="315">
        <v>15</v>
      </c>
      <c r="AU61" s="315">
        <v>16</v>
      </c>
      <c r="AV61" s="315">
        <v>17</v>
      </c>
    </row>
    <row r="62" ht="18.75" customHeight="1">
      <c r="B62" s="430"/>
      <c r="C62" s="430"/>
      <c r="D62" s="430"/>
      <c r="E62" s="430"/>
      <c r="F62" s="430"/>
      <c r="G62" s="430"/>
      <c r="H62" s="431"/>
      <c r="I62" s="431"/>
      <c r="J62" s="431"/>
      <c r="K62" s="431"/>
      <c r="L62" s="432"/>
      <c r="M62" s="432"/>
      <c r="N62" s="474"/>
      <c r="O62" s="474"/>
      <c r="P62" s="474"/>
      <c r="Q62" s="430"/>
      <c r="R62" s="430"/>
      <c r="S62" s="430"/>
      <c r="T62" s="430"/>
      <c r="U62" s="430"/>
      <c r="V62" s="430"/>
      <c r="W62" s="430"/>
      <c r="X62" s="430"/>
      <c r="Y62" s="430"/>
      <c r="Z62" s="430"/>
      <c r="AA62" s="430"/>
      <c r="AB62" s="430"/>
      <c r="AC62" s="430"/>
      <c r="AD62" s="430"/>
      <c r="AE62" s="338"/>
      <c r="AF62" s="315"/>
      <c r="AG62" s="351"/>
      <c r="AH62" s="315"/>
      <c r="AI62" s="351"/>
      <c r="AJ62" s="351"/>
      <c r="AK62" s="315"/>
      <c r="AL62" s="361"/>
      <c r="AM62" s="315"/>
      <c r="AN62" s="315"/>
      <c r="AO62" s="315"/>
      <c r="AP62" s="315"/>
      <c r="AQ62" s="315"/>
      <c r="AR62" s="315"/>
      <c r="AS62" s="315"/>
      <c r="AT62" s="315"/>
      <c r="AU62" s="315"/>
      <c r="AV62" s="315"/>
    </row>
    <row r="63" ht="18.75" customHeight="1">
      <c r="B63" s="430"/>
      <c r="C63" s="430"/>
      <c r="D63" s="430"/>
      <c r="E63" s="430"/>
      <c r="F63" s="430"/>
      <c r="G63" s="430"/>
      <c r="H63" s="431"/>
      <c r="I63" s="431"/>
      <c r="J63" s="431"/>
      <c r="K63" s="431"/>
      <c r="L63" s="432"/>
      <c r="M63" s="432"/>
      <c r="N63" s="474"/>
      <c r="O63" s="474"/>
      <c r="P63" s="474"/>
      <c r="Q63" s="430"/>
      <c r="R63" s="430"/>
      <c r="S63" s="430"/>
      <c r="T63" s="430"/>
      <c r="U63" s="430"/>
      <c r="V63" s="430"/>
      <c r="W63" s="430"/>
      <c r="X63" s="430"/>
      <c r="Y63" s="430"/>
      <c r="Z63" s="430"/>
      <c r="AA63" s="430"/>
      <c r="AB63" s="430"/>
      <c r="AC63" s="430"/>
      <c r="AD63" s="430"/>
      <c r="AE63" s="338"/>
      <c r="AF63" s="315"/>
      <c r="AG63" s="315"/>
      <c r="AH63" s="315"/>
      <c r="AI63" s="315"/>
      <c r="AJ63" s="315"/>
      <c r="AK63" s="315"/>
      <c r="AL63" s="315"/>
      <c r="AM63" s="315"/>
      <c r="AN63" s="315"/>
      <c r="AO63" s="315"/>
      <c r="AP63" s="315"/>
      <c r="AQ63" s="315"/>
      <c r="AR63" s="315"/>
      <c r="AS63" s="315"/>
      <c r="AT63" s="315"/>
      <c r="AU63" s="315"/>
      <c r="AV63" s="315"/>
    </row>
    <row r="64" ht="18.75" customHeight="1">
      <c r="B64" s="430"/>
      <c r="C64" s="430"/>
      <c r="D64" s="430"/>
      <c r="E64" s="430"/>
      <c r="F64" s="430"/>
      <c r="G64" s="430"/>
      <c r="H64" s="431"/>
      <c r="I64" s="431"/>
      <c r="J64" s="431"/>
      <c r="K64" s="431"/>
      <c r="L64" s="432"/>
      <c r="M64" s="432"/>
      <c r="N64" s="474"/>
      <c r="O64" s="474"/>
      <c r="P64" s="474"/>
      <c r="Q64" s="430"/>
      <c r="R64" s="430"/>
      <c r="S64" s="430"/>
      <c r="T64" s="430"/>
      <c r="U64" s="430"/>
      <c r="V64" s="430"/>
      <c r="W64" s="430"/>
      <c r="X64" s="430"/>
      <c r="Y64" s="430"/>
      <c r="Z64" s="430"/>
      <c r="AA64" s="430"/>
      <c r="AB64" s="430"/>
      <c r="AC64" s="430"/>
      <c r="AD64" s="430"/>
      <c r="AE64" s="338"/>
      <c r="AF64" s="315"/>
      <c r="AG64" s="315"/>
      <c r="AH64" s="315"/>
      <c r="AI64" s="315"/>
      <c r="AJ64" s="315"/>
      <c r="AK64" s="315"/>
      <c r="AL64" s="315"/>
      <c r="AM64" s="315"/>
      <c r="AN64" s="315"/>
      <c r="AO64" s="315"/>
      <c r="AP64" s="315"/>
      <c r="AQ64" s="315"/>
      <c r="AR64" s="315"/>
      <c r="AS64" s="315"/>
      <c r="AT64" s="315"/>
      <c r="AU64" s="315"/>
      <c r="AV64" s="315"/>
    </row>
    <row r="65" ht="18.75" customHeight="1">
      <c r="B65" s="430" t="str">
        <f>AG65</f>
        <v>CÔNG TY CỔ PHẦN VIỄN THÔNG DI ĐỘNG TOÀN CẦU</v>
      </c>
      <c r="C65" s="430"/>
      <c r="D65" s="430"/>
      <c r="E65" s="430"/>
      <c r="F65" s="430"/>
      <c r="G65" s="430"/>
      <c r="H65" s="431" t="str">
        <f>AI65</f>
        <v>TB1</v>
      </c>
      <c r="I65" s="431"/>
      <c r="J65" s="431"/>
      <c r="K65" s="431"/>
      <c r="L65" s="432">
        <v>1</v>
      </c>
      <c r="M65" s="432"/>
      <c r="N65" s="474" t="str">
        <f>AL65</f>
        <v>4/4/4</v>
      </c>
      <c r="O65" s="474"/>
      <c r="P65" s="474"/>
      <c r="Q65" s="430" t="str">
        <f>IF(L65=4,AO65&amp;"W/ "&amp;AP65&amp;"W/ "&amp;AQ65&amp;"W/ "&amp;AR65&amp;"W",IF(L65=3,AO65&amp;"W/ "&amp;AP65&amp;"W/ "&amp;AQ65&amp;"W",IF(L65=2,AO65&amp;"W/ "&amp;AP65&amp;"W",AO65&amp;"W")))</f>
        <v>20W</v>
      </c>
      <c r="R65" s="430"/>
      <c r="S65" s="430"/>
      <c r="T65" s="430"/>
      <c r="U65" s="430"/>
      <c r="V65" s="430" t="str">
        <f>IF(AS65="900 &amp; 1800","900MHz &amp; 1800MHz",IF(AS65="900 &amp; 2100","900MHz &amp; 2100MHz",IF(AS65="1800 &amp; 2100","1800MHz &amp; 2100MHz",AS65&amp;"MHz")))</f>
        <v>1800MHz &amp; 2100MHz</v>
      </c>
      <c r="W65" s="430"/>
      <c r="X65" s="430"/>
      <c r="Y65" s="430">
        <f>AT65</f>
        <v>15</v>
      </c>
      <c r="Z65" s="430"/>
      <c r="AA65" s="430"/>
      <c r="AB65" s="430"/>
      <c r="AC65" s="430"/>
      <c r="AD65" s="430"/>
      <c r="AE65" s="338"/>
      <c r="AF65" s="315"/>
      <c r="AG65" s="351" t="s">
        <v>158</v>
      </c>
      <c r="AH65" s="315"/>
      <c r="AI65" s="351" t="s">
        <v>201</v>
      </c>
      <c r="AJ65" s="351"/>
      <c r="AK65" s="315"/>
      <c r="AL65" s="361" t="s">
        <v>168</v>
      </c>
      <c r="AM65" s="315"/>
      <c r="AN65" s="315"/>
      <c r="AO65" s="315">
        <v>20</v>
      </c>
      <c r="AP65" s="315">
        <v>30</v>
      </c>
      <c r="AQ65" s="315">
        <v>40</v>
      </c>
      <c r="AR65" s="315"/>
      <c r="AS65" s="315" t="s">
        <v>204</v>
      </c>
      <c r="AT65" s="315">
        <v>15</v>
      </c>
      <c r="AU65" s="315">
        <v>16</v>
      </c>
      <c r="AV65" s="315">
        <v>17</v>
      </c>
    </row>
    <row r="66" ht="18.75" customHeight="1">
      <c r="B66" s="430"/>
      <c r="C66" s="430"/>
      <c r="D66" s="430"/>
      <c r="E66" s="430"/>
      <c r="F66" s="430"/>
      <c r="G66" s="430"/>
      <c r="H66" s="431"/>
      <c r="I66" s="431"/>
      <c r="J66" s="431"/>
      <c r="K66" s="431"/>
      <c r="L66" s="432"/>
      <c r="M66" s="432"/>
      <c r="N66" s="474"/>
      <c r="O66" s="474"/>
      <c r="P66" s="474"/>
      <c r="Q66" s="430"/>
      <c r="R66" s="430"/>
      <c r="S66" s="430"/>
      <c r="T66" s="430"/>
      <c r="U66" s="430"/>
      <c r="V66" s="430"/>
      <c r="W66" s="430"/>
      <c r="X66" s="430"/>
      <c r="Y66" s="430"/>
      <c r="Z66" s="430"/>
      <c r="AA66" s="430"/>
      <c r="AB66" s="430"/>
      <c r="AC66" s="430"/>
      <c r="AD66" s="430"/>
      <c r="AE66" s="338"/>
      <c r="AF66" s="315"/>
      <c r="AG66" s="315"/>
      <c r="AH66" s="315"/>
      <c r="AI66" s="315"/>
      <c r="AJ66" s="315"/>
      <c r="AK66" s="315"/>
      <c r="AL66" s="315"/>
      <c r="AM66" s="315"/>
      <c r="AN66" s="315"/>
      <c r="AO66" s="315"/>
      <c r="AP66" s="315"/>
      <c r="AQ66" s="315"/>
      <c r="AR66" s="315"/>
      <c r="AS66" s="315"/>
      <c r="AT66" s="315"/>
      <c r="AU66" s="315"/>
      <c r="AV66" s="315"/>
    </row>
    <row r="67" ht="18.75" customHeight="1">
      <c r="B67" s="430"/>
      <c r="C67" s="430"/>
      <c r="D67" s="430"/>
      <c r="E67" s="430"/>
      <c r="F67" s="430"/>
      <c r="G67" s="430"/>
      <c r="H67" s="431"/>
      <c r="I67" s="431"/>
      <c r="J67" s="431"/>
      <c r="K67" s="431"/>
      <c r="L67" s="432"/>
      <c r="M67" s="432"/>
      <c r="N67" s="474"/>
      <c r="O67" s="474"/>
      <c r="P67" s="474"/>
      <c r="Q67" s="430"/>
      <c r="R67" s="430"/>
      <c r="S67" s="430"/>
      <c r="T67" s="430"/>
      <c r="U67" s="430"/>
      <c r="V67" s="430"/>
      <c r="W67" s="430"/>
      <c r="X67" s="430"/>
      <c r="Y67" s="430"/>
      <c r="Z67" s="430"/>
      <c r="AA67" s="430"/>
      <c r="AB67" s="430"/>
      <c r="AC67" s="430"/>
      <c r="AD67" s="430"/>
      <c r="AE67" s="338"/>
      <c r="AF67" s="315"/>
      <c r="AG67" s="315"/>
      <c r="AH67" s="315"/>
      <c r="AI67" s="315"/>
      <c r="AJ67" s="315"/>
      <c r="AK67" s="315"/>
      <c r="AL67" s="315"/>
      <c r="AM67" s="315"/>
      <c r="AN67" s="315"/>
      <c r="AO67" s="315"/>
      <c r="AP67" s="315"/>
      <c r="AQ67" s="315"/>
      <c r="AR67" s="315"/>
      <c r="AS67" s="315"/>
      <c r="AT67" s="315"/>
      <c r="AU67" s="315"/>
      <c r="AV67" s="315"/>
    </row>
    <row r="68" ht="18.75" customHeight="1">
      <c r="B68" s="430"/>
      <c r="C68" s="430"/>
      <c r="D68" s="430"/>
      <c r="E68" s="430"/>
      <c r="F68" s="430"/>
      <c r="G68" s="430"/>
      <c r="H68" s="431"/>
      <c r="I68" s="431"/>
      <c r="J68" s="431"/>
      <c r="K68" s="431"/>
      <c r="L68" s="432"/>
      <c r="M68" s="432"/>
      <c r="N68" s="474"/>
      <c r="O68" s="474"/>
      <c r="P68" s="474"/>
      <c r="Q68" s="430"/>
      <c r="R68" s="430"/>
      <c r="S68" s="430"/>
      <c r="T68" s="430"/>
      <c r="U68" s="430"/>
      <c r="V68" s="430"/>
      <c r="W68" s="430"/>
      <c r="X68" s="430"/>
      <c r="Y68" s="430"/>
      <c r="Z68" s="430"/>
      <c r="AA68" s="430"/>
      <c r="AB68" s="430"/>
      <c r="AC68" s="430"/>
      <c r="AD68" s="430"/>
      <c r="AE68" s="338"/>
      <c r="AF68" s="315"/>
      <c r="AG68" s="315"/>
      <c r="AH68" s="315"/>
      <c r="AI68" s="315"/>
      <c r="AJ68" s="315"/>
      <c r="AK68" s="315"/>
      <c r="AL68" s="315"/>
      <c r="AM68" s="315"/>
      <c r="AN68" s="315"/>
      <c r="AO68" s="315"/>
      <c r="AP68" s="315"/>
      <c r="AQ68" s="315"/>
      <c r="AR68" s="315"/>
      <c r="AS68" s="315"/>
      <c r="AT68" s="315"/>
      <c r="AU68" s="315"/>
      <c r="AV68" s="315"/>
    </row>
    <row r="69" ht="18.75" customHeight="1">
      <c r="B69" s="315"/>
      <c r="C69" s="338"/>
      <c r="D69" s="338"/>
      <c r="E69" s="338"/>
      <c r="F69" s="338"/>
      <c r="G69" s="338"/>
      <c r="H69" s="338"/>
      <c r="I69" s="338"/>
      <c r="J69" s="338"/>
      <c r="K69" s="338"/>
      <c r="L69" s="338"/>
      <c r="M69" s="338"/>
      <c r="N69" s="338"/>
      <c r="O69" s="338"/>
      <c r="P69" s="338"/>
      <c r="Q69" s="338"/>
      <c r="R69" s="338"/>
      <c r="S69" s="338"/>
      <c r="T69" s="338"/>
      <c r="U69" s="338"/>
      <c r="V69" s="338"/>
      <c r="W69" s="338"/>
      <c r="X69" s="338"/>
      <c r="Y69" s="338"/>
      <c r="Z69" s="338"/>
      <c r="AA69" s="338"/>
      <c r="AB69" s="338"/>
      <c r="AC69" s="338"/>
      <c r="AD69" s="338"/>
      <c r="AE69" s="338"/>
      <c r="AF69" s="315"/>
      <c r="AG69" s="315"/>
      <c r="AH69" s="315"/>
      <c r="AI69" s="315"/>
      <c r="AJ69" s="315"/>
      <c r="AK69" s="315"/>
      <c r="AL69" s="315"/>
      <c r="AM69" s="315"/>
      <c r="AN69" s="315"/>
      <c r="AO69" s="315"/>
      <c r="AP69" s="315"/>
      <c r="AQ69" s="315"/>
      <c r="AR69" s="315"/>
      <c r="AS69" s="315"/>
      <c r="AT69" s="315"/>
      <c r="AU69" s="315"/>
      <c r="AV69" s="315"/>
    </row>
    <row r="70" ht="18.75" customHeight="1">
      <c r="B70" s="315"/>
      <c r="C70" s="338"/>
      <c r="D70" s="338"/>
      <c r="E70" s="338"/>
      <c r="F70" s="338"/>
      <c r="G70" s="338"/>
      <c r="H70" s="338"/>
      <c r="I70" s="338"/>
      <c r="J70" s="338"/>
      <c r="K70" s="338"/>
      <c r="L70" s="338"/>
      <c r="M70" s="338"/>
      <c r="N70" s="338"/>
      <c r="O70" s="338"/>
      <c r="P70" s="338"/>
      <c r="Q70" s="338"/>
      <c r="R70" s="338"/>
      <c r="S70" s="338"/>
      <c r="T70" s="338"/>
      <c r="U70" s="338"/>
      <c r="V70" s="338"/>
      <c r="W70" s="338"/>
      <c r="X70" s="338"/>
      <c r="Y70" s="338"/>
      <c r="Z70" s="338"/>
      <c r="AA70" s="338"/>
      <c r="AB70" s="338"/>
      <c r="AC70" s="338"/>
      <c r="AD70" s="338"/>
      <c r="AE70" s="338"/>
      <c r="AF70" s="315"/>
      <c r="AG70" s="315"/>
      <c r="AH70" s="315"/>
      <c r="AI70" s="315"/>
      <c r="AJ70" s="315"/>
      <c r="AK70" s="315"/>
      <c r="AL70" s="315"/>
      <c r="AM70" s="315"/>
      <c r="AN70" s="315"/>
      <c r="AO70" s="315"/>
      <c r="AP70" s="315"/>
      <c r="AQ70" s="315"/>
      <c r="AR70" s="315"/>
      <c r="AS70" s="315"/>
      <c r="AT70" s="315"/>
      <c r="AU70" s="315"/>
      <c r="AV70" s="315"/>
    </row>
    <row r="71" ht="18.75" customHeight="1">
      <c r="B71" s="315"/>
      <c r="C71" s="338"/>
      <c r="D71" s="338"/>
      <c r="E71" s="338"/>
      <c r="F71" s="338"/>
      <c r="G71" s="338"/>
      <c r="H71" s="338"/>
      <c r="I71" s="338"/>
      <c r="J71" s="338"/>
      <c r="K71" s="338"/>
      <c r="L71" s="338"/>
      <c r="M71" s="338"/>
      <c r="N71" s="338"/>
      <c r="O71" s="338"/>
      <c r="P71" s="338"/>
      <c r="Q71" s="338"/>
      <c r="R71" s="338"/>
      <c r="S71" s="338"/>
      <c r="T71" s="338"/>
      <c r="U71" s="338"/>
      <c r="V71" s="338"/>
      <c r="W71" s="338"/>
      <c r="X71" s="338"/>
      <c r="Y71" s="338"/>
      <c r="Z71" s="338"/>
      <c r="AA71" s="338"/>
      <c r="AB71" s="338"/>
      <c r="AC71" s="338"/>
      <c r="AD71" s="338"/>
      <c r="AE71" s="338"/>
      <c r="AF71" s="315"/>
      <c r="AG71" s="315"/>
      <c r="AH71" s="315"/>
      <c r="AI71" s="315"/>
      <c r="AJ71" s="315"/>
      <c r="AK71" s="315"/>
      <c r="AL71" s="315"/>
      <c r="AM71" s="315"/>
      <c r="AN71" s="315"/>
      <c r="AO71" s="315"/>
      <c r="AP71" s="315"/>
      <c r="AQ71" s="315"/>
      <c r="AR71" s="315"/>
      <c r="AS71" s="315"/>
      <c r="AT71" s="315"/>
      <c r="AU71" s="315"/>
      <c r="AV71" s="315"/>
    </row>
    <row r="72" ht="18.75" customHeight="1">
      <c r="B72" s="315"/>
      <c r="C72" s="338"/>
      <c r="D72" s="338"/>
      <c r="E72" s="338"/>
      <c r="F72" s="338"/>
      <c r="G72" s="338"/>
      <c r="H72" s="338"/>
      <c r="I72" s="338"/>
      <c r="J72" s="338"/>
      <c r="K72" s="338"/>
      <c r="L72" s="338"/>
      <c r="M72" s="338"/>
      <c r="N72" s="338"/>
      <c r="O72" s="338"/>
      <c r="P72" s="338"/>
      <c r="Q72" s="338"/>
      <c r="R72" s="338"/>
      <c r="S72" s="338"/>
      <c r="T72" s="338"/>
      <c r="U72" s="338"/>
      <c r="V72" s="338"/>
      <c r="W72" s="338"/>
      <c r="X72" s="338"/>
      <c r="Y72" s="338"/>
      <c r="Z72" s="338"/>
      <c r="AA72" s="338"/>
      <c r="AB72" s="338"/>
      <c r="AC72" s="338"/>
      <c r="AD72" s="338"/>
      <c r="AE72" s="338"/>
      <c r="AF72" s="315"/>
      <c r="AG72" s="315"/>
      <c r="AH72" s="315"/>
      <c r="AI72" s="315"/>
      <c r="AJ72" s="315"/>
      <c r="AK72" s="315"/>
      <c r="AL72" s="315"/>
      <c r="AM72" s="315"/>
      <c r="AN72" s="315"/>
      <c r="AO72" s="315"/>
      <c r="AP72" s="315"/>
      <c r="AQ72" s="315"/>
      <c r="AR72" s="315"/>
      <c r="AS72" s="315"/>
      <c r="AT72" s="315"/>
      <c r="AU72" s="315"/>
      <c r="AV72" s="315"/>
    </row>
    <row r="73" ht="18.75" customHeight="1">
      <c r="B73" s="315"/>
      <c r="C73" s="338"/>
      <c r="D73" s="338"/>
      <c r="E73" s="338"/>
      <c r="F73" s="338"/>
      <c r="G73" s="338"/>
      <c r="H73" s="338"/>
      <c r="I73" s="338"/>
      <c r="J73" s="338"/>
      <c r="K73" s="338"/>
      <c r="L73" s="338"/>
      <c r="M73" s="338"/>
      <c r="N73" s="338"/>
      <c r="O73" s="338"/>
      <c r="P73" s="338"/>
      <c r="Q73" s="338"/>
      <c r="R73" s="338"/>
      <c r="S73" s="338"/>
      <c r="T73" s="338"/>
      <c r="U73" s="338"/>
      <c r="V73" s="338"/>
      <c r="W73" s="338"/>
      <c r="X73" s="338"/>
      <c r="Y73" s="338"/>
      <c r="Z73" s="338"/>
      <c r="AA73" s="338"/>
      <c r="AB73" s="338"/>
      <c r="AC73" s="338"/>
      <c r="AD73" s="338"/>
      <c r="AE73" s="338"/>
      <c r="AF73" s="315"/>
      <c r="AG73" s="315"/>
      <c r="AH73" s="315"/>
      <c r="AI73" s="315"/>
      <c r="AJ73" s="315"/>
      <c r="AK73" s="315"/>
      <c r="AL73" s="315"/>
      <c r="AM73" s="315"/>
      <c r="AN73" s="315"/>
      <c r="AO73" s="315"/>
      <c r="AP73" s="315"/>
      <c r="AQ73" s="315"/>
      <c r="AR73" s="315"/>
      <c r="AS73" s="315"/>
      <c r="AT73" s="315"/>
      <c r="AU73" s="315"/>
      <c r="AV73" s="315"/>
    </row>
    <row r="74" ht="18.75" customHeight="1">
      <c r="B74" s="315"/>
      <c r="C74" s="338"/>
      <c r="D74" s="338"/>
      <c r="E74" s="338"/>
      <c r="F74" s="338"/>
      <c r="G74" s="338"/>
      <c r="H74" s="338"/>
      <c r="I74" s="338"/>
      <c r="J74" s="338"/>
      <c r="K74" s="338"/>
      <c r="L74" s="338"/>
      <c r="M74" s="338"/>
      <c r="N74" s="338"/>
      <c r="O74" s="338"/>
      <c r="P74" s="338"/>
      <c r="Q74" s="338"/>
      <c r="R74" s="338"/>
      <c r="S74" s="338"/>
      <c r="T74" s="338"/>
      <c r="U74" s="338"/>
      <c r="V74" s="338"/>
      <c r="W74" s="338"/>
      <c r="X74" s="338"/>
      <c r="Y74" s="338"/>
      <c r="Z74" s="338"/>
      <c r="AA74" s="338"/>
      <c r="AB74" s="338"/>
      <c r="AC74" s="338"/>
      <c r="AD74" s="338"/>
      <c r="AE74" s="338"/>
      <c r="AF74" s="315"/>
      <c r="AG74" s="315"/>
      <c r="AH74" s="315"/>
      <c r="AI74" s="315"/>
      <c r="AJ74" s="315"/>
      <c r="AK74" s="315"/>
      <c r="AL74" s="315"/>
      <c r="AM74" s="315"/>
      <c r="AN74" s="315"/>
      <c r="AO74" s="315"/>
      <c r="AP74" s="315"/>
      <c r="AQ74" s="315"/>
      <c r="AR74" s="315"/>
      <c r="AS74" s="315"/>
      <c r="AT74" s="315"/>
      <c r="AU74" s="315"/>
      <c r="AV74" s="315"/>
    </row>
    <row r="75" ht="18.75" customHeight="1">
      <c r="B75" s="315"/>
      <c r="C75" s="338"/>
      <c r="D75" s="338"/>
      <c r="E75" s="338"/>
      <c r="F75" s="338"/>
      <c r="G75" s="338"/>
      <c r="H75" s="338"/>
      <c r="I75" s="338"/>
      <c r="J75" s="338"/>
      <c r="K75" s="338"/>
      <c r="L75" s="338"/>
      <c r="M75" s="338"/>
      <c r="N75" s="338"/>
      <c r="O75" s="338"/>
      <c r="P75" s="338"/>
      <c r="Q75" s="338"/>
      <c r="R75" s="338"/>
      <c r="S75" s="338"/>
      <c r="T75" s="338"/>
      <c r="U75" s="338"/>
      <c r="V75" s="338"/>
      <c r="W75" s="338"/>
      <c r="X75" s="338"/>
      <c r="Y75" s="338"/>
      <c r="Z75" s="338"/>
      <c r="AA75" s="338"/>
      <c r="AB75" s="338"/>
      <c r="AC75" s="338"/>
      <c r="AD75" s="338"/>
      <c r="AE75" s="338"/>
      <c r="AF75" s="315"/>
      <c r="AG75" s="315"/>
      <c r="AH75" s="315"/>
      <c r="AI75" s="315"/>
      <c r="AJ75" s="315"/>
      <c r="AK75" s="315"/>
      <c r="AL75" s="315"/>
      <c r="AM75" s="315"/>
      <c r="AN75" s="315"/>
      <c r="AO75" s="315"/>
      <c r="AP75" s="315"/>
      <c r="AQ75" s="315"/>
      <c r="AR75" s="315"/>
      <c r="AS75" s="315"/>
      <c r="AT75" s="315"/>
      <c r="AU75" s="315"/>
      <c r="AV75" s="315"/>
    </row>
    <row r="76" ht="18.75" customHeight="1">
      <c r="B76" s="315"/>
      <c r="C76" s="338"/>
      <c r="D76" s="338"/>
      <c r="E76" s="338"/>
      <c r="F76" s="338"/>
      <c r="G76" s="338"/>
      <c r="H76" s="338"/>
      <c r="I76" s="338"/>
      <c r="J76" s="338"/>
      <c r="K76" s="338"/>
      <c r="L76" s="338"/>
      <c r="M76" s="338"/>
      <c r="N76" s="338"/>
      <c r="O76" s="338"/>
      <c r="P76" s="338"/>
      <c r="Q76" s="338"/>
      <c r="R76" s="338"/>
      <c r="S76" s="338"/>
      <c r="T76" s="338"/>
      <c r="U76" s="338"/>
      <c r="V76" s="338"/>
      <c r="W76" s="338"/>
      <c r="X76" s="338"/>
      <c r="Y76" s="338"/>
      <c r="Z76" s="338"/>
      <c r="AA76" s="338"/>
      <c r="AB76" s="338"/>
      <c r="AC76" s="338"/>
      <c r="AD76" s="338"/>
      <c r="AE76" s="338"/>
      <c r="AF76" s="315"/>
      <c r="AG76" s="315"/>
      <c r="AH76" s="315"/>
      <c r="AI76" s="315"/>
      <c r="AJ76" s="315"/>
      <c r="AK76" s="315"/>
      <c r="AL76" s="315"/>
      <c r="AM76" s="315"/>
      <c r="AN76" s="315"/>
      <c r="AO76" s="315"/>
      <c r="AP76" s="315"/>
      <c r="AQ76" s="315"/>
      <c r="AR76" s="315"/>
      <c r="AS76" s="315"/>
      <c r="AT76" s="315"/>
      <c r="AU76" s="315"/>
      <c r="AV76" s="315"/>
    </row>
    <row r="77" ht="18.75" customHeight="1">
      <c r="B77" s="315"/>
      <c r="C77" s="338"/>
      <c r="D77" s="338"/>
      <c r="E77" s="338"/>
      <c r="F77" s="338"/>
      <c r="G77" s="338"/>
      <c r="H77" s="338"/>
      <c r="I77" s="338"/>
      <c r="J77" s="338"/>
      <c r="K77" s="338"/>
      <c r="L77" s="338"/>
      <c r="M77" s="338"/>
      <c r="N77" s="338"/>
      <c r="O77" s="338"/>
      <c r="P77" s="338"/>
      <c r="Q77" s="338"/>
      <c r="R77" s="338"/>
      <c r="S77" s="338"/>
      <c r="T77" s="338"/>
      <c r="U77" s="338"/>
      <c r="V77" s="338"/>
      <c r="W77" s="338"/>
      <c r="X77" s="338"/>
      <c r="Y77" s="338"/>
      <c r="Z77" s="338"/>
      <c r="AA77" s="338"/>
      <c r="AB77" s="338"/>
      <c r="AC77" s="338"/>
      <c r="AD77" s="338"/>
      <c r="AE77" s="338"/>
      <c r="AF77" s="315"/>
      <c r="AG77" s="315"/>
      <c r="AH77" s="315"/>
      <c r="AI77" s="315"/>
      <c r="AJ77" s="315"/>
      <c r="AK77" s="315"/>
      <c r="AL77" s="315"/>
      <c r="AM77" s="315"/>
      <c r="AN77" s="315"/>
      <c r="AO77" s="315"/>
      <c r="AP77" s="315"/>
      <c r="AQ77" s="315"/>
      <c r="AR77" s="315"/>
      <c r="AS77" s="315"/>
      <c r="AT77" s="315"/>
      <c r="AU77" s="315"/>
      <c r="AV77" s="315"/>
    </row>
    <row r="78" ht="18.75" customHeight="1">
      <c r="B78" s="315"/>
      <c r="C78" s="338"/>
      <c r="D78" s="338"/>
      <c r="E78" s="338"/>
      <c r="F78" s="338"/>
      <c r="G78" s="338"/>
      <c r="H78" s="338"/>
      <c r="I78" s="338"/>
      <c r="J78" s="338"/>
      <c r="K78" s="338"/>
      <c r="L78" s="338"/>
      <c r="M78" s="338"/>
      <c r="N78" s="338"/>
      <c r="O78" s="338"/>
      <c r="P78" s="338"/>
      <c r="Q78" s="338"/>
      <c r="R78" s="338"/>
      <c r="S78" s="338"/>
      <c r="T78" s="338"/>
      <c r="U78" s="338"/>
      <c r="V78" s="338"/>
      <c r="W78" s="338"/>
      <c r="X78" s="338"/>
      <c r="Y78" s="338"/>
      <c r="Z78" s="338"/>
      <c r="AA78" s="338"/>
      <c r="AB78" s="338"/>
      <c r="AC78" s="338"/>
      <c r="AD78" s="338"/>
      <c r="AE78" s="338"/>
      <c r="AF78" s="315"/>
      <c r="AG78" s="315"/>
      <c r="AH78" s="315"/>
      <c r="AI78" s="315"/>
      <c r="AJ78" s="315"/>
      <c r="AK78" s="315"/>
      <c r="AL78" s="315"/>
      <c r="AM78" s="315"/>
      <c r="AN78" s="315"/>
      <c r="AO78" s="315"/>
      <c r="AP78" s="315"/>
      <c r="AQ78" s="315"/>
      <c r="AR78" s="315"/>
      <c r="AS78" s="315"/>
      <c r="AT78" s="315"/>
      <c r="AU78" s="315"/>
      <c r="AV78" s="315"/>
    </row>
    <row r="79" ht="18.75" customHeight="1">
      <c r="B79" s="315"/>
      <c r="C79" s="338"/>
      <c r="D79" s="338"/>
      <c r="E79" s="338"/>
      <c r="F79" s="338"/>
      <c r="G79" s="338"/>
      <c r="H79" s="338"/>
      <c r="I79" s="338"/>
      <c r="J79" s="338"/>
      <c r="K79" s="338"/>
      <c r="L79" s="338"/>
      <c r="M79" s="338"/>
      <c r="N79" s="338"/>
      <c r="O79" s="338"/>
      <c r="P79" s="338"/>
      <c r="Q79" s="338"/>
      <c r="R79" s="338"/>
      <c r="S79" s="338"/>
      <c r="T79" s="338"/>
      <c r="U79" s="338"/>
      <c r="V79" s="338"/>
      <c r="W79" s="338"/>
      <c r="X79" s="338"/>
      <c r="Y79" s="338"/>
      <c r="Z79" s="338"/>
      <c r="AA79" s="338"/>
      <c r="AB79" s="338"/>
      <c r="AC79" s="338"/>
      <c r="AD79" s="338"/>
      <c r="AE79" s="338"/>
      <c r="AF79" s="315"/>
      <c r="AG79" s="315"/>
      <c r="AH79" s="315"/>
      <c r="AI79" s="315"/>
      <c r="AJ79" s="315"/>
      <c r="AK79" s="315"/>
      <c r="AL79" s="315"/>
      <c r="AM79" s="315"/>
      <c r="AN79" s="315"/>
      <c r="AO79" s="315"/>
      <c r="AP79" s="315"/>
      <c r="AQ79" s="315"/>
      <c r="AR79" s="315"/>
      <c r="AS79" s="315"/>
      <c r="AT79" s="315"/>
      <c r="AU79" s="315"/>
      <c r="AV79" s="315"/>
    </row>
    <row r="80" ht="18.75" customHeight="1">
      <c r="B80" s="315"/>
      <c r="C80" s="338"/>
      <c r="D80" s="338"/>
      <c r="E80" s="338"/>
      <c r="F80" s="338"/>
      <c r="G80" s="338"/>
      <c r="H80" s="338"/>
      <c r="I80" s="338"/>
      <c r="J80" s="338"/>
      <c r="K80" s="338"/>
      <c r="L80" s="338"/>
      <c r="M80" s="338"/>
      <c r="N80" s="338"/>
      <c r="O80" s="338"/>
      <c r="P80" s="338"/>
      <c r="Q80" s="338"/>
      <c r="R80" s="338"/>
      <c r="S80" s="338"/>
      <c r="T80" s="338"/>
      <c r="U80" s="338"/>
      <c r="V80" s="338"/>
      <c r="W80" s="338"/>
      <c r="X80" s="338"/>
      <c r="Y80" s="338"/>
      <c r="Z80" s="338"/>
      <c r="AA80" s="338"/>
      <c r="AB80" s="338"/>
      <c r="AC80" s="338"/>
      <c r="AD80" s="338"/>
      <c r="AE80" s="338"/>
      <c r="AF80" s="315"/>
      <c r="AG80" s="315"/>
      <c r="AH80" s="315"/>
      <c r="AI80" s="315"/>
      <c r="AJ80" s="315"/>
      <c r="AK80" s="315"/>
      <c r="AL80" s="315"/>
      <c r="AM80" s="315"/>
      <c r="AN80" s="315"/>
      <c r="AO80" s="315"/>
      <c r="AP80" s="315"/>
      <c r="AQ80" s="315"/>
      <c r="AR80" s="315"/>
      <c r="AS80" s="315"/>
      <c r="AT80" s="315"/>
      <c r="AU80" s="315"/>
      <c r="AV80" s="315"/>
    </row>
    <row r="81" ht="18.75" customHeight="1">
      <c r="B81" s="315"/>
      <c r="C81" s="338"/>
      <c r="D81" s="338"/>
      <c r="E81" s="338"/>
      <c r="F81" s="338"/>
      <c r="G81" s="338"/>
      <c r="H81" s="338"/>
      <c r="I81" s="338"/>
      <c r="J81" s="338"/>
      <c r="K81" s="338"/>
      <c r="L81" s="338"/>
      <c r="M81" s="338"/>
      <c r="N81" s="338"/>
      <c r="O81" s="338"/>
      <c r="P81" s="338"/>
      <c r="Q81" s="338"/>
      <c r="R81" s="338"/>
      <c r="S81" s="338"/>
      <c r="T81" s="338"/>
      <c r="U81" s="338"/>
      <c r="V81" s="338"/>
      <c r="W81" s="338"/>
      <c r="X81" s="338"/>
      <c r="Y81" s="338"/>
      <c r="Z81" s="338"/>
      <c r="AA81" s="338"/>
      <c r="AB81" s="338"/>
      <c r="AC81" s="338"/>
      <c r="AD81" s="338"/>
      <c r="AE81" s="338"/>
      <c r="AF81" s="315"/>
      <c r="AG81" s="315"/>
      <c r="AH81" s="315"/>
      <c r="AI81" s="315"/>
      <c r="AJ81" s="315"/>
      <c r="AK81" s="315"/>
      <c r="AL81" s="315"/>
      <c r="AM81" s="315"/>
      <c r="AN81" s="315"/>
      <c r="AO81" s="315"/>
      <c r="AP81" s="315"/>
      <c r="AQ81" s="315"/>
      <c r="AR81" s="315"/>
      <c r="AS81" s="315"/>
      <c r="AT81" s="315"/>
      <c r="AU81" s="315"/>
      <c r="AV81" s="315"/>
    </row>
    <row r="82" ht="18.75" customHeight="1">
      <c r="B82" s="315"/>
      <c r="C82" s="338"/>
      <c r="D82" s="338"/>
      <c r="E82" s="338"/>
      <c r="F82" s="338"/>
      <c r="G82" s="338"/>
      <c r="H82" s="338"/>
      <c r="I82" s="338"/>
      <c r="J82" s="338"/>
      <c r="K82" s="338"/>
      <c r="L82" s="338"/>
      <c r="M82" s="338"/>
      <c r="N82" s="338"/>
      <c r="O82" s="338"/>
      <c r="P82" s="338"/>
      <c r="Q82" s="338"/>
      <c r="R82" s="338"/>
      <c r="S82" s="338"/>
      <c r="T82" s="338"/>
      <c r="U82" s="338"/>
      <c r="V82" s="338"/>
      <c r="W82" s="338"/>
      <c r="X82" s="338"/>
      <c r="Y82" s="338"/>
      <c r="Z82" s="338"/>
      <c r="AA82" s="338"/>
      <c r="AB82" s="338"/>
      <c r="AC82" s="338"/>
      <c r="AD82" s="338"/>
      <c r="AE82" s="338"/>
      <c r="AF82" s="315"/>
      <c r="AG82" s="315"/>
      <c r="AH82" s="315"/>
      <c r="AI82" s="315"/>
      <c r="AJ82" s="315"/>
      <c r="AK82" s="315"/>
      <c r="AL82" s="315"/>
      <c r="AM82" s="315"/>
      <c r="AN82" s="315"/>
      <c r="AO82" s="315"/>
      <c r="AP82" s="315"/>
      <c r="AQ82" s="315"/>
      <c r="AR82" s="315"/>
      <c r="AS82" s="315"/>
      <c r="AT82" s="315"/>
      <c r="AU82" s="315"/>
      <c r="AV82" s="315"/>
    </row>
    <row r="83" ht="18.75" customHeight="1">
      <c r="B83" s="315"/>
      <c r="C83" s="338"/>
      <c r="D83" s="338"/>
      <c r="E83" s="338"/>
      <c r="F83" s="338"/>
      <c r="G83" s="338"/>
      <c r="H83" s="338"/>
      <c r="I83" s="338"/>
      <c r="J83" s="338"/>
      <c r="K83" s="338"/>
      <c r="L83" s="338"/>
      <c r="M83" s="338"/>
      <c r="N83" s="338"/>
      <c r="O83" s="338"/>
      <c r="P83" s="338"/>
      <c r="Q83" s="338"/>
      <c r="R83" s="338"/>
      <c r="S83" s="338"/>
      <c r="T83" s="338"/>
      <c r="U83" s="338"/>
      <c r="V83" s="338"/>
      <c r="W83" s="338"/>
      <c r="X83" s="338"/>
      <c r="Y83" s="338"/>
      <c r="Z83" s="338"/>
      <c r="AA83" s="338"/>
      <c r="AB83" s="338"/>
      <c r="AC83" s="338"/>
      <c r="AD83" s="338"/>
      <c r="AE83" s="338"/>
      <c r="AF83" s="315"/>
      <c r="AG83" s="315"/>
      <c r="AH83" s="315"/>
      <c r="AI83" s="315"/>
      <c r="AJ83" s="315"/>
      <c r="AK83" s="315"/>
      <c r="AL83" s="315"/>
      <c r="AM83" s="315"/>
      <c r="AN83" s="315"/>
      <c r="AO83" s="315"/>
      <c r="AP83" s="315"/>
      <c r="AQ83" s="315"/>
      <c r="AR83" s="315"/>
      <c r="AS83" s="315"/>
      <c r="AT83" s="315"/>
      <c r="AU83" s="315"/>
      <c r="AV83" s="315"/>
    </row>
    <row r="84" ht="18.75" customHeight="1">
      <c r="B84" s="315"/>
      <c r="C84" s="338"/>
      <c r="D84" s="338"/>
      <c r="E84" s="338"/>
      <c r="F84" s="338"/>
      <c r="G84" s="338"/>
      <c r="H84" s="338"/>
      <c r="I84" s="338"/>
      <c r="J84" s="338"/>
      <c r="K84" s="338"/>
      <c r="L84" s="338"/>
      <c r="M84" s="338"/>
      <c r="N84" s="338"/>
      <c r="O84" s="338"/>
      <c r="P84" s="338"/>
      <c r="Q84" s="338"/>
      <c r="R84" s="338"/>
      <c r="S84" s="338"/>
      <c r="T84" s="338"/>
      <c r="U84" s="338"/>
      <c r="V84" s="338"/>
      <c r="W84" s="338"/>
      <c r="X84" s="338"/>
      <c r="Y84" s="338"/>
      <c r="Z84" s="338"/>
      <c r="AA84" s="338"/>
      <c r="AB84" s="338"/>
      <c r="AC84" s="338"/>
      <c r="AD84" s="338"/>
      <c r="AE84" s="338"/>
      <c r="AF84" s="315"/>
      <c r="AG84" s="315"/>
      <c r="AH84" s="315"/>
      <c r="AI84" s="315"/>
      <c r="AJ84" s="315"/>
      <c r="AK84" s="315"/>
      <c r="AL84" s="315"/>
      <c r="AM84" s="315"/>
      <c r="AN84" s="315"/>
      <c r="AO84" s="315"/>
      <c r="AP84" s="315"/>
      <c r="AQ84" s="315"/>
      <c r="AR84" s="315"/>
      <c r="AS84" s="315"/>
      <c r="AT84" s="315"/>
      <c r="AU84" s="315"/>
      <c r="AV84" s="315"/>
    </row>
    <row r="85" ht="18.75" customHeight="1">
      <c r="B85" s="315"/>
      <c r="C85" s="338"/>
      <c r="D85" s="338"/>
      <c r="E85" s="338"/>
      <c r="F85" s="338"/>
      <c r="G85" s="338"/>
      <c r="H85" s="338"/>
      <c r="I85" s="338"/>
      <c r="J85" s="338"/>
      <c r="K85" s="338"/>
      <c r="L85" s="338"/>
      <c r="M85" s="338"/>
      <c r="N85" s="338"/>
      <c r="O85" s="338"/>
      <c r="P85" s="338"/>
      <c r="Q85" s="338"/>
      <c r="R85" s="338"/>
      <c r="S85" s="338"/>
      <c r="T85" s="338"/>
      <c r="U85" s="338"/>
      <c r="V85" s="338"/>
      <c r="W85" s="338"/>
      <c r="X85" s="338"/>
      <c r="Y85" s="338"/>
      <c r="Z85" s="338"/>
      <c r="AA85" s="338"/>
      <c r="AB85" s="338"/>
      <c r="AC85" s="338"/>
      <c r="AD85" s="338"/>
      <c r="AE85" s="338"/>
      <c r="AF85" s="315"/>
      <c r="AG85" s="315"/>
      <c r="AH85" s="315"/>
      <c r="AI85" s="315"/>
      <c r="AJ85" s="315"/>
      <c r="AK85" s="315"/>
      <c r="AL85" s="315"/>
      <c r="AM85" s="315"/>
      <c r="AN85" s="315"/>
      <c r="AO85" s="315"/>
      <c r="AP85" s="315"/>
      <c r="AQ85" s="315"/>
      <c r="AR85" s="315"/>
      <c r="AS85" s="315"/>
      <c r="AT85" s="315"/>
      <c r="AU85" s="315"/>
      <c r="AV85" s="315"/>
    </row>
    <row r="86" ht="18.75" customHeight="1">
      <c r="B86" s="315"/>
      <c r="C86" s="338"/>
      <c r="D86" s="338"/>
      <c r="E86" s="338"/>
      <c r="F86" s="338"/>
      <c r="G86" s="338"/>
      <c r="H86" s="338"/>
      <c r="I86" s="338"/>
      <c r="J86" s="338"/>
      <c r="K86" s="338"/>
      <c r="L86" s="338"/>
      <c r="M86" s="338"/>
      <c r="N86" s="338"/>
      <c r="O86" s="338"/>
      <c r="P86" s="338"/>
      <c r="Q86" s="338"/>
      <c r="R86" s="338"/>
      <c r="S86" s="338"/>
      <c r="T86" s="338"/>
      <c r="U86" s="338"/>
      <c r="V86" s="338"/>
      <c r="W86" s="338"/>
      <c r="X86" s="338"/>
      <c r="Y86" s="338"/>
      <c r="Z86" s="338"/>
      <c r="AA86" s="338"/>
      <c r="AB86" s="338"/>
      <c r="AC86" s="338"/>
      <c r="AD86" s="338"/>
      <c r="AE86" s="338"/>
      <c r="AF86" s="315"/>
      <c r="AG86" s="315"/>
      <c r="AH86" s="315"/>
      <c r="AI86" s="315"/>
      <c r="AJ86" s="315"/>
      <c r="AK86" s="315"/>
      <c r="AL86" s="315"/>
      <c r="AM86" s="315"/>
      <c r="AN86" s="315"/>
      <c r="AO86" s="315"/>
      <c r="AP86" s="315"/>
      <c r="AQ86" s="315"/>
      <c r="AR86" s="315"/>
      <c r="AS86" s="315"/>
      <c r="AT86" s="315"/>
      <c r="AU86" s="315"/>
      <c r="AV86" s="315"/>
    </row>
    <row r="87" ht="18.75" customHeight="1">
      <c r="B87" s="315"/>
      <c r="C87" s="338"/>
      <c r="D87" s="338"/>
      <c r="E87" s="338"/>
      <c r="F87" s="338"/>
      <c r="G87" s="338"/>
      <c r="H87" s="338"/>
      <c r="I87" s="338"/>
      <c r="J87" s="338"/>
      <c r="K87" s="338"/>
      <c r="L87" s="338"/>
      <c r="M87" s="338"/>
      <c r="N87" s="338"/>
      <c r="O87" s="338"/>
      <c r="P87" s="338"/>
      <c r="Q87" s="338"/>
      <c r="R87" s="338"/>
      <c r="S87" s="338"/>
      <c r="T87" s="338"/>
      <c r="U87" s="338"/>
      <c r="V87" s="338"/>
      <c r="W87" s="338"/>
      <c r="X87" s="338"/>
      <c r="Y87" s="338"/>
      <c r="Z87" s="338"/>
      <c r="AA87" s="338"/>
      <c r="AB87" s="338"/>
      <c r="AC87" s="338"/>
      <c r="AD87" s="338"/>
      <c r="AE87" s="338"/>
      <c r="AF87" s="315"/>
      <c r="AG87" s="315"/>
      <c r="AH87" s="315"/>
      <c r="AI87" s="315"/>
      <c r="AJ87" s="315"/>
      <c r="AK87" s="315"/>
      <c r="AL87" s="315"/>
      <c r="AM87" s="315"/>
      <c r="AN87" s="315"/>
      <c r="AO87" s="315"/>
      <c r="AP87" s="315"/>
      <c r="AQ87" s="315"/>
      <c r="AR87" s="315"/>
      <c r="AS87" s="315"/>
      <c r="AT87" s="315"/>
      <c r="AU87" s="315"/>
      <c r="AV87" s="315"/>
    </row>
    <row r="88" ht="18.75" customHeight="1">
      <c r="B88" s="315"/>
      <c r="C88" s="338"/>
      <c r="D88" s="338"/>
      <c r="E88" s="338"/>
      <c r="F88" s="338"/>
      <c r="G88" s="338"/>
      <c r="H88" s="338"/>
      <c r="I88" s="338"/>
      <c r="J88" s="338"/>
      <c r="K88" s="338"/>
      <c r="L88" s="338"/>
      <c r="M88" s="338"/>
      <c r="N88" s="338"/>
      <c r="O88" s="338"/>
      <c r="P88" s="338"/>
      <c r="Q88" s="338"/>
      <c r="R88" s="338"/>
      <c r="S88" s="338"/>
      <c r="T88" s="338"/>
      <c r="U88" s="338"/>
      <c r="V88" s="338"/>
      <c r="W88" s="338"/>
      <c r="X88" s="338"/>
      <c r="Y88" s="338"/>
      <c r="Z88" s="338"/>
      <c r="AA88" s="338"/>
      <c r="AB88" s="338"/>
      <c r="AC88" s="338"/>
      <c r="AD88" s="338"/>
      <c r="AE88" s="338"/>
      <c r="AF88" s="315"/>
      <c r="AG88" s="315"/>
      <c r="AH88" s="315"/>
      <c r="AI88" s="315"/>
      <c r="AJ88" s="315"/>
      <c r="AK88" s="315"/>
      <c r="AL88" s="315"/>
      <c r="AM88" s="315"/>
      <c r="AN88" s="315"/>
      <c r="AO88" s="315"/>
      <c r="AP88" s="315"/>
      <c r="AQ88" s="315"/>
      <c r="AR88" s="315"/>
      <c r="AS88" s="315"/>
      <c r="AT88" s="315"/>
      <c r="AU88" s="315"/>
      <c r="AV88" s="315"/>
    </row>
    <row r="89" ht="18.75" customHeight="1">
      <c r="B89" s="315"/>
      <c r="C89" s="338"/>
      <c r="D89" s="338"/>
      <c r="E89" s="338"/>
      <c r="F89" s="338"/>
      <c r="G89" s="338"/>
      <c r="H89" s="338"/>
      <c r="I89" s="338"/>
      <c r="J89" s="338"/>
      <c r="K89" s="338"/>
      <c r="L89" s="338"/>
      <c r="M89" s="338"/>
      <c r="N89" s="338"/>
      <c r="O89" s="338"/>
      <c r="P89" s="338"/>
      <c r="Q89" s="338"/>
      <c r="R89" s="338"/>
      <c r="S89" s="338"/>
      <c r="T89" s="338"/>
      <c r="U89" s="338"/>
      <c r="V89" s="338"/>
      <c r="W89" s="338"/>
      <c r="X89" s="338"/>
      <c r="Y89" s="338"/>
      <c r="Z89" s="338"/>
      <c r="AA89" s="338"/>
      <c r="AB89" s="338"/>
      <c r="AC89" s="338"/>
      <c r="AD89" s="338"/>
      <c r="AE89" s="338"/>
      <c r="AF89" s="315"/>
      <c r="AG89" s="315"/>
      <c r="AH89" s="315"/>
      <c r="AI89" s="315"/>
      <c r="AJ89" s="315"/>
      <c r="AK89" s="315"/>
      <c r="AL89" s="315"/>
      <c r="AM89" s="315"/>
      <c r="AN89" s="315"/>
      <c r="AO89" s="315"/>
      <c r="AP89" s="315"/>
      <c r="AQ89" s="315"/>
      <c r="AR89" s="315"/>
      <c r="AS89" s="315"/>
      <c r="AT89" s="315"/>
      <c r="AU89" s="315"/>
      <c r="AV89" s="315"/>
    </row>
    <row r="90" ht="18.75" customHeight="1">
      <c r="B90" s="315"/>
      <c r="C90" s="338"/>
      <c r="D90" s="338"/>
      <c r="E90" s="338"/>
      <c r="F90" s="338"/>
      <c r="G90" s="338"/>
      <c r="H90" s="338"/>
      <c r="I90" s="338"/>
      <c r="J90" s="338"/>
      <c r="K90" s="338"/>
      <c r="L90" s="338"/>
      <c r="M90" s="338"/>
      <c r="N90" s="338"/>
      <c r="O90" s="338"/>
      <c r="P90" s="338"/>
      <c r="Q90" s="338"/>
      <c r="R90" s="338"/>
      <c r="S90" s="338"/>
      <c r="T90" s="338"/>
      <c r="U90" s="338"/>
      <c r="V90" s="338"/>
      <c r="W90" s="338"/>
      <c r="X90" s="338"/>
      <c r="Y90" s="338"/>
      <c r="Z90" s="338"/>
      <c r="AA90" s="338"/>
      <c r="AB90" s="338"/>
      <c r="AC90" s="338"/>
      <c r="AD90" s="338"/>
      <c r="AE90" s="338"/>
      <c r="AF90" s="315"/>
      <c r="AG90" s="315"/>
      <c r="AH90" s="315"/>
      <c r="AI90" s="315"/>
      <c r="AJ90" s="315"/>
      <c r="AK90" s="315"/>
      <c r="AL90" s="315"/>
      <c r="AM90" s="315"/>
      <c r="AN90" s="315"/>
      <c r="AO90" s="315"/>
      <c r="AP90" s="315"/>
      <c r="AQ90" s="315"/>
      <c r="AR90" s="315"/>
      <c r="AS90" s="315"/>
      <c r="AT90" s="315"/>
      <c r="AU90" s="315"/>
      <c r="AV90" s="315"/>
    </row>
    <row r="91" ht="18.75" customHeight="1">
      <c r="B91" s="315"/>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15"/>
      <c r="AG91" s="315"/>
      <c r="AH91" s="315"/>
      <c r="AI91" s="315"/>
      <c r="AJ91" s="315"/>
      <c r="AK91" s="315"/>
      <c r="AL91" s="315"/>
      <c r="AM91" s="315"/>
      <c r="AN91" s="315"/>
      <c r="AO91" s="315"/>
      <c r="AP91" s="315"/>
      <c r="AQ91" s="315"/>
      <c r="AR91" s="315"/>
      <c r="AS91" s="315"/>
      <c r="AT91" s="315"/>
      <c r="AU91" s="315"/>
      <c r="AV91" s="315"/>
    </row>
    <row r="92">
      <c r="B92" s="315"/>
      <c r="C92" s="338"/>
      <c r="D92" s="338"/>
      <c r="E92" s="338"/>
      <c r="F92" s="338"/>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15"/>
      <c r="AG92" s="315"/>
      <c r="AH92" s="315"/>
      <c r="AI92" s="315"/>
      <c r="AJ92" s="315"/>
      <c r="AK92" s="315"/>
      <c r="AL92" s="315"/>
      <c r="AM92" s="315"/>
      <c r="AN92" s="315"/>
      <c r="AO92" s="315"/>
      <c r="AP92" s="315"/>
      <c r="AQ92" s="315"/>
      <c r="AR92" s="315"/>
      <c r="AS92" s="315"/>
      <c r="AT92" s="315"/>
      <c r="AU92" s="315"/>
      <c r="AV92" s="315"/>
    </row>
    <row r="93">
      <c r="B93" s="315"/>
      <c r="C93" s="338"/>
      <c r="D93" s="338"/>
      <c r="E93" s="338"/>
      <c r="F93" s="338"/>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15"/>
      <c r="AG93" s="315"/>
      <c r="AH93" s="315"/>
      <c r="AI93" s="315"/>
      <c r="AJ93" s="315"/>
      <c r="AK93" s="315"/>
      <c r="AL93" s="315"/>
      <c r="AM93" s="315"/>
      <c r="AN93" s="315"/>
      <c r="AO93" s="315"/>
      <c r="AP93" s="315"/>
      <c r="AQ93" s="315"/>
      <c r="AR93" s="315"/>
      <c r="AS93" s="315"/>
      <c r="AT93" s="315"/>
      <c r="AU93" s="315"/>
      <c r="AV93" s="315"/>
    </row>
    <row r="94">
      <c r="B94" s="315"/>
      <c r="C94" s="338"/>
      <c r="D94" s="338"/>
      <c r="E94" s="338"/>
      <c r="F94" s="338"/>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15"/>
      <c r="AG94" s="315"/>
      <c r="AH94" s="315"/>
      <c r="AI94" s="315"/>
      <c r="AJ94" s="315"/>
      <c r="AK94" s="315"/>
      <c r="AL94" s="315"/>
      <c r="AM94" s="315"/>
      <c r="AN94" s="315"/>
      <c r="AO94" s="315"/>
      <c r="AP94" s="315"/>
      <c r="AQ94" s="315"/>
      <c r="AR94" s="315"/>
      <c r="AS94" s="315"/>
      <c r="AT94" s="315"/>
      <c r="AU94" s="315"/>
      <c r="AV94" s="315"/>
    </row>
    <row r="95">
      <c r="B95" s="315"/>
      <c r="C95" s="338"/>
      <c r="D95" s="338"/>
      <c r="E95" s="338"/>
      <c r="F95" s="338"/>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15"/>
      <c r="AG95" s="315"/>
      <c r="AH95" s="315"/>
      <c r="AI95" s="315"/>
      <c r="AJ95" s="315"/>
      <c r="AK95" s="315"/>
      <c r="AL95" s="315"/>
      <c r="AM95" s="315"/>
      <c r="AN95" s="315"/>
      <c r="AO95" s="315"/>
      <c r="AP95" s="315"/>
      <c r="AQ95" s="315"/>
      <c r="AR95" s="315"/>
      <c r="AS95" s="315"/>
      <c r="AT95" s="315"/>
      <c r="AU95" s="315"/>
      <c r="AV95" s="315"/>
    </row>
    <row r="96">
      <c r="B96" s="315"/>
      <c r="C96" s="338"/>
      <c r="D96" s="338"/>
      <c r="E96" s="338"/>
      <c r="F96" s="338"/>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15"/>
      <c r="AG96" s="315"/>
      <c r="AH96" s="315"/>
      <c r="AI96" s="315"/>
      <c r="AJ96" s="315"/>
      <c r="AK96" s="315"/>
      <c r="AL96" s="315"/>
      <c r="AM96" s="315"/>
      <c r="AN96" s="315"/>
      <c r="AO96" s="315"/>
      <c r="AP96" s="315"/>
      <c r="AQ96" s="315"/>
      <c r="AR96" s="315"/>
      <c r="AS96" s="315"/>
      <c r="AT96" s="315"/>
      <c r="AU96" s="315"/>
      <c r="AV96" s="315"/>
    </row>
    <row r="97">
      <c r="B97" s="315"/>
      <c r="C97" s="338"/>
      <c r="D97" s="338"/>
      <c r="E97" s="338"/>
      <c r="F97" s="338"/>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15"/>
      <c r="AG97" s="315"/>
      <c r="AH97" s="315"/>
      <c r="AI97" s="315"/>
      <c r="AJ97" s="315"/>
      <c r="AK97" s="315"/>
      <c r="AL97" s="315"/>
      <c r="AM97" s="315"/>
      <c r="AN97" s="315"/>
      <c r="AO97" s="315"/>
      <c r="AP97" s="315"/>
      <c r="AQ97" s="315"/>
      <c r="AR97" s="315"/>
      <c r="AS97" s="315"/>
      <c r="AT97" s="315"/>
      <c r="AU97" s="315"/>
      <c r="AV97" s="315"/>
    </row>
    <row r="98">
      <c r="B98" s="315"/>
      <c r="C98" s="338"/>
      <c r="D98" s="338"/>
      <c r="E98" s="338"/>
      <c r="F98" s="338"/>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15"/>
      <c r="AG98" s="315"/>
      <c r="AH98" s="315"/>
      <c r="AI98" s="315"/>
      <c r="AJ98" s="315"/>
      <c r="AK98" s="315"/>
      <c r="AL98" s="315"/>
      <c r="AM98" s="315"/>
      <c r="AN98" s="315"/>
      <c r="AO98" s="315"/>
      <c r="AP98" s="315"/>
      <c r="AQ98" s="315"/>
      <c r="AR98" s="315"/>
      <c r="AS98" s="315"/>
      <c r="AT98" s="315"/>
      <c r="AU98" s="315"/>
      <c r="AV98" s="315"/>
    </row>
  </sheetData>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02"/>
    <col min="13" max="30" width="3.28515625" customWidth="1" style="202"/>
    <col min="31" max="31" width="3.140625" customWidth="1" style="204"/>
    <col min="32" max="117" width="3.140625" customWidth="1" style="202"/>
    <col min="118" max="16384" width="9.140625" customWidth="1" style="202"/>
  </cols>
  <sheetData>
    <row r="1" ht="19.7" customHeight="1">
      <c r="B1" s="452" t="s">
        <v>147</v>
      </c>
      <c r="C1" s="452"/>
      <c r="D1" s="452"/>
      <c r="E1" s="452"/>
      <c r="F1" s="452"/>
      <c r="G1" s="452"/>
      <c r="H1" s="452"/>
      <c r="I1" s="452"/>
      <c r="J1" s="452"/>
      <c r="K1" s="452"/>
      <c r="L1" s="452"/>
      <c r="M1" s="452"/>
      <c r="N1" s="350"/>
      <c r="O1" s="350"/>
      <c r="P1" s="433" t="s">
        <v>148</v>
      </c>
      <c r="Q1" s="433"/>
      <c r="R1" s="433"/>
      <c r="S1" s="433"/>
      <c r="T1" s="433"/>
      <c r="U1" s="433"/>
      <c r="V1" s="433"/>
      <c r="W1" s="433"/>
      <c r="X1" s="433"/>
      <c r="Y1" s="433"/>
      <c r="Z1" s="433"/>
      <c r="AA1" s="433"/>
      <c r="AB1" s="433"/>
      <c r="AC1" s="433"/>
      <c r="AD1" s="433"/>
      <c r="AE1" s="336"/>
      <c r="AF1" s="315"/>
      <c r="AG1" s="315"/>
      <c r="AH1" s="315"/>
      <c r="AI1" s="315"/>
      <c r="AJ1" s="315"/>
      <c r="AK1" s="315"/>
      <c r="AL1" s="315"/>
      <c r="AM1" s="315"/>
      <c r="AN1" s="315"/>
      <c r="AO1" s="315"/>
      <c r="AP1" s="315"/>
      <c r="AQ1" s="315"/>
      <c r="AR1" s="315"/>
      <c r="AS1" s="315"/>
      <c r="AT1" s="315"/>
      <c r="AU1" s="315"/>
      <c r="AV1" s="315"/>
      <c r="AW1" s="315"/>
    </row>
    <row r="2" ht="19.7" customHeight="1">
      <c r="B2" s="315"/>
      <c r="C2" s="452" t="s">
        <v>149</v>
      </c>
      <c r="D2" s="452"/>
      <c r="E2" s="452"/>
      <c r="F2" s="452"/>
      <c r="G2" s="452"/>
      <c r="H2" s="452"/>
      <c r="I2" s="452"/>
      <c r="J2" s="452"/>
      <c r="K2" s="452"/>
      <c r="L2" s="452"/>
      <c r="M2" s="350"/>
      <c r="N2" s="375"/>
      <c r="O2" s="350"/>
      <c r="P2" s="453" t="s">
        <v>150</v>
      </c>
      <c r="Q2" s="453"/>
      <c r="R2" s="453"/>
      <c r="S2" s="453"/>
      <c r="T2" s="453"/>
      <c r="U2" s="453"/>
      <c r="V2" s="453"/>
      <c r="W2" s="453"/>
      <c r="X2" s="453"/>
      <c r="Y2" s="453"/>
      <c r="Z2" s="453"/>
      <c r="AA2" s="453"/>
      <c r="AB2" s="453"/>
      <c r="AC2" s="453"/>
      <c r="AD2" s="453"/>
      <c r="AE2" s="338"/>
      <c r="AF2" s="315"/>
      <c r="AG2" s="315"/>
      <c r="AH2" s="315"/>
      <c r="AI2" s="315"/>
      <c r="AJ2" s="315"/>
      <c r="AK2" s="315"/>
      <c r="AL2" s="315"/>
      <c r="AM2" s="315"/>
      <c r="AN2" s="315"/>
      <c r="AO2" s="315"/>
      <c r="AP2" s="315"/>
      <c r="AQ2" s="315"/>
      <c r="AR2" s="315"/>
      <c r="AS2" s="315"/>
      <c r="AT2" s="315"/>
      <c r="AU2" s="315"/>
      <c r="AV2" s="315"/>
      <c r="AW2" s="315"/>
    </row>
    <row r="3" ht="8.45" customHeight="1">
      <c r="B3" s="315"/>
      <c r="C3" s="349"/>
      <c r="D3" s="349"/>
      <c r="E3" s="376"/>
      <c r="F3" s="376"/>
      <c r="G3" s="376"/>
      <c r="H3" s="376"/>
      <c r="I3" s="376"/>
      <c r="J3" s="376"/>
      <c r="K3" s="349"/>
      <c r="L3" s="348"/>
      <c r="M3" s="349"/>
      <c r="N3" s="349"/>
      <c r="O3" s="349"/>
      <c r="P3" s="349"/>
      <c r="Q3" s="345"/>
      <c r="R3" s="345"/>
      <c r="S3" s="376"/>
      <c r="T3" s="376"/>
      <c r="U3" s="376"/>
      <c r="V3" s="376"/>
      <c r="W3" s="376"/>
      <c r="X3" s="376"/>
      <c r="Y3" s="376"/>
      <c r="Z3" s="376"/>
      <c r="AA3" s="376"/>
      <c r="AB3" s="350"/>
      <c r="AC3" s="350"/>
      <c r="AD3" s="350"/>
      <c r="AE3" s="338"/>
      <c r="AF3" s="315"/>
      <c r="AG3" s="315"/>
      <c r="AH3" s="315"/>
      <c r="AI3" s="315"/>
      <c r="AJ3" s="315"/>
      <c r="AK3" s="315"/>
      <c r="AL3" s="315"/>
      <c r="AM3" s="315"/>
      <c r="AN3" s="315"/>
      <c r="AO3" s="315"/>
      <c r="AP3" s="315"/>
      <c r="AQ3" s="315"/>
      <c r="AR3" s="315"/>
      <c r="AS3" s="315"/>
      <c r="AT3" s="315"/>
      <c r="AU3" s="315"/>
      <c r="AV3" s="315"/>
      <c r="AW3" s="315"/>
    </row>
    <row r="4" ht="8.45" customHeight="1">
      <c r="B4" s="315"/>
      <c r="C4" s="343"/>
      <c r="D4" s="343"/>
      <c r="E4" s="344"/>
      <c r="F4" s="344"/>
      <c r="G4" s="344"/>
      <c r="H4" s="344"/>
      <c r="I4" s="344"/>
      <c r="J4" s="344"/>
      <c r="K4" s="344"/>
      <c r="L4" s="345"/>
      <c r="M4" s="345"/>
      <c r="N4" s="345"/>
      <c r="O4" s="345"/>
      <c r="P4" s="344"/>
      <c r="Q4" s="375"/>
      <c r="R4" s="375"/>
      <c r="S4" s="375"/>
      <c r="T4" s="375"/>
      <c r="U4" s="375"/>
      <c r="V4" s="375"/>
      <c r="W4" s="375"/>
      <c r="X4" s="375"/>
      <c r="Y4" s="375"/>
      <c r="Z4" s="375"/>
      <c r="AA4" s="375"/>
      <c r="AB4" s="375"/>
      <c r="AC4" s="375"/>
      <c r="AD4" s="375"/>
      <c r="AE4" s="338"/>
      <c r="AF4" s="315"/>
      <c r="AG4" s="315"/>
      <c r="AH4" s="315"/>
      <c r="AI4" s="315"/>
      <c r="AJ4" s="315"/>
      <c r="AK4" s="315"/>
      <c r="AL4" s="315"/>
      <c r="AM4" s="315"/>
      <c r="AN4" s="315"/>
      <c r="AO4" s="315"/>
      <c r="AP4" s="315"/>
      <c r="AQ4" s="315"/>
      <c r="AR4" s="315"/>
      <c r="AS4" s="315"/>
      <c r="AT4" s="315"/>
      <c r="AU4" s="315"/>
      <c r="AV4" s="315"/>
      <c r="AW4" s="315"/>
    </row>
    <row r="5" ht="0.75" customHeight="1">
      <c r="B5" s="315"/>
      <c r="C5" s="377"/>
      <c r="D5" s="377"/>
      <c r="E5" s="349"/>
      <c r="F5" s="349"/>
      <c r="G5" s="349"/>
      <c r="H5" s="349"/>
      <c r="I5" s="349"/>
      <c r="J5" s="349"/>
      <c r="K5" s="349"/>
      <c r="L5" s="349"/>
      <c r="M5" s="349"/>
      <c r="N5" s="349"/>
      <c r="O5" s="349"/>
      <c r="P5" s="349"/>
      <c r="Q5" s="349"/>
      <c r="R5" s="349"/>
      <c r="S5" s="349"/>
      <c r="T5" s="349"/>
      <c r="U5" s="349"/>
      <c r="V5" s="349"/>
      <c r="W5" s="349"/>
      <c r="X5" s="349"/>
      <c r="Y5" s="349"/>
      <c r="Z5" s="349"/>
      <c r="AA5" s="349"/>
      <c r="AB5" s="350"/>
      <c r="AC5" s="350"/>
      <c r="AD5" s="350"/>
      <c r="AE5" s="338"/>
      <c r="AF5" s="315"/>
      <c r="AG5" s="315"/>
      <c r="AH5" s="315"/>
      <c r="AI5" s="315"/>
      <c r="AJ5" s="315"/>
      <c r="AK5" s="315"/>
      <c r="AL5" s="315"/>
      <c r="AM5" s="315"/>
      <c r="AN5" s="315"/>
      <c r="AO5" s="315"/>
      <c r="AP5" s="315"/>
      <c r="AQ5" s="315"/>
      <c r="AR5" s="315"/>
      <c r="AS5" s="315"/>
      <c r="AT5" s="315"/>
      <c r="AU5" s="315"/>
      <c r="AV5" s="315"/>
      <c r="AW5" s="315"/>
    </row>
    <row r="6" ht="19.7" customHeight="1">
      <c r="B6" s="315"/>
      <c r="C6" s="445" t="s">
        <v>151</v>
      </c>
      <c r="D6" s="445"/>
      <c r="E6" s="445"/>
      <c r="F6" s="445"/>
      <c r="G6" s="445"/>
      <c r="H6" s="445"/>
      <c r="I6" s="445"/>
      <c r="J6" s="445"/>
      <c r="K6" s="445"/>
      <c r="L6" s="445"/>
      <c r="M6" s="445"/>
      <c r="N6" s="445"/>
      <c r="O6" s="445"/>
      <c r="P6" s="445"/>
      <c r="Q6" s="445"/>
      <c r="R6" s="445"/>
      <c r="S6" s="445"/>
      <c r="T6" s="445"/>
      <c r="U6" s="445"/>
      <c r="V6" s="445"/>
      <c r="W6" s="445"/>
      <c r="X6" s="445"/>
      <c r="Y6" s="445"/>
      <c r="Z6" s="445"/>
      <c r="AA6" s="445"/>
      <c r="AB6" s="445"/>
      <c r="AC6" s="445"/>
      <c r="AD6" s="445"/>
      <c r="AE6" s="338"/>
      <c r="AF6" s="315"/>
      <c r="AG6" s="315"/>
      <c r="AH6" s="315"/>
      <c r="AI6" s="315"/>
      <c r="AJ6" s="315"/>
      <c r="AK6" s="315"/>
      <c r="AL6" s="315"/>
      <c r="AM6" s="315"/>
      <c r="AN6" s="315"/>
      <c r="AO6" s="315"/>
      <c r="AP6" s="315"/>
      <c r="AQ6" s="315"/>
      <c r="AR6" s="315"/>
      <c r="AS6" s="315"/>
      <c r="AT6" s="315"/>
      <c r="AU6" s="315"/>
      <c r="AV6" s="315"/>
      <c r="AW6" s="315"/>
    </row>
    <row r="7" ht="19.7" customHeight="1">
      <c r="B7" s="315"/>
      <c r="C7" s="445" t="s">
        <v>152</v>
      </c>
      <c r="D7" s="445"/>
      <c r="E7" s="445"/>
      <c r="F7" s="445"/>
      <c r="G7" s="445"/>
      <c r="H7" s="445"/>
      <c r="I7" s="445"/>
      <c r="J7" s="445"/>
      <c r="K7" s="445"/>
      <c r="L7" s="445"/>
      <c r="M7" s="445"/>
      <c r="N7" s="445"/>
      <c r="O7" s="445"/>
      <c r="P7" s="445"/>
      <c r="Q7" s="445"/>
      <c r="R7" s="445"/>
      <c r="S7" s="445"/>
      <c r="T7" s="445"/>
      <c r="U7" s="445"/>
      <c r="V7" s="445"/>
      <c r="W7" s="445"/>
      <c r="X7" s="445"/>
      <c r="Y7" s="445"/>
      <c r="Z7" s="445"/>
      <c r="AA7" s="445"/>
      <c r="AB7" s="445"/>
      <c r="AC7" s="445"/>
      <c r="AD7" s="445"/>
      <c r="AE7" s="338"/>
      <c r="AF7" s="315"/>
      <c r="AG7" s="315"/>
      <c r="AH7" s="315"/>
      <c r="AI7" s="315"/>
      <c r="AJ7" s="315"/>
      <c r="AK7" s="315"/>
      <c r="AL7" s="315"/>
      <c r="AM7" s="315"/>
      <c r="AN7" s="315"/>
      <c r="AO7" s="315"/>
      <c r="AP7" s="315"/>
      <c r="AQ7" s="315"/>
      <c r="AR7" s="315"/>
      <c r="AS7" s="315"/>
      <c r="AT7" s="315"/>
      <c r="AU7" s="315"/>
      <c r="AV7" s="315"/>
      <c r="AW7" s="315"/>
    </row>
    <row r="8" ht="11.25" customHeight="1">
      <c r="B8" s="315"/>
      <c r="C8" s="348"/>
      <c r="D8" s="349"/>
      <c r="E8" s="349"/>
      <c r="F8" s="349"/>
      <c r="G8" s="349"/>
      <c r="H8" s="349"/>
      <c r="I8" s="349"/>
      <c r="J8" s="349"/>
      <c r="K8" s="349"/>
      <c r="L8" s="349"/>
      <c r="M8" s="349"/>
      <c r="N8" s="349"/>
      <c r="O8" s="349"/>
      <c r="P8" s="349"/>
      <c r="Q8" s="349"/>
      <c r="R8" s="349"/>
      <c r="S8" s="349"/>
      <c r="T8" s="349"/>
      <c r="U8" s="349"/>
      <c r="V8" s="349"/>
      <c r="W8" s="349"/>
      <c r="X8" s="349"/>
      <c r="Y8" s="349"/>
      <c r="Z8" s="349"/>
      <c r="AA8" s="349"/>
      <c r="AB8" s="350"/>
      <c r="AC8" s="350"/>
      <c r="AD8" s="350"/>
      <c r="AE8" s="338"/>
      <c r="AF8" s="315"/>
      <c r="AG8" s="315"/>
      <c r="AH8" s="315"/>
      <c r="AI8" s="315"/>
      <c r="AJ8" s="315"/>
      <c r="AK8" s="315"/>
      <c r="AL8" s="315"/>
      <c r="AM8" s="315"/>
      <c r="AN8" s="315"/>
      <c r="AO8" s="315"/>
      <c r="AP8" s="315"/>
      <c r="AQ8" s="315"/>
      <c r="AR8" s="315"/>
      <c r="AS8" s="315"/>
      <c r="AT8" s="315"/>
      <c r="AU8" s="315"/>
      <c r="AV8" s="315"/>
      <c r="AW8" s="315"/>
    </row>
    <row r="9" ht="19.7" customHeight="1">
      <c r="B9" s="315"/>
      <c r="C9" s="453" t="str">
        <f>"Số: "&amp;AG9</f>
        <v>Số: B08600120811TG05</v>
      </c>
      <c r="D9" s="453"/>
      <c r="E9" s="453"/>
      <c r="F9" s="453"/>
      <c r="G9" s="453"/>
      <c r="H9" s="453"/>
      <c r="I9" s="453"/>
      <c r="J9" s="453"/>
      <c r="K9" s="453"/>
      <c r="L9" s="453"/>
      <c r="M9" s="453"/>
      <c r="N9" s="453"/>
      <c r="O9" s="453"/>
      <c r="P9" s="453"/>
      <c r="Q9" s="453"/>
      <c r="R9" s="453"/>
      <c r="S9" s="453"/>
      <c r="T9" s="453"/>
      <c r="U9" s="453"/>
      <c r="V9" s="453"/>
      <c r="W9" s="453"/>
      <c r="X9" s="453"/>
      <c r="Y9" s="453"/>
      <c r="Z9" s="453"/>
      <c r="AA9" s="453"/>
      <c r="AB9" s="453"/>
      <c r="AC9" s="453"/>
      <c r="AD9" s="453"/>
      <c r="AE9" s="338"/>
      <c r="AF9" s="315"/>
      <c r="AG9" s="351" t="s">
        <v>153</v>
      </c>
      <c r="AH9" s="315"/>
      <c r="AI9" s="315"/>
      <c r="AJ9" s="315"/>
      <c r="AK9" s="315"/>
      <c r="AL9" s="315"/>
      <c r="AM9" s="315"/>
      <c r="AN9" s="315"/>
      <c r="AO9" s="315"/>
      <c r="AP9" s="315"/>
      <c r="AQ9" s="315"/>
      <c r="AR9" s="315"/>
      <c r="AS9" s="315"/>
      <c r="AT9" s="315"/>
      <c r="AU9" s="315"/>
      <c r="AV9" s="315"/>
      <c r="AW9" s="315"/>
    </row>
    <row r="10" ht="12" customHeight="1">
      <c r="B10" s="315"/>
      <c r="C10" s="352"/>
      <c r="D10" s="349"/>
      <c r="E10" s="349"/>
      <c r="F10" s="349"/>
      <c r="G10" s="349"/>
      <c r="H10" s="349"/>
      <c r="I10" s="349"/>
      <c r="J10" s="349"/>
      <c r="K10" s="349"/>
      <c r="L10" s="349"/>
      <c r="M10" s="349"/>
      <c r="N10" s="349"/>
      <c r="O10" s="349"/>
      <c r="P10" s="349"/>
      <c r="Q10" s="349"/>
      <c r="R10" s="349"/>
      <c r="S10" s="349"/>
      <c r="T10" s="349"/>
      <c r="U10" s="349"/>
      <c r="V10" s="349"/>
      <c r="W10" s="349"/>
      <c r="X10" s="349"/>
      <c r="Y10" s="349"/>
      <c r="Z10" s="349"/>
      <c r="AA10" s="349"/>
      <c r="AB10" s="350"/>
      <c r="AC10" s="350"/>
      <c r="AD10" s="350"/>
      <c r="AE10" s="338"/>
      <c r="AF10" s="315"/>
      <c r="AG10" s="315"/>
      <c r="AH10" s="315"/>
      <c r="AI10" s="315"/>
      <c r="AJ10" s="315"/>
      <c r="AK10" s="315"/>
      <c r="AL10" s="315"/>
      <c r="AM10" s="315"/>
      <c r="AN10" s="315"/>
      <c r="AO10" s="315"/>
      <c r="AP10" s="315"/>
      <c r="AQ10" s="315"/>
      <c r="AR10" s="315"/>
      <c r="AS10" s="315"/>
      <c r="AT10" s="315"/>
      <c r="AU10" s="315"/>
      <c r="AV10" s="315"/>
      <c r="AW10" s="315"/>
    </row>
    <row r="11" ht="19.7" customHeight="1">
      <c r="B11" s="315"/>
      <c r="C11" s="445" t="s">
        <v>154</v>
      </c>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338"/>
      <c r="AF11" s="315"/>
      <c r="AG11" s="315"/>
      <c r="AH11" s="315"/>
      <c r="AI11" s="315"/>
      <c r="AJ11" s="315"/>
      <c r="AK11" s="315"/>
      <c r="AL11" s="315"/>
      <c r="AM11" s="315"/>
      <c r="AN11" s="315"/>
      <c r="AO11" s="315"/>
      <c r="AP11" s="315"/>
      <c r="AQ11" s="315"/>
      <c r="AR11" s="315"/>
      <c r="AS11" s="315"/>
      <c r="AT11" s="315"/>
      <c r="AU11" s="315"/>
      <c r="AV11" s="315"/>
      <c r="AW11" s="315"/>
    </row>
    <row r="12" ht="19.7" customHeight="1">
      <c r="B12" s="315"/>
      <c r="C12" s="445" t="s">
        <v>155</v>
      </c>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338"/>
      <c r="AF12" s="315"/>
      <c r="AG12" s="315"/>
      <c r="AH12" s="315"/>
      <c r="AI12" s="315"/>
      <c r="AJ12" s="315"/>
      <c r="AK12" s="315"/>
      <c r="AL12" s="315"/>
      <c r="AM12" s="315"/>
      <c r="AN12" s="315"/>
      <c r="AO12" s="315"/>
      <c r="AP12" s="315"/>
      <c r="AQ12" s="315"/>
      <c r="AR12" s="315"/>
      <c r="AS12" s="315"/>
      <c r="AT12" s="315"/>
      <c r="AU12" s="315"/>
      <c r="AV12" s="315"/>
      <c r="AW12" s="315"/>
    </row>
    <row r="13" ht="8.45" customHeight="1">
      <c r="B13" s="315"/>
      <c r="C13" s="353"/>
      <c r="D13" s="339"/>
      <c r="E13" s="339"/>
      <c r="F13" s="339"/>
      <c r="G13" s="339"/>
      <c r="H13" s="339"/>
      <c r="I13" s="339"/>
      <c r="J13" s="339"/>
      <c r="K13" s="339"/>
      <c r="L13" s="339"/>
      <c r="M13" s="339"/>
      <c r="N13" s="339"/>
      <c r="O13" s="339"/>
      <c r="P13" s="339"/>
      <c r="Q13" s="339"/>
      <c r="R13" s="339"/>
      <c r="S13" s="339"/>
      <c r="T13" s="339"/>
      <c r="U13" s="339"/>
      <c r="V13" s="339"/>
      <c r="W13" s="339"/>
      <c r="X13" s="339"/>
      <c r="Y13" s="339"/>
      <c r="Z13" s="339"/>
      <c r="AA13" s="339"/>
      <c r="AB13" s="315"/>
      <c r="AC13" s="315"/>
      <c r="AD13" s="315"/>
      <c r="AE13" s="338"/>
      <c r="AF13" s="315"/>
      <c r="AG13" s="315"/>
      <c r="AH13" s="315"/>
      <c r="AI13" s="315"/>
      <c r="AJ13" s="315"/>
      <c r="AK13" s="315"/>
      <c r="AL13" s="315"/>
      <c r="AM13" s="315"/>
      <c r="AN13" s="315"/>
      <c r="AO13" s="315"/>
      <c r="AP13" s="315"/>
      <c r="AQ13" s="315"/>
      <c r="AR13" s="315"/>
      <c r="AS13" s="315"/>
      <c r="AT13" s="315"/>
      <c r="AU13" s="315"/>
      <c r="AV13" s="315"/>
      <c r="AW13" s="315"/>
    </row>
    <row r="14" ht="3.75" customHeight="1">
      <c r="B14" s="315"/>
      <c r="C14" s="354"/>
      <c r="D14" s="339"/>
      <c r="E14" s="339"/>
      <c r="F14" s="339"/>
      <c r="G14" s="339"/>
      <c r="H14" s="339"/>
      <c r="I14" s="339"/>
      <c r="J14" s="339"/>
      <c r="K14" s="339"/>
      <c r="L14" s="339"/>
      <c r="M14" s="339"/>
      <c r="N14" s="339"/>
      <c r="O14" s="339"/>
      <c r="P14" s="339"/>
      <c r="Q14" s="339"/>
      <c r="R14" s="339"/>
      <c r="S14" s="339"/>
      <c r="T14" s="339"/>
      <c r="U14" s="339"/>
      <c r="V14" s="339"/>
      <c r="W14" s="339"/>
      <c r="X14" s="339"/>
      <c r="Y14" s="339"/>
      <c r="Z14" s="339"/>
      <c r="AA14" s="339"/>
      <c r="AB14" s="315"/>
      <c r="AC14" s="315"/>
      <c r="AD14" s="315"/>
      <c r="AE14" s="338"/>
      <c r="AF14" s="315"/>
      <c r="AG14" s="315"/>
      <c r="AH14" s="315"/>
      <c r="AI14" s="315"/>
      <c r="AJ14" s="315"/>
      <c r="AK14" s="315"/>
      <c r="AL14" s="315"/>
      <c r="AM14" s="315"/>
      <c r="AN14" s="315"/>
      <c r="AO14" s="315"/>
      <c r="AP14" s="315"/>
      <c r="AQ14" s="315"/>
      <c r="AR14" s="315"/>
      <c r="AS14" s="315"/>
      <c r="AT14" s="315"/>
      <c r="AU14" s="315"/>
      <c r="AV14" s="315"/>
      <c r="AW14" s="315"/>
    </row>
    <row r="15" ht="21.75" customHeight="1">
      <c r="B15" s="315"/>
      <c r="C15" s="494" t="s">
        <v>152</v>
      </c>
      <c r="D15" s="495"/>
      <c r="E15" s="495"/>
      <c r="F15" s="495"/>
      <c r="G15" s="495"/>
      <c r="H15" s="495"/>
      <c r="I15" s="495"/>
      <c r="J15" s="495"/>
      <c r="K15" s="495"/>
      <c r="L15" s="495"/>
      <c r="M15" s="495"/>
      <c r="N15" s="495"/>
      <c r="O15" s="495"/>
      <c r="P15" s="495"/>
      <c r="Q15" s="495"/>
      <c r="R15" s="495"/>
      <c r="S15" s="495"/>
      <c r="T15" s="495"/>
      <c r="U15" s="495"/>
      <c r="V15" s="495"/>
      <c r="W15" s="495"/>
      <c r="X15" s="495"/>
      <c r="Y15" s="495"/>
      <c r="Z15" s="495"/>
      <c r="AA15" s="495"/>
      <c r="AB15" s="495"/>
      <c r="AC15" s="495"/>
      <c r="AD15" s="496"/>
      <c r="AE15" s="355"/>
      <c r="AF15" s="315"/>
      <c r="AG15" s="356">
        <v>1</v>
      </c>
      <c r="AH15" s="356"/>
      <c r="AI15" s="356"/>
      <c r="AJ15" s="356"/>
      <c r="AK15" s="356">
        <v>2</v>
      </c>
      <c r="AL15" s="356"/>
      <c r="AM15" s="356"/>
      <c r="AN15" s="356"/>
      <c r="AO15" s="356">
        <v>3</v>
      </c>
      <c r="AP15" s="315"/>
      <c r="AQ15" s="315"/>
      <c r="AR15" s="315"/>
      <c r="AS15" s="315">
        <v>4</v>
      </c>
      <c r="AT15" s="315"/>
      <c r="AU15" s="315"/>
      <c r="AV15" s="315"/>
      <c r="AW15" s="315"/>
    </row>
    <row r="16" ht="36" customHeight="1">
      <c r="B16" s="315"/>
      <c r="C16" s="488" t="s">
        <v>89</v>
      </c>
      <c r="D16" s="489"/>
      <c r="E16" s="489"/>
      <c r="F16" s="489"/>
      <c r="G16" s="489"/>
      <c r="H16" s="489"/>
      <c r="I16" s="489"/>
      <c r="J16" s="489"/>
      <c r="K16" s="489"/>
      <c r="L16" s="490"/>
      <c r="M16" s="491" t="str">
        <f>AG16</f>
        <v>Ấp Bàu Trâu, xã Phước Thạnh, huyện Củ Chi, thành phố Hồ Chí Minh.</v>
      </c>
      <c r="N16" s="492"/>
      <c r="O16" s="492"/>
      <c r="P16" s="492"/>
      <c r="Q16" s="492"/>
      <c r="R16" s="492"/>
      <c r="S16" s="492"/>
      <c r="T16" s="492"/>
      <c r="U16" s="492"/>
      <c r="V16" s="492"/>
      <c r="W16" s="492"/>
      <c r="X16" s="492"/>
      <c r="Y16" s="492"/>
      <c r="Z16" s="492"/>
      <c r="AA16" s="492"/>
      <c r="AB16" s="492"/>
      <c r="AC16" s="492"/>
      <c r="AD16" s="493"/>
      <c r="AE16" s="355"/>
      <c r="AF16" s="315"/>
      <c r="AG16" s="497" t="s">
        <v>156</v>
      </c>
      <c r="AH16" s="497"/>
      <c r="AI16" s="497"/>
      <c r="AJ16" s="497"/>
      <c r="AK16" s="497"/>
      <c r="AL16" s="497"/>
      <c r="AM16" s="497"/>
      <c r="AN16" s="497"/>
      <c r="AO16" s="497"/>
      <c r="AP16" s="497"/>
      <c r="AQ16" s="497"/>
      <c r="AR16" s="497"/>
      <c r="AS16" s="497"/>
      <c r="AT16" s="497"/>
      <c r="AU16" s="497"/>
      <c r="AV16" s="497"/>
      <c r="AW16" s="497"/>
    </row>
    <row r="17" ht="23.25" customHeight="1">
      <c r="B17" s="315"/>
      <c r="C17" s="488" t="s">
        <v>88</v>
      </c>
      <c r="D17" s="489"/>
      <c r="E17" s="489"/>
      <c r="F17" s="489"/>
      <c r="G17" s="489"/>
      <c r="H17" s="489"/>
      <c r="I17" s="489"/>
      <c r="J17" s="489"/>
      <c r="K17" s="489"/>
      <c r="L17" s="490"/>
      <c r="M17" s="494" t="str">
        <f>IF(AG17="","",AG17)</f>
      </c>
      <c r="N17" s="495"/>
      <c r="O17" s="495"/>
      <c r="P17" s="495"/>
      <c r="Q17" s="495"/>
      <c r="R17" s="495"/>
      <c r="S17" s="495"/>
      <c r="T17" s="495"/>
      <c r="U17" s="495"/>
      <c r="V17" s="495"/>
      <c r="W17" s="495"/>
      <c r="X17" s="495"/>
      <c r="Y17" s="495"/>
      <c r="Z17" s="495"/>
      <c r="AA17" s="495"/>
      <c r="AB17" s="495"/>
      <c r="AC17" s="495"/>
      <c r="AD17" s="496"/>
      <c r="AE17" s="355"/>
      <c r="AF17" s="315"/>
      <c r="AG17" s="315"/>
      <c r="AH17" s="315"/>
      <c r="AI17" s="315"/>
      <c r="AJ17" s="315"/>
      <c r="AK17" s="315"/>
      <c r="AL17" s="315"/>
      <c r="AM17" s="315"/>
      <c r="AN17" s="315"/>
      <c r="AO17" s="315"/>
      <c r="AP17" s="315"/>
      <c r="AQ17" s="315"/>
      <c r="AR17" s="315"/>
      <c r="AS17" s="315"/>
      <c r="AT17" s="315"/>
      <c r="AU17" s="315"/>
      <c r="AV17" s="315"/>
      <c r="AW17" s="315"/>
    </row>
    <row r="18" ht="31.35" customHeight="1">
      <c r="B18" s="315"/>
      <c r="C18" s="505" t="s">
        <v>157</v>
      </c>
      <c r="D18" s="506"/>
      <c r="E18" s="506"/>
      <c r="F18" s="506"/>
      <c r="G18" s="506"/>
      <c r="H18" s="506"/>
      <c r="I18" s="506"/>
      <c r="J18" s="506"/>
      <c r="K18" s="506"/>
      <c r="L18" s="507"/>
      <c r="M18" s="508" t="str">
        <f>AG18</f>
        <v>CÔNG TY CỔ PHẦN VIỄN THÔNG DI ĐỘNG TOÀN CẦU
GTEL</v>
      </c>
      <c r="N18" s="509"/>
      <c r="O18" s="509"/>
      <c r="P18" s="509"/>
      <c r="Q18" s="509"/>
      <c r="R18" s="509"/>
      <c r="S18" s="509"/>
      <c r="T18" s="509"/>
      <c r="U18" s="509"/>
      <c r="V18" s="509"/>
      <c r="W18" s="509"/>
      <c r="X18" s="509"/>
      <c r="Y18" s="509"/>
      <c r="Z18" s="509"/>
      <c r="AA18" s="509"/>
      <c r="AB18" s="509"/>
      <c r="AC18" s="509"/>
      <c r="AD18" s="510"/>
      <c r="AE18" s="355"/>
      <c r="AF18" s="315"/>
      <c r="AG18" s="379" t="s">
        <v>209</v>
      </c>
      <c r="AH18" s="315"/>
      <c r="AI18" s="315"/>
      <c r="AJ18" s="315"/>
      <c r="AK18" s="315"/>
      <c r="AL18" s="315"/>
      <c r="AM18" s="315"/>
      <c r="AN18" s="315"/>
      <c r="AO18" s="315"/>
      <c r="AP18" s="315"/>
      <c r="AQ18" s="315"/>
      <c r="AR18" s="315"/>
      <c r="AS18" s="315"/>
      <c r="AT18" s="315"/>
      <c r="AU18" s="315"/>
      <c r="AV18" s="315"/>
      <c r="AW18" s="315"/>
    </row>
    <row r="19" ht="31.35" customHeight="1">
      <c r="B19" s="315"/>
      <c r="C19" s="505" t="s">
        <v>159</v>
      </c>
      <c r="D19" s="506"/>
      <c r="E19" s="506"/>
      <c r="F19" s="506"/>
      <c r="G19" s="506"/>
      <c r="H19" s="506"/>
      <c r="I19" s="506"/>
      <c r="J19" s="506"/>
      <c r="K19" s="506"/>
      <c r="L19" s="507"/>
      <c r="M19" s="508" t="str">
        <f>AG19</f>
        <v>CÔNG TY CỔ PHẦN VIỄN THÔNG DI ĐỘNG TOÀN CẦU</v>
      </c>
      <c r="N19" s="509"/>
      <c r="O19" s="509"/>
      <c r="P19" s="509"/>
      <c r="Q19" s="509"/>
      <c r="R19" s="509"/>
      <c r="S19" s="509"/>
      <c r="T19" s="509"/>
      <c r="U19" s="509"/>
      <c r="V19" s="509"/>
      <c r="W19" s="509"/>
      <c r="X19" s="509"/>
      <c r="Y19" s="509"/>
      <c r="Z19" s="509"/>
      <c r="AA19" s="509"/>
      <c r="AB19" s="509"/>
      <c r="AC19" s="509"/>
      <c r="AD19" s="510"/>
      <c r="AE19" s="358"/>
      <c r="AF19" s="315"/>
      <c r="AG19" s="351" t="s">
        <v>158</v>
      </c>
      <c r="AH19" s="315"/>
      <c r="AI19" s="315"/>
      <c r="AJ19" s="315"/>
      <c r="AK19" s="315"/>
      <c r="AL19" s="315"/>
      <c r="AM19" s="315"/>
      <c r="AN19" s="315"/>
      <c r="AO19" s="315"/>
      <c r="AP19" s="315"/>
      <c r="AQ19" s="315"/>
      <c r="AR19" s="315"/>
      <c r="AS19" s="315"/>
      <c r="AT19" s="315"/>
      <c r="AU19" s="315"/>
      <c r="AV19" s="315"/>
      <c r="AW19" s="315"/>
    </row>
    <row r="20" ht="20.25" customHeight="1">
      <c r="B20" s="315"/>
      <c r="C20" s="485" t="s">
        <v>160</v>
      </c>
      <c r="D20" s="486"/>
      <c r="E20" s="486"/>
      <c r="F20" s="486"/>
      <c r="G20" s="486"/>
      <c r="H20" s="486"/>
      <c r="I20" s="486"/>
      <c r="J20" s="486"/>
      <c r="K20" s="486"/>
      <c r="L20" s="486"/>
      <c r="M20" s="486"/>
      <c r="N20" s="486"/>
      <c r="O20" s="486"/>
      <c r="P20" s="486"/>
      <c r="Q20" s="486"/>
      <c r="R20" s="486"/>
      <c r="S20" s="486"/>
      <c r="T20" s="486"/>
      <c r="U20" s="486"/>
      <c r="V20" s="486"/>
      <c r="W20" s="486"/>
      <c r="X20" s="486"/>
      <c r="Y20" s="486"/>
      <c r="Z20" s="486"/>
      <c r="AA20" s="486"/>
      <c r="AB20" s="486"/>
      <c r="AC20" s="486"/>
      <c r="AD20" s="487"/>
      <c r="AE20" s="359"/>
      <c r="AF20" s="315"/>
      <c r="AG20" s="315"/>
      <c r="AH20" s="315"/>
      <c r="AI20" s="315"/>
      <c r="AJ20" s="315"/>
      <c r="AK20" s="315"/>
      <c r="AL20" s="315"/>
      <c r="AM20" s="315"/>
      <c r="AN20" s="315"/>
      <c r="AO20" s="315"/>
      <c r="AP20" s="315"/>
      <c r="AQ20" s="315"/>
      <c r="AR20" s="315"/>
      <c r="AS20" s="315"/>
      <c r="AT20" s="315"/>
      <c r="AU20" s="315"/>
      <c r="AV20" s="315"/>
      <c r="AW20" s="315"/>
    </row>
    <row r="21" ht="31.5" customHeight="1">
      <c r="B21" s="315"/>
      <c r="C21" s="502" t="s">
        <v>161</v>
      </c>
      <c r="D21" s="502"/>
      <c r="E21" s="502"/>
      <c r="F21" s="502"/>
      <c r="G21" s="502"/>
      <c r="H21" s="502"/>
      <c r="I21" s="502"/>
      <c r="J21" s="502"/>
      <c r="K21" s="502"/>
      <c r="L21" s="502"/>
      <c r="M21" s="498" t="str">
        <f>AG21</f>
        <v>MOTOROLA HORIZON II MACRO</v>
      </c>
      <c r="N21" s="498"/>
      <c r="O21" s="498"/>
      <c r="P21" s="498"/>
      <c r="Q21" s="498"/>
      <c r="R21" s="498"/>
      <c r="S21" s="498" t="str">
        <f>AK21</f>
        <v>B</v>
      </c>
      <c r="T21" s="498"/>
      <c r="U21" s="498"/>
      <c r="V21" s="498"/>
      <c r="W21" s="498"/>
      <c r="X21" s="498"/>
      <c r="Y21" s="498" t="str">
        <f>AO21</f>
        <v>C</v>
      </c>
      <c r="Z21" s="498"/>
      <c r="AA21" s="498"/>
      <c r="AB21" s="498"/>
      <c r="AC21" s="498"/>
      <c r="AD21" s="498"/>
      <c r="AE21" s="355"/>
      <c r="AF21" s="315"/>
      <c r="AG21" s="351" t="s">
        <v>205</v>
      </c>
      <c r="AH21" s="315"/>
      <c r="AI21" s="315"/>
      <c r="AJ21" s="315"/>
      <c r="AK21" s="351" t="s">
        <v>163</v>
      </c>
      <c r="AL21" s="315"/>
      <c r="AM21" s="315"/>
      <c r="AN21" s="315"/>
      <c r="AO21" s="351" t="s">
        <v>164</v>
      </c>
      <c r="AP21" s="315"/>
      <c r="AQ21" s="315"/>
      <c r="AR21" s="315"/>
      <c r="AS21" s="351" t="s">
        <v>165</v>
      </c>
      <c r="AT21" s="315"/>
      <c r="AU21" s="315"/>
      <c r="AV21" s="315"/>
      <c r="AW21" s="315"/>
    </row>
    <row r="22" ht="19.7" customHeight="1">
      <c r="B22" s="315"/>
      <c r="C22" s="499" t="s">
        <v>166</v>
      </c>
      <c r="D22" s="500"/>
      <c r="E22" s="500"/>
      <c r="F22" s="500"/>
      <c r="G22" s="500"/>
      <c r="H22" s="500"/>
      <c r="I22" s="500"/>
      <c r="J22" s="500"/>
      <c r="K22" s="500"/>
      <c r="L22" s="501"/>
      <c r="M22" s="498">
        <f>AG22</f>
        <v>3</v>
      </c>
      <c r="N22" s="498"/>
      <c r="O22" s="498"/>
      <c r="P22" s="498"/>
      <c r="Q22" s="498"/>
      <c r="R22" s="498"/>
      <c r="S22" s="498">
        <f>AK22</f>
        <v>3</v>
      </c>
      <c r="T22" s="498"/>
      <c r="U22" s="498"/>
      <c r="V22" s="498"/>
      <c r="W22" s="498"/>
      <c r="X22" s="498"/>
      <c r="Y22" s="498">
        <f>AO22</f>
        <v>3</v>
      </c>
      <c r="Z22" s="498"/>
      <c r="AA22" s="498"/>
      <c r="AB22" s="498"/>
      <c r="AC22" s="498"/>
      <c r="AD22" s="498"/>
      <c r="AE22" s="355"/>
      <c r="AF22" s="315"/>
      <c r="AG22" s="356">
        <v>3</v>
      </c>
      <c r="AH22" s="356"/>
      <c r="AI22" s="356"/>
      <c r="AJ22" s="356"/>
      <c r="AK22" s="356">
        <v>3</v>
      </c>
      <c r="AL22" s="356"/>
      <c r="AM22" s="356"/>
      <c r="AN22" s="356"/>
      <c r="AO22" s="356">
        <v>3</v>
      </c>
      <c r="AP22" s="315"/>
      <c r="AQ22" s="315"/>
      <c r="AR22" s="315"/>
      <c r="AS22" s="315">
        <v>1</v>
      </c>
      <c r="AT22" s="315"/>
      <c r="AU22" s="315"/>
      <c r="AV22" s="315"/>
      <c r="AW22" s="315"/>
    </row>
    <row r="23" ht="19.7" customHeight="1">
      <c r="B23" s="315"/>
      <c r="C23" s="502" t="s">
        <v>167</v>
      </c>
      <c r="D23" s="502"/>
      <c r="E23" s="502"/>
      <c r="F23" s="502"/>
      <c r="G23" s="502"/>
      <c r="H23" s="502"/>
      <c r="I23" s="502"/>
      <c r="J23" s="502"/>
      <c r="K23" s="502"/>
      <c r="L23" s="502"/>
      <c r="M23" s="503" t="str">
        <f>AG23</f>
        <v>4/4/4</v>
      </c>
      <c r="N23" s="503"/>
      <c r="O23" s="503"/>
      <c r="P23" s="503"/>
      <c r="Q23" s="503"/>
      <c r="R23" s="503"/>
      <c r="S23" s="503" t="str">
        <f>AK23</f>
        <v>2/2/2</v>
      </c>
      <c r="T23" s="503"/>
      <c r="U23" s="503"/>
      <c r="V23" s="503"/>
      <c r="W23" s="503"/>
      <c r="X23" s="503"/>
      <c r="Y23" s="503" t="str">
        <f>AO23</f>
        <v>5/5/5</v>
      </c>
      <c r="Z23" s="498"/>
      <c r="AA23" s="498"/>
      <c r="AB23" s="498"/>
      <c r="AC23" s="498"/>
      <c r="AD23" s="498"/>
      <c r="AE23" s="360"/>
      <c r="AF23" s="315"/>
      <c r="AG23" s="361" t="s">
        <v>168</v>
      </c>
      <c r="AH23" s="362"/>
      <c r="AI23" s="362"/>
      <c r="AJ23" s="362"/>
      <c r="AK23" s="361" t="s">
        <v>169</v>
      </c>
      <c r="AL23" s="362"/>
      <c r="AM23" s="362"/>
      <c r="AN23" s="362"/>
      <c r="AO23" s="361" t="s">
        <v>170</v>
      </c>
      <c r="AP23" s="362"/>
      <c r="AQ23" s="362"/>
      <c r="AR23" s="362"/>
      <c r="AS23" s="361" t="s">
        <v>171</v>
      </c>
      <c r="AT23" s="315"/>
      <c r="AU23" s="315"/>
      <c r="AV23" s="315"/>
      <c r="AW23" s="315"/>
    </row>
    <row r="24" ht="31.35" customHeight="1">
      <c r="B24" s="315"/>
      <c r="C24" s="499" t="s">
        <v>172</v>
      </c>
      <c r="D24" s="500"/>
      <c r="E24" s="500"/>
      <c r="F24" s="500"/>
      <c r="G24" s="500"/>
      <c r="H24" s="500"/>
      <c r="I24" s="500"/>
      <c r="J24" s="500"/>
      <c r="K24" s="500"/>
      <c r="L24" s="501"/>
      <c r="M24" s="504" t="str">
        <f>IF(M22=4,AG24&amp;"W/ "&amp;AH24&amp;"W/ "&amp;AI24&amp;"W/ "&amp;AK24&amp;"W",IF(M22=3,AG24&amp;"W/ "&amp;AH24&amp;"W/ "&amp;AI24&amp;"W",IF(M22=2,AG24&amp;"W/ "&amp;AH24&amp;"W",AG24&amp;"W")))</f>
        <v>20W/ 20W/ 20W</v>
      </c>
      <c r="N24" s="504"/>
      <c r="O24" s="504"/>
      <c r="P24" s="504"/>
      <c r="Q24" s="504"/>
      <c r="R24" s="504"/>
      <c r="S24" s="504" t="str">
        <f>IF(S22=4,AK24&amp;"W/ "&amp;AL24&amp;"W/ "&amp;AM24&amp;"W/ "&amp;AN24&amp;"W",IF(S22=3,AK24&amp;"W/ "&amp;AL24&amp;"W/ "&amp;AM24&amp;"W",IF(S22=2,AK24&amp;"W/ "&amp;AL24&amp;"W",AK24&amp;"W")))</f>
        <v>40W/ 40W/ 40W</v>
      </c>
      <c r="T24" s="504"/>
      <c r="U24" s="504"/>
      <c r="V24" s="504"/>
      <c r="W24" s="504"/>
      <c r="X24" s="504"/>
      <c r="Y24" s="504" t="str">
        <f>IF(Y22=4,AO24&amp;"W/ "&amp;AP24&amp;"W/ "&amp;AQ24&amp;"W/ "&amp;AR24&amp;"W",IF(Y22=3,AO24&amp;"W/ "&amp;AP24&amp;"W/ "&amp;AQ24&amp;"W",IF(Y22=2,AO24&amp;"W/ "&amp;AP24&amp;"W",AO24&amp;"W")))</f>
        <v>60W/ 60W/ 60W</v>
      </c>
      <c r="Z24" s="504"/>
      <c r="AA24" s="504"/>
      <c r="AB24" s="504"/>
      <c r="AC24" s="504"/>
      <c r="AD24" s="504"/>
      <c r="AE24" s="358"/>
      <c r="AF24" s="315"/>
      <c r="AG24" s="315">
        <v>20</v>
      </c>
      <c r="AH24" s="315">
        <v>20</v>
      </c>
      <c r="AI24" s="315">
        <v>20</v>
      </c>
      <c r="AJ24" s="315"/>
      <c r="AK24" s="315">
        <v>40</v>
      </c>
      <c r="AL24" s="315">
        <v>40</v>
      </c>
      <c r="AM24" s="315">
        <v>40</v>
      </c>
      <c r="AN24" s="315"/>
      <c r="AO24" s="315">
        <v>60</v>
      </c>
      <c r="AP24" s="315">
        <v>60</v>
      </c>
      <c r="AQ24" s="315">
        <v>60</v>
      </c>
      <c r="AR24" s="315"/>
      <c r="AS24" s="315">
        <v>80</v>
      </c>
      <c r="AT24" s="315">
        <v>80</v>
      </c>
      <c r="AU24" s="315">
        <v>80</v>
      </c>
      <c r="AV24" s="315"/>
      <c r="AW24" s="315"/>
    </row>
    <row r="25" ht="19.7" customHeight="1">
      <c r="B25" s="315"/>
      <c r="C25" s="502" t="s">
        <v>173</v>
      </c>
      <c r="D25" s="502"/>
      <c r="E25" s="502"/>
      <c r="F25" s="502"/>
      <c r="G25" s="502"/>
      <c r="H25" s="502"/>
      <c r="I25" s="502"/>
      <c r="J25" s="502"/>
      <c r="K25" s="502"/>
      <c r="L25" s="502"/>
      <c r="M25" s="498" t="str">
        <f>IF(AG25="900 &amp; 1800","900MHz &amp; 1800MHz",IF(AG25="900 &amp; 2100","900MHz &amp; 2100MHz",AG25&amp;"MHz"))</f>
        <v>900MHz</v>
      </c>
      <c r="N25" s="498"/>
      <c r="O25" s="498"/>
      <c r="P25" s="498"/>
      <c r="Q25" s="498"/>
      <c r="R25" s="498"/>
      <c r="S25" s="498" t="str">
        <f>IF(AK25="900 &amp; 1800","900MHz &amp; 1800MHz",IF(AK25="900 &amp; 2100","900MHz &amp; 2100MHz",AK25&amp;"MHz"))</f>
        <v>1800MHz</v>
      </c>
      <c r="T25" s="498"/>
      <c r="U25" s="498"/>
      <c r="V25" s="498"/>
      <c r="W25" s="498"/>
      <c r="X25" s="498"/>
      <c r="Y25" s="498" t="str">
        <f>IF(AO25="900 &amp; 1800","900MHz &amp; 1800MHz",IF(AO25="900 &amp; 2100","900MHz &amp; 2100MHz",AO25&amp;"MHz"))</f>
        <v>2100MHz</v>
      </c>
      <c r="Z25" s="498"/>
      <c r="AA25" s="498"/>
      <c r="AB25" s="498"/>
      <c r="AC25" s="498"/>
      <c r="AD25" s="498"/>
      <c r="AE25" s="355"/>
      <c r="AF25" s="315"/>
      <c r="AG25" s="315">
        <v>900</v>
      </c>
      <c r="AH25" s="315"/>
      <c r="AI25" s="315"/>
      <c r="AJ25" s="315"/>
      <c r="AK25" s="315">
        <v>1800</v>
      </c>
      <c r="AL25" s="315"/>
      <c r="AM25" s="315"/>
      <c r="AN25" s="315"/>
      <c r="AO25" s="315">
        <v>2100</v>
      </c>
      <c r="AP25" s="315"/>
      <c r="AQ25" s="315"/>
      <c r="AR25" s="315"/>
      <c r="AS25" s="351" t="s">
        <v>207</v>
      </c>
      <c r="AT25" s="315"/>
      <c r="AU25" s="315"/>
      <c r="AV25" s="315"/>
      <c r="AW25" s="315"/>
    </row>
    <row r="26" ht="31.35" customHeight="1">
      <c r="B26" s="315"/>
      <c r="C26" s="502" t="s">
        <v>210</v>
      </c>
      <c r="D26" s="502"/>
      <c r="E26" s="502"/>
      <c r="F26" s="502"/>
      <c r="G26" s="502"/>
      <c r="H26" s="502"/>
      <c r="I26" s="502"/>
      <c r="J26" s="502"/>
      <c r="K26" s="502"/>
      <c r="L26" s="502"/>
      <c r="M26" s="498">
        <f>AG26</f>
        <v>15</v>
      </c>
      <c r="N26" s="498"/>
      <c r="O26" s="498"/>
      <c r="P26" s="498"/>
      <c r="Q26" s="498"/>
      <c r="R26" s="498"/>
      <c r="S26" s="498">
        <f>AK26</f>
        <v>16</v>
      </c>
      <c r="T26" s="498"/>
      <c r="U26" s="498"/>
      <c r="V26" s="498"/>
      <c r="W26" s="498"/>
      <c r="X26" s="498"/>
      <c r="Y26" s="498">
        <f>AO26</f>
        <v>17</v>
      </c>
      <c r="Z26" s="498"/>
      <c r="AA26" s="498"/>
      <c r="AB26" s="498"/>
      <c r="AC26" s="498"/>
      <c r="AD26" s="498"/>
      <c r="AE26" s="358"/>
      <c r="AF26" s="315"/>
      <c r="AG26" s="315">
        <v>15</v>
      </c>
      <c r="AH26" s="315"/>
      <c r="AI26" s="315"/>
      <c r="AJ26" s="315"/>
      <c r="AK26" s="315">
        <v>16</v>
      </c>
      <c r="AL26" s="315"/>
      <c r="AM26" s="315"/>
      <c r="AN26" s="315"/>
      <c r="AO26" s="315">
        <v>17</v>
      </c>
      <c r="AP26" s="315"/>
      <c r="AQ26" s="315"/>
      <c r="AR26" s="315"/>
      <c r="AS26" s="315">
        <v>18</v>
      </c>
      <c r="AT26" s="315"/>
      <c r="AU26" s="315"/>
      <c r="AV26" s="315"/>
      <c r="AW26" s="315"/>
    </row>
    <row r="27" ht="25.5" customHeight="1">
      <c r="B27" s="315"/>
      <c r="C27" s="461" t="s">
        <v>176</v>
      </c>
      <c r="D27" s="461"/>
      <c r="E27" s="461"/>
      <c r="F27" s="461"/>
      <c r="G27" s="461"/>
      <c r="H27" s="461"/>
      <c r="I27" s="461"/>
      <c r="J27" s="461"/>
      <c r="K27" s="461"/>
      <c r="L27" s="461"/>
      <c r="M27" s="461"/>
      <c r="N27" s="461"/>
      <c r="O27" s="461"/>
      <c r="P27" s="461"/>
      <c r="Q27" s="461"/>
      <c r="R27" s="461"/>
      <c r="S27" s="461"/>
      <c r="T27" s="461"/>
      <c r="U27" s="461"/>
      <c r="V27" s="461"/>
      <c r="W27" s="461"/>
      <c r="X27" s="461"/>
      <c r="Y27" s="461"/>
      <c r="Z27" s="461"/>
      <c r="AA27" s="461"/>
      <c r="AB27" s="363"/>
      <c r="AC27" s="363"/>
      <c r="AD27" s="363"/>
      <c r="AE27" s="338"/>
      <c r="AF27" s="315"/>
      <c r="AG27" s="315"/>
      <c r="AH27" s="315"/>
      <c r="AI27" s="315"/>
      <c r="AJ27" s="315"/>
      <c r="AK27" s="315"/>
      <c r="AL27" s="315"/>
      <c r="AM27" s="315"/>
      <c r="AN27" s="315"/>
      <c r="AO27" s="315"/>
      <c r="AP27" s="315"/>
      <c r="AQ27" s="315"/>
      <c r="AR27" s="315"/>
      <c r="AS27" s="315"/>
      <c r="AT27" s="315"/>
      <c r="AU27" s="315"/>
      <c r="AV27" s="315"/>
      <c r="AW27" s="315"/>
    </row>
    <row r="28" ht="25.5" customHeight="1">
      <c r="B28" s="315"/>
      <c r="C28" s="472"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72"/>
      <c r="E28" s="472"/>
      <c r="F28" s="472"/>
      <c r="G28" s="472"/>
      <c r="H28" s="472"/>
      <c r="I28" s="472"/>
      <c r="J28" s="472"/>
      <c r="K28" s="472"/>
      <c r="L28" s="472"/>
      <c r="M28" s="472"/>
      <c r="N28" s="472"/>
      <c r="O28" s="472"/>
      <c r="P28" s="472"/>
      <c r="Q28" s="472"/>
      <c r="R28" s="472"/>
      <c r="S28" s="472"/>
      <c r="T28" s="472"/>
      <c r="U28" s="472"/>
      <c r="V28" s="472"/>
      <c r="W28" s="472"/>
      <c r="X28" s="472"/>
      <c r="Y28" s="472"/>
      <c r="Z28" s="472"/>
      <c r="AA28" s="472"/>
      <c r="AB28" s="472"/>
      <c r="AC28" s="472"/>
      <c r="AD28" s="472"/>
      <c r="AE28" s="338"/>
      <c r="AF28" s="315"/>
      <c r="AG28" s="315">
        <v>30</v>
      </c>
      <c r="AH28" s="315"/>
      <c r="AI28" s="315"/>
      <c r="AJ28" s="315"/>
      <c r="AK28" s="315"/>
      <c r="AL28" s="315"/>
      <c r="AM28" s="315"/>
      <c r="AN28" s="315"/>
      <c r="AO28" s="315" t="s">
        <v>177</v>
      </c>
      <c r="AP28" s="315"/>
      <c r="AQ28" s="315"/>
      <c r="AR28" s="315"/>
      <c r="AS28" s="315"/>
      <c r="AT28" s="315"/>
      <c r="AU28" s="315"/>
      <c r="AV28" s="315"/>
      <c r="AW28" s="315"/>
    </row>
    <row r="29" ht="25.5" customHeight="1">
      <c r="B29" s="315"/>
      <c r="C29" s="472"/>
      <c r="D29" s="472"/>
      <c r="E29" s="472"/>
      <c r="F29" s="472"/>
      <c r="G29" s="472"/>
      <c r="H29" s="472"/>
      <c r="I29" s="472"/>
      <c r="J29" s="472"/>
      <c r="K29" s="472"/>
      <c r="L29" s="472"/>
      <c r="M29" s="472"/>
      <c r="N29" s="472"/>
      <c r="O29" s="472"/>
      <c r="P29" s="472"/>
      <c r="Q29" s="472"/>
      <c r="R29" s="472"/>
      <c r="S29" s="472"/>
      <c r="T29" s="472"/>
      <c r="U29" s="472"/>
      <c r="V29" s="472"/>
      <c r="W29" s="472"/>
      <c r="X29" s="472"/>
      <c r="Y29" s="472"/>
      <c r="Z29" s="472"/>
      <c r="AA29" s="472"/>
      <c r="AB29" s="472"/>
      <c r="AC29" s="472"/>
      <c r="AD29" s="472"/>
      <c r="AE29" s="338"/>
      <c r="AF29" s="315"/>
      <c r="AG29" s="315">
        <v>1</v>
      </c>
      <c r="AH29" s="315"/>
      <c r="AI29" s="315"/>
      <c r="AJ29" s="315"/>
      <c r="AK29" s="315"/>
      <c r="AL29" s="315"/>
      <c r="AM29" s="315"/>
      <c r="AN29" s="315"/>
      <c r="AO29" s="315"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15" t="s">
        <v>178</v>
      </c>
      <c r="AQ29" s="315" t="str">
        <f>IF(AG28&gt;=0," cao hơn "," thấp hơn ")</f>
        <v> cao hơn </v>
      </c>
      <c r="AR29" s="315" t="s">
        <v>179</v>
      </c>
      <c r="AS29" s="315"/>
      <c r="AT29" s="315"/>
      <c r="AU29" s="315"/>
      <c r="AV29" s="315"/>
      <c r="AW29" s="315"/>
    </row>
    <row r="30" ht="15.75" customHeight="1">
      <c r="B30" s="315"/>
      <c r="C30" s="462" t="str">
        <f>IF(AG31=1,AO31,IF(AG31=2,AO30))</f>
        <v>Giới hạn an toàn: là khoảng chiều cao trên cột anten tính từ điểm có độ cao 20m so với mặt đất trở lên.</v>
      </c>
      <c r="D30" s="462"/>
      <c r="E30" s="462"/>
      <c r="F30" s="462"/>
      <c r="G30" s="462"/>
      <c r="H30" s="462"/>
      <c r="I30" s="462"/>
      <c r="J30" s="462"/>
      <c r="K30" s="462"/>
      <c r="L30" s="462"/>
      <c r="M30" s="462"/>
      <c r="N30" s="462"/>
      <c r="O30" s="462"/>
      <c r="P30" s="462"/>
      <c r="Q30" s="462"/>
      <c r="R30" s="462"/>
      <c r="S30" s="462"/>
      <c r="T30" s="462"/>
      <c r="U30" s="462"/>
      <c r="V30" s="462"/>
      <c r="W30" s="462"/>
      <c r="X30" s="462"/>
      <c r="Y30" s="462"/>
      <c r="Z30" s="462"/>
      <c r="AA30" s="462"/>
      <c r="AB30" s="462"/>
      <c r="AC30" s="462"/>
      <c r="AD30" s="462"/>
      <c r="AE30" s="338"/>
      <c r="AF30" s="315"/>
      <c r="AG30" s="315">
        <v>20</v>
      </c>
      <c r="AH30" s="315"/>
      <c r="AI30" s="315"/>
      <c r="AJ30" s="315"/>
      <c r="AK30" s="315"/>
      <c r="AL30" s="315"/>
      <c r="AM30" s="315"/>
      <c r="AN30" s="315"/>
      <c r="AO30" s="315" t="s">
        <v>180</v>
      </c>
      <c r="AP30" s="315"/>
      <c r="AQ30" s="315"/>
      <c r="AR30" s="315"/>
      <c r="AS30" s="315"/>
      <c r="AT30" s="315"/>
      <c r="AU30" s="315"/>
      <c r="AV30" s="315"/>
      <c r="AW30" s="315"/>
    </row>
    <row r="31" ht="15.75" customHeight="1">
      <c r="B31" s="315"/>
      <c r="C31" s="462"/>
      <c r="D31" s="462"/>
      <c r="E31" s="462"/>
      <c r="F31" s="462"/>
      <c r="G31" s="462"/>
      <c r="H31" s="462"/>
      <c r="I31" s="462"/>
      <c r="J31" s="462"/>
      <c r="K31" s="462"/>
      <c r="L31" s="462"/>
      <c r="M31" s="462"/>
      <c r="N31" s="462"/>
      <c r="O31" s="462"/>
      <c r="P31" s="462"/>
      <c r="Q31" s="462"/>
      <c r="R31" s="462"/>
      <c r="S31" s="462"/>
      <c r="T31" s="462"/>
      <c r="U31" s="462"/>
      <c r="V31" s="462"/>
      <c r="W31" s="462"/>
      <c r="X31" s="462"/>
      <c r="Y31" s="462"/>
      <c r="Z31" s="462"/>
      <c r="AA31" s="462"/>
      <c r="AB31" s="462"/>
      <c r="AC31" s="462"/>
      <c r="AD31" s="462"/>
      <c r="AE31" s="338"/>
      <c r="AF31" s="315"/>
      <c r="AG31" s="315">
        <v>1</v>
      </c>
      <c r="AH31" s="315"/>
      <c r="AI31" s="315"/>
      <c r="AJ31" s="315"/>
      <c r="AK31" s="315"/>
      <c r="AL31" s="315"/>
      <c r="AM31" s="315"/>
      <c r="AN31" s="315"/>
      <c r="AO31" s="36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c r="AP31" s="315"/>
      <c r="AQ31" s="315"/>
      <c r="AR31" s="315"/>
      <c r="AS31" s="315"/>
      <c r="AT31" s="315"/>
      <c r="AU31" s="315"/>
      <c r="AV31" s="315"/>
      <c r="AW31" s="315"/>
    </row>
    <row r="32" ht="17.1" customHeight="1">
      <c r="B32" s="315"/>
      <c r="C32" s="473" t="s">
        <v>180</v>
      </c>
      <c r="D32" s="473"/>
      <c r="E32" s="473"/>
      <c r="F32" s="473"/>
      <c r="G32" s="473"/>
      <c r="H32" s="473"/>
      <c r="I32" s="473"/>
      <c r="J32" s="473"/>
      <c r="K32" s="473"/>
      <c r="L32" s="473"/>
      <c r="M32" s="473"/>
      <c r="N32" s="473"/>
      <c r="O32" s="473"/>
      <c r="P32" s="473"/>
      <c r="Q32" s="473"/>
      <c r="R32" s="473"/>
      <c r="S32" s="473"/>
      <c r="T32" s="473"/>
      <c r="U32" s="473"/>
      <c r="V32" s="473"/>
      <c r="W32" s="473"/>
      <c r="X32" s="473"/>
      <c r="Y32" s="473"/>
      <c r="Z32" s="473"/>
      <c r="AA32" s="473"/>
      <c r="AB32" s="473"/>
      <c r="AC32" s="473"/>
      <c r="AD32" s="473"/>
      <c r="AE32" s="338"/>
      <c r="AF32" s="315"/>
      <c r="AG32" s="315"/>
      <c r="AH32" s="315"/>
      <c r="AI32" s="315"/>
      <c r="AJ32" s="315"/>
      <c r="AK32" s="315"/>
      <c r="AL32" s="315"/>
      <c r="AM32" s="315"/>
      <c r="AN32" s="315"/>
      <c r="AO32" s="315"/>
      <c r="AP32" s="315"/>
      <c r="AQ32" s="315"/>
      <c r="AR32" s="315"/>
      <c r="AS32" s="315"/>
      <c r="AT32" s="315"/>
      <c r="AU32" s="315"/>
      <c r="AV32" s="315"/>
      <c r="AW32" s="315"/>
    </row>
    <row r="33" ht="17.1" customHeight="1">
      <c r="B33" s="315"/>
      <c r="C33" s="473"/>
      <c r="D33" s="473"/>
      <c r="E33" s="473"/>
      <c r="F33" s="473"/>
      <c r="G33" s="473"/>
      <c r="H33" s="473"/>
      <c r="I33" s="473"/>
      <c r="J33" s="473"/>
      <c r="K33" s="473"/>
      <c r="L33" s="473"/>
      <c r="M33" s="473"/>
      <c r="N33" s="473"/>
      <c r="O33" s="473"/>
      <c r="P33" s="473"/>
      <c r="Q33" s="473"/>
      <c r="R33" s="473"/>
      <c r="S33" s="473"/>
      <c r="T33" s="473"/>
      <c r="U33" s="473"/>
      <c r="V33" s="473"/>
      <c r="W33" s="473"/>
      <c r="X33" s="473"/>
      <c r="Y33" s="473"/>
      <c r="Z33" s="473"/>
      <c r="AA33" s="473"/>
      <c r="AB33" s="473"/>
      <c r="AC33" s="473"/>
      <c r="AD33" s="473"/>
      <c r="AE33" s="365"/>
      <c r="AF33" s="315"/>
      <c r="AG33" s="315"/>
      <c r="AH33" s="315"/>
      <c r="AI33" s="315"/>
      <c r="AJ33" s="315"/>
      <c r="AK33" s="315"/>
      <c r="AL33" s="315"/>
      <c r="AM33" s="315"/>
      <c r="AN33" s="315"/>
      <c r="AO33" s="315"/>
      <c r="AP33" s="315"/>
      <c r="AQ33" s="315"/>
      <c r="AR33" s="315"/>
      <c r="AS33" s="315"/>
      <c r="AT33" s="315"/>
      <c r="AU33" s="315"/>
      <c r="AV33" s="315"/>
      <c r="AW33" s="315"/>
    </row>
    <row r="34" ht="17.1" customHeight="1">
      <c r="B34" s="315"/>
      <c r="C34" s="439"/>
      <c r="D34" s="439"/>
      <c r="E34" s="439"/>
      <c r="F34" s="439"/>
      <c r="G34" s="439"/>
      <c r="H34" s="363"/>
      <c r="I34" s="440"/>
      <c r="J34" s="440"/>
      <c r="K34" s="440"/>
      <c r="L34" s="440"/>
      <c r="M34" s="440"/>
      <c r="N34" s="440"/>
      <c r="O34" s="363"/>
      <c r="P34" s="336"/>
      <c r="Q34" s="336"/>
      <c r="R34" s="336"/>
      <c r="S34" s="336"/>
      <c r="T34" s="434" t="str">
        <f>IF(AI41=0,AO34,IF(AI41=1,AK34,AS34))</f>
        <v>KT. GIÁM ĐỐC</v>
      </c>
      <c r="U34" s="434"/>
      <c r="V34" s="434"/>
      <c r="W34" s="434"/>
      <c r="X34" s="434"/>
      <c r="Y34" s="434"/>
      <c r="Z34" s="434"/>
      <c r="AA34" s="434"/>
      <c r="AB34" s="434"/>
      <c r="AC34" s="434"/>
      <c r="AD34" s="434"/>
      <c r="AE34" s="434"/>
      <c r="AF34" s="315"/>
      <c r="AG34" s="315"/>
      <c r="AH34" s="315"/>
      <c r="AI34" s="315"/>
      <c r="AJ34" s="315"/>
      <c r="AK34" s="315" t="s">
        <v>181</v>
      </c>
      <c r="AL34" s="315"/>
      <c r="AM34" s="315"/>
      <c r="AN34" s="315"/>
      <c r="AO34" s="315" t="s">
        <v>182</v>
      </c>
      <c r="AP34" s="315"/>
      <c r="AQ34" s="315"/>
      <c r="AR34" s="315"/>
      <c r="AS34" s="315" t="s">
        <v>183</v>
      </c>
      <c r="AT34" s="315"/>
      <c r="AU34" s="315"/>
      <c r="AV34" s="315"/>
      <c r="AW34" s="315"/>
    </row>
    <row r="35" ht="17.1" customHeight="1">
      <c r="B35" s="315"/>
      <c r="C35" s="435" t="s">
        <v>184</v>
      </c>
      <c r="D35" s="435"/>
      <c r="E35" s="435"/>
      <c r="F35" s="435"/>
      <c r="G35" s="435"/>
      <c r="H35" s="380" t="s">
        <v>185</v>
      </c>
      <c r="I35" s="437" t="s">
        <v>186</v>
      </c>
      <c r="J35" s="437"/>
      <c r="K35" s="437"/>
      <c r="L35" s="437"/>
      <c r="M35" s="437"/>
      <c r="N35" s="437"/>
      <c r="O35" s="367"/>
      <c r="P35" s="367"/>
      <c r="Q35" s="363"/>
      <c r="R35" s="363"/>
      <c r="S35" s="363"/>
      <c r="T35" s="434" t="str">
        <f>IF(AI41=0,AO35,IF(AI41=1,"",AS35))</f>
        <v>PHÓ GIÁM ĐỐC</v>
      </c>
      <c r="U35" s="434"/>
      <c r="V35" s="434"/>
      <c r="W35" s="434"/>
      <c r="X35" s="434"/>
      <c r="Y35" s="434"/>
      <c r="Z35" s="434"/>
      <c r="AA35" s="434"/>
      <c r="AB35" s="434"/>
      <c r="AC35" s="434"/>
      <c r="AD35" s="434"/>
      <c r="AE35" s="434"/>
      <c r="AF35" s="315"/>
      <c r="AG35" s="315"/>
      <c r="AH35" s="315"/>
      <c r="AI35" s="315"/>
      <c r="AJ35" s="315"/>
      <c r="AK35" s="315"/>
      <c r="AL35" s="315"/>
      <c r="AM35" s="315"/>
      <c r="AN35" s="315"/>
      <c r="AO35" s="315" t="s">
        <v>187</v>
      </c>
      <c r="AP35" s="315"/>
      <c r="AQ35" s="315"/>
      <c r="AR35" s="315"/>
      <c r="AS35" s="315" t="s">
        <v>188</v>
      </c>
      <c r="AT35" s="315"/>
      <c r="AU35" s="315"/>
      <c r="AV35" s="315"/>
      <c r="AW35" s="315"/>
    </row>
    <row r="36" ht="17.1" customHeight="1">
      <c r="B36" s="315"/>
      <c r="C36" s="435" t="s">
        <v>189</v>
      </c>
      <c r="D36" s="435"/>
      <c r="E36" s="435"/>
      <c r="F36" s="435"/>
      <c r="G36" s="435"/>
      <c r="H36" s="366" t="s">
        <v>185</v>
      </c>
      <c r="I36" s="436">
        <f>AG36</f>
        <v>40806</v>
      </c>
      <c r="J36" s="437"/>
      <c r="K36" s="437"/>
      <c r="L36" s="437"/>
      <c r="M36" s="437"/>
      <c r="N36" s="368"/>
      <c r="O36" s="368"/>
      <c r="P36" s="368"/>
      <c r="Q36" s="363"/>
      <c r="R36" s="363"/>
      <c r="S36" s="363"/>
      <c r="T36" s="363"/>
      <c r="U36" s="363"/>
      <c r="V36" s="363"/>
      <c r="W36" s="363"/>
      <c r="X36" s="363"/>
      <c r="Y36" s="363"/>
      <c r="Z36" s="363"/>
      <c r="AA36" s="363"/>
      <c r="AB36" s="363"/>
      <c r="AC36" s="363"/>
      <c r="AD36" s="363"/>
      <c r="AE36" s="338"/>
      <c r="AF36" s="315"/>
      <c r="AG36" s="369">
        <v>40806</v>
      </c>
      <c r="AH36" s="315"/>
      <c r="AI36" s="315"/>
      <c r="AJ36" s="315"/>
      <c r="AK36" s="315"/>
      <c r="AL36" s="315"/>
      <c r="AM36" s="315"/>
      <c r="AN36" s="315"/>
      <c r="AO36" s="315"/>
      <c r="AP36" s="315"/>
      <c r="AQ36" s="315"/>
      <c r="AR36" s="315"/>
      <c r="AS36" s="315"/>
      <c r="AT36" s="315"/>
      <c r="AU36" s="315"/>
      <c r="AV36" s="315"/>
      <c r="AW36" s="315"/>
    </row>
    <row r="37" ht="17.1" customHeight="1">
      <c r="B37" s="315"/>
      <c r="C37" s="435" t="s">
        <v>190</v>
      </c>
      <c r="D37" s="435"/>
      <c r="E37" s="435"/>
      <c r="F37" s="435"/>
      <c r="G37" s="435"/>
      <c r="H37" s="366" t="s">
        <v>185</v>
      </c>
      <c r="I37" s="436">
        <f>AG37</f>
        <v>42633</v>
      </c>
      <c r="J37" s="437"/>
      <c r="K37" s="437"/>
      <c r="L37" s="437"/>
      <c r="M37" s="437"/>
      <c r="N37" s="368"/>
      <c r="O37" s="368"/>
      <c r="P37" s="368"/>
      <c r="Q37" s="363"/>
      <c r="R37" s="363"/>
      <c r="S37" s="363"/>
      <c r="T37" s="363"/>
      <c r="U37" s="363"/>
      <c r="V37" s="363"/>
      <c r="W37" s="363"/>
      <c r="X37" s="363"/>
      <c r="Y37" s="363"/>
      <c r="Z37" s="363"/>
      <c r="AA37" s="363"/>
      <c r="AB37" s="363"/>
      <c r="AC37" s="363"/>
      <c r="AD37" s="363"/>
      <c r="AE37" s="338"/>
      <c r="AF37" s="315"/>
      <c r="AG37" s="369">
        <v>42633</v>
      </c>
      <c r="AH37" s="315"/>
      <c r="AI37" s="315"/>
      <c r="AJ37" s="315"/>
      <c r="AK37" s="315"/>
      <c r="AL37" s="315"/>
      <c r="AM37" s="315"/>
      <c r="AN37" s="315"/>
      <c r="AO37" s="315"/>
      <c r="AP37" s="315"/>
      <c r="AQ37" s="315"/>
      <c r="AR37" s="315"/>
      <c r="AS37" s="315"/>
      <c r="AT37" s="315"/>
      <c r="AU37" s="315"/>
      <c r="AV37" s="315"/>
      <c r="AW37" s="315"/>
    </row>
    <row r="38" ht="19.5" customHeight="1">
      <c r="B38" s="315"/>
      <c r="C38" s="370"/>
      <c r="D38" s="370"/>
      <c r="E38" s="370"/>
      <c r="F38" s="347"/>
      <c r="G38" s="339"/>
      <c r="H38" s="339"/>
      <c r="I38" s="339"/>
      <c r="J38" s="339"/>
      <c r="K38" s="339"/>
      <c r="L38" s="339"/>
      <c r="M38" s="339"/>
      <c r="N38" s="339"/>
      <c r="O38" s="339"/>
      <c r="P38" s="339"/>
      <c r="Q38" s="339"/>
      <c r="R38" s="339"/>
      <c r="S38" s="339"/>
      <c r="T38" s="339"/>
      <c r="U38" s="339"/>
      <c r="V38" s="339"/>
      <c r="W38" s="339"/>
      <c r="X38" s="339"/>
      <c r="Y38" s="339"/>
      <c r="Z38" s="339"/>
      <c r="AA38" s="339"/>
      <c r="AB38" s="363"/>
      <c r="AC38" s="363"/>
      <c r="AD38" s="363"/>
      <c r="AE38" s="338"/>
      <c r="AF38" s="315"/>
      <c r="AG38" s="315"/>
      <c r="AH38" s="315"/>
      <c r="AI38" s="315"/>
      <c r="AJ38" s="315"/>
      <c r="AK38" s="315"/>
      <c r="AL38" s="315"/>
      <c r="AM38" s="315"/>
      <c r="AN38" s="315"/>
      <c r="AO38" s="315"/>
      <c r="AP38" s="315"/>
      <c r="AQ38" s="315"/>
      <c r="AR38" s="315"/>
      <c r="AS38" s="315"/>
      <c r="AT38" s="315"/>
      <c r="AU38" s="315"/>
      <c r="AV38" s="315"/>
      <c r="AW38" s="315"/>
    </row>
    <row r="39" ht="17.1" customHeight="1">
      <c r="B39" s="315"/>
      <c r="C39" s="370"/>
      <c r="D39" s="370"/>
      <c r="E39" s="370"/>
      <c r="F39" s="347"/>
      <c r="G39" s="339"/>
      <c r="H39" s="339"/>
      <c r="I39" s="339"/>
      <c r="J39" s="339"/>
      <c r="K39" s="339"/>
      <c r="L39" s="339"/>
      <c r="M39" s="339"/>
      <c r="N39" s="339"/>
      <c r="O39" s="339"/>
      <c r="P39" s="339"/>
      <c r="Q39" s="339"/>
      <c r="R39" s="339"/>
      <c r="S39" s="339"/>
      <c r="T39" s="438"/>
      <c r="U39" s="438"/>
      <c r="V39" s="438"/>
      <c r="W39" s="438"/>
      <c r="X39" s="438"/>
      <c r="Y39" s="438"/>
      <c r="Z39" s="438"/>
      <c r="AA39" s="438"/>
      <c r="AB39" s="438"/>
      <c r="AC39" s="438"/>
      <c r="AD39" s="438"/>
      <c r="AE39" s="438"/>
      <c r="AF39" s="315"/>
      <c r="AG39" s="315"/>
      <c r="AH39" s="315"/>
      <c r="AI39" s="315">
        <v>0</v>
      </c>
      <c r="AJ39" s="315"/>
      <c r="AK39" s="315"/>
      <c r="AL39" s="315"/>
      <c r="AM39" s="315"/>
      <c r="AN39" s="315"/>
      <c r="AO39" s="315"/>
      <c r="AP39" s="315"/>
      <c r="AQ39" s="315"/>
      <c r="AR39" s="315"/>
      <c r="AS39" s="315"/>
      <c r="AT39" s="315"/>
      <c r="AU39" s="315"/>
      <c r="AV39" s="315"/>
      <c r="AW39" s="315"/>
    </row>
    <row r="40" ht="17.1" customHeight="1">
      <c r="B40" s="315"/>
      <c r="C40" s="370"/>
      <c r="D40" s="370"/>
      <c r="E40" s="370"/>
      <c r="F40" s="347"/>
      <c r="G40" s="339"/>
      <c r="H40" s="339"/>
      <c r="I40" s="339"/>
      <c r="J40" s="339"/>
      <c r="K40" s="339"/>
      <c r="L40" s="339"/>
      <c r="M40" s="339"/>
      <c r="N40" s="339"/>
      <c r="O40" s="339"/>
      <c r="P40" s="336"/>
      <c r="Q40" s="336"/>
      <c r="R40" s="336"/>
      <c r="S40" s="336"/>
      <c r="T40" s="433"/>
      <c r="U40" s="433"/>
      <c r="V40" s="433"/>
      <c r="W40" s="433"/>
      <c r="X40" s="433"/>
      <c r="Y40" s="433"/>
      <c r="Z40" s="433"/>
      <c r="AA40" s="433"/>
      <c r="AB40" s="433"/>
      <c r="AC40" s="433"/>
      <c r="AD40" s="433"/>
      <c r="AE40" s="433"/>
      <c r="AF40" s="315"/>
      <c r="AG40" s="315"/>
      <c r="AH40" s="315"/>
      <c r="AI40" s="315"/>
      <c r="AJ40" s="315"/>
      <c r="AK40" s="315"/>
      <c r="AL40" s="315"/>
      <c r="AM40" s="315"/>
      <c r="AN40" s="315"/>
      <c r="AO40" s="315"/>
      <c r="AP40" s="315"/>
      <c r="AQ40" s="315"/>
      <c r="AR40" s="315"/>
      <c r="AS40" s="315"/>
      <c r="AT40" s="315"/>
      <c r="AU40" s="315"/>
      <c r="AV40" s="315"/>
      <c r="AW40" s="315"/>
    </row>
    <row r="41" ht="17.1" customHeight="1">
      <c r="B41" s="315"/>
      <c r="C41" s="370"/>
      <c r="D41" s="370"/>
      <c r="E41" s="370"/>
      <c r="F41" s="347"/>
      <c r="G41" s="339"/>
      <c r="H41" s="339"/>
      <c r="I41" s="339"/>
      <c r="J41" s="339"/>
      <c r="K41" s="339"/>
      <c r="L41" s="339"/>
      <c r="M41" s="339"/>
      <c r="N41" s="339"/>
      <c r="O41" s="339"/>
      <c r="P41" s="339"/>
      <c r="Q41" s="339"/>
      <c r="R41" s="339"/>
      <c r="S41" s="339"/>
      <c r="T41" s="433" t="str">
        <f>IF(AI41=0,AO41,IF(AI41=1,AK41,AT41))</f>
        <v>Trần Công Khanh</v>
      </c>
      <c r="U41" s="433"/>
      <c r="V41" s="433"/>
      <c r="W41" s="433"/>
      <c r="X41" s="433"/>
      <c r="Y41" s="433"/>
      <c r="Z41" s="433"/>
      <c r="AA41" s="433"/>
      <c r="AB41" s="433"/>
      <c r="AC41" s="433"/>
      <c r="AD41" s="433"/>
      <c r="AE41" s="433"/>
      <c r="AF41" s="315"/>
      <c r="AG41" s="315"/>
      <c r="AH41" s="315"/>
      <c r="AI41" s="315">
        <v>0</v>
      </c>
      <c r="AJ41" s="315"/>
      <c r="AK41" s="315" t="s">
        <v>191</v>
      </c>
      <c r="AL41" s="315"/>
      <c r="AM41" s="315"/>
      <c r="AN41" s="315"/>
      <c r="AO41" s="315" t="s">
        <v>192</v>
      </c>
      <c r="AP41" s="315"/>
      <c r="AQ41" s="315"/>
      <c r="AR41" s="315"/>
      <c r="AS41" s="315"/>
      <c r="AT41" s="315" t="s">
        <v>193</v>
      </c>
      <c r="AU41" s="315"/>
      <c r="AV41" s="315"/>
      <c r="AW41" s="315"/>
    </row>
    <row r="42" ht="16.5">
      <c r="B42" s="315"/>
      <c r="C42" s="342"/>
      <c r="D42" s="342"/>
      <c r="E42" s="342"/>
      <c r="F42" s="342"/>
      <c r="G42" s="342"/>
      <c r="H42" s="342"/>
      <c r="I42" s="342"/>
      <c r="J42" s="342"/>
      <c r="K42" s="342"/>
      <c r="L42" s="342"/>
      <c r="M42" s="342"/>
      <c r="N42" s="342"/>
      <c r="O42" s="342"/>
      <c r="P42" s="342"/>
      <c r="Q42" s="342"/>
      <c r="R42" s="342"/>
      <c r="S42" s="342"/>
      <c r="T42" s="342"/>
      <c r="U42" s="342"/>
      <c r="V42" s="342"/>
      <c r="W42" s="342"/>
      <c r="X42" s="342"/>
      <c r="Y42" s="342"/>
      <c r="Z42" s="342"/>
      <c r="AA42" s="342"/>
      <c r="AB42" s="371"/>
      <c r="AC42" s="371"/>
      <c r="AD42" s="371"/>
      <c r="AE42" s="338"/>
      <c r="AF42" s="315"/>
      <c r="AG42" s="315"/>
      <c r="AH42" s="315"/>
      <c r="AI42" s="315"/>
      <c r="AJ42" s="315"/>
      <c r="AK42" s="315"/>
      <c r="AL42" s="315"/>
      <c r="AM42" s="315"/>
      <c r="AN42" s="315"/>
      <c r="AO42" s="315"/>
      <c r="AP42" s="315"/>
      <c r="AQ42" s="315"/>
      <c r="AR42" s="315"/>
      <c r="AS42" s="315"/>
      <c r="AT42" s="315"/>
      <c r="AU42" s="315"/>
      <c r="AV42" s="315"/>
      <c r="AW42" s="315"/>
    </row>
    <row r="43" ht="16.5" customHeight="1">
      <c r="B43" s="475" t="s">
        <v>194</v>
      </c>
      <c r="C43" s="475"/>
      <c r="D43" s="475"/>
      <c r="E43" s="475"/>
      <c r="F43" s="475"/>
      <c r="G43" s="475"/>
      <c r="H43" s="476" t="s">
        <v>160</v>
      </c>
      <c r="I43" s="476"/>
      <c r="J43" s="476"/>
      <c r="K43" s="476"/>
      <c r="L43" s="476"/>
      <c r="M43" s="476"/>
      <c r="N43" s="476"/>
      <c r="O43" s="476"/>
      <c r="P43" s="476"/>
      <c r="Q43" s="476"/>
      <c r="R43" s="476"/>
      <c r="S43" s="476"/>
      <c r="T43" s="476"/>
      <c r="U43" s="476"/>
      <c r="V43" s="476"/>
      <c r="W43" s="476"/>
      <c r="X43" s="476"/>
      <c r="Y43" s="476"/>
      <c r="Z43" s="476"/>
      <c r="AA43" s="476"/>
      <c r="AB43" s="476"/>
      <c r="AC43" s="476"/>
      <c r="AD43" s="476"/>
      <c r="AE43" s="338"/>
      <c r="AF43" s="315"/>
      <c r="AG43" s="315"/>
      <c r="AH43" s="315"/>
      <c r="AI43" s="315"/>
      <c r="AJ43" s="315"/>
      <c r="AK43" s="315"/>
      <c r="AL43" s="315"/>
      <c r="AM43" s="315"/>
      <c r="AN43" s="315"/>
      <c r="AO43" s="315"/>
      <c r="AP43" s="315"/>
      <c r="AQ43" s="315"/>
      <c r="AR43" s="315"/>
      <c r="AS43" s="315"/>
      <c r="AT43" s="315"/>
      <c r="AU43" s="315"/>
      <c r="AV43" s="315"/>
      <c r="AW43" s="315"/>
    </row>
    <row r="44" ht="16.5" customHeight="1">
      <c r="B44" s="475"/>
      <c r="C44" s="475"/>
      <c r="D44" s="475"/>
      <c r="E44" s="475"/>
      <c r="F44" s="475"/>
      <c r="G44" s="475"/>
      <c r="H44" s="476"/>
      <c r="I44" s="476"/>
      <c r="J44" s="476"/>
      <c r="K44" s="476"/>
      <c r="L44" s="476"/>
      <c r="M44" s="476"/>
      <c r="N44" s="476"/>
      <c r="O44" s="476"/>
      <c r="P44" s="476"/>
      <c r="Q44" s="476"/>
      <c r="R44" s="476"/>
      <c r="S44" s="476"/>
      <c r="T44" s="476"/>
      <c r="U44" s="476"/>
      <c r="V44" s="476"/>
      <c r="W44" s="476"/>
      <c r="X44" s="476"/>
      <c r="Y44" s="476"/>
      <c r="Z44" s="476"/>
      <c r="AA44" s="476"/>
      <c r="AB44" s="476"/>
      <c r="AC44" s="476"/>
      <c r="AD44" s="476"/>
      <c r="AE44" s="338"/>
      <c r="AF44" s="315"/>
      <c r="AG44" s="315"/>
      <c r="AH44" s="315"/>
      <c r="AI44" s="315"/>
      <c r="AJ44" s="315"/>
      <c r="AK44" s="315"/>
      <c r="AL44" s="315"/>
      <c r="AM44" s="315"/>
      <c r="AN44" s="315"/>
      <c r="AO44" s="315"/>
      <c r="AP44" s="315"/>
      <c r="AQ44" s="315"/>
      <c r="AR44" s="315"/>
      <c r="AS44" s="315"/>
      <c r="AT44" s="315"/>
      <c r="AU44" s="315"/>
      <c r="AV44" s="315"/>
      <c r="AW44" s="315"/>
    </row>
    <row r="45" ht="16.5" customHeight="1">
      <c r="B45" s="475"/>
      <c r="C45" s="475"/>
      <c r="D45" s="475"/>
      <c r="E45" s="475"/>
      <c r="F45" s="475"/>
      <c r="G45" s="475"/>
      <c r="H45" s="430" t="s">
        <v>195</v>
      </c>
      <c r="I45" s="430"/>
      <c r="J45" s="430"/>
      <c r="K45" s="430"/>
      <c r="L45" s="430" t="s">
        <v>196</v>
      </c>
      <c r="M45" s="430"/>
      <c r="N45" s="430" t="s">
        <v>197</v>
      </c>
      <c r="O45" s="430"/>
      <c r="P45" s="430"/>
      <c r="Q45" s="430" t="s">
        <v>198</v>
      </c>
      <c r="R45" s="430"/>
      <c r="S45" s="430"/>
      <c r="T45" s="430"/>
      <c r="U45" s="430"/>
      <c r="V45" s="430" t="s">
        <v>199</v>
      </c>
      <c r="W45" s="430"/>
      <c r="X45" s="430"/>
      <c r="Y45" s="430" t="s">
        <v>200</v>
      </c>
      <c r="Z45" s="430"/>
      <c r="AA45" s="430"/>
      <c r="AB45" s="430"/>
      <c r="AC45" s="430"/>
      <c r="AD45" s="430"/>
      <c r="AE45" s="338"/>
      <c r="AF45" s="315"/>
      <c r="AG45" s="315"/>
      <c r="AH45" s="315"/>
      <c r="AI45" s="315"/>
      <c r="AJ45" s="315"/>
      <c r="AK45" s="315"/>
      <c r="AL45" s="315"/>
      <c r="AM45" s="315"/>
      <c r="AN45" s="315"/>
      <c r="AO45" s="315"/>
      <c r="AP45" s="315"/>
      <c r="AQ45" s="315"/>
      <c r="AR45" s="315"/>
      <c r="AS45" s="315"/>
      <c r="AT45" s="315"/>
      <c r="AU45" s="315"/>
      <c r="AV45" s="315"/>
      <c r="AW45" s="315"/>
    </row>
    <row r="46" ht="16.5" customHeight="1">
      <c r="B46" s="475"/>
      <c r="C46" s="475"/>
      <c r="D46" s="475"/>
      <c r="E46" s="475"/>
      <c r="F46" s="475"/>
      <c r="G46" s="475"/>
      <c r="H46" s="430"/>
      <c r="I46" s="430"/>
      <c r="J46" s="430"/>
      <c r="K46" s="430"/>
      <c r="L46" s="430"/>
      <c r="M46" s="430"/>
      <c r="N46" s="430"/>
      <c r="O46" s="430"/>
      <c r="P46" s="430"/>
      <c r="Q46" s="430"/>
      <c r="R46" s="430"/>
      <c r="S46" s="430"/>
      <c r="T46" s="430"/>
      <c r="U46" s="430"/>
      <c r="V46" s="430"/>
      <c r="W46" s="430"/>
      <c r="X46" s="430"/>
      <c r="Y46" s="430"/>
      <c r="Z46" s="430"/>
      <c r="AA46" s="430"/>
      <c r="AB46" s="430"/>
      <c r="AC46" s="430"/>
      <c r="AD46" s="430"/>
      <c r="AE46" s="338"/>
      <c r="AF46" s="315"/>
      <c r="AG46" s="315"/>
      <c r="AH46" s="315"/>
      <c r="AI46" s="315"/>
      <c r="AJ46" s="315"/>
      <c r="AK46" s="315"/>
      <c r="AL46" s="315"/>
      <c r="AM46" s="315"/>
      <c r="AN46" s="315"/>
      <c r="AO46" s="315"/>
      <c r="AP46" s="315"/>
      <c r="AQ46" s="315"/>
      <c r="AR46" s="315"/>
      <c r="AS46" s="315"/>
      <c r="AT46" s="315"/>
      <c r="AU46" s="315"/>
      <c r="AV46" s="315"/>
      <c r="AW46" s="315"/>
    </row>
    <row r="47" ht="16.5" customHeight="1">
      <c r="B47" s="475"/>
      <c r="C47" s="475"/>
      <c r="D47" s="475"/>
      <c r="E47" s="475"/>
      <c r="F47" s="475"/>
      <c r="G47" s="475"/>
      <c r="H47" s="430"/>
      <c r="I47" s="430"/>
      <c r="J47" s="430"/>
      <c r="K47" s="430"/>
      <c r="L47" s="430"/>
      <c r="M47" s="430"/>
      <c r="N47" s="430"/>
      <c r="O47" s="430"/>
      <c r="P47" s="430"/>
      <c r="Q47" s="430"/>
      <c r="R47" s="430"/>
      <c r="S47" s="430"/>
      <c r="T47" s="430"/>
      <c r="U47" s="430"/>
      <c r="V47" s="430"/>
      <c r="W47" s="430"/>
      <c r="X47" s="430"/>
      <c r="Y47" s="430"/>
      <c r="Z47" s="430"/>
      <c r="AA47" s="430"/>
      <c r="AB47" s="430"/>
      <c r="AC47" s="430"/>
      <c r="AD47" s="430"/>
      <c r="AE47" s="338"/>
      <c r="AF47" s="315"/>
      <c r="AG47" s="315"/>
      <c r="AH47" s="315"/>
      <c r="AI47" s="315"/>
      <c r="AJ47" s="315"/>
      <c r="AK47" s="315"/>
      <c r="AL47" s="315"/>
      <c r="AM47" s="315"/>
      <c r="AN47" s="315"/>
      <c r="AO47" s="315"/>
      <c r="AP47" s="315"/>
      <c r="AQ47" s="315"/>
      <c r="AR47" s="315"/>
      <c r="AS47" s="315"/>
      <c r="AT47" s="315"/>
      <c r="AU47" s="315"/>
      <c r="AV47" s="315"/>
      <c r="AW47" s="315"/>
    </row>
    <row r="48" ht="16.5" customHeight="1">
      <c r="B48" s="475"/>
      <c r="C48" s="475"/>
      <c r="D48" s="475"/>
      <c r="E48" s="475"/>
      <c r="F48" s="475"/>
      <c r="G48" s="475"/>
      <c r="H48" s="430"/>
      <c r="I48" s="430"/>
      <c r="J48" s="430"/>
      <c r="K48" s="430"/>
      <c r="L48" s="430"/>
      <c r="M48" s="430"/>
      <c r="N48" s="430"/>
      <c r="O48" s="430"/>
      <c r="P48" s="430"/>
      <c r="Q48" s="430"/>
      <c r="R48" s="430"/>
      <c r="S48" s="430"/>
      <c r="T48" s="430"/>
      <c r="U48" s="430"/>
      <c r="V48" s="430"/>
      <c r="W48" s="430"/>
      <c r="X48" s="430"/>
      <c r="Y48" s="430"/>
      <c r="Z48" s="430"/>
      <c r="AA48" s="430"/>
      <c r="AB48" s="430"/>
      <c r="AC48" s="430"/>
      <c r="AD48" s="430"/>
      <c r="AE48" s="338"/>
      <c r="AF48" s="315"/>
      <c r="AG48" s="315">
        <v>33</v>
      </c>
      <c r="AH48" s="315"/>
      <c r="AI48" s="315">
        <v>35</v>
      </c>
      <c r="AJ48" s="315"/>
      <c r="AK48" s="315"/>
      <c r="AL48" s="315">
        <v>37</v>
      </c>
      <c r="AM48" s="315"/>
      <c r="AN48" s="315"/>
      <c r="AO48" s="315">
        <v>39</v>
      </c>
      <c r="AP48" s="315">
        <v>40</v>
      </c>
      <c r="AQ48" s="315">
        <v>41</v>
      </c>
      <c r="AR48" s="315"/>
      <c r="AS48" s="315">
        <v>42</v>
      </c>
      <c r="AT48" s="315">
        <v>43</v>
      </c>
      <c r="AU48" s="315">
        <v>44</v>
      </c>
      <c r="AV48" s="315">
        <v>45</v>
      </c>
      <c r="AW48" s="315"/>
    </row>
    <row r="49" ht="18.75" customHeight="1">
      <c r="B49" s="430" t="str">
        <f>AG49</f>
        <v>CÔNG TY CỔ PHẦN VIỄN THÔNG DI ĐỘNG TOÀN CẦU</v>
      </c>
      <c r="C49" s="430"/>
      <c r="D49" s="430"/>
      <c r="E49" s="430"/>
      <c r="F49" s="430"/>
      <c r="G49" s="430"/>
      <c r="H49" s="431" t="str">
        <f>AI49</f>
        <v>TB1</v>
      </c>
      <c r="I49" s="431"/>
      <c r="J49" s="431"/>
      <c r="K49" s="431"/>
      <c r="L49" s="432">
        <v>3</v>
      </c>
      <c r="M49" s="432"/>
      <c r="N49" s="474" t="str">
        <f>AL49</f>
        <v>4/4/4</v>
      </c>
      <c r="O49" s="474"/>
      <c r="P49" s="474"/>
      <c r="Q49" s="430" t="str">
        <f>IF(L49=3,AO49&amp;"W/ "&amp;AP49&amp;"W/ "&amp;AQ49&amp;"W",IF(L49=2,AO49&amp;"W/ "&amp;AP49&amp;"W",AO49&amp;"W"))</f>
        <v>20W/ 30W/ 40W</v>
      </c>
      <c r="R49" s="430"/>
      <c r="S49" s="430"/>
      <c r="T49" s="430"/>
      <c r="U49" s="430"/>
      <c r="V49" s="430" t="str">
        <f>IF(AS49="900 &amp; 1800","900MHz &amp; 1800MHz",IF(AS49="900 &amp; 2100","900MHz &amp; 2100MHz",IF(AS49="1800 &amp; 2100","1800MHz &amp; 2100MHz",AS49&amp;"MHz")))</f>
        <v>900MHz</v>
      </c>
      <c r="W49" s="430"/>
      <c r="X49" s="430"/>
      <c r="Y49" s="430">
        <f>AT49</f>
        <v>15</v>
      </c>
      <c r="Z49" s="430"/>
      <c r="AA49" s="430"/>
      <c r="AB49" s="430"/>
      <c r="AC49" s="430"/>
      <c r="AD49" s="430"/>
      <c r="AE49" s="338"/>
      <c r="AF49" s="315"/>
      <c r="AG49" s="351" t="s">
        <v>158</v>
      </c>
      <c r="AH49" s="315"/>
      <c r="AI49" s="351" t="s">
        <v>201</v>
      </c>
      <c r="AJ49" s="351"/>
      <c r="AK49" s="315"/>
      <c r="AL49" s="361" t="s">
        <v>168</v>
      </c>
      <c r="AM49" s="315"/>
      <c r="AN49" s="315"/>
      <c r="AO49" s="315">
        <v>20</v>
      </c>
      <c r="AP49" s="315">
        <v>30</v>
      </c>
      <c r="AQ49" s="315">
        <v>40</v>
      </c>
      <c r="AR49" s="315"/>
      <c r="AS49" s="315">
        <v>900</v>
      </c>
      <c r="AT49" s="315">
        <v>15</v>
      </c>
      <c r="AU49" s="315">
        <v>16</v>
      </c>
      <c r="AV49" s="315">
        <v>17</v>
      </c>
      <c r="AW49" s="315"/>
    </row>
    <row r="50" ht="18.75" customHeight="1">
      <c r="B50" s="430"/>
      <c r="C50" s="430"/>
      <c r="D50" s="430"/>
      <c r="E50" s="430"/>
      <c r="F50" s="430"/>
      <c r="G50" s="430"/>
      <c r="H50" s="431"/>
      <c r="I50" s="431"/>
      <c r="J50" s="431"/>
      <c r="K50" s="431"/>
      <c r="L50" s="432"/>
      <c r="M50" s="432"/>
      <c r="N50" s="474"/>
      <c r="O50" s="474"/>
      <c r="P50" s="474"/>
      <c r="Q50" s="430"/>
      <c r="R50" s="430"/>
      <c r="S50" s="430"/>
      <c r="T50" s="430"/>
      <c r="U50" s="430"/>
      <c r="V50" s="430"/>
      <c r="W50" s="430"/>
      <c r="X50" s="430"/>
      <c r="Y50" s="430"/>
      <c r="Z50" s="430"/>
      <c r="AA50" s="430"/>
      <c r="AB50" s="430"/>
      <c r="AC50" s="430"/>
      <c r="AD50" s="430"/>
      <c r="AE50" s="338"/>
      <c r="AF50" s="315"/>
      <c r="AG50" s="315"/>
      <c r="AH50" s="315"/>
      <c r="AI50" s="315"/>
      <c r="AJ50" s="315"/>
      <c r="AK50" s="315"/>
      <c r="AL50" s="315"/>
      <c r="AM50" s="315"/>
      <c r="AN50" s="315"/>
      <c r="AO50" s="315"/>
      <c r="AP50" s="315"/>
      <c r="AQ50" s="315"/>
      <c r="AR50" s="315"/>
      <c r="AS50" s="315"/>
      <c r="AT50" s="315"/>
      <c r="AU50" s="315"/>
      <c r="AV50" s="315"/>
      <c r="AW50" s="315"/>
    </row>
    <row r="51" ht="18.75" customHeight="1">
      <c r="B51" s="430"/>
      <c r="C51" s="430"/>
      <c r="D51" s="430"/>
      <c r="E51" s="430"/>
      <c r="F51" s="430"/>
      <c r="G51" s="430"/>
      <c r="H51" s="431"/>
      <c r="I51" s="431"/>
      <c r="J51" s="431"/>
      <c r="K51" s="431"/>
      <c r="L51" s="432"/>
      <c r="M51" s="432"/>
      <c r="N51" s="474"/>
      <c r="O51" s="474"/>
      <c r="P51" s="474"/>
      <c r="Q51" s="430"/>
      <c r="R51" s="430"/>
      <c r="S51" s="430"/>
      <c r="T51" s="430"/>
      <c r="U51" s="430"/>
      <c r="V51" s="430"/>
      <c r="W51" s="430"/>
      <c r="X51" s="430"/>
      <c r="Y51" s="430"/>
      <c r="Z51" s="430"/>
      <c r="AA51" s="430"/>
      <c r="AB51" s="430"/>
      <c r="AC51" s="430"/>
      <c r="AD51" s="430"/>
      <c r="AE51" s="338"/>
      <c r="AF51" s="315"/>
      <c r="AG51" s="315"/>
      <c r="AH51" s="315"/>
      <c r="AI51" s="315"/>
      <c r="AJ51" s="315"/>
      <c r="AK51" s="315"/>
      <c r="AL51" s="315"/>
      <c r="AM51" s="315"/>
      <c r="AN51" s="315"/>
      <c r="AO51" s="315"/>
      <c r="AP51" s="315"/>
      <c r="AQ51" s="315"/>
      <c r="AR51" s="315"/>
      <c r="AS51" s="315"/>
      <c r="AT51" s="315"/>
      <c r="AU51" s="315"/>
      <c r="AV51" s="315"/>
      <c r="AW51" s="315"/>
    </row>
    <row r="52" ht="18.75" customHeight="1">
      <c r="B52" s="430"/>
      <c r="C52" s="430"/>
      <c r="D52" s="430"/>
      <c r="E52" s="430"/>
      <c r="F52" s="430"/>
      <c r="G52" s="430"/>
      <c r="H52" s="431"/>
      <c r="I52" s="431"/>
      <c r="J52" s="431"/>
      <c r="K52" s="431"/>
      <c r="L52" s="432"/>
      <c r="M52" s="432"/>
      <c r="N52" s="474"/>
      <c r="O52" s="474"/>
      <c r="P52" s="474"/>
      <c r="Q52" s="430"/>
      <c r="R52" s="430"/>
      <c r="S52" s="430"/>
      <c r="T52" s="430"/>
      <c r="U52" s="430"/>
      <c r="V52" s="430"/>
      <c r="W52" s="430"/>
      <c r="X52" s="430"/>
      <c r="Y52" s="430"/>
      <c r="Z52" s="430"/>
      <c r="AA52" s="430"/>
      <c r="AB52" s="430"/>
      <c r="AC52" s="430"/>
      <c r="AD52" s="430"/>
      <c r="AE52" s="338"/>
      <c r="AF52" s="315"/>
      <c r="AG52" s="315"/>
      <c r="AH52" s="315"/>
      <c r="AI52" s="315"/>
      <c r="AJ52" s="315"/>
      <c r="AK52" s="315"/>
      <c r="AL52" s="315"/>
      <c r="AM52" s="315"/>
      <c r="AN52" s="315"/>
      <c r="AO52" s="315"/>
      <c r="AP52" s="315"/>
      <c r="AQ52" s="315"/>
      <c r="AR52" s="315"/>
      <c r="AS52" s="315"/>
      <c r="AT52" s="315"/>
      <c r="AU52" s="315"/>
      <c r="AV52" s="315"/>
      <c r="AW52" s="315"/>
    </row>
    <row r="53" ht="18.75" customHeight="1">
      <c r="B53" s="430" t="str">
        <f>AG53</f>
        <v>CÔNG TY CỔ PHẦN VIỄN THÔNG DI ĐỘNG TOÀN CẦU</v>
      </c>
      <c r="C53" s="430"/>
      <c r="D53" s="430"/>
      <c r="E53" s="430"/>
      <c r="F53" s="430"/>
      <c r="G53" s="430"/>
      <c r="H53" s="431" t="str">
        <f>AI53</f>
        <v>TB1</v>
      </c>
      <c r="I53" s="431"/>
      <c r="J53" s="431"/>
      <c r="K53" s="431"/>
      <c r="L53" s="432">
        <v>2</v>
      </c>
      <c r="M53" s="432"/>
      <c r="N53" s="474" t="str">
        <f>AL53</f>
        <v>4/4/4</v>
      </c>
      <c r="O53" s="474"/>
      <c r="P53" s="474"/>
      <c r="Q53" s="430" t="str">
        <f>IF(L53=3,AO53&amp;"W/ "&amp;AP53&amp;"W/ "&amp;AQ53&amp;"W",IF(L53=2,AO53&amp;"W/ "&amp;AP53&amp;"W",AO53&amp;"W"))</f>
        <v>20W/ 30W</v>
      </c>
      <c r="R53" s="430"/>
      <c r="S53" s="430"/>
      <c r="T53" s="430"/>
      <c r="U53" s="430"/>
      <c r="V53" s="430" t="str">
        <f>IF(AS53="900 &amp; 1800","900MHz &amp; 1800MHz",IF(AS53="900 &amp; 2100","900MHz &amp; 2100MHz",IF(AS53="1800 &amp; 2100","1800MHz &amp; 2100MHz",AS53&amp;"MHz")))</f>
        <v>1800MHz</v>
      </c>
      <c r="W53" s="430"/>
      <c r="X53" s="430"/>
      <c r="Y53" s="430">
        <f>AT53</f>
        <v>15</v>
      </c>
      <c r="Z53" s="430"/>
      <c r="AA53" s="430"/>
      <c r="AB53" s="430"/>
      <c r="AC53" s="430"/>
      <c r="AD53" s="430"/>
      <c r="AE53" s="338"/>
      <c r="AF53" s="315"/>
      <c r="AG53" s="351" t="s">
        <v>158</v>
      </c>
      <c r="AH53" s="315"/>
      <c r="AI53" s="351" t="s">
        <v>201</v>
      </c>
      <c r="AJ53" s="351"/>
      <c r="AK53" s="315"/>
      <c r="AL53" s="361" t="s">
        <v>168</v>
      </c>
      <c r="AM53" s="315"/>
      <c r="AN53" s="315"/>
      <c r="AO53" s="315">
        <v>20</v>
      </c>
      <c r="AP53" s="315">
        <v>30</v>
      </c>
      <c r="AQ53" s="315">
        <v>40</v>
      </c>
      <c r="AR53" s="315"/>
      <c r="AS53" s="315">
        <v>1800</v>
      </c>
      <c r="AT53" s="315">
        <v>15</v>
      </c>
      <c r="AU53" s="315">
        <v>16</v>
      </c>
      <c r="AV53" s="315">
        <v>17</v>
      </c>
      <c r="AW53" s="315"/>
    </row>
    <row r="54" ht="18.75" customHeight="1">
      <c r="B54" s="430"/>
      <c r="C54" s="430"/>
      <c r="D54" s="430"/>
      <c r="E54" s="430"/>
      <c r="F54" s="430"/>
      <c r="G54" s="430"/>
      <c r="H54" s="431"/>
      <c r="I54" s="431"/>
      <c r="J54" s="431"/>
      <c r="K54" s="431"/>
      <c r="L54" s="432"/>
      <c r="M54" s="432"/>
      <c r="N54" s="474"/>
      <c r="O54" s="474"/>
      <c r="P54" s="474"/>
      <c r="Q54" s="430"/>
      <c r="R54" s="430"/>
      <c r="S54" s="430"/>
      <c r="T54" s="430"/>
      <c r="U54" s="430"/>
      <c r="V54" s="430"/>
      <c r="W54" s="430"/>
      <c r="X54" s="430"/>
      <c r="Y54" s="430"/>
      <c r="Z54" s="430"/>
      <c r="AA54" s="430"/>
      <c r="AB54" s="430"/>
      <c r="AC54" s="430"/>
      <c r="AD54" s="430"/>
      <c r="AE54" s="338"/>
      <c r="AF54" s="315"/>
      <c r="AG54" s="351"/>
      <c r="AH54" s="315"/>
      <c r="AI54" s="351"/>
      <c r="AJ54" s="351"/>
      <c r="AK54" s="315"/>
      <c r="AL54" s="361"/>
      <c r="AM54" s="315"/>
      <c r="AN54" s="315"/>
      <c r="AO54" s="315"/>
      <c r="AP54" s="315"/>
      <c r="AQ54" s="315"/>
      <c r="AR54" s="315"/>
      <c r="AS54" s="315"/>
      <c r="AT54" s="315"/>
      <c r="AU54" s="315"/>
      <c r="AV54" s="315"/>
      <c r="AW54" s="315"/>
    </row>
    <row r="55" ht="18.75" customHeight="1">
      <c r="B55" s="430"/>
      <c r="C55" s="430"/>
      <c r="D55" s="430"/>
      <c r="E55" s="430"/>
      <c r="F55" s="430"/>
      <c r="G55" s="430"/>
      <c r="H55" s="431"/>
      <c r="I55" s="431"/>
      <c r="J55" s="431"/>
      <c r="K55" s="431"/>
      <c r="L55" s="432"/>
      <c r="M55" s="432"/>
      <c r="N55" s="474"/>
      <c r="O55" s="474"/>
      <c r="P55" s="474"/>
      <c r="Q55" s="430"/>
      <c r="R55" s="430"/>
      <c r="S55" s="430"/>
      <c r="T55" s="430"/>
      <c r="U55" s="430"/>
      <c r="V55" s="430"/>
      <c r="W55" s="430"/>
      <c r="X55" s="430"/>
      <c r="Y55" s="430"/>
      <c r="Z55" s="430"/>
      <c r="AA55" s="430"/>
      <c r="AB55" s="430"/>
      <c r="AC55" s="430"/>
      <c r="AD55" s="430"/>
      <c r="AE55" s="338"/>
      <c r="AF55" s="315"/>
      <c r="AG55" s="315"/>
      <c r="AH55" s="315"/>
      <c r="AI55" s="315"/>
      <c r="AJ55" s="315"/>
      <c r="AK55" s="315"/>
      <c r="AL55" s="315"/>
      <c r="AM55" s="315"/>
      <c r="AN55" s="315"/>
      <c r="AO55" s="315"/>
      <c r="AP55" s="315"/>
      <c r="AQ55" s="315"/>
      <c r="AR55" s="315"/>
      <c r="AS55" s="315"/>
      <c r="AT55" s="315"/>
      <c r="AU55" s="315"/>
      <c r="AV55" s="315"/>
      <c r="AW55" s="315"/>
    </row>
    <row r="56" ht="18.75" customHeight="1">
      <c r="B56" s="430"/>
      <c r="C56" s="430"/>
      <c r="D56" s="430"/>
      <c r="E56" s="430"/>
      <c r="F56" s="430"/>
      <c r="G56" s="430"/>
      <c r="H56" s="431"/>
      <c r="I56" s="431"/>
      <c r="J56" s="431"/>
      <c r="K56" s="431"/>
      <c r="L56" s="432"/>
      <c r="M56" s="432"/>
      <c r="N56" s="474"/>
      <c r="O56" s="474"/>
      <c r="P56" s="474"/>
      <c r="Q56" s="430"/>
      <c r="R56" s="430"/>
      <c r="S56" s="430"/>
      <c r="T56" s="430"/>
      <c r="U56" s="430"/>
      <c r="V56" s="430"/>
      <c r="W56" s="430"/>
      <c r="X56" s="430"/>
      <c r="Y56" s="430"/>
      <c r="Z56" s="430"/>
      <c r="AA56" s="430"/>
      <c r="AB56" s="430"/>
      <c r="AC56" s="430"/>
      <c r="AD56" s="430"/>
      <c r="AE56" s="338"/>
      <c r="AF56" s="315"/>
      <c r="AG56" s="315"/>
      <c r="AH56" s="315"/>
      <c r="AI56" s="315"/>
      <c r="AJ56" s="315"/>
      <c r="AK56" s="315"/>
      <c r="AL56" s="315"/>
      <c r="AM56" s="315"/>
      <c r="AN56" s="315"/>
      <c r="AO56" s="315"/>
      <c r="AP56" s="315"/>
      <c r="AQ56" s="315"/>
      <c r="AR56" s="315"/>
      <c r="AS56" s="315"/>
      <c r="AT56" s="315"/>
      <c r="AU56" s="315"/>
      <c r="AV56" s="315"/>
      <c r="AW56" s="315"/>
    </row>
    <row r="57" ht="18.75" customHeight="1">
      <c r="B57" s="430" t="str">
        <f>AG57</f>
        <v>CÔNG TY CỔ PHẦN VIỄN THÔNG DI ĐỘNG TOÀN CẦU</v>
      </c>
      <c r="C57" s="430"/>
      <c r="D57" s="430"/>
      <c r="E57" s="430"/>
      <c r="F57" s="430"/>
      <c r="G57" s="430"/>
      <c r="H57" s="431" t="str">
        <f>AI57</f>
        <v>TB1</v>
      </c>
      <c r="I57" s="431"/>
      <c r="J57" s="431"/>
      <c r="K57" s="431"/>
      <c r="L57" s="432">
        <v>2</v>
      </c>
      <c r="M57" s="432"/>
      <c r="N57" s="474" t="str">
        <f>AL57</f>
        <v>4/4/4</v>
      </c>
      <c r="O57" s="474"/>
      <c r="P57" s="474"/>
      <c r="Q57" s="430" t="str">
        <f>IF(L57=3,AO57&amp;"W/ "&amp;AP57&amp;"W/ "&amp;AQ57&amp;"W",IF(L57=2,AO57&amp;"W/ "&amp;AP57&amp;"W",AO57&amp;"W"))</f>
        <v>20W/ 30W</v>
      </c>
      <c r="R57" s="430"/>
      <c r="S57" s="430"/>
      <c r="T57" s="430"/>
      <c r="U57" s="430"/>
      <c r="V57" s="430" t="str">
        <f>IF(AS57="900 &amp; 1800","900MHz &amp; 1800MHz",IF(AS57="900 &amp; 2100","900MHz &amp; 2100MHz",IF(AS57="1800 &amp; 2100","1800MHz &amp; 2100MHz",AS57&amp;"MHz")))</f>
        <v>9000 &amp; 1800MHz</v>
      </c>
      <c r="W57" s="430"/>
      <c r="X57" s="430"/>
      <c r="Y57" s="430">
        <f>AT57</f>
        <v>15</v>
      </c>
      <c r="Z57" s="430"/>
      <c r="AA57" s="430"/>
      <c r="AB57" s="430"/>
      <c r="AC57" s="430"/>
      <c r="AD57" s="430"/>
      <c r="AE57" s="338"/>
      <c r="AF57" s="315"/>
      <c r="AG57" s="351" t="s">
        <v>158</v>
      </c>
      <c r="AH57" s="315"/>
      <c r="AI57" s="351" t="s">
        <v>201</v>
      </c>
      <c r="AJ57" s="351"/>
      <c r="AK57" s="315"/>
      <c r="AL57" s="361" t="s">
        <v>168</v>
      </c>
      <c r="AM57" s="315"/>
      <c r="AN57" s="315"/>
      <c r="AO57" s="315">
        <v>20</v>
      </c>
      <c r="AP57" s="315">
        <v>30</v>
      </c>
      <c r="AQ57" s="315">
        <v>40</v>
      </c>
      <c r="AR57" s="315"/>
      <c r="AS57" s="315" t="s">
        <v>202</v>
      </c>
      <c r="AT57" s="315">
        <v>15</v>
      </c>
      <c r="AU57" s="315">
        <v>16</v>
      </c>
      <c r="AV57" s="315">
        <v>17</v>
      </c>
      <c r="AW57" s="315"/>
    </row>
    <row r="58" ht="18.75" customHeight="1">
      <c r="B58" s="430"/>
      <c r="C58" s="430"/>
      <c r="D58" s="430"/>
      <c r="E58" s="430"/>
      <c r="F58" s="430"/>
      <c r="G58" s="430"/>
      <c r="H58" s="431"/>
      <c r="I58" s="431"/>
      <c r="J58" s="431"/>
      <c r="K58" s="431"/>
      <c r="L58" s="432"/>
      <c r="M58" s="432"/>
      <c r="N58" s="474"/>
      <c r="O58" s="474"/>
      <c r="P58" s="474"/>
      <c r="Q58" s="430"/>
      <c r="R58" s="430"/>
      <c r="S58" s="430"/>
      <c r="T58" s="430"/>
      <c r="U58" s="430"/>
      <c r="V58" s="430"/>
      <c r="W58" s="430"/>
      <c r="X58" s="430"/>
      <c r="Y58" s="430"/>
      <c r="Z58" s="430"/>
      <c r="AA58" s="430"/>
      <c r="AB58" s="430"/>
      <c r="AC58" s="430"/>
      <c r="AD58" s="430"/>
      <c r="AE58" s="338"/>
      <c r="AF58" s="315"/>
      <c r="AG58" s="351"/>
      <c r="AH58" s="315"/>
      <c r="AI58" s="351"/>
      <c r="AJ58" s="351"/>
      <c r="AK58" s="315"/>
      <c r="AL58" s="361"/>
      <c r="AM58" s="315"/>
      <c r="AN58" s="315"/>
      <c r="AO58" s="315"/>
      <c r="AP58" s="315"/>
      <c r="AQ58" s="315"/>
      <c r="AR58" s="315"/>
      <c r="AS58" s="315"/>
      <c r="AT58" s="315"/>
      <c r="AU58" s="315"/>
      <c r="AV58" s="315"/>
      <c r="AW58" s="315"/>
    </row>
    <row r="59" ht="18.75" customHeight="1">
      <c r="B59" s="430"/>
      <c r="C59" s="430"/>
      <c r="D59" s="430"/>
      <c r="E59" s="430"/>
      <c r="F59" s="430"/>
      <c r="G59" s="430"/>
      <c r="H59" s="431"/>
      <c r="I59" s="431"/>
      <c r="J59" s="431"/>
      <c r="K59" s="431"/>
      <c r="L59" s="432"/>
      <c r="M59" s="432"/>
      <c r="N59" s="474"/>
      <c r="O59" s="474"/>
      <c r="P59" s="474"/>
      <c r="Q59" s="430"/>
      <c r="R59" s="430"/>
      <c r="S59" s="430"/>
      <c r="T59" s="430"/>
      <c r="U59" s="430"/>
      <c r="V59" s="430"/>
      <c r="W59" s="430"/>
      <c r="X59" s="430"/>
      <c r="Y59" s="430"/>
      <c r="Z59" s="430"/>
      <c r="AA59" s="430"/>
      <c r="AB59" s="430"/>
      <c r="AC59" s="430"/>
      <c r="AD59" s="430"/>
      <c r="AE59" s="338"/>
      <c r="AF59" s="315"/>
      <c r="AG59" s="315"/>
      <c r="AH59" s="315"/>
      <c r="AI59" s="315"/>
      <c r="AJ59" s="315"/>
      <c r="AK59" s="315"/>
      <c r="AL59" s="315"/>
      <c r="AM59" s="315"/>
      <c r="AN59" s="315"/>
      <c r="AO59" s="315"/>
      <c r="AP59" s="315"/>
      <c r="AQ59" s="315"/>
      <c r="AR59" s="315"/>
      <c r="AS59" s="315"/>
      <c r="AT59" s="315"/>
      <c r="AU59" s="315"/>
      <c r="AV59" s="315"/>
      <c r="AW59" s="315"/>
    </row>
    <row r="60" ht="18.75" customHeight="1">
      <c r="B60" s="430"/>
      <c r="C60" s="430"/>
      <c r="D60" s="430"/>
      <c r="E60" s="430"/>
      <c r="F60" s="430"/>
      <c r="G60" s="430"/>
      <c r="H60" s="431"/>
      <c r="I60" s="431"/>
      <c r="J60" s="431"/>
      <c r="K60" s="431"/>
      <c r="L60" s="432"/>
      <c r="M60" s="432"/>
      <c r="N60" s="474"/>
      <c r="O60" s="474"/>
      <c r="P60" s="474"/>
      <c r="Q60" s="430"/>
      <c r="R60" s="430"/>
      <c r="S60" s="430"/>
      <c r="T60" s="430"/>
      <c r="U60" s="430"/>
      <c r="V60" s="430"/>
      <c r="W60" s="430"/>
      <c r="X60" s="430"/>
      <c r="Y60" s="430"/>
      <c r="Z60" s="430"/>
      <c r="AA60" s="430"/>
      <c r="AB60" s="430"/>
      <c r="AC60" s="430"/>
      <c r="AD60" s="430"/>
      <c r="AE60" s="338"/>
      <c r="AF60" s="315"/>
      <c r="AG60" s="315"/>
      <c r="AH60" s="315"/>
      <c r="AI60" s="315"/>
      <c r="AJ60" s="315"/>
      <c r="AK60" s="315"/>
      <c r="AL60" s="315"/>
      <c r="AM60" s="315"/>
      <c r="AN60" s="315"/>
      <c r="AO60" s="315"/>
      <c r="AP60" s="315"/>
      <c r="AQ60" s="315"/>
      <c r="AR60" s="315"/>
      <c r="AS60" s="315"/>
      <c r="AT60" s="315"/>
      <c r="AU60" s="315"/>
      <c r="AV60" s="315"/>
      <c r="AW60" s="315"/>
    </row>
    <row r="61" ht="18.75" customHeight="1">
      <c r="B61" s="430" t="str">
        <f>AG61</f>
        <v>CÔNG TY CỔ PHẦN VIỄN THÔNG DI ĐỘNG TOÀN CẦU</v>
      </c>
      <c r="C61" s="430"/>
      <c r="D61" s="430"/>
      <c r="E61" s="430"/>
      <c r="F61" s="430"/>
      <c r="G61" s="430"/>
      <c r="H61" s="431" t="str">
        <f>AI61</f>
        <v>TB1</v>
      </c>
      <c r="I61" s="431"/>
      <c r="J61" s="431"/>
      <c r="K61" s="431"/>
      <c r="L61" s="432">
        <v>3</v>
      </c>
      <c r="M61" s="432"/>
      <c r="N61" s="474" t="str">
        <f>AL61</f>
        <v>4/4/4</v>
      </c>
      <c r="O61" s="474"/>
      <c r="P61" s="474"/>
      <c r="Q61" s="430" t="str">
        <f>IF(L61=3,AO61&amp;"W/ "&amp;AP61&amp;"W/ "&amp;AQ61&amp;"W",IF(L61=2,AO61&amp;"W/ "&amp;AP61&amp;"W",AO61&amp;"W"))</f>
        <v>20W/ 30W/ 40W</v>
      </c>
      <c r="R61" s="430"/>
      <c r="S61" s="430"/>
      <c r="T61" s="430"/>
      <c r="U61" s="430"/>
      <c r="V61" s="430" t="str">
        <f>IF(AS61="900 &amp; 1800","900MHz &amp; 1800MHz",IF(AS61="900 &amp; 2100","900MHz &amp; 2100MHz",IF(AS61="1800 &amp; 2100","1800MHz &amp; 2100MHz",AS61&amp;"MHz")))</f>
        <v>9000 &amp; 2100MHz</v>
      </c>
      <c r="W61" s="430"/>
      <c r="X61" s="430"/>
      <c r="Y61" s="430">
        <f>AT61</f>
        <v>15</v>
      </c>
      <c r="Z61" s="430"/>
      <c r="AA61" s="430"/>
      <c r="AB61" s="430"/>
      <c r="AC61" s="430"/>
      <c r="AD61" s="430"/>
      <c r="AE61" s="338"/>
      <c r="AF61" s="315"/>
      <c r="AG61" s="351" t="s">
        <v>158</v>
      </c>
      <c r="AH61" s="315"/>
      <c r="AI61" s="351" t="s">
        <v>201</v>
      </c>
      <c r="AJ61" s="351"/>
      <c r="AK61" s="315"/>
      <c r="AL61" s="361" t="s">
        <v>168</v>
      </c>
      <c r="AM61" s="315"/>
      <c r="AN61" s="315"/>
      <c r="AO61" s="315">
        <v>20</v>
      </c>
      <c r="AP61" s="315">
        <v>30</v>
      </c>
      <c r="AQ61" s="315">
        <v>40</v>
      </c>
      <c r="AR61" s="315"/>
      <c r="AS61" s="315" t="s">
        <v>203</v>
      </c>
      <c r="AT61" s="315">
        <v>15</v>
      </c>
      <c r="AU61" s="315">
        <v>16</v>
      </c>
      <c r="AV61" s="315">
        <v>17</v>
      </c>
      <c r="AW61" s="315"/>
    </row>
    <row r="62" ht="18.75" customHeight="1">
      <c r="B62" s="430"/>
      <c r="C62" s="430"/>
      <c r="D62" s="430"/>
      <c r="E62" s="430"/>
      <c r="F62" s="430"/>
      <c r="G62" s="430"/>
      <c r="H62" s="431"/>
      <c r="I62" s="431"/>
      <c r="J62" s="431"/>
      <c r="K62" s="431"/>
      <c r="L62" s="432"/>
      <c r="M62" s="432"/>
      <c r="N62" s="474"/>
      <c r="O62" s="474"/>
      <c r="P62" s="474"/>
      <c r="Q62" s="430"/>
      <c r="R62" s="430"/>
      <c r="S62" s="430"/>
      <c r="T62" s="430"/>
      <c r="U62" s="430"/>
      <c r="V62" s="430"/>
      <c r="W62" s="430"/>
      <c r="X62" s="430"/>
      <c r="Y62" s="430"/>
      <c r="Z62" s="430"/>
      <c r="AA62" s="430"/>
      <c r="AB62" s="430"/>
      <c r="AC62" s="430"/>
      <c r="AD62" s="430"/>
      <c r="AE62" s="338"/>
      <c r="AF62" s="315"/>
      <c r="AG62" s="351"/>
      <c r="AH62" s="315"/>
      <c r="AI62" s="351"/>
      <c r="AJ62" s="351"/>
      <c r="AK62" s="315"/>
      <c r="AL62" s="361"/>
      <c r="AM62" s="315"/>
      <c r="AN62" s="315"/>
      <c r="AO62" s="315"/>
      <c r="AP62" s="315"/>
      <c r="AQ62" s="315"/>
      <c r="AR62" s="315"/>
      <c r="AS62" s="315"/>
      <c r="AT62" s="315"/>
      <c r="AU62" s="315"/>
      <c r="AV62" s="315"/>
      <c r="AW62" s="315"/>
    </row>
    <row r="63" ht="18.75" customHeight="1">
      <c r="B63" s="430"/>
      <c r="C63" s="430"/>
      <c r="D63" s="430"/>
      <c r="E63" s="430"/>
      <c r="F63" s="430"/>
      <c r="G63" s="430"/>
      <c r="H63" s="431"/>
      <c r="I63" s="431"/>
      <c r="J63" s="431"/>
      <c r="K63" s="431"/>
      <c r="L63" s="432"/>
      <c r="M63" s="432"/>
      <c r="N63" s="474"/>
      <c r="O63" s="474"/>
      <c r="P63" s="474"/>
      <c r="Q63" s="430"/>
      <c r="R63" s="430"/>
      <c r="S63" s="430"/>
      <c r="T63" s="430"/>
      <c r="U63" s="430"/>
      <c r="V63" s="430"/>
      <c r="W63" s="430"/>
      <c r="X63" s="430"/>
      <c r="Y63" s="430"/>
      <c r="Z63" s="430"/>
      <c r="AA63" s="430"/>
      <c r="AB63" s="430"/>
      <c r="AC63" s="430"/>
      <c r="AD63" s="430"/>
      <c r="AE63" s="338"/>
      <c r="AF63" s="315"/>
      <c r="AG63" s="315"/>
      <c r="AH63" s="315"/>
      <c r="AI63" s="315"/>
      <c r="AJ63" s="315"/>
      <c r="AK63" s="315"/>
      <c r="AL63" s="315"/>
      <c r="AM63" s="315"/>
      <c r="AN63" s="315"/>
      <c r="AO63" s="315"/>
      <c r="AP63" s="315"/>
      <c r="AQ63" s="315"/>
      <c r="AR63" s="315"/>
      <c r="AS63" s="315"/>
      <c r="AT63" s="315"/>
      <c r="AU63" s="315"/>
      <c r="AV63" s="315"/>
      <c r="AW63" s="315"/>
    </row>
    <row r="64" ht="18.75" customHeight="1">
      <c r="B64" s="430"/>
      <c r="C64" s="430"/>
      <c r="D64" s="430"/>
      <c r="E64" s="430"/>
      <c r="F64" s="430"/>
      <c r="G64" s="430"/>
      <c r="H64" s="431"/>
      <c r="I64" s="431"/>
      <c r="J64" s="431"/>
      <c r="K64" s="431"/>
      <c r="L64" s="432"/>
      <c r="M64" s="432"/>
      <c r="N64" s="474"/>
      <c r="O64" s="474"/>
      <c r="P64" s="474"/>
      <c r="Q64" s="430"/>
      <c r="R64" s="430"/>
      <c r="S64" s="430"/>
      <c r="T64" s="430"/>
      <c r="U64" s="430"/>
      <c r="V64" s="430"/>
      <c r="W64" s="430"/>
      <c r="X64" s="430"/>
      <c r="Y64" s="430"/>
      <c r="Z64" s="430"/>
      <c r="AA64" s="430"/>
      <c r="AB64" s="430"/>
      <c r="AC64" s="430"/>
      <c r="AD64" s="430"/>
      <c r="AE64" s="338"/>
      <c r="AF64" s="315"/>
      <c r="AG64" s="315"/>
      <c r="AH64" s="315"/>
      <c r="AI64" s="315"/>
      <c r="AJ64" s="315"/>
      <c r="AK64" s="315"/>
      <c r="AL64" s="315"/>
      <c r="AM64" s="315"/>
      <c r="AN64" s="315"/>
      <c r="AO64" s="315"/>
      <c r="AP64" s="315"/>
      <c r="AQ64" s="315"/>
      <c r="AR64" s="315"/>
      <c r="AS64" s="315"/>
      <c r="AT64" s="315"/>
      <c r="AU64" s="315"/>
      <c r="AV64" s="315"/>
      <c r="AW64" s="315"/>
    </row>
    <row r="65" ht="18.75" customHeight="1">
      <c r="B65" s="430" t="str">
        <f>AG65</f>
        <v>CÔNG TY CỔ PHẦN VIỄN THÔNG DI ĐỘNG TOÀN CẦU</v>
      </c>
      <c r="C65" s="430"/>
      <c r="D65" s="430"/>
      <c r="E65" s="430"/>
      <c r="F65" s="430"/>
      <c r="G65" s="430"/>
      <c r="H65" s="431" t="str">
        <f>AI65</f>
        <v>TB1</v>
      </c>
      <c r="I65" s="431"/>
      <c r="J65" s="431"/>
      <c r="K65" s="431"/>
      <c r="L65" s="432">
        <v>1</v>
      </c>
      <c r="M65" s="432"/>
      <c r="N65" s="474" t="str">
        <f>AL65</f>
        <v>4/4/4</v>
      </c>
      <c r="O65" s="474"/>
      <c r="P65" s="474"/>
      <c r="Q65" s="430" t="str">
        <f>IF(L65=3,AO65&amp;"W/ "&amp;AP65&amp;"W/ "&amp;AQ65&amp;"W",IF(L65=2,AO65&amp;"W/ "&amp;AP65&amp;"W",AO65&amp;"W"))</f>
        <v>20W</v>
      </c>
      <c r="R65" s="430"/>
      <c r="S65" s="430"/>
      <c r="T65" s="430"/>
      <c r="U65" s="430"/>
      <c r="V65" s="430" t="str">
        <f>IF(AS65="900 &amp; 1800","900MHz &amp; 1800MHz",IF(AS65="900 &amp; 2100","900MHz &amp; 2100MHz",IF(AS65="1800 &amp; 2100","1800MHz &amp; 2100MHz",AS65&amp;"MHz")))</f>
        <v>1800MHz &amp; 2100MHz</v>
      </c>
      <c r="W65" s="430"/>
      <c r="X65" s="430"/>
      <c r="Y65" s="430">
        <f>AT65</f>
        <v>15</v>
      </c>
      <c r="Z65" s="430"/>
      <c r="AA65" s="430"/>
      <c r="AB65" s="430"/>
      <c r="AC65" s="430"/>
      <c r="AD65" s="430"/>
      <c r="AE65" s="338"/>
      <c r="AF65" s="315"/>
      <c r="AG65" s="351" t="s">
        <v>158</v>
      </c>
      <c r="AH65" s="315"/>
      <c r="AI65" s="351" t="s">
        <v>201</v>
      </c>
      <c r="AJ65" s="351"/>
      <c r="AK65" s="315"/>
      <c r="AL65" s="361" t="s">
        <v>168</v>
      </c>
      <c r="AM65" s="315"/>
      <c r="AN65" s="315"/>
      <c r="AO65" s="315">
        <v>20</v>
      </c>
      <c r="AP65" s="315">
        <v>30</v>
      </c>
      <c r="AQ65" s="315">
        <v>40</v>
      </c>
      <c r="AR65" s="315"/>
      <c r="AS65" s="315" t="s">
        <v>204</v>
      </c>
      <c r="AT65" s="315">
        <v>15</v>
      </c>
      <c r="AU65" s="315">
        <v>16</v>
      </c>
      <c r="AV65" s="315">
        <v>17</v>
      </c>
      <c r="AW65" s="315"/>
    </row>
    <row r="66" ht="18.75" customHeight="1">
      <c r="B66" s="430"/>
      <c r="C66" s="430"/>
      <c r="D66" s="430"/>
      <c r="E66" s="430"/>
      <c r="F66" s="430"/>
      <c r="G66" s="430"/>
      <c r="H66" s="431"/>
      <c r="I66" s="431"/>
      <c r="J66" s="431"/>
      <c r="K66" s="431"/>
      <c r="L66" s="432"/>
      <c r="M66" s="432"/>
      <c r="N66" s="474"/>
      <c r="O66" s="474"/>
      <c r="P66" s="474"/>
      <c r="Q66" s="430"/>
      <c r="R66" s="430"/>
      <c r="S66" s="430"/>
      <c r="T66" s="430"/>
      <c r="U66" s="430"/>
      <c r="V66" s="430"/>
      <c r="W66" s="430"/>
      <c r="X66" s="430"/>
      <c r="Y66" s="430"/>
      <c r="Z66" s="430"/>
      <c r="AA66" s="430"/>
      <c r="AB66" s="430"/>
      <c r="AC66" s="430"/>
      <c r="AD66" s="430"/>
      <c r="AE66" s="338"/>
      <c r="AF66" s="315"/>
      <c r="AG66" s="315"/>
      <c r="AH66" s="315"/>
      <c r="AI66" s="315"/>
      <c r="AJ66" s="315"/>
      <c r="AK66" s="315"/>
      <c r="AL66" s="315"/>
      <c r="AM66" s="315"/>
      <c r="AN66" s="315"/>
      <c r="AO66" s="315"/>
      <c r="AP66" s="315"/>
      <c r="AQ66" s="315"/>
      <c r="AR66" s="315"/>
      <c r="AS66" s="315"/>
      <c r="AT66" s="315"/>
      <c r="AU66" s="315"/>
      <c r="AV66" s="315"/>
      <c r="AW66" s="315"/>
    </row>
    <row r="67" ht="18.75" customHeight="1">
      <c r="B67" s="430"/>
      <c r="C67" s="430"/>
      <c r="D67" s="430"/>
      <c r="E67" s="430"/>
      <c r="F67" s="430"/>
      <c r="G67" s="430"/>
      <c r="H67" s="431"/>
      <c r="I67" s="431"/>
      <c r="J67" s="431"/>
      <c r="K67" s="431"/>
      <c r="L67" s="432"/>
      <c r="M67" s="432"/>
      <c r="N67" s="474"/>
      <c r="O67" s="474"/>
      <c r="P67" s="474"/>
      <c r="Q67" s="430"/>
      <c r="R67" s="430"/>
      <c r="S67" s="430"/>
      <c r="T67" s="430"/>
      <c r="U67" s="430"/>
      <c r="V67" s="430"/>
      <c r="W67" s="430"/>
      <c r="X67" s="430"/>
      <c r="Y67" s="430"/>
      <c r="Z67" s="430"/>
      <c r="AA67" s="430"/>
      <c r="AB67" s="430"/>
      <c r="AC67" s="430"/>
      <c r="AD67" s="430"/>
      <c r="AE67" s="338"/>
      <c r="AF67" s="315"/>
      <c r="AG67" s="315"/>
      <c r="AH67" s="315"/>
      <c r="AI67" s="315"/>
      <c r="AJ67" s="315"/>
      <c r="AK67" s="315"/>
      <c r="AL67" s="315"/>
      <c r="AM67" s="315"/>
      <c r="AN67" s="315"/>
      <c r="AO67" s="315"/>
      <c r="AP67" s="315"/>
      <c r="AQ67" s="315"/>
      <c r="AR67" s="315"/>
      <c r="AS67" s="315"/>
      <c r="AT67" s="315"/>
      <c r="AU67" s="315"/>
      <c r="AV67" s="315"/>
      <c r="AW67" s="315"/>
    </row>
    <row r="68" ht="18.75" customHeight="1">
      <c r="B68" s="430"/>
      <c r="C68" s="430"/>
      <c r="D68" s="430"/>
      <c r="E68" s="430"/>
      <c r="F68" s="430"/>
      <c r="G68" s="430"/>
      <c r="H68" s="431"/>
      <c r="I68" s="431"/>
      <c r="J68" s="431"/>
      <c r="K68" s="431"/>
      <c r="L68" s="432"/>
      <c r="M68" s="432"/>
      <c r="N68" s="474"/>
      <c r="O68" s="474"/>
      <c r="P68" s="474"/>
      <c r="Q68" s="430"/>
      <c r="R68" s="430"/>
      <c r="S68" s="430"/>
      <c r="T68" s="430"/>
      <c r="U68" s="430"/>
      <c r="V68" s="430"/>
      <c r="W68" s="430"/>
      <c r="X68" s="430"/>
      <c r="Y68" s="430"/>
      <c r="Z68" s="430"/>
      <c r="AA68" s="430"/>
      <c r="AB68" s="430"/>
      <c r="AC68" s="430"/>
      <c r="AD68" s="430"/>
      <c r="AE68" s="338"/>
      <c r="AF68" s="315"/>
      <c r="AG68" s="315"/>
      <c r="AH68" s="315"/>
      <c r="AI68" s="315"/>
      <c r="AJ68" s="315"/>
      <c r="AK68" s="315"/>
      <c r="AL68" s="315"/>
      <c r="AM68" s="315"/>
      <c r="AN68" s="315"/>
      <c r="AO68" s="315"/>
      <c r="AP68" s="315"/>
      <c r="AQ68" s="315"/>
      <c r="AR68" s="315"/>
      <c r="AS68" s="315"/>
      <c r="AT68" s="315"/>
      <c r="AU68" s="315"/>
      <c r="AV68" s="315"/>
      <c r="AW68" s="315"/>
    </row>
    <row r="69" ht="18.75" customHeight="1">
      <c r="B69" s="315"/>
      <c r="C69" s="338"/>
      <c r="D69" s="338"/>
      <c r="E69" s="338"/>
      <c r="F69" s="338"/>
      <c r="G69" s="338"/>
      <c r="H69" s="338"/>
      <c r="I69" s="338"/>
      <c r="J69" s="338"/>
      <c r="K69" s="338"/>
      <c r="L69" s="338"/>
      <c r="M69" s="338"/>
      <c r="N69" s="338"/>
      <c r="O69" s="338"/>
      <c r="P69" s="338"/>
      <c r="Q69" s="338"/>
      <c r="R69" s="338"/>
      <c r="S69" s="338"/>
      <c r="T69" s="338"/>
      <c r="U69" s="338"/>
      <c r="V69" s="338"/>
      <c r="W69" s="338"/>
      <c r="X69" s="338"/>
      <c r="Y69" s="338"/>
      <c r="Z69" s="338"/>
      <c r="AA69" s="338"/>
      <c r="AB69" s="338"/>
      <c r="AC69" s="338"/>
      <c r="AD69" s="338"/>
      <c r="AE69" s="338"/>
      <c r="AF69" s="315"/>
      <c r="AG69" s="315"/>
      <c r="AH69" s="315"/>
      <c r="AI69" s="315"/>
      <c r="AJ69" s="315"/>
      <c r="AK69" s="315"/>
      <c r="AL69" s="315"/>
      <c r="AM69" s="315"/>
      <c r="AN69" s="315"/>
      <c r="AO69" s="315"/>
      <c r="AP69" s="315"/>
      <c r="AQ69" s="315"/>
      <c r="AR69" s="315"/>
      <c r="AS69" s="315"/>
      <c r="AT69" s="315"/>
      <c r="AU69" s="315"/>
      <c r="AV69" s="315"/>
      <c r="AW69" s="315"/>
    </row>
    <row r="70" ht="18.75" customHeight="1">
      <c r="B70" s="315"/>
      <c r="C70" s="338"/>
      <c r="D70" s="338"/>
      <c r="E70" s="338"/>
      <c r="F70" s="338"/>
      <c r="G70" s="338"/>
      <c r="H70" s="338"/>
      <c r="I70" s="338"/>
      <c r="J70" s="338"/>
      <c r="K70" s="338"/>
      <c r="L70" s="338"/>
      <c r="M70" s="338"/>
      <c r="N70" s="338"/>
      <c r="O70" s="338"/>
      <c r="P70" s="338"/>
      <c r="Q70" s="338"/>
      <c r="R70" s="338"/>
      <c r="S70" s="338"/>
      <c r="T70" s="338"/>
      <c r="U70" s="338"/>
      <c r="V70" s="338"/>
      <c r="W70" s="338"/>
      <c r="X70" s="338"/>
      <c r="Y70" s="338"/>
      <c r="Z70" s="338"/>
      <c r="AA70" s="338"/>
      <c r="AB70" s="338"/>
      <c r="AC70" s="338"/>
      <c r="AD70" s="338"/>
      <c r="AE70" s="338"/>
      <c r="AF70" s="315"/>
      <c r="AG70" s="315"/>
      <c r="AH70" s="315"/>
      <c r="AI70" s="315"/>
      <c r="AJ70" s="315"/>
      <c r="AK70" s="315"/>
      <c r="AL70" s="315"/>
      <c r="AM70" s="315"/>
      <c r="AN70" s="315"/>
      <c r="AO70" s="315"/>
      <c r="AP70" s="315"/>
      <c r="AQ70" s="315"/>
      <c r="AR70" s="315"/>
      <c r="AS70" s="315"/>
      <c r="AT70" s="315"/>
      <c r="AU70" s="315"/>
      <c r="AV70" s="315"/>
      <c r="AW70" s="315"/>
    </row>
    <row r="71" ht="18.75" customHeight="1">
      <c r="B71" s="315"/>
      <c r="C71" s="338"/>
      <c r="D71" s="338"/>
      <c r="E71" s="338"/>
      <c r="F71" s="338"/>
      <c r="G71" s="338"/>
      <c r="H71" s="338"/>
      <c r="I71" s="338"/>
      <c r="J71" s="338"/>
      <c r="K71" s="338"/>
      <c r="L71" s="338"/>
      <c r="M71" s="338"/>
      <c r="N71" s="338"/>
      <c r="O71" s="338"/>
      <c r="P71" s="338"/>
      <c r="Q71" s="338"/>
      <c r="R71" s="338"/>
      <c r="S71" s="338"/>
      <c r="T71" s="338"/>
      <c r="U71" s="338"/>
      <c r="V71" s="338"/>
      <c r="W71" s="338"/>
      <c r="X71" s="338"/>
      <c r="Y71" s="338"/>
      <c r="Z71" s="338"/>
      <c r="AA71" s="338"/>
      <c r="AB71" s="338"/>
      <c r="AC71" s="338"/>
      <c r="AD71" s="338"/>
      <c r="AE71" s="338"/>
      <c r="AF71" s="315"/>
      <c r="AG71" s="315"/>
      <c r="AH71" s="315"/>
      <c r="AI71" s="315"/>
      <c r="AJ71" s="315"/>
      <c r="AK71" s="315"/>
      <c r="AL71" s="315"/>
      <c r="AM71" s="315"/>
      <c r="AN71" s="315"/>
      <c r="AO71" s="315"/>
      <c r="AP71" s="315"/>
      <c r="AQ71" s="315"/>
      <c r="AR71" s="315"/>
      <c r="AS71" s="315"/>
      <c r="AT71" s="315"/>
      <c r="AU71" s="315"/>
      <c r="AV71" s="315"/>
      <c r="AW71" s="315"/>
    </row>
    <row r="72" ht="18.75" customHeight="1">
      <c r="B72" s="315"/>
      <c r="C72" s="338"/>
      <c r="D72" s="338"/>
      <c r="E72" s="338"/>
      <c r="F72" s="338"/>
      <c r="G72" s="338"/>
      <c r="H72" s="338"/>
      <c r="I72" s="338"/>
      <c r="J72" s="338"/>
      <c r="K72" s="338"/>
      <c r="L72" s="338"/>
      <c r="M72" s="338"/>
      <c r="N72" s="338"/>
      <c r="O72" s="338"/>
      <c r="P72" s="338"/>
      <c r="Q72" s="338"/>
      <c r="R72" s="338"/>
      <c r="S72" s="338"/>
      <c r="T72" s="338"/>
      <c r="U72" s="338"/>
      <c r="V72" s="338"/>
      <c r="W72" s="338"/>
      <c r="X72" s="338"/>
      <c r="Y72" s="338"/>
      <c r="Z72" s="338"/>
      <c r="AA72" s="338"/>
      <c r="AB72" s="338"/>
      <c r="AC72" s="338"/>
      <c r="AD72" s="338"/>
      <c r="AE72" s="338"/>
      <c r="AF72" s="315"/>
      <c r="AG72" s="315"/>
      <c r="AH72" s="315"/>
      <c r="AI72" s="315"/>
      <c r="AJ72" s="315"/>
      <c r="AK72" s="315"/>
      <c r="AL72" s="315"/>
      <c r="AM72" s="315"/>
      <c r="AN72" s="315"/>
      <c r="AO72" s="315"/>
      <c r="AP72" s="315"/>
      <c r="AQ72" s="315"/>
      <c r="AR72" s="315"/>
      <c r="AS72" s="315"/>
      <c r="AT72" s="315"/>
      <c r="AU72" s="315"/>
      <c r="AV72" s="315"/>
      <c r="AW72" s="315"/>
    </row>
    <row r="73" ht="18.75" customHeight="1">
      <c r="B73" s="315"/>
      <c r="C73" s="338"/>
      <c r="D73" s="338"/>
      <c r="E73" s="338"/>
      <c r="F73" s="338"/>
      <c r="G73" s="338"/>
      <c r="H73" s="338"/>
      <c r="I73" s="338"/>
      <c r="J73" s="338"/>
      <c r="K73" s="338"/>
      <c r="L73" s="338"/>
      <c r="M73" s="338"/>
      <c r="N73" s="338"/>
      <c r="O73" s="338"/>
      <c r="P73" s="338"/>
      <c r="Q73" s="338"/>
      <c r="R73" s="338"/>
      <c r="S73" s="338"/>
      <c r="T73" s="338"/>
      <c r="U73" s="338"/>
      <c r="V73" s="338"/>
      <c r="W73" s="338"/>
      <c r="X73" s="338"/>
      <c r="Y73" s="338"/>
      <c r="Z73" s="338"/>
      <c r="AA73" s="338"/>
      <c r="AB73" s="338"/>
      <c r="AC73" s="338"/>
      <c r="AD73" s="338"/>
      <c r="AE73" s="338"/>
      <c r="AF73" s="315"/>
      <c r="AG73" s="315"/>
      <c r="AH73" s="315"/>
      <c r="AI73" s="315"/>
      <c r="AJ73" s="315"/>
      <c r="AK73" s="315"/>
      <c r="AL73" s="315"/>
      <c r="AM73" s="315"/>
      <c r="AN73" s="315"/>
      <c r="AO73" s="315"/>
      <c r="AP73" s="315"/>
      <c r="AQ73" s="315"/>
      <c r="AR73" s="315"/>
      <c r="AS73" s="315"/>
      <c r="AT73" s="315"/>
      <c r="AU73" s="315"/>
      <c r="AV73" s="315"/>
      <c r="AW73" s="315"/>
    </row>
    <row r="74" ht="18.75" customHeight="1">
      <c r="B74" s="315"/>
      <c r="C74" s="338"/>
      <c r="D74" s="338"/>
      <c r="E74" s="338"/>
      <c r="F74" s="338"/>
      <c r="G74" s="338"/>
      <c r="H74" s="338"/>
      <c r="I74" s="338"/>
      <c r="J74" s="338"/>
      <c r="K74" s="338"/>
      <c r="L74" s="338"/>
      <c r="M74" s="338"/>
      <c r="N74" s="338"/>
      <c r="O74" s="338"/>
      <c r="P74" s="338"/>
      <c r="Q74" s="338"/>
      <c r="R74" s="338"/>
      <c r="S74" s="338"/>
      <c r="T74" s="338"/>
      <c r="U74" s="338"/>
      <c r="V74" s="338"/>
      <c r="W74" s="338"/>
      <c r="X74" s="338"/>
      <c r="Y74" s="338"/>
      <c r="Z74" s="338"/>
      <c r="AA74" s="338"/>
      <c r="AB74" s="338"/>
      <c r="AC74" s="338"/>
      <c r="AD74" s="338"/>
      <c r="AE74" s="338"/>
      <c r="AF74" s="315"/>
      <c r="AG74" s="315"/>
      <c r="AH74" s="315"/>
      <c r="AI74" s="315"/>
      <c r="AJ74" s="315"/>
      <c r="AK74" s="315"/>
      <c r="AL74" s="315"/>
      <c r="AM74" s="315"/>
      <c r="AN74" s="315"/>
      <c r="AO74" s="315"/>
      <c r="AP74" s="315"/>
      <c r="AQ74" s="315"/>
      <c r="AR74" s="315"/>
      <c r="AS74" s="315"/>
      <c r="AT74" s="315"/>
      <c r="AU74" s="315"/>
      <c r="AV74" s="315"/>
      <c r="AW74" s="315"/>
    </row>
    <row r="75" ht="18.75" customHeight="1">
      <c r="B75" s="315"/>
      <c r="C75" s="338"/>
      <c r="D75" s="338"/>
      <c r="E75" s="338"/>
      <c r="F75" s="338"/>
      <c r="G75" s="338"/>
      <c r="H75" s="338"/>
      <c r="I75" s="338"/>
      <c r="J75" s="338"/>
      <c r="K75" s="338"/>
      <c r="L75" s="338"/>
      <c r="M75" s="338"/>
      <c r="N75" s="338"/>
      <c r="O75" s="338"/>
      <c r="P75" s="338"/>
      <c r="Q75" s="338"/>
      <c r="R75" s="338"/>
      <c r="S75" s="338"/>
      <c r="T75" s="338"/>
      <c r="U75" s="338"/>
      <c r="V75" s="338"/>
      <c r="W75" s="338"/>
      <c r="X75" s="338"/>
      <c r="Y75" s="338"/>
      <c r="Z75" s="338"/>
      <c r="AA75" s="338"/>
      <c r="AB75" s="338"/>
      <c r="AC75" s="338"/>
      <c r="AD75" s="338"/>
      <c r="AE75" s="338"/>
      <c r="AF75" s="315"/>
      <c r="AG75" s="315"/>
      <c r="AH75" s="315"/>
      <c r="AI75" s="315"/>
      <c r="AJ75" s="315"/>
      <c r="AK75" s="315"/>
      <c r="AL75" s="315"/>
      <c r="AM75" s="315"/>
      <c r="AN75" s="315"/>
      <c r="AO75" s="315"/>
      <c r="AP75" s="315"/>
      <c r="AQ75" s="315"/>
      <c r="AR75" s="315"/>
      <c r="AS75" s="315"/>
      <c r="AT75" s="315"/>
      <c r="AU75" s="315"/>
      <c r="AV75" s="315"/>
      <c r="AW75" s="315"/>
    </row>
    <row r="76" ht="18.75" customHeight="1">
      <c r="B76" s="315"/>
      <c r="C76" s="338"/>
      <c r="D76" s="338"/>
      <c r="E76" s="338"/>
      <c r="F76" s="338"/>
      <c r="G76" s="338"/>
      <c r="H76" s="338"/>
      <c r="I76" s="338"/>
      <c r="J76" s="338"/>
      <c r="K76" s="338"/>
      <c r="L76" s="338"/>
      <c r="M76" s="338"/>
      <c r="N76" s="338"/>
      <c r="O76" s="338"/>
      <c r="P76" s="338"/>
      <c r="Q76" s="338"/>
      <c r="R76" s="338"/>
      <c r="S76" s="338"/>
      <c r="T76" s="338"/>
      <c r="U76" s="338"/>
      <c r="V76" s="338"/>
      <c r="W76" s="338"/>
      <c r="X76" s="338"/>
      <c r="Y76" s="338"/>
      <c r="Z76" s="338"/>
      <c r="AA76" s="338"/>
      <c r="AB76" s="338"/>
      <c r="AC76" s="338"/>
      <c r="AD76" s="338"/>
      <c r="AE76" s="338"/>
      <c r="AF76" s="315"/>
      <c r="AG76" s="315"/>
      <c r="AH76" s="315"/>
      <c r="AI76" s="315"/>
      <c r="AJ76" s="315"/>
      <c r="AK76" s="315"/>
      <c r="AL76" s="315"/>
      <c r="AM76" s="315"/>
      <c r="AN76" s="315"/>
      <c r="AO76" s="315"/>
      <c r="AP76" s="315"/>
      <c r="AQ76" s="315"/>
      <c r="AR76" s="315"/>
      <c r="AS76" s="315"/>
      <c r="AT76" s="315"/>
      <c r="AU76" s="315"/>
      <c r="AV76" s="315"/>
      <c r="AW76" s="315"/>
    </row>
    <row r="77" ht="18.75" customHeight="1">
      <c r="B77" s="315"/>
      <c r="C77" s="338"/>
      <c r="D77" s="338"/>
      <c r="E77" s="338"/>
      <c r="F77" s="338"/>
      <c r="G77" s="338"/>
      <c r="H77" s="338"/>
      <c r="I77" s="338"/>
      <c r="J77" s="338"/>
      <c r="K77" s="338"/>
      <c r="L77" s="338"/>
      <c r="M77" s="338"/>
      <c r="N77" s="338"/>
      <c r="O77" s="338"/>
      <c r="P77" s="338"/>
      <c r="Q77" s="338"/>
      <c r="R77" s="338"/>
      <c r="S77" s="338"/>
      <c r="T77" s="338"/>
      <c r="U77" s="338"/>
      <c r="V77" s="338"/>
      <c r="W77" s="338"/>
      <c r="X77" s="338"/>
      <c r="Y77" s="338"/>
      <c r="Z77" s="338"/>
      <c r="AA77" s="338"/>
      <c r="AB77" s="338"/>
      <c r="AC77" s="338"/>
      <c r="AD77" s="338"/>
      <c r="AE77" s="338"/>
      <c r="AF77" s="315"/>
      <c r="AG77" s="315"/>
      <c r="AH77" s="315"/>
      <c r="AI77" s="315"/>
      <c r="AJ77" s="315"/>
      <c r="AK77" s="315"/>
      <c r="AL77" s="315"/>
      <c r="AM77" s="315"/>
      <c r="AN77" s="315"/>
      <c r="AO77" s="315"/>
      <c r="AP77" s="315"/>
      <c r="AQ77" s="315"/>
      <c r="AR77" s="315"/>
      <c r="AS77" s="315"/>
      <c r="AT77" s="315"/>
      <c r="AU77" s="315"/>
      <c r="AV77" s="315"/>
      <c r="AW77" s="315"/>
    </row>
    <row r="78" ht="18.75" customHeight="1">
      <c r="B78" s="315"/>
      <c r="C78" s="338"/>
      <c r="D78" s="338"/>
      <c r="E78" s="338"/>
      <c r="F78" s="338"/>
      <c r="G78" s="338"/>
      <c r="H78" s="338"/>
      <c r="I78" s="338"/>
      <c r="J78" s="338"/>
      <c r="K78" s="338"/>
      <c r="L78" s="338"/>
      <c r="M78" s="338"/>
      <c r="N78" s="338"/>
      <c r="O78" s="338"/>
      <c r="P78" s="338"/>
      <c r="Q78" s="338"/>
      <c r="R78" s="338"/>
      <c r="S78" s="338"/>
      <c r="T78" s="338"/>
      <c r="U78" s="338"/>
      <c r="V78" s="338"/>
      <c r="W78" s="338"/>
      <c r="X78" s="338"/>
      <c r="Y78" s="338"/>
      <c r="Z78" s="338"/>
      <c r="AA78" s="338"/>
      <c r="AB78" s="338"/>
      <c r="AC78" s="338"/>
      <c r="AD78" s="338"/>
      <c r="AE78" s="338"/>
      <c r="AF78" s="315"/>
      <c r="AG78" s="315"/>
      <c r="AH78" s="315"/>
      <c r="AI78" s="315"/>
      <c r="AJ78" s="315"/>
      <c r="AK78" s="315"/>
      <c r="AL78" s="315"/>
      <c r="AM78" s="315"/>
      <c r="AN78" s="315"/>
      <c r="AO78" s="315"/>
      <c r="AP78" s="315"/>
      <c r="AQ78" s="315"/>
      <c r="AR78" s="315"/>
      <c r="AS78" s="315"/>
      <c r="AT78" s="315"/>
      <c r="AU78" s="315"/>
      <c r="AV78" s="315"/>
      <c r="AW78" s="315"/>
    </row>
    <row r="79" ht="18.75" customHeight="1">
      <c r="B79" s="315"/>
      <c r="C79" s="338"/>
      <c r="D79" s="338"/>
      <c r="E79" s="338"/>
      <c r="F79" s="338"/>
      <c r="G79" s="338"/>
      <c r="H79" s="338"/>
      <c r="I79" s="338"/>
      <c r="J79" s="338"/>
      <c r="K79" s="338"/>
      <c r="L79" s="338"/>
      <c r="M79" s="338"/>
      <c r="N79" s="338"/>
      <c r="O79" s="338"/>
      <c r="P79" s="338"/>
      <c r="Q79" s="338"/>
      <c r="R79" s="338"/>
      <c r="S79" s="338"/>
      <c r="T79" s="338"/>
      <c r="U79" s="338"/>
      <c r="V79" s="338"/>
      <c r="W79" s="338"/>
      <c r="X79" s="338"/>
      <c r="Y79" s="338"/>
      <c r="Z79" s="338"/>
      <c r="AA79" s="338"/>
      <c r="AB79" s="338"/>
      <c r="AC79" s="338"/>
      <c r="AD79" s="338"/>
      <c r="AE79" s="338"/>
      <c r="AF79" s="315"/>
      <c r="AG79" s="315"/>
      <c r="AH79" s="315"/>
      <c r="AI79" s="315"/>
      <c r="AJ79" s="315"/>
      <c r="AK79" s="315"/>
      <c r="AL79" s="315"/>
      <c r="AM79" s="315"/>
      <c r="AN79" s="315"/>
      <c r="AO79" s="315"/>
      <c r="AP79" s="315"/>
      <c r="AQ79" s="315"/>
      <c r="AR79" s="315"/>
      <c r="AS79" s="315"/>
      <c r="AT79" s="315"/>
      <c r="AU79" s="315"/>
      <c r="AV79" s="315"/>
      <c r="AW79" s="315"/>
    </row>
    <row r="80" ht="18.75" customHeight="1">
      <c r="B80" s="315"/>
      <c r="C80" s="338"/>
      <c r="D80" s="338"/>
      <c r="E80" s="338"/>
      <c r="F80" s="338"/>
      <c r="G80" s="338"/>
      <c r="H80" s="338"/>
      <c r="I80" s="338"/>
      <c r="J80" s="338"/>
      <c r="K80" s="338"/>
      <c r="L80" s="338"/>
      <c r="M80" s="338"/>
      <c r="N80" s="338"/>
      <c r="O80" s="338"/>
      <c r="P80" s="338"/>
      <c r="Q80" s="338"/>
      <c r="R80" s="338"/>
      <c r="S80" s="338"/>
      <c r="T80" s="338"/>
      <c r="U80" s="338"/>
      <c r="V80" s="338"/>
      <c r="W80" s="338"/>
      <c r="X80" s="338"/>
      <c r="Y80" s="338"/>
      <c r="Z80" s="338"/>
      <c r="AA80" s="338"/>
      <c r="AB80" s="338"/>
      <c r="AC80" s="338"/>
      <c r="AD80" s="338"/>
      <c r="AE80" s="338"/>
      <c r="AF80" s="315"/>
      <c r="AG80" s="315"/>
      <c r="AH80" s="315"/>
      <c r="AI80" s="315"/>
      <c r="AJ80" s="315"/>
      <c r="AK80" s="315"/>
      <c r="AL80" s="315"/>
      <c r="AM80" s="315"/>
      <c r="AN80" s="315"/>
      <c r="AO80" s="315"/>
      <c r="AP80" s="315"/>
      <c r="AQ80" s="315"/>
      <c r="AR80" s="315"/>
      <c r="AS80" s="315"/>
      <c r="AT80" s="315"/>
      <c r="AU80" s="315"/>
      <c r="AV80" s="315"/>
      <c r="AW80" s="315"/>
    </row>
    <row r="81" ht="18.75" customHeight="1">
      <c r="B81" s="315"/>
      <c r="C81" s="338"/>
      <c r="D81" s="338"/>
      <c r="E81" s="338"/>
      <c r="F81" s="338"/>
      <c r="G81" s="338"/>
      <c r="H81" s="338"/>
      <c r="I81" s="338"/>
      <c r="J81" s="338"/>
      <c r="K81" s="338"/>
      <c r="L81" s="338"/>
      <c r="M81" s="338"/>
      <c r="N81" s="338"/>
      <c r="O81" s="338"/>
      <c r="P81" s="338"/>
      <c r="Q81" s="338"/>
      <c r="R81" s="338"/>
      <c r="S81" s="338"/>
      <c r="T81" s="338"/>
      <c r="U81" s="338"/>
      <c r="V81" s="338"/>
      <c r="W81" s="338"/>
      <c r="X81" s="338"/>
      <c r="Y81" s="338"/>
      <c r="Z81" s="338"/>
      <c r="AA81" s="338"/>
      <c r="AB81" s="338"/>
      <c r="AC81" s="338"/>
      <c r="AD81" s="338"/>
      <c r="AE81" s="338"/>
      <c r="AF81" s="315"/>
      <c r="AG81" s="315"/>
      <c r="AH81" s="315"/>
      <c r="AI81" s="315"/>
      <c r="AJ81" s="315"/>
      <c r="AK81" s="315"/>
      <c r="AL81" s="315"/>
      <c r="AM81" s="315"/>
      <c r="AN81" s="315"/>
      <c r="AO81" s="315"/>
      <c r="AP81" s="315"/>
      <c r="AQ81" s="315"/>
      <c r="AR81" s="315"/>
      <c r="AS81" s="315"/>
      <c r="AT81" s="315"/>
      <c r="AU81" s="315"/>
      <c r="AV81" s="315"/>
      <c r="AW81" s="315"/>
    </row>
    <row r="82" ht="18.75" customHeight="1">
      <c r="B82" s="315"/>
      <c r="C82" s="338"/>
      <c r="D82" s="338"/>
      <c r="E82" s="338"/>
      <c r="F82" s="338"/>
      <c r="G82" s="338"/>
      <c r="H82" s="338"/>
      <c r="I82" s="338"/>
      <c r="J82" s="338"/>
      <c r="K82" s="338"/>
      <c r="L82" s="338"/>
      <c r="M82" s="338"/>
      <c r="N82" s="338"/>
      <c r="O82" s="338"/>
      <c r="P82" s="338"/>
      <c r="Q82" s="338"/>
      <c r="R82" s="338"/>
      <c r="S82" s="338"/>
      <c r="T82" s="338"/>
      <c r="U82" s="338"/>
      <c r="V82" s="338"/>
      <c r="W82" s="338"/>
      <c r="X82" s="338"/>
      <c r="Y82" s="338"/>
      <c r="Z82" s="338"/>
      <c r="AA82" s="338"/>
      <c r="AB82" s="338"/>
      <c r="AC82" s="338"/>
      <c r="AD82" s="338"/>
      <c r="AE82" s="338"/>
      <c r="AF82" s="315"/>
      <c r="AG82" s="315"/>
      <c r="AH82" s="315"/>
      <c r="AI82" s="315"/>
      <c r="AJ82" s="315"/>
      <c r="AK82" s="315"/>
      <c r="AL82" s="315"/>
      <c r="AM82" s="315"/>
      <c r="AN82" s="315"/>
      <c r="AO82" s="315"/>
      <c r="AP82" s="315"/>
      <c r="AQ82" s="315"/>
      <c r="AR82" s="315"/>
      <c r="AS82" s="315"/>
      <c r="AT82" s="315"/>
      <c r="AU82" s="315"/>
      <c r="AV82" s="315"/>
      <c r="AW82" s="315"/>
    </row>
    <row r="83" ht="18.75" customHeight="1">
      <c r="B83" s="315"/>
      <c r="C83" s="338"/>
      <c r="D83" s="338"/>
      <c r="E83" s="338"/>
      <c r="F83" s="338"/>
      <c r="G83" s="338"/>
      <c r="H83" s="338"/>
      <c r="I83" s="338"/>
      <c r="J83" s="338"/>
      <c r="K83" s="338"/>
      <c r="L83" s="338"/>
      <c r="M83" s="338"/>
      <c r="N83" s="338"/>
      <c r="O83" s="338"/>
      <c r="P83" s="338"/>
      <c r="Q83" s="338"/>
      <c r="R83" s="338"/>
      <c r="S83" s="338"/>
      <c r="T83" s="338"/>
      <c r="U83" s="338"/>
      <c r="V83" s="338"/>
      <c r="W83" s="338"/>
      <c r="X83" s="338"/>
      <c r="Y83" s="338"/>
      <c r="Z83" s="338"/>
      <c r="AA83" s="338"/>
      <c r="AB83" s="338"/>
      <c r="AC83" s="338"/>
      <c r="AD83" s="338"/>
      <c r="AE83" s="338"/>
      <c r="AF83" s="315"/>
      <c r="AG83" s="315"/>
      <c r="AH83" s="315"/>
      <c r="AI83" s="315"/>
      <c r="AJ83" s="315"/>
      <c r="AK83" s="315"/>
      <c r="AL83" s="315"/>
      <c r="AM83" s="315"/>
      <c r="AN83" s="315"/>
      <c r="AO83" s="315"/>
      <c r="AP83" s="315"/>
      <c r="AQ83" s="315"/>
      <c r="AR83" s="315"/>
      <c r="AS83" s="315"/>
      <c r="AT83" s="315"/>
      <c r="AU83" s="315"/>
      <c r="AV83" s="315"/>
      <c r="AW83" s="315"/>
    </row>
    <row r="84" ht="18.75" customHeight="1">
      <c r="B84" s="315"/>
      <c r="C84" s="338"/>
      <c r="D84" s="338"/>
      <c r="E84" s="338"/>
      <c r="F84" s="338"/>
      <c r="G84" s="338"/>
      <c r="H84" s="338"/>
      <c r="I84" s="338"/>
      <c r="J84" s="338"/>
      <c r="K84" s="338"/>
      <c r="L84" s="338"/>
      <c r="M84" s="338"/>
      <c r="N84" s="338"/>
      <c r="O84" s="338"/>
      <c r="P84" s="338"/>
      <c r="Q84" s="338"/>
      <c r="R84" s="338"/>
      <c r="S84" s="338"/>
      <c r="T84" s="338"/>
      <c r="U84" s="338"/>
      <c r="V84" s="338"/>
      <c r="W84" s="338"/>
      <c r="X84" s="338"/>
      <c r="Y84" s="338"/>
      <c r="Z84" s="338"/>
      <c r="AA84" s="338"/>
      <c r="AB84" s="338"/>
      <c r="AC84" s="338"/>
      <c r="AD84" s="338"/>
      <c r="AE84" s="338"/>
      <c r="AF84" s="315"/>
      <c r="AG84" s="315"/>
      <c r="AH84" s="315"/>
      <c r="AI84" s="315"/>
      <c r="AJ84" s="315"/>
      <c r="AK84" s="315"/>
      <c r="AL84" s="315"/>
      <c r="AM84" s="315"/>
      <c r="AN84" s="315"/>
      <c r="AO84" s="315"/>
      <c r="AP84" s="315"/>
      <c r="AQ84" s="315"/>
      <c r="AR84" s="315"/>
      <c r="AS84" s="315"/>
      <c r="AT84" s="315"/>
      <c r="AU84" s="315"/>
      <c r="AV84" s="315"/>
      <c r="AW84" s="315"/>
    </row>
    <row r="85" ht="18.75" customHeight="1">
      <c r="B85" s="315"/>
      <c r="C85" s="338"/>
      <c r="D85" s="338"/>
      <c r="E85" s="338"/>
      <c r="F85" s="338"/>
      <c r="G85" s="338"/>
      <c r="H85" s="338"/>
      <c r="I85" s="338"/>
      <c r="J85" s="338"/>
      <c r="K85" s="338"/>
      <c r="L85" s="338"/>
      <c r="M85" s="338"/>
      <c r="N85" s="338"/>
      <c r="O85" s="338"/>
      <c r="P85" s="338"/>
      <c r="Q85" s="338"/>
      <c r="R85" s="338"/>
      <c r="S85" s="338"/>
      <c r="T85" s="338"/>
      <c r="U85" s="338"/>
      <c r="V85" s="338"/>
      <c r="W85" s="338"/>
      <c r="X85" s="338"/>
      <c r="Y85" s="338"/>
      <c r="Z85" s="338"/>
      <c r="AA85" s="338"/>
      <c r="AB85" s="338"/>
      <c r="AC85" s="338"/>
      <c r="AD85" s="338"/>
      <c r="AE85" s="338"/>
      <c r="AF85" s="315"/>
      <c r="AG85" s="315"/>
      <c r="AH85" s="315"/>
      <c r="AI85" s="315"/>
      <c r="AJ85" s="315"/>
      <c r="AK85" s="315"/>
      <c r="AL85" s="315"/>
      <c r="AM85" s="315"/>
      <c r="AN85" s="315"/>
      <c r="AO85" s="315"/>
      <c r="AP85" s="315"/>
      <c r="AQ85" s="315"/>
      <c r="AR85" s="315"/>
      <c r="AS85" s="315"/>
      <c r="AT85" s="315"/>
      <c r="AU85" s="315"/>
      <c r="AV85" s="315"/>
      <c r="AW85" s="315"/>
    </row>
    <row r="86" ht="18.75" customHeight="1">
      <c r="B86" s="315"/>
      <c r="C86" s="338"/>
      <c r="D86" s="338"/>
      <c r="E86" s="338"/>
      <c r="F86" s="338"/>
      <c r="G86" s="338"/>
      <c r="H86" s="338"/>
      <c r="I86" s="338"/>
      <c r="J86" s="338"/>
      <c r="K86" s="338"/>
      <c r="L86" s="338"/>
      <c r="M86" s="338"/>
      <c r="N86" s="338"/>
      <c r="O86" s="338"/>
      <c r="P86" s="338"/>
      <c r="Q86" s="338"/>
      <c r="R86" s="338"/>
      <c r="S86" s="338"/>
      <c r="T86" s="338"/>
      <c r="U86" s="338"/>
      <c r="V86" s="338"/>
      <c r="W86" s="338"/>
      <c r="X86" s="338"/>
      <c r="Y86" s="338"/>
      <c r="Z86" s="338"/>
      <c r="AA86" s="338"/>
      <c r="AB86" s="338"/>
      <c r="AC86" s="338"/>
      <c r="AD86" s="338"/>
      <c r="AE86" s="338"/>
      <c r="AF86" s="315"/>
      <c r="AG86" s="315"/>
      <c r="AH86" s="315"/>
      <c r="AI86" s="315"/>
      <c r="AJ86" s="315"/>
      <c r="AK86" s="315"/>
      <c r="AL86" s="315"/>
      <c r="AM86" s="315"/>
      <c r="AN86" s="315"/>
      <c r="AO86" s="315"/>
      <c r="AP86" s="315"/>
      <c r="AQ86" s="315"/>
      <c r="AR86" s="315"/>
      <c r="AS86" s="315"/>
      <c r="AT86" s="315"/>
      <c r="AU86" s="315"/>
      <c r="AV86" s="315"/>
      <c r="AW86" s="315"/>
    </row>
    <row r="87" ht="18.75" customHeight="1">
      <c r="B87" s="315"/>
      <c r="C87" s="338"/>
      <c r="D87" s="338"/>
      <c r="E87" s="338"/>
      <c r="F87" s="338"/>
      <c r="G87" s="338"/>
      <c r="H87" s="338"/>
      <c r="I87" s="338"/>
      <c r="J87" s="338"/>
      <c r="K87" s="338"/>
      <c r="L87" s="338"/>
      <c r="M87" s="338"/>
      <c r="N87" s="338"/>
      <c r="O87" s="338"/>
      <c r="P87" s="338"/>
      <c r="Q87" s="338"/>
      <c r="R87" s="338"/>
      <c r="S87" s="338"/>
      <c r="T87" s="338"/>
      <c r="U87" s="338"/>
      <c r="V87" s="338"/>
      <c r="W87" s="338"/>
      <c r="X87" s="338"/>
      <c r="Y87" s="338"/>
      <c r="Z87" s="338"/>
      <c r="AA87" s="338"/>
      <c r="AB87" s="338"/>
      <c r="AC87" s="338"/>
      <c r="AD87" s="338"/>
      <c r="AE87" s="338"/>
      <c r="AF87" s="315"/>
      <c r="AG87" s="315"/>
      <c r="AH87" s="315"/>
      <c r="AI87" s="315"/>
      <c r="AJ87" s="315"/>
      <c r="AK87" s="315"/>
      <c r="AL87" s="315"/>
      <c r="AM87" s="315"/>
      <c r="AN87" s="315"/>
      <c r="AO87" s="315"/>
      <c r="AP87" s="315"/>
      <c r="AQ87" s="315"/>
      <c r="AR87" s="315"/>
      <c r="AS87" s="315"/>
      <c r="AT87" s="315"/>
      <c r="AU87" s="315"/>
      <c r="AV87" s="315"/>
      <c r="AW87" s="315"/>
    </row>
    <row r="88" ht="18.75" customHeight="1">
      <c r="B88" s="315"/>
      <c r="C88" s="338"/>
      <c r="D88" s="338"/>
      <c r="E88" s="338"/>
      <c r="F88" s="338"/>
      <c r="G88" s="338"/>
      <c r="H88" s="338"/>
      <c r="I88" s="338"/>
      <c r="J88" s="338"/>
      <c r="K88" s="338"/>
      <c r="L88" s="338"/>
      <c r="M88" s="338"/>
      <c r="N88" s="338"/>
      <c r="O88" s="338"/>
      <c r="P88" s="338"/>
      <c r="Q88" s="338"/>
      <c r="R88" s="338"/>
      <c r="S88" s="338"/>
      <c r="T88" s="338"/>
      <c r="U88" s="338"/>
      <c r="V88" s="338"/>
      <c r="W88" s="338"/>
      <c r="X88" s="338"/>
      <c r="Y88" s="338"/>
      <c r="Z88" s="338"/>
      <c r="AA88" s="338"/>
      <c r="AB88" s="338"/>
      <c r="AC88" s="338"/>
      <c r="AD88" s="338"/>
      <c r="AE88" s="338"/>
      <c r="AF88" s="315"/>
      <c r="AG88" s="315"/>
      <c r="AH88" s="315"/>
      <c r="AI88" s="315"/>
      <c r="AJ88" s="315"/>
      <c r="AK88" s="315"/>
      <c r="AL88" s="315"/>
      <c r="AM88" s="315"/>
      <c r="AN88" s="315"/>
      <c r="AO88" s="315"/>
      <c r="AP88" s="315"/>
      <c r="AQ88" s="315"/>
      <c r="AR88" s="315"/>
      <c r="AS88" s="315"/>
      <c r="AT88" s="315"/>
      <c r="AU88" s="315"/>
      <c r="AV88" s="315"/>
      <c r="AW88" s="315"/>
    </row>
    <row r="89" ht="18.75" customHeight="1">
      <c r="B89" s="315"/>
      <c r="C89" s="338"/>
      <c r="D89" s="338"/>
      <c r="E89" s="338"/>
      <c r="F89" s="338"/>
      <c r="G89" s="338"/>
      <c r="H89" s="338"/>
      <c r="I89" s="338"/>
      <c r="J89" s="338"/>
      <c r="K89" s="338"/>
      <c r="L89" s="338"/>
      <c r="M89" s="338"/>
      <c r="N89" s="338"/>
      <c r="O89" s="338"/>
      <c r="P89" s="338"/>
      <c r="Q89" s="338"/>
      <c r="R89" s="338"/>
      <c r="S89" s="338"/>
      <c r="T89" s="338"/>
      <c r="U89" s="338"/>
      <c r="V89" s="338"/>
      <c r="W89" s="338"/>
      <c r="X89" s="338"/>
      <c r="Y89" s="338"/>
      <c r="Z89" s="338"/>
      <c r="AA89" s="338"/>
      <c r="AB89" s="338"/>
      <c r="AC89" s="338"/>
      <c r="AD89" s="338"/>
      <c r="AE89" s="338"/>
      <c r="AF89" s="315"/>
      <c r="AG89" s="315"/>
      <c r="AH89" s="315"/>
      <c r="AI89" s="315"/>
      <c r="AJ89" s="315"/>
      <c r="AK89" s="315"/>
      <c r="AL89" s="315"/>
      <c r="AM89" s="315"/>
      <c r="AN89" s="315"/>
      <c r="AO89" s="315"/>
      <c r="AP89" s="315"/>
      <c r="AQ89" s="315"/>
      <c r="AR89" s="315"/>
      <c r="AS89" s="315"/>
      <c r="AT89" s="315"/>
      <c r="AU89" s="315"/>
      <c r="AV89" s="315"/>
      <c r="AW89" s="315"/>
    </row>
    <row r="90" ht="18.75" customHeight="1">
      <c r="B90" s="315"/>
      <c r="C90" s="338"/>
      <c r="D90" s="338"/>
      <c r="E90" s="338"/>
      <c r="F90" s="338"/>
      <c r="G90" s="338"/>
      <c r="H90" s="338"/>
      <c r="I90" s="338"/>
      <c r="J90" s="338"/>
      <c r="K90" s="338"/>
      <c r="L90" s="338"/>
      <c r="M90" s="338"/>
      <c r="N90" s="338"/>
      <c r="O90" s="338"/>
      <c r="P90" s="338"/>
      <c r="Q90" s="338"/>
      <c r="R90" s="338"/>
      <c r="S90" s="338"/>
      <c r="T90" s="338"/>
      <c r="U90" s="338"/>
      <c r="V90" s="338"/>
      <c r="W90" s="338"/>
      <c r="X90" s="338"/>
      <c r="Y90" s="338"/>
      <c r="Z90" s="338"/>
      <c r="AA90" s="338"/>
      <c r="AB90" s="338"/>
      <c r="AC90" s="338"/>
      <c r="AD90" s="338"/>
      <c r="AE90" s="338"/>
      <c r="AF90" s="315"/>
      <c r="AG90" s="315"/>
      <c r="AH90" s="315"/>
      <c r="AI90" s="315"/>
      <c r="AJ90" s="315"/>
      <c r="AK90" s="315"/>
      <c r="AL90" s="315"/>
      <c r="AM90" s="315"/>
      <c r="AN90" s="315"/>
      <c r="AO90" s="315"/>
      <c r="AP90" s="315"/>
      <c r="AQ90" s="315"/>
      <c r="AR90" s="315"/>
      <c r="AS90" s="315"/>
      <c r="AT90" s="315"/>
      <c r="AU90" s="315"/>
      <c r="AV90" s="315"/>
      <c r="AW90" s="315"/>
    </row>
    <row r="91" ht="18.75" customHeight="1">
      <c r="B91" s="315"/>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15"/>
      <c r="AG91" s="315"/>
      <c r="AH91" s="315"/>
      <c r="AI91" s="315"/>
      <c r="AJ91" s="315"/>
      <c r="AK91" s="315"/>
      <c r="AL91" s="315"/>
      <c r="AM91" s="315"/>
      <c r="AN91" s="315"/>
      <c r="AO91" s="315"/>
      <c r="AP91" s="315"/>
      <c r="AQ91" s="315"/>
      <c r="AR91" s="315"/>
      <c r="AS91" s="315"/>
      <c r="AT91" s="315"/>
      <c r="AU91" s="315"/>
      <c r="AV91" s="315"/>
      <c r="AW91" s="315"/>
    </row>
    <row r="92">
      <c r="B92" s="315"/>
      <c r="C92" s="338"/>
      <c r="D92" s="338"/>
      <c r="E92" s="338"/>
      <c r="F92" s="338"/>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15"/>
      <c r="AG92" s="315"/>
      <c r="AH92" s="315"/>
      <c r="AI92" s="315"/>
      <c r="AJ92" s="315"/>
      <c r="AK92" s="315"/>
      <c r="AL92" s="315"/>
      <c r="AM92" s="315"/>
      <c r="AN92" s="315"/>
      <c r="AO92" s="315"/>
      <c r="AP92" s="315"/>
      <c r="AQ92" s="315"/>
      <c r="AR92" s="315"/>
      <c r="AS92" s="315"/>
      <c r="AT92" s="315"/>
      <c r="AU92" s="315"/>
      <c r="AV92" s="315"/>
      <c r="AW92" s="315"/>
    </row>
    <row r="93">
      <c r="B93" s="315"/>
      <c r="C93" s="338"/>
      <c r="D93" s="338"/>
      <c r="E93" s="338"/>
      <c r="F93" s="338"/>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15"/>
      <c r="AG93" s="315"/>
      <c r="AH93" s="315"/>
      <c r="AI93" s="315"/>
      <c r="AJ93" s="315"/>
      <c r="AK93" s="315"/>
      <c r="AL93" s="315"/>
      <c r="AM93" s="315"/>
      <c r="AN93" s="315"/>
      <c r="AO93" s="315"/>
      <c r="AP93" s="315"/>
      <c r="AQ93" s="315"/>
      <c r="AR93" s="315"/>
      <c r="AS93" s="315"/>
      <c r="AT93" s="315"/>
      <c r="AU93" s="315"/>
      <c r="AV93" s="315"/>
      <c r="AW93" s="315"/>
    </row>
    <row r="94">
      <c r="B94" s="315"/>
      <c r="C94" s="338"/>
      <c r="D94" s="338"/>
      <c r="E94" s="338"/>
      <c r="F94" s="338"/>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15"/>
      <c r="AG94" s="315"/>
      <c r="AH94" s="315"/>
      <c r="AI94" s="315"/>
      <c r="AJ94" s="315"/>
      <c r="AK94" s="315"/>
      <c r="AL94" s="315"/>
      <c r="AM94" s="315"/>
      <c r="AN94" s="315"/>
      <c r="AO94" s="315"/>
      <c r="AP94" s="315"/>
      <c r="AQ94" s="315"/>
      <c r="AR94" s="315"/>
      <c r="AS94" s="315"/>
      <c r="AT94" s="315"/>
      <c r="AU94" s="315"/>
      <c r="AV94" s="315"/>
      <c r="AW94" s="315"/>
    </row>
    <row r="95">
      <c r="B95" s="315"/>
      <c r="C95" s="338"/>
      <c r="D95" s="338"/>
      <c r="E95" s="338"/>
      <c r="F95" s="338"/>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15"/>
      <c r="AG95" s="315"/>
      <c r="AH95" s="315"/>
      <c r="AI95" s="315"/>
      <c r="AJ95" s="315"/>
      <c r="AK95" s="315"/>
      <c r="AL95" s="315"/>
      <c r="AM95" s="315"/>
      <c r="AN95" s="315"/>
      <c r="AO95" s="315"/>
      <c r="AP95" s="315"/>
      <c r="AQ95" s="315"/>
      <c r="AR95" s="315"/>
      <c r="AS95" s="315"/>
      <c r="AT95" s="315"/>
      <c r="AU95" s="315"/>
      <c r="AV95" s="315"/>
      <c r="AW95" s="315"/>
    </row>
    <row r="96">
      <c r="B96" s="315"/>
      <c r="C96" s="338"/>
      <c r="D96" s="338"/>
      <c r="E96" s="338"/>
      <c r="F96" s="338"/>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15"/>
      <c r="AG96" s="315"/>
      <c r="AH96" s="315"/>
      <c r="AI96" s="315"/>
      <c r="AJ96" s="315"/>
      <c r="AK96" s="315"/>
      <c r="AL96" s="315"/>
      <c r="AM96" s="315"/>
      <c r="AN96" s="315"/>
      <c r="AO96" s="315"/>
      <c r="AP96" s="315"/>
      <c r="AQ96" s="315"/>
      <c r="AR96" s="315"/>
      <c r="AS96" s="315"/>
      <c r="AT96" s="315"/>
      <c r="AU96" s="315"/>
      <c r="AV96" s="315"/>
      <c r="AW96" s="315"/>
    </row>
    <row r="97">
      <c r="B97" s="315"/>
      <c r="C97" s="338"/>
      <c r="D97" s="338"/>
      <c r="E97" s="338"/>
      <c r="F97" s="338"/>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15"/>
      <c r="AG97" s="315"/>
      <c r="AH97" s="315"/>
      <c r="AI97" s="315"/>
      <c r="AJ97" s="315"/>
      <c r="AK97" s="315"/>
      <c r="AL97" s="315"/>
      <c r="AM97" s="315"/>
      <c r="AN97" s="315"/>
      <c r="AO97" s="315"/>
      <c r="AP97" s="315"/>
      <c r="AQ97" s="315"/>
      <c r="AR97" s="315"/>
      <c r="AS97" s="315"/>
      <c r="AT97" s="315"/>
      <c r="AU97" s="315"/>
      <c r="AV97" s="315"/>
      <c r="AW97" s="315"/>
    </row>
    <row r="98">
      <c r="B98" s="315"/>
      <c r="C98" s="338"/>
      <c r="D98" s="338"/>
      <c r="E98" s="338"/>
      <c r="F98" s="338"/>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15"/>
      <c r="AG98" s="315"/>
      <c r="AH98" s="315"/>
      <c r="AI98" s="315"/>
      <c r="AJ98" s="315"/>
      <c r="AK98" s="315"/>
      <c r="AL98" s="315"/>
      <c r="AM98" s="315"/>
      <c r="AN98" s="315"/>
      <c r="AO98" s="315"/>
      <c r="AP98" s="315"/>
      <c r="AQ98" s="315"/>
      <c r="AR98" s="315"/>
      <c r="AS98" s="315"/>
      <c r="AT98" s="315"/>
      <c r="AU98" s="315"/>
      <c r="AV98" s="315"/>
      <c r="AW98" s="315"/>
    </row>
  </sheetData>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02"/>
    <col min="2" max="2" width="3" customWidth="1" style="202"/>
    <col min="3" max="3" width="3" customWidth="1" style="202"/>
    <col min="4" max="4" width="3" customWidth="1" style="202"/>
    <col min="5" max="5" width="3" customWidth="1" style="202"/>
    <col min="6" max="6" width="3" customWidth="1" style="202"/>
    <col min="7" max="7" width="3" customWidth="1" style="202"/>
    <col min="8" max="8" width="3" customWidth="1" style="202"/>
    <col min="9" max="9" width="3" customWidth="1" style="202"/>
    <col min="10" max="10" width="3" customWidth="1" style="202"/>
    <col min="11" max="30" width="3" customWidth="1" style="202"/>
    <col min="31" max="31" width="3" customWidth="1" style="204"/>
    <col min="32" max="33" width="3" customWidth="1" style="202"/>
    <col min="34" max="123" width="3.140625" customWidth="1" style="202"/>
    <col min="124" max="16384" width="9.140625" customWidth="1" style="202"/>
  </cols>
  <sheetData>
    <row r="1" ht="19.7" customHeight="1">
      <c r="B1" s="452" t="s">
        <v>147</v>
      </c>
      <c r="C1" s="452"/>
      <c r="D1" s="452"/>
      <c r="E1" s="452"/>
      <c r="F1" s="452"/>
      <c r="G1" s="452"/>
      <c r="H1" s="452"/>
      <c r="I1" s="452"/>
      <c r="J1" s="452"/>
      <c r="K1" s="452"/>
      <c r="L1" s="452"/>
      <c r="M1" s="452"/>
      <c r="N1" s="452"/>
      <c r="O1" s="350"/>
      <c r="P1" s="433" t="s">
        <v>211</v>
      </c>
      <c r="Q1" s="433"/>
      <c r="R1" s="433"/>
      <c r="S1" s="433"/>
      <c r="T1" s="433"/>
      <c r="U1" s="433"/>
      <c r="V1" s="433"/>
      <c r="W1" s="433"/>
      <c r="X1" s="433"/>
      <c r="Y1" s="433"/>
      <c r="Z1" s="433"/>
      <c r="AA1" s="433"/>
      <c r="AB1" s="433"/>
      <c r="AC1" s="433"/>
      <c r="AD1" s="433"/>
      <c r="AE1" s="433"/>
      <c r="AF1" s="315"/>
      <c r="AG1" s="315"/>
      <c r="AH1" s="315"/>
      <c r="AI1" s="315"/>
      <c r="AJ1" s="315"/>
      <c r="AK1" s="315"/>
      <c r="AL1" s="315"/>
      <c r="AM1" s="315"/>
      <c r="AN1" s="315"/>
      <c r="AO1" s="315"/>
      <c r="AP1" s="315"/>
      <c r="AQ1" s="315"/>
      <c r="AR1" s="315"/>
      <c r="AS1" s="315"/>
      <c r="AT1" s="315"/>
      <c r="AU1" s="315"/>
      <c r="AV1" s="315"/>
      <c r="AW1" s="315"/>
      <c r="AX1" s="315"/>
    </row>
    <row r="2" ht="19.7" customHeight="1">
      <c r="B2" s="315"/>
      <c r="C2" s="452" t="s">
        <v>149</v>
      </c>
      <c r="D2" s="452"/>
      <c r="E2" s="452"/>
      <c r="F2" s="452"/>
      <c r="G2" s="452"/>
      <c r="H2" s="452"/>
      <c r="I2" s="452"/>
      <c r="J2" s="452"/>
      <c r="K2" s="452"/>
      <c r="L2" s="452"/>
      <c r="M2" s="452"/>
      <c r="N2" s="375"/>
      <c r="O2" s="350"/>
      <c r="P2" s="453" t="s">
        <v>212</v>
      </c>
      <c r="Q2" s="453"/>
      <c r="R2" s="453"/>
      <c r="S2" s="453"/>
      <c r="T2" s="453"/>
      <c r="U2" s="453"/>
      <c r="V2" s="453"/>
      <c r="W2" s="453"/>
      <c r="X2" s="453"/>
      <c r="Y2" s="453"/>
      <c r="Z2" s="453"/>
      <c r="AA2" s="453"/>
      <c r="AB2" s="453"/>
      <c r="AC2" s="453"/>
      <c r="AD2" s="453"/>
      <c r="AE2" s="453"/>
      <c r="AF2" s="315"/>
      <c r="AG2" s="315"/>
      <c r="AH2" s="315"/>
      <c r="AI2" s="315"/>
      <c r="AJ2" s="315"/>
      <c r="AK2" s="315"/>
      <c r="AL2" s="315"/>
      <c r="AM2" s="315"/>
      <c r="AN2" s="315"/>
      <c r="AO2" s="315"/>
      <c r="AP2" s="315"/>
      <c r="AQ2" s="315"/>
      <c r="AR2" s="315"/>
      <c r="AS2" s="315"/>
      <c r="AT2" s="315"/>
      <c r="AU2" s="315"/>
      <c r="AV2" s="315"/>
      <c r="AW2" s="315"/>
      <c r="AX2" s="315"/>
    </row>
    <row r="3" ht="8.45" customHeight="1">
      <c r="B3" s="315"/>
      <c r="C3" s="349"/>
      <c r="D3" s="349"/>
      <c r="E3" s="345"/>
      <c r="F3" s="345"/>
      <c r="G3" s="345"/>
      <c r="H3" s="345"/>
      <c r="I3" s="345"/>
      <c r="J3" s="345"/>
      <c r="K3" s="349"/>
      <c r="L3" s="348"/>
      <c r="M3" s="349"/>
      <c r="N3" s="349"/>
      <c r="O3" s="349"/>
      <c r="P3" s="349"/>
      <c r="Q3" s="345"/>
      <c r="R3" s="345"/>
      <c r="S3" s="376"/>
      <c r="T3" s="376"/>
      <c r="U3" s="376"/>
      <c r="V3" s="376"/>
      <c r="W3" s="376"/>
      <c r="X3" s="376"/>
      <c r="Y3" s="376"/>
      <c r="Z3" s="376"/>
      <c r="AA3" s="376"/>
      <c r="AB3" s="381"/>
      <c r="AC3" s="350"/>
      <c r="AD3" s="350"/>
      <c r="AE3" s="382"/>
      <c r="AF3" s="315"/>
      <c r="AG3" s="315"/>
      <c r="AH3" s="315"/>
      <c r="AI3" s="315"/>
      <c r="AJ3" s="315"/>
      <c r="AK3" s="315"/>
      <c r="AL3" s="315"/>
      <c r="AM3" s="315"/>
      <c r="AN3" s="315"/>
      <c r="AO3" s="315"/>
      <c r="AP3" s="315"/>
      <c r="AQ3" s="315"/>
      <c r="AR3" s="315"/>
      <c r="AS3" s="315"/>
      <c r="AT3" s="315"/>
      <c r="AU3" s="315"/>
      <c r="AV3" s="315"/>
      <c r="AW3" s="315"/>
      <c r="AX3" s="315"/>
    </row>
    <row r="4" ht="2.25" customHeight="1">
      <c r="B4" s="315"/>
      <c r="C4" s="343"/>
      <c r="D4" s="343"/>
      <c r="E4" s="344"/>
      <c r="F4" s="344"/>
      <c r="G4" s="344"/>
      <c r="H4" s="344"/>
      <c r="I4" s="344"/>
      <c r="J4" s="344"/>
      <c r="K4" s="344"/>
      <c r="L4" s="345"/>
      <c r="M4" s="345"/>
      <c r="N4" s="345"/>
      <c r="O4" s="345"/>
      <c r="P4" s="344"/>
      <c r="Q4" s="375"/>
      <c r="R4" s="375"/>
      <c r="S4" s="375"/>
      <c r="T4" s="375"/>
      <c r="U4" s="375"/>
      <c r="V4" s="375"/>
      <c r="W4" s="375"/>
      <c r="X4" s="375"/>
      <c r="Y4" s="375"/>
      <c r="Z4" s="375"/>
      <c r="AA4" s="375"/>
      <c r="AB4" s="375"/>
      <c r="AC4" s="375"/>
      <c r="AD4" s="375"/>
      <c r="AE4" s="382"/>
      <c r="AF4" s="315"/>
      <c r="AG4" s="315"/>
      <c r="AH4" s="315"/>
      <c r="AI4" s="315"/>
      <c r="AJ4" s="315"/>
      <c r="AK4" s="315"/>
      <c r="AL4" s="315"/>
      <c r="AM4" s="315"/>
      <c r="AN4" s="315"/>
      <c r="AO4" s="315"/>
      <c r="AP4" s="315"/>
      <c r="AQ4" s="315"/>
      <c r="AR4" s="315"/>
      <c r="AS4" s="315"/>
      <c r="AT4" s="315"/>
      <c r="AU4" s="315"/>
      <c r="AV4" s="315"/>
      <c r="AW4" s="315"/>
      <c r="AX4" s="315"/>
    </row>
    <row r="5" hidden="1" ht="1.5" customHeight="1">
      <c r="B5" s="315"/>
      <c r="C5" s="377"/>
      <c r="D5" s="377"/>
      <c r="E5" s="349"/>
      <c r="F5" s="349"/>
      <c r="G5" s="349"/>
      <c r="H5" s="349"/>
      <c r="I5" s="349"/>
      <c r="J5" s="349"/>
      <c r="K5" s="349"/>
      <c r="L5" s="349"/>
      <c r="M5" s="349"/>
      <c r="N5" s="349"/>
      <c r="O5" s="349"/>
      <c r="P5" s="349"/>
      <c r="Q5" s="349"/>
      <c r="R5" s="349"/>
      <c r="S5" s="349"/>
      <c r="T5" s="349"/>
      <c r="U5" s="349"/>
      <c r="V5" s="349"/>
      <c r="W5" s="349"/>
      <c r="X5" s="349"/>
      <c r="Y5" s="349"/>
      <c r="Z5" s="349"/>
      <c r="AA5" s="349"/>
      <c r="AB5" s="350"/>
      <c r="AC5" s="350"/>
      <c r="AD5" s="350"/>
      <c r="AE5" s="382"/>
      <c r="AF5" s="315"/>
      <c r="AG5" s="315"/>
      <c r="AH5" s="315"/>
      <c r="AI5" s="315"/>
      <c r="AJ5" s="315"/>
      <c r="AK5" s="315"/>
      <c r="AL5" s="315"/>
      <c r="AM5" s="315"/>
      <c r="AN5" s="315"/>
      <c r="AO5" s="315"/>
      <c r="AP5" s="315"/>
      <c r="AQ5" s="315"/>
      <c r="AR5" s="315"/>
      <c r="AS5" s="315"/>
      <c r="AT5" s="315"/>
      <c r="AU5" s="315"/>
      <c r="AV5" s="315"/>
      <c r="AW5" s="315"/>
      <c r="AX5" s="315"/>
    </row>
    <row r="6" ht="19.7" customHeight="1">
      <c r="B6" s="315"/>
      <c r="C6" s="445" t="s">
        <v>151</v>
      </c>
      <c r="D6" s="445"/>
      <c r="E6" s="445"/>
      <c r="F6" s="445"/>
      <c r="G6" s="445"/>
      <c r="H6" s="445"/>
      <c r="I6" s="445"/>
      <c r="J6" s="445"/>
      <c r="K6" s="445"/>
      <c r="L6" s="445"/>
      <c r="M6" s="445"/>
      <c r="N6" s="445"/>
      <c r="O6" s="445"/>
      <c r="P6" s="445"/>
      <c r="Q6" s="445"/>
      <c r="R6" s="445"/>
      <c r="S6" s="445"/>
      <c r="T6" s="445"/>
      <c r="U6" s="445"/>
      <c r="V6" s="445"/>
      <c r="W6" s="445"/>
      <c r="X6" s="445"/>
      <c r="Y6" s="445"/>
      <c r="Z6" s="445"/>
      <c r="AA6" s="445"/>
      <c r="AB6" s="445"/>
      <c r="AC6" s="445"/>
      <c r="AD6" s="445"/>
      <c r="AE6" s="445"/>
      <c r="AF6" s="315"/>
      <c r="AG6" s="315"/>
      <c r="AH6" s="315"/>
      <c r="AI6" s="315"/>
      <c r="AJ6" s="315"/>
      <c r="AK6" s="315"/>
      <c r="AL6" s="315"/>
      <c r="AM6" s="315"/>
      <c r="AN6" s="315"/>
      <c r="AO6" s="315"/>
      <c r="AP6" s="315"/>
      <c r="AQ6" s="315"/>
      <c r="AR6" s="315"/>
      <c r="AS6" s="315"/>
      <c r="AT6" s="315"/>
      <c r="AU6" s="315"/>
      <c r="AV6" s="315"/>
      <c r="AW6" s="315"/>
      <c r="AX6" s="315"/>
    </row>
    <row r="7" ht="19.7" customHeight="1">
      <c r="B7" s="315"/>
      <c r="C7" s="445" t="s">
        <v>152</v>
      </c>
      <c r="D7" s="445"/>
      <c r="E7" s="445"/>
      <c r="F7" s="445"/>
      <c r="G7" s="445"/>
      <c r="H7" s="445"/>
      <c r="I7" s="445"/>
      <c r="J7" s="445"/>
      <c r="K7" s="445"/>
      <c r="L7" s="445"/>
      <c r="M7" s="445"/>
      <c r="N7" s="445"/>
      <c r="O7" s="445"/>
      <c r="P7" s="445"/>
      <c r="Q7" s="445"/>
      <c r="R7" s="445"/>
      <c r="S7" s="445"/>
      <c r="T7" s="445"/>
      <c r="U7" s="445"/>
      <c r="V7" s="445"/>
      <c r="W7" s="445"/>
      <c r="X7" s="445"/>
      <c r="Y7" s="445"/>
      <c r="Z7" s="445"/>
      <c r="AA7" s="445"/>
      <c r="AB7" s="445"/>
      <c r="AC7" s="445"/>
      <c r="AD7" s="445"/>
      <c r="AE7" s="445"/>
      <c r="AF7" s="315"/>
      <c r="AG7" s="315"/>
      <c r="AH7" s="315"/>
      <c r="AI7" s="315"/>
      <c r="AJ7" s="315"/>
      <c r="AK7" s="315"/>
      <c r="AL7" s="315"/>
      <c r="AM7" s="315"/>
      <c r="AN7" s="315"/>
      <c r="AO7" s="315"/>
      <c r="AP7" s="315"/>
      <c r="AQ7" s="315"/>
      <c r="AR7" s="315"/>
      <c r="AS7" s="315"/>
      <c r="AT7" s="315"/>
      <c r="AU7" s="315"/>
      <c r="AV7" s="315"/>
      <c r="AW7" s="315"/>
      <c r="AX7" s="315"/>
    </row>
    <row r="8" ht="9" customHeight="1">
      <c r="B8" s="315"/>
      <c r="C8" s="348"/>
      <c r="D8" s="349"/>
      <c r="E8" s="349"/>
      <c r="F8" s="349"/>
      <c r="G8" s="349"/>
      <c r="H8" s="349"/>
      <c r="I8" s="349"/>
      <c r="J8" s="349"/>
      <c r="K8" s="349"/>
      <c r="L8" s="349"/>
      <c r="M8" s="349"/>
      <c r="N8" s="349"/>
      <c r="O8" s="349"/>
      <c r="P8" s="349"/>
      <c r="Q8" s="349"/>
      <c r="R8" s="349"/>
      <c r="S8" s="349"/>
      <c r="T8" s="349"/>
      <c r="U8" s="349"/>
      <c r="V8" s="349"/>
      <c r="W8" s="349"/>
      <c r="X8" s="349"/>
      <c r="Y8" s="349"/>
      <c r="Z8" s="349"/>
      <c r="AA8" s="349"/>
      <c r="AB8" s="350"/>
      <c r="AC8" s="350"/>
      <c r="AD8" s="350"/>
      <c r="AE8" s="382"/>
      <c r="AF8" s="315"/>
      <c r="AG8" s="315"/>
      <c r="AH8" s="315"/>
      <c r="AI8" s="315"/>
      <c r="AJ8" s="315"/>
      <c r="AK8" s="315"/>
      <c r="AL8" s="315"/>
      <c r="AM8" s="315"/>
      <c r="AN8" s="315"/>
      <c r="AO8" s="315"/>
      <c r="AP8" s="315"/>
      <c r="AQ8" s="315"/>
      <c r="AR8" s="315"/>
      <c r="AS8" s="315"/>
      <c r="AT8" s="315"/>
      <c r="AU8" s="315"/>
      <c r="AV8" s="315"/>
      <c r="AW8" s="315"/>
      <c r="AX8" s="315"/>
    </row>
    <row r="9" ht="19.7" customHeight="1">
      <c r="B9" s="315"/>
      <c r="C9" s="453" t="str">
        <f>"Số: "&amp;AI9</f>
        <v>Số: B08600120811TG05</v>
      </c>
      <c r="D9" s="453"/>
      <c r="E9" s="453"/>
      <c r="F9" s="453"/>
      <c r="G9" s="453"/>
      <c r="H9" s="453"/>
      <c r="I9" s="453"/>
      <c r="J9" s="453"/>
      <c r="K9" s="453"/>
      <c r="L9" s="453"/>
      <c r="M9" s="453"/>
      <c r="N9" s="453"/>
      <c r="O9" s="453"/>
      <c r="P9" s="453"/>
      <c r="Q9" s="453"/>
      <c r="R9" s="453"/>
      <c r="S9" s="453"/>
      <c r="T9" s="453"/>
      <c r="U9" s="453"/>
      <c r="V9" s="453"/>
      <c r="W9" s="453"/>
      <c r="X9" s="453"/>
      <c r="Y9" s="453"/>
      <c r="Z9" s="453"/>
      <c r="AA9" s="453"/>
      <c r="AB9" s="453"/>
      <c r="AC9" s="453"/>
      <c r="AD9" s="453"/>
      <c r="AE9" s="453"/>
      <c r="AF9" s="315"/>
      <c r="AG9" s="315"/>
      <c r="AH9" s="315"/>
      <c r="AI9" s="351" t="s">
        <v>153</v>
      </c>
      <c r="AJ9" s="315"/>
      <c r="AK9" s="315"/>
      <c r="AL9" s="315"/>
      <c r="AM9" s="315"/>
      <c r="AN9" s="315"/>
      <c r="AO9" s="315"/>
      <c r="AP9" s="315"/>
      <c r="AQ9" s="315"/>
      <c r="AR9" s="315"/>
      <c r="AS9" s="315"/>
      <c r="AT9" s="315"/>
      <c r="AU9" s="315"/>
      <c r="AV9" s="315"/>
      <c r="AW9" s="315"/>
      <c r="AX9" s="315"/>
    </row>
    <row r="10" ht="6" customHeight="1">
      <c r="B10" s="315"/>
      <c r="C10" s="352"/>
      <c r="D10" s="349"/>
      <c r="E10" s="349"/>
      <c r="F10" s="349"/>
      <c r="G10" s="349"/>
      <c r="H10" s="349"/>
      <c r="I10" s="349"/>
      <c r="J10" s="349"/>
      <c r="K10" s="349"/>
      <c r="L10" s="349"/>
      <c r="M10" s="349"/>
      <c r="N10" s="349"/>
      <c r="O10" s="349"/>
      <c r="P10" s="349"/>
      <c r="Q10" s="349"/>
      <c r="R10" s="349"/>
      <c r="S10" s="349"/>
      <c r="T10" s="349"/>
      <c r="U10" s="349"/>
      <c r="V10" s="349"/>
      <c r="W10" s="349"/>
      <c r="X10" s="349"/>
      <c r="Y10" s="349"/>
      <c r="Z10" s="349"/>
      <c r="AA10" s="349"/>
      <c r="AB10" s="350"/>
      <c r="AC10" s="350"/>
      <c r="AD10" s="350"/>
      <c r="AE10" s="382"/>
      <c r="AF10" s="315"/>
      <c r="AG10" s="315"/>
      <c r="AH10" s="315"/>
      <c r="AI10" s="315"/>
      <c r="AJ10" s="315"/>
      <c r="AK10" s="315"/>
      <c r="AL10" s="315"/>
      <c r="AM10" s="315"/>
      <c r="AN10" s="315"/>
      <c r="AO10" s="315"/>
      <c r="AP10" s="315"/>
      <c r="AQ10" s="315"/>
      <c r="AR10" s="315"/>
      <c r="AS10" s="315"/>
      <c r="AT10" s="315"/>
      <c r="AU10" s="315"/>
      <c r="AV10" s="315"/>
      <c r="AW10" s="315"/>
      <c r="AX10" s="315"/>
    </row>
    <row r="11" ht="19.7" customHeight="1">
      <c r="B11" s="315"/>
      <c r="C11" s="445" t="s">
        <v>154</v>
      </c>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315"/>
      <c r="AG11" s="315"/>
      <c r="AH11" s="315"/>
      <c r="AI11" s="315"/>
      <c r="AJ11" s="315"/>
      <c r="AK11" s="315"/>
      <c r="AL11" s="315"/>
      <c r="AM11" s="315"/>
      <c r="AN11" s="315"/>
      <c r="AO11" s="315"/>
      <c r="AP11" s="315"/>
      <c r="AQ11" s="315"/>
      <c r="AR11" s="315"/>
      <c r="AS11" s="315"/>
      <c r="AT11" s="315"/>
      <c r="AU11" s="315"/>
      <c r="AV11" s="315"/>
      <c r="AW11" s="315"/>
      <c r="AX11" s="315"/>
    </row>
    <row r="12" ht="19.7" customHeight="1">
      <c r="B12" s="315"/>
      <c r="C12" s="445" t="s">
        <v>155</v>
      </c>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315"/>
      <c r="AG12" s="315"/>
      <c r="AH12" s="315"/>
      <c r="AI12" s="315"/>
      <c r="AJ12" s="315"/>
      <c r="AK12" s="315"/>
      <c r="AL12" s="315"/>
      <c r="AM12" s="315"/>
      <c r="AN12" s="315"/>
      <c r="AO12" s="315"/>
      <c r="AP12" s="315"/>
      <c r="AQ12" s="315"/>
      <c r="AR12" s="315"/>
      <c r="AS12" s="315"/>
      <c r="AT12" s="315"/>
      <c r="AU12" s="315"/>
      <c r="AV12" s="315"/>
      <c r="AW12" s="315"/>
      <c r="AX12" s="315"/>
    </row>
    <row r="13" ht="6.75" customHeight="1">
      <c r="B13" s="315"/>
      <c r="C13" s="353"/>
      <c r="D13" s="339"/>
      <c r="E13" s="339"/>
      <c r="F13" s="339"/>
      <c r="G13" s="339"/>
      <c r="H13" s="339"/>
      <c r="I13" s="339"/>
      <c r="J13" s="339"/>
      <c r="K13" s="339"/>
      <c r="L13" s="339"/>
      <c r="M13" s="339"/>
      <c r="N13" s="339"/>
      <c r="O13" s="339"/>
      <c r="P13" s="339"/>
      <c r="Q13" s="339"/>
      <c r="R13" s="339"/>
      <c r="S13" s="339"/>
      <c r="T13" s="339"/>
      <c r="U13" s="339"/>
      <c r="V13" s="339"/>
      <c r="W13" s="339"/>
      <c r="X13" s="339"/>
      <c r="Y13" s="339"/>
      <c r="Z13" s="339"/>
      <c r="AA13" s="339"/>
      <c r="AB13" s="315"/>
      <c r="AC13" s="315"/>
      <c r="AD13" s="315"/>
      <c r="AE13" s="338"/>
      <c r="AF13" s="315"/>
      <c r="AG13" s="315"/>
      <c r="AH13" s="315"/>
      <c r="AI13" s="315"/>
      <c r="AJ13" s="315"/>
      <c r="AK13" s="315"/>
      <c r="AL13" s="315"/>
      <c r="AM13" s="315"/>
      <c r="AN13" s="315"/>
      <c r="AO13" s="315"/>
      <c r="AP13" s="315"/>
      <c r="AQ13" s="315"/>
      <c r="AR13" s="315"/>
      <c r="AS13" s="315"/>
      <c r="AT13" s="315"/>
      <c r="AU13" s="315"/>
      <c r="AV13" s="315"/>
      <c r="AW13" s="315"/>
      <c r="AX13" s="315"/>
    </row>
    <row r="14" hidden="1" ht="2.25" customHeight="1">
      <c r="B14" s="315"/>
      <c r="C14" s="354"/>
      <c r="D14" s="339"/>
      <c r="E14" s="339"/>
      <c r="F14" s="339"/>
      <c r="G14" s="339"/>
      <c r="H14" s="339"/>
      <c r="I14" s="339"/>
      <c r="J14" s="339"/>
      <c r="K14" s="339"/>
      <c r="L14" s="339"/>
      <c r="M14" s="339"/>
      <c r="N14" s="339"/>
      <c r="O14" s="339"/>
      <c r="P14" s="339"/>
      <c r="Q14" s="339"/>
      <c r="R14" s="339"/>
      <c r="S14" s="339"/>
      <c r="T14" s="339"/>
      <c r="U14" s="339"/>
      <c r="V14" s="339"/>
      <c r="W14" s="339"/>
      <c r="X14" s="339"/>
      <c r="Y14" s="339"/>
      <c r="Z14" s="339"/>
      <c r="AA14" s="339"/>
      <c r="AB14" s="315"/>
      <c r="AC14" s="315"/>
      <c r="AD14" s="315"/>
      <c r="AE14" s="338"/>
      <c r="AF14" s="315"/>
      <c r="AG14" s="315"/>
      <c r="AH14" s="315"/>
      <c r="AI14" s="315"/>
      <c r="AJ14" s="315"/>
      <c r="AK14" s="315"/>
      <c r="AL14" s="315"/>
      <c r="AM14" s="315"/>
      <c r="AN14" s="315"/>
      <c r="AO14" s="315"/>
      <c r="AP14" s="315"/>
      <c r="AQ14" s="315"/>
      <c r="AR14" s="315"/>
      <c r="AS14" s="315"/>
      <c r="AT14" s="315"/>
      <c r="AU14" s="315"/>
      <c r="AV14" s="315"/>
      <c r="AW14" s="315"/>
      <c r="AX14" s="315"/>
    </row>
    <row r="15" ht="22.5" customHeight="1">
      <c r="B15" s="315"/>
      <c r="C15" s="504" t="s">
        <v>152</v>
      </c>
      <c r="D15" s="504"/>
      <c r="E15" s="504"/>
      <c r="F15" s="504"/>
      <c r="G15" s="504"/>
      <c r="H15" s="504"/>
      <c r="I15" s="504"/>
      <c r="J15" s="504"/>
      <c r="K15" s="504"/>
      <c r="L15" s="504"/>
      <c r="M15" s="504"/>
      <c r="N15" s="504"/>
      <c r="O15" s="504"/>
      <c r="P15" s="504"/>
      <c r="Q15" s="504"/>
      <c r="R15" s="504"/>
      <c r="S15" s="504"/>
      <c r="T15" s="504"/>
      <c r="U15" s="504"/>
      <c r="V15" s="504"/>
      <c r="W15" s="504"/>
      <c r="X15" s="504"/>
      <c r="Y15" s="504"/>
      <c r="Z15" s="504"/>
      <c r="AA15" s="504"/>
      <c r="AB15" s="504"/>
      <c r="AC15" s="504"/>
      <c r="AD15" s="504"/>
      <c r="AE15" s="504"/>
      <c r="AF15" s="504"/>
      <c r="AG15" s="383"/>
      <c r="AH15" s="383"/>
      <c r="AI15" s="356">
        <v>1</v>
      </c>
      <c r="AJ15" s="356"/>
      <c r="AK15" s="356"/>
      <c r="AL15" s="356"/>
      <c r="AM15" s="356">
        <v>2</v>
      </c>
      <c r="AN15" s="356"/>
      <c r="AO15" s="356"/>
      <c r="AP15" s="356"/>
      <c r="AQ15" s="356">
        <v>3</v>
      </c>
      <c r="AR15" s="315"/>
      <c r="AS15" s="315"/>
      <c r="AT15" s="315"/>
      <c r="AU15" s="315">
        <v>4</v>
      </c>
      <c r="AV15" s="315"/>
      <c r="AW15" s="315"/>
      <c r="AX15" s="315"/>
    </row>
    <row r="16" ht="38.25" customHeight="1">
      <c r="B16" s="315"/>
      <c r="C16" s="488" t="s">
        <v>89</v>
      </c>
      <c r="D16" s="489"/>
      <c r="E16" s="489"/>
      <c r="F16" s="489"/>
      <c r="G16" s="489"/>
      <c r="H16" s="489"/>
      <c r="I16" s="489"/>
      <c r="J16" s="489"/>
      <c r="K16" s="489"/>
      <c r="L16" s="490"/>
      <c r="M16" s="491" t="str">
        <f>AI16</f>
        <v>Ấp Bàu Trâu, xã Phước Thạnh, huyện Củ Chi, thành phố Hồ Chí Minh.</v>
      </c>
      <c r="N16" s="492"/>
      <c r="O16" s="492"/>
      <c r="P16" s="492"/>
      <c r="Q16" s="492"/>
      <c r="R16" s="492"/>
      <c r="S16" s="492"/>
      <c r="T16" s="492"/>
      <c r="U16" s="492"/>
      <c r="V16" s="492"/>
      <c r="W16" s="492"/>
      <c r="X16" s="492"/>
      <c r="Y16" s="492"/>
      <c r="Z16" s="492"/>
      <c r="AA16" s="492"/>
      <c r="AB16" s="492"/>
      <c r="AC16" s="492"/>
      <c r="AD16" s="492"/>
      <c r="AE16" s="492"/>
      <c r="AF16" s="493"/>
      <c r="AG16" s="384"/>
      <c r="AH16" s="384"/>
      <c r="AI16" s="378" t="s">
        <v>156</v>
      </c>
      <c r="AJ16" s="315"/>
      <c r="AK16" s="315"/>
      <c r="AL16" s="315"/>
      <c r="AM16" s="315"/>
      <c r="AN16" s="315"/>
      <c r="AO16" s="315"/>
      <c r="AP16" s="315"/>
      <c r="AQ16" s="315"/>
      <c r="AR16" s="315"/>
      <c r="AS16" s="315"/>
      <c r="AT16" s="315"/>
      <c r="AU16" s="315"/>
      <c r="AV16" s="315"/>
      <c r="AW16" s="315"/>
      <c r="AX16" s="315"/>
    </row>
    <row r="17" ht="22.5" customHeight="1">
      <c r="B17" s="315"/>
      <c r="C17" s="511" t="s">
        <v>88</v>
      </c>
      <c r="D17" s="512"/>
      <c r="E17" s="512"/>
      <c r="F17" s="512"/>
      <c r="G17" s="512"/>
      <c r="H17" s="512"/>
      <c r="I17" s="512"/>
      <c r="J17" s="512"/>
      <c r="K17" s="512"/>
      <c r="L17" s="513"/>
      <c r="M17" s="508" t="str">
        <f>IF(AG17="","",AG17)</f>
      </c>
      <c r="N17" s="509"/>
      <c r="O17" s="509"/>
      <c r="P17" s="509"/>
      <c r="Q17" s="509"/>
      <c r="R17" s="509"/>
      <c r="S17" s="509"/>
      <c r="T17" s="509"/>
      <c r="U17" s="509"/>
      <c r="V17" s="509"/>
      <c r="W17" s="509"/>
      <c r="X17" s="509"/>
      <c r="Y17" s="509"/>
      <c r="Z17" s="509"/>
      <c r="AA17" s="509"/>
      <c r="AB17" s="509"/>
      <c r="AC17" s="509"/>
      <c r="AD17" s="509"/>
      <c r="AE17" s="509"/>
      <c r="AF17" s="510"/>
      <c r="AG17" s="384"/>
      <c r="AH17" s="384"/>
      <c r="AI17" s="315"/>
      <c r="AJ17" s="315"/>
      <c r="AK17" s="315"/>
      <c r="AL17" s="315"/>
      <c r="AM17" s="315"/>
      <c r="AN17" s="315"/>
      <c r="AO17" s="315"/>
      <c r="AP17" s="315"/>
      <c r="AQ17" s="315"/>
      <c r="AR17" s="315"/>
      <c r="AS17" s="315"/>
      <c r="AT17" s="315"/>
      <c r="AU17" s="315"/>
      <c r="AV17" s="315"/>
      <c r="AW17" s="315"/>
      <c r="AX17" s="315"/>
    </row>
    <row r="18" ht="31.35" customHeight="1">
      <c r="B18" s="315"/>
      <c r="C18" s="518" t="s">
        <v>157</v>
      </c>
      <c r="D18" s="519"/>
      <c r="E18" s="519"/>
      <c r="F18" s="519"/>
      <c r="G18" s="519"/>
      <c r="H18" s="519"/>
      <c r="I18" s="519"/>
      <c r="J18" s="519"/>
      <c r="K18" s="519"/>
      <c r="L18" s="519"/>
      <c r="M18" s="498" t="str">
        <f>AI18</f>
        <v>CÔNG TY CỔ PHẦN VIỄN THÔNG DI ĐỘNG TOÀN CẦU</v>
      </c>
      <c r="N18" s="498"/>
      <c r="O18" s="498"/>
      <c r="P18" s="498"/>
      <c r="Q18" s="498"/>
      <c r="R18" s="498"/>
      <c r="S18" s="498"/>
      <c r="T18" s="498"/>
      <c r="U18" s="498"/>
      <c r="V18" s="498"/>
      <c r="W18" s="498"/>
      <c r="X18" s="498"/>
      <c r="Y18" s="498"/>
      <c r="Z18" s="498"/>
      <c r="AA18" s="498"/>
      <c r="AB18" s="498"/>
      <c r="AC18" s="498"/>
      <c r="AD18" s="498"/>
      <c r="AE18" s="498"/>
      <c r="AF18" s="498"/>
      <c r="AG18" s="384"/>
      <c r="AH18" s="384"/>
      <c r="AI18" s="351" t="s">
        <v>158</v>
      </c>
      <c r="AJ18" s="315"/>
      <c r="AK18" s="315"/>
      <c r="AL18" s="315"/>
      <c r="AM18" s="315"/>
      <c r="AN18" s="315"/>
      <c r="AO18" s="315"/>
      <c r="AP18" s="315"/>
      <c r="AQ18" s="315"/>
      <c r="AR18" s="315"/>
      <c r="AS18" s="315"/>
      <c r="AT18" s="315"/>
      <c r="AU18" s="315"/>
      <c r="AV18" s="315"/>
      <c r="AW18" s="315"/>
      <c r="AX18" s="315"/>
    </row>
    <row r="19" ht="31.35" customHeight="1">
      <c r="B19" s="315"/>
      <c r="C19" s="518" t="s">
        <v>159</v>
      </c>
      <c r="D19" s="519"/>
      <c r="E19" s="519"/>
      <c r="F19" s="519"/>
      <c r="G19" s="519"/>
      <c r="H19" s="519"/>
      <c r="I19" s="519"/>
      <c r="J19" s="519"/>
      <c r="K19" s="519"/>
      <c r="L19" s="519"/>
      <c r="M19" s="498" t="str">
        <f>AI19</f>
        <v>CÔNG TY CỔ PHẦN VIỄN THÔNG DI ĐỘNG TOÀN CẦU</v>
      </c>
      <c r="N19" s="498"/>
      <c r="O19" s="498"/>
      <c r="P19" s="498"/>
      <c r="Q19" s="498"/>
      <c r="R19" s="498"/>
      <c r="S19" s="498"/>
      <c r="T19" s="498"/>
      <c r="U19" s="498"/>
      <c r="V19" s="498"/>
      <c r="W19" s="498"/>
      <c r="X19" s="498"/>
      <c r="Y19" s="498"/>
      <c r="Z19" s="498"/>
      <c r="AA19" s="498"/>
      <c r="AB19" s="498"/>
      <c r="AC19" s="498"/>
      <c r="AD19" s="498"/>
      <c r="AE19" s="498"/>
      <c r="AF19" s="498"/>
      <c r="AG19" s="384"/>
      <c r="AH19" s="384"/>
      <c r="AI19" s="351" t="s">
        <v>158</v>
      </c>
      <c r="AJ19" s="315"/>
      <c r="AK19" s="315"/>
      <c r="AL19" s="315"/>
      <c r="AM19" s="315"/>
      <c r="AN19" s="315"/>
      <c r="AO19" s="315"/>
      <c r="AP19" s="315"/>
      <c r="AQ19" s="315"/>
      <c r="AR19" s="315"/>
      <c r="AS19" s="315"/>
      <c r="AT19" s="315"/>
      <c r="AU19" s="315"/>
      <c r="AV19" s="315"/>
      <c r="AW19" s="315"/>
      <c r="AX19" s="315"/>
    </row>
    <row r="20" ht="18.75" customHeight="1">
      <c r="B20" s="315"/>
      <c r="C20" s="485" t="s">
        <v>160</v>
      </c>
      <c r="D20" s="486"/>
      <c r="E20" s="486"/>
      <c r="F20" s="486"/>
      <c r="G20" s="486"/>
      <c r="H20" s="486"/>
      <c r="I20" s="486"/>
      <c r="J20" s="486"/>
      <c r="K20" s="486"/>
      <c r="L20" s="486"/>
      <c r="M20" s="486"/>
      <c r="N20" s="486"/>
      <c r="O20" s="486"/>
      <c r="P20" s="486"/>
      <c r="Q20" s="486"/>
      <c r="R20" s="486"/>
      <c r="S20" s="486"/>
      <c r="T20" s="486"/>
      <c r="U20" s="486"/>
      <c r="V20" s="486"/>
      <c r="W20" s="486"/>
      <c r="X20" s="486"/>
      <c r="Y20" s="486"/>
      <c r="Z20" s="486"/>
      <c r="AA20" s="486"/>
      <c r="AB20" s="486"/>
      <c r="AC20" s="486"/>
      <c r="AD20" s="486"/>
      <c r="AE20" s="486"/>
      <c r="AF20" s="487"/>
      <c r="AG20" s="385"/>
      <c r="AH20" s="385"/>
      <c r="AI20" s="315"/>
      <c r="AJ20" s="315"/>
      <c r="AK20" s="315"/>
      <c r="AL20" s="315"/>
      <c r="AM20" s="315"/>
      <c r="AN20" s="315"/>
      <c r="AO20" s="315"/>
      <c r="AP20" s="315"/>
      <c r="AQ20" s="315"/>
      <c r="AR20" s="315"/>
      <c r="AS20" s="315"/>
      <c r="AT20" s="315"/>
      <c r="AU20" s="315"/>
      <c r="AV20" s="315"/>
      <c r="AW20" s="315"/>
      <c r="AX20" s="315"/>
    </row>
    <row r="21" ht="45.2" customHeight="1">
      <c r="B21" s="315"/>
      <c r="C21" s="502" t="s">
        <v>161</v>
      </c>
      <c r="D21" s="502"/>
      <c r="E21" s="502"/>
      <c r="F21" s="502"/>
      <c r="G21" s="502"/>
      <c r="H21" s="502"/>
      <c r="I21" s="502"/>
      <c r="J21" s="502"/>
      <c r="K21" s="502"/>
      <c r="L21" s="502"/>
      <c r="M21" s="498" t="str">
        <f ref="M21:M23" t="shared" si="0">AI21</f>
        <v>A</v>
      </c>
      <c r="N21" s="498"/>
      <c r="O21" s="498"/>
      <c r="P21" s="498"/>
      <c r="Q21" s="498"/>
      <c r="R21" s="498" t="str">
        <f ref="R21:R23" t="shared" si="1">AM21</f>
        <v>B</v>
      </c>
      <c r="S21" s="498"/>
      <c r="T21" s="498"/>
      <c r="U21" s="498"/>
      <c r="V21" s="498"/>
      <c r="W21" s="498" t="str">
        <f>AQ21</f>
        <v>C</v>
      </c>
      <c r="X21" s="498"/>
      <c r="Y21" s="498"/>
      <c r="Z21" s="498"/>
      <c r="AA21" s="498"/>
      <c r="AB21" s="498" t="str">
        <f>AU21</f>
        <v>D</v>
      </c>
      <c r="AC21" s="498"/>
      <c r="AD21" s="498"/>
      <c r="AE21" s="498"/>
      <c r="AF21" s="498"/>
      <c r="AG21" s="383"/>
      <c r="AH21" s="383"/>
      <c r="AI21" s="351" t="s">
        <v>162</v>
      </c>
      <c r="AJ21" s="315"/>
      <c r="AK21" s="315"/>
      <c r="AL21" s="315"/>
      <c r="AM21" s="351" t="s">
        <v>163</v>
      </c>
      <c r="AN21" s="315"/>
      <c r="AO21" s="315"/>
      <c r="AP21" s="315"/>
      <c r="AQ21" s="351" t="s">
        <v>164</v>
      </c>
      <c r="AR21" s="315"/>
      <c r="AS21" s="315"/>
      <c r="AT21" s="315"/>
      <c r="AU21" s="351" t="s">
        <v>165</v>
      </c>
      <c r="AV21" s="315"/>
      <c r="AW21" s="315"/>
      <c r="AX21" s="315"/>
    </row>
    <row r="22" ht="17.1" customHeight="1">
      <c r="B22" s="315"/>
      <c r="C22" s="502" t="s">
        <v>166</v>
      </c>
      <c r="D22" s="502"/>
      <c r="E22" s="502"/>
      <c r="F22" s="502"/>
      <c r="G22" s="502"/>
      <c r="H22" s="502"/>
      <c r="I22" s="502"/>
      <c r="J22" s="502"/>
      <c r="K22" s="502"/>
      <c r="L22" s="502"/>
      <c r="M22" s="498">
        <f>AI22</f>
        <v>3</v>
      </c>
      <c r="N22" s="498"/>
      <c r="O22" s="498"/>
      <c r="P22" s="498"/>
      <c r="Q22" s="498"/>
      <c r="R22" s="498">
        <f>AM22</f>
        <v>3</v>
      </c>
      <c r="S22" s="498"/>
      <c r="T22" s="498"/>
      <c r="U22" s="498"/>
      <c r="V22" s="498"/>
      <c r="W22" s="498">
        <f>AQ22</f>
        <v>3</v>
      </c>
      <c r="X22" s="498"/>
      <c r="Y22" s="498"/>
      <c r="Z22" s="498"/>
      <c r="AA22" s="498"/>
      <c r="AB22" s="498">
        <f>AU22</f>
        <v>1</v>
      </c>
      <c r="AC22" s="498"/>
      <c r="AD22" s="498"/>
      <c r="AE22" s="498"/>
      <c r="AF22" s="498"/>
      <c r="AG22" s="383"/>
      <c r="AH22" s="383"/>
      <c r="AI22" s="356">
        <v>3</v>
      </c>
      <c r="AJ22" s="356"/>
      <c r="AK22" s="356"/>
      <c r="AL22" s="356"/>
      <c r="AM22" s="356">
        <v>3</v>
      </c>
      <c r="AN22" s="356"/>
      <c r="AO22" s="356"/>
      <c r="AP22" s="356"/>
      <c r="AQ22" s="356">
        <v>3</v>
      </c>
      <c r="AR22" s="315"/>
      <c r="AS22" s="315"/>
      <c r="AT22" s="315"/>
      <c r="AU22" s="315">
        <v>1</v>
      </c>
      <c r="AV22" s="315"/>
      <c r="AW22" s="315"/>
      <c r="AX22" s="315"/>
    </row>
    <row r="23" ht="17.1" customHeight="1">
      <c r="B23" s="315"/>
      <c r="C23" s="502" t="s">
        <v>167</v>
      </c>
      <c r="D23" s="502"/>
      <c r="E23" s="502"/>
      <c r="F23" s="502"/>
      <c r="G23" s="502"/>
      <c r="H23" s="502"/>
      <c r="I23" s="502"/>
      <c r="J23" s="502"/>
      <c r="K23" s="502"/>
      <c r="L23" s="502"/>
      <c r="M23" s="514" t="str">
        <f t="shared" si="0"/>
        <v>4/4/4</v>
      </c>
      <c r="N23" s="514"/>
      <c r="O23" s="514"/>
      <c r="P23" s="514"/>
      <c r="Q23" s="514"/>
      <c r="R23" s="514" t="str">
        <f t="shared" si="1"/>
        <v>2/2/2</v>
      </c>
      <c r="S23" s="514"/>
      <c r="T23" s="514"/>
      <c r="U23" s="514"/>
      <c r="V23" s="514"/>
      <c r="W23" s="516" t="str">
        <f>AQ23</f>
        <v>5/5/5</v>
      </c>
      <c r="X23" s="514"/>
      <c r="Y23" s="514"/>
      <c r="Z23" s="514"/>
      <c r="AA23" s="514"/>
      <c r="AB23" s="516" t="str">
        <f>AU23</f>
        <v>4/2/4</v>
      </c>
      <c r="AC23" s="514"/>
      <c r="AD23" s="514"/>
      <c r="AE23" s="514"/>
      <c r="AF23" s="514"/>
      <c r="AG23" s="315"/>
      <c r="AH23" s="315"/>
      <c r="AI23" s="361" t="s">
        <v>168</v>
      </c>
      <c r="AJ23" s="362"/>
      <c r="AK23" s="362"/>
      <c r="AL23" s="362"/>
      <c r="AM23" s="361" t="s">
        <v>169</v>
      </c>
      <c r="AN23" s="362"/>
      <c r="AO23" s="362"/>
      <c r="AP23" s="362"/>
      <c r="AQ23" s="361" t="s">
        <v>170</v>
      </c>
      <c r="AR23" s="362"/>
      <c r="AS23" s="362"/>
      <c r="AT23" s="362"/>
      <c r="AU23" s="361" t="s">
        <v>171</v>
      </c>
      <c r="AV23" s="315"/>
      <c r="AW23" s="315"/>
      <c r="AX23" s="315"/>
    </row>
    <row r="24" ht="31.35" customHeight="1">
      <c r="B24" s="315"/>
      <c r="C24" s="502" t="s">
        <v>172</v>
      </c>
      <c r="D24" s="502"/>
      <c r="E24" s="502"/>
      <c r="F24" s="502"/>
      <c r="G24" s="502"/>
      <c r="H24" s="502"/>
      <c r="I24" s="502"/>
      <c r="J24" s="502"/>
      <c r="K24" s="502"/>
      <c r="L24" s="502"/>
      <c r="M24" s="514" t="str">
        <f>IF(M22=4,AI24&amp;"W/ "&amp;AJ24&amp;"W/ "&amp;AK24&amp;"W/ "&amp;AL24&amp;"W",IF(M22=3,AI24&amp;"W/ "&amp;AJ24&amp;"W/ "&amp;AK24&amp;"W",IF(M22=2,AI24&amp;"W/ "&amp;AJ24&amp;"W",AI24&amp;"W")))</f>
        <v>100,45W/ 100,69W/ 100,69W</v>
      </c>
      <c r="N24" s="514"/>
      <c r="O24" s="514"/>
      <c r="P24" s="514"/>
      <c r="Q24" s="514"/>
      <c r="R24" s="514" t="str">
        <f>IF(R22=4,AM24&amp;"W/ "&amp;AN24&amp;"W/ "&amp;AO24&amp;"W/ "&amp;AP24&amp;"W",IF(R22=3,AM24&amp;"W/ "&amp;AN24&amp;"W/ "&amp;AO24&amp;"W",IF(R22=2,AM24&amp;"W/ "&amp;AN24&amp;"W",AM24&amp;"W")))</f>
        <v>40W/ 40W/ 40W</v>
      </c>
      <c r="S24" s="514"/>
      <c r="T24" s="514"/>
      <c r="U24" s="514"/>
      <c r="V24" s="514"/>
      <c r="W24" s="514" t="str">
        <f>IF(W22=4,AQ24&amp;"W/ "&amp;AR24&amp;"W/ "&amp;AS24&amp;"W/ "&amp;AT24&amp;"W",IF(W22=3,AQ24&amp;"W/ "&amp;AR24&amp;"W/ "&amp;AS24&amp;"W",IF(W22=2,AQ24&amp;"W/ "&amp;AR24&amp;"W",AQ24&amp;"W")))</f>
        <v>60W/ 60W/ 60W</v>
      </c>
      <c r="X24" s="514"/>
      <c r="Y24" s="514"/>
      <c r="Z24" s="514"/>
      <c r="AA24" s="514"/>
      <c r="AB24" s="514" t="str">
        <f>IF(AB22=3,AU24&amp;"W/ "&amp;AV24&amp;"W/ "&amp;AW24&amp;"W",IF(AB22=2,AU24&amp;"W/ "&amp;AV24&amp;"W",AW24&amp;"W"))</f>
        <v>80W</v>
      </c>
      <c r="AC24" s="514"/>
      <c r="AD24" s="514"/>
      <c r="AE24" s="514"/>
      <c r="AF24" s="514"/>
      <c r="AG24" s="315"/>
      <c r="AH24" s="315"/>
      <c r="AI24" s="315" t="s">
        <v>206</v>
      </c>
      <c r="AJ24" s="315" t="s">
        <v>213</v>
      </c>
      <c r="AK24" s="315">
        <v>100.69</v>
      </c>
      <c r="AL24" s="315"/>
      <c r="AM24" s="315">
        <v>40</v>
      </c>
      <c r="AN24" s="315">
        <v>40</v>
      </c>
      <c r="AO24" s="315">
        <v>40</v>
      </c>
      <c r="AP24" s="315"/>
      <c r="AQ24" s="315">
        <v>60</v>
      </c>
      <c r="AR24" s="315">
        <v>60</v>
      </c>
      <c r="AS24" s="315">
        <v>60</v>
      </c>
      <c r="AT24" s="315"/>
      <c r="AU24" s="315">
        <v>80</v>
      </c>
      <c r="AV24" s="315">
        <v>80</v>
      </c>
      <c r="AW24" s="315">
        <v>80</v>
      </c>
      <c r="AX24" s="315"/>
    </row>
    <row r="25" ht="31.35" customHeight="1">
      <c r="B25" s="315"/>
      <c r="C25" s="502" t="s">
        <v>173</v>
      </c>
      <c r="D25" s="502"/>
      <c r="E25" s="502"/>
      <c r="F25" s="502"/>
      <c r="G25" s="502"/>
      <c r="H25" s="502"/>
      <c r="I25" s="502"/>
      <c r="J25" s="502"/>
      <c r="K25" s="502"/>
      <c r="L25" s="502"/>
      <c r="M25" s="514" t="str">
        <f>IF(AI25="900 &amp; 1800","900MHz &amp; 1800MHz",IF(AI25="900 &amp; 2100","900MHz &amp; 2100MHz",AI25&amp;"MHz"))</f>
        <v>900MHz</v>
      </c>
      <c r="N25" s="514"/>
      <c r="O25" s="514"/>
      <c r="P25" s="514"/>
      <c r="Q25" s="514"/>
      <c r="R25" s="514" t="str">
        <f>IF(AM25="900 &amp; 1800","900MHz &amp; 1800MHz",IF(AM25="900 &amp; 2100","900MHz &amp; 2100MHz",AM25&amp;"MHz"))</f>
        <v>1800MHz</v>
      </c>
      <c r="S25" s="514"/>
      <c r="T25" s="514"/>
      <c r="U25" s="514"/>
      <c r="V25" s="514"/>
      <c r="W25" s="514" t="str">
        <f>IF(AQ25="900 &amp; 1800","900MHz &amp; 1800MHz",IF(AQ25="900 &amp; 2100","900MHz &amp; 2100MHz",AQ25&amp;"MHz"))</f>
        <v>2100MHz</v>
      </c>
      <c r="X25" s="514"/>
      <c r="Y25" s="514"/>
      <c r="Z25" s="514"/>
      <c r="AA25" s="514"/>
      <c r="AB25" s="514" t="str">
        <f>IF(AU25="900 &amp; 1800","900MHz &amp; 1800MHz",IF(AU25="900 &amp; 2100","900MHz &amp; 2100MHz",AU25&amp;"MHz"))</f>
        <v>900;1800MHz</v>
      </c>
      <c r="AC25" s="514"/>
      <c r="AD25" s="514"/>
      <c r="AE25" s="514"/>
      <c r="AF25" s="514"/>
      <c r="AG25" s="315"/>
      <c r="AH25" s="315"/>
      <c r="AI25" s="315">
        <v>900</v>
      </c>
      <c r="AJ25" s="315"/>
      <c r="AK25" s="315"/>
      <c r="AL25" s="315"/>
      <c r="AM25" s="315">
        <v>1800</v>
      </c>
      <c r="AN25" s="315"/>
      <c r="AO25" s="315"/>
      <c r="AP25" s="315"/>
      <c r="AQ25" s="315">
        <v>2100</v>
      </c>
      <c r="AR25" s="315"/>
      <c r="AS25" s="315"/>
      <c r="AT25" s="315"/>
      <c r="AU25" s="351" t="s">
        <v>207</v>
      </c>
      <c r="AV25" s="315"/>
      <c r="AW25" s="315"/>
      <c r="AX25" s="315"/>
    </row>
    <row r="26" ht="31.35" customHeight="1">
      <c r="B26" s="315"/>
      <c r="C26" s="502" t="s">
        <v>175</v>
      </c>
      <c r="D26" s="502"/>
      <c r="E26" s="502"/>
      <c r="F26" s="502"/>
      <c r="G26" s="502"/>
      <c r="H26" s="502"/>
      <c r="I26" s="502"/>
      <c r="J26" s="502"/>
      <c r="K26" s="502"/>
      <c r="L26" s="502"/>
      <c r="M26" s="514">
        <f>AI26</f>
        <v>15</v>
      </c>
      <c r="N26" s="514"/>
      <c r="O26" s="514"/>
      <c r="P26" s="514"/>
      <c r="Q26" s="514"/>
      <c r="R26" s="514">
        <f>AM26</f>
        <v>16</v>
      </c>
      <c r="S26" s="514"/>
      <c r="T26" s="514"/>
      <c r="U26" s="514"/>
      <c r="V26" s="514"/>
      <c r="W26" s="514">
        <f>AQ26</f>
        <v>17</v>
      </c>
      <c r="X26" s="514"/>
      <c r="Y26" s="514"/>
      <c r="Z26" s="514"/>
      <c r="AA26" s="514"/>
      <c r="AB26" s="514">
        <f>AU26</f>
        <v>18</v>
      </c>
      <c r="AC26" s="514"/>
      <c r="AD26" s="514"/>
      <c r="AE26" s="514"/>
      <c r="AF26" s="514"/>
      <c r="AG26" s="315"/>
      <c r="AH26" s="315"/>
      <c r="AI26" s="315">
        <v>15</v>
      </c>
      <c r="AJ26" s="315">
        <v>15</v>
      </c>
      <c r="AK26" s="315">
        <v>15</v>
      </c>
      <c r="AL26" s="315"/>
      <c r="AM26" s="315">
        <v>16</v>
      </c>
      <c r="AN26" s="315">
        <v>16</v>
      </c>
      <c r="AO26" s="315">
        <v>16</v>
      </c>
      <c r="AP26" s="315"/>
      <c r="AQ26" s="315">
        <v>17</v>
      </c>
      <c r="AR26" s="315">
        <v>17</v>
      </c>
      <c r="AS26" s="315">
        <v>17</v>
      </c>
      <c r="AT26" s="315"/>
      <c r="AU26" s="315">
        <v>18</v>
      </c>
      <c r="AV26" s="315">
        <v>18</v>
      </c>
      <c r="AW26" s="315">
        <v>18</v>
      </c>
      <c r="AX26" s="315"/>
    </row>
    <row r="27" ht="21.75" customHeight="1">
      <c r="B27" s="315"/>
      <c r="C27" s="517" t="s">
        <v>176</v>
      </c>
      <c r="D27" s="517"/>
      <c r="E27" s="517"/>
      <c r="F27" s="517"/>
      <c r="G27" s="517"/>
      <c r="H27" s="517"/>
      <c r="I27" s="517"/>
      <c r="J27" s="517"/>
      <c r="K27" s="517"/>
      <c r="L27" s="517"/>
      <c r="M27" s="517"/>
      <c r="N27" s="517"/>
      <c r="O27" s="517"/>
      <c r="P27" s="517"/>
      <c r="Q27" s="517"/>
      <c r="R27" s="517"/>
      <c r="S27" s="517"/>
      <c r="T27" s="517"/>
      <c r="U27" s="517"/>
      <c r="V27" s="517"/>
      <c r="W27" s="517"/>
      <c r="X27" s="517"/>
      <c r="Y27" s="517"/>
      <c r="Z27" s="517"/>
      <c r="AA27" s="517"/>
      <c r="AB27" s="363"/>
      <c r="AC27" s="363"/>
      <c r="AD27" s="363"/>
      <c r="AE27" s="338"/>
      <c r="AF27" s="315"/>
      <c r="AG27" s="315"/>
      <c r="AH27" s="315"/>
      <c r="AI27" s="315"/>
      <c r="AJ27" s="315"/>
      <c r="AK27" s="315"/>
      <c r="AL27" s="315"/>
      <c r="AM27" s="315"/>
      <c r="AN27" s="315"/>
      <c r="AO27" s="315"/>
      <c r="AP27" s="315"/>
      <c r="AQ27" s="315"/>
      <c r="AR27" s="315"/>
      <c r="AS27" s="315"/>
      <c r="AT27" s="315"/>
      <c r="AU27" s="315"/>
      <c r="AV27" s="315"/>
      <c r="AW27" s="315"/>
      <c r="AX27" s="315"/>
    </row>
    <row r="28" ht="27" customHeight="1">
      <c r="B28" s="315"/>
      <c r="C28" s="472"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72"/>
      <c r="E28" s="472"/>
      <c r="F28" s="472"/>
      <c r="G28" s="472"/>
      <c r="H28" s="472"/>
      <c r="I28" s="472"/>
      <c r="J28" s="472"/>
      <c r="K28" s="472"/>
      <c r="L28" s="472"/>
      <c r="M28" s="472"/>
      <c r="N28" s="472"/>
      <c r="O28" s="472"/>
      <c r="P28" s="472"/>
      <c r="Q28" s="472"/>
      <c r="R28" s="472"/>
      <c r="S28" s="472"/>
      <c r="T28" s="472"/>
      <c r="U28" s="472"/>
      <c r="V28" s="472"/>
      <c r="W28" s="472"/>
      <c r="X28" s="472"/>
      <c r="Y28" s="472"/>
      <c r="Z28" s="472"/>
      <c r="AA28" s="472"/>
      <c r="AB28" s="472"/>
      <c r="AC28" s="472"/>
      <c r="AD28" s="472"/>
      <c r="AE28" s="472"/>
      <c r="AF28" s="472"/>
      <c r="AG28" s="315"/>
      <c r="AH28" s="315"/>
      <c r="AI28" s="315">
        <v>20</v>
      </c>
      <c r="AJ28" s="315"/>
      <c r="AK28" s="315"/>
      <c r="AL28" s="315"/>
      <c r="AM28" s="315"/>
      <c r="AN28" s="315"/>
      <c r="AO28" s="315"/>
      <c r="AP28" s="315"/>
      <c r="AQ28" s="315" t="s">
        <v>177</v>
      </c>
      <c r="AR28" s="315"/>
      <c r="AS28" s="315"/>
      <c r="AT28" s="315"/>
      <c r="AU28" s="315"/>
      <c r="AV28" s="315"/>
      <c r="AW28" s="315"/>
      <c r="AX28" s="315"/>
    </row>
    <row r="29" ht="27" customHeight="1">
      <c r="B29" s="315"/>
      <c r="C29" s="472"/>
      <c r="D29" s="472"/>
      <c r="E29" s="472"/>
      <c r="F29" s="472"/>
      <c r="G29" s="472"/>
      <c r="H29" s="472"/>
      <c r="I29" s="472"/>
      <c r="J29" s="472"/>
      <c r="K29" s="472"/>
      <c r="L29" s="472"/>
      <c r="M29" s="472"/>
      <c r="N29" s="472"/>
      <c r="O29" s="472"/>
      <c r="P29" s="472"/>
      <c r="Q29" s="472"/>
      <c r="R29" s="472"/>
      <c r="S29" s="472"/>
      <c r="T29" s="472"/>
      <c r="U29" s="472"/>
      <c r="V29" s="472"/>
      <c r="W29" s="472"/>
      <c r="X29" s="472"/>
      <c r="Y29" s="472"/>
      <c r="Z29" s="472"/>
      <c r="AA29" s="472"/>
      <c r="AB29" s="472"/>
      <c r="AC29" s="472"/>
      <c r="AD29" s="472"/>
      <c r="AE29" s="472"/>
      <c r="AF29" s="472"/>
      <c r="AG29" s="315"/>
      <c r="AH29" s="315"/>
      <c r="AI29" s="315">
        <v>1</v>
      </c>
      <c r="AJ29" s="315"/>
      <c r="AK29" s="315"/>
      <c r="AL29" s="315"/>
      <c r="AM29" s="315"/>
      <c r="AN29" s="315"/>
      <c r="AO29" s="315"/>
      <c r="AP29" s="315"/>
      <c r="AQ29" s="315"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15" t="s">
        <v>178</v>
      </c>
      <c r="AS29" s="315" t="str">
        <f>IF(AI28&gt;=0," cao hơn "," thấp hơn ")</f>
        <v> cao hơn </v>
      </c>
      <c r="AT29" s="315" t="s">
        <v>179</v>
      </c>
      <c r="AU29" s="315"/>
      <c r="AV29" s="315"/>
      <c r="AW29" s="315"/>
      <c r="AX29" s="315"/>
    </row>
    <row r="30" ht="16.5" customHeight="1">
      <c r="B30" s="315"/>
      <c r="C30" s="462" t="str">
        <f>IF(AI31=1,AQ31,AQ30)</f>
        <v>Trạm gốc điện thoại di động mặt đất công cộng này có mức an toàn phơi nhiễm trường điện từ tuân thủ quy chuẩn kỹ thuật trên.</v>
      </c>
      <c r="D30" s="462"/>
      <c r="E30" s="462"/>
      <c r="F30" s="462"/>
      <c r="G30" s="462"/>
      <c r="H30" s="462"/>
      <c r="I30" s="462"/>
      <c r="J30" s="462"/>
      <c r="K30" s="462"/>
      <c r="L30" s="462"/>
      <c r="M30" s="462"/>
      <c r="N30" s="462"/>
      <c r="O30" s="462"/>
      <c r="P30" s="462"/>
      <c r="Q30" s="462"/>
      <c r="R30" s="462"/>
      <c r="S30" s="462"/>
      <c r="T30" s="462"/>
      <c r="U30" s="462"/>
      <c r="V30" s="462"/>
      <c r="W30" s="462"/>
      <c r="X30" s="462"/>
      <c r="Y30" s="462"/>
      <c r="Z30" s="462"/>
      <c r="AA30" s="462"/>
      <c r="AB30" s="462"/>
      <c r="AC30" s="462"/>
      <c r="AD30" s="462"/>
      <c r="AE30" s="462"/>
      <c r="AF30" s="462"/>
      <c r="AG30" s="315"/>
      <c r="AH30" s="315"/>
      <c r="AI30" s="315">
        <v>20</v>
      </c>
      <c r="AJ30" s="315"/>
      <c r="AK30" s="315"/>
      <c r="AL30" s="315"/>
      <c r="AM30" s="315"/>
      <c r="AN30" s="315"/>
      <c r="AO30" s="315"/>
      <c r="AP30" s="315"/>
      <c r="AQ30" s="315" t="s">
        <v>180</v>
      </c>
      <c r="AR30" s="315"/>
      <c r="AS30" s="315"/>
      <c r="AT30" s="315"/>
      <c r="AU30" s="315"/>
      <c r="AV30" s="315"/>
      <c r="AW30" s="315"/>
      <c r="AX30" s="315"/>
    </row>
    <row r="31" ht="16.5" customHeight="1">
      <c r="B31" s="315"/>
      <c r="C31" s="462"/>
      <c r="D31" s="462"/>
      <c r="E31" s="462"/>
      <c r="F31" s="462"/>
      <c r="G31" s="462"/>
      <c r="H31" s="462"/>
      <c r="I31" s="462"/>
      <c r="J31" s="462"/>
      <c r="K31" s="462"/>
      <c r="L31" s="462"/>
      <c r="M31" s="462"/>
      <c r="N31" s="462"/>
      <c r="O31" s="462"/>
      <c r="P31" s="462"/>
      <c r="Q31" s="462"/>
      <c r="R31" s="462"/>
      <c r="S31" s="462"/>
      <c r="T31" s="462"/>
      <c r="U31" s="462"/>
      <c r="V31" s="462"/>
      <c r="W31" s="462"/>
      <c r="X31" s="462"/>
      <c r="Y31" s="462"/>
      <c r="Z31" s="462"/>
      <c r="AA31" s="462"/>
      <c r="AB31" s="462"/>
      <c r="AC31" s="462"/>
      <c r="AD31" s="462"/>
      <c r="AE31" s="462"/>
      <c r="AF31" s="462"/>
      <c r="AG31" s="315"/>
      <c r="AH31" s="315"/>
      <c r="AI31" s="315">
        <v>2</v>
      </c>
      <c r="AJ31" s="315"/>
      <c r="AK31" s="315"/>
      <c r="AL31" s="315"/>
      <c r="AM31" s="315"/>
      <c r="AN31" s="315"/>
      <c r="AO31" s="315"/>
      <c r="AP31" s="315"/>
      <c r="AQ31" s="36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c r="AR31" s="315"/>
      <c r="AS31" s="315"/>
      <c r="AT31" s="315"/>
      <c r="AU31" s="315"/>
      <c r="AV31" s="315"/>
      <c r="AW31" s="315"/>
      <c r="AX31" s="315"/>
    </row>
    <row r="32" ht="17.1" customHeight="1">
      <c r="B32" s="315"/>
      <c r="C32" s="473" t="s">
        <v>180</v>
      </c>
      <c r="D32" s="473"/>
      <c r="E32" s="473"/>
      <c r="F32" s="473"/>
      <c r="G32" s="473"/>
      <c r="H32" s="473"/>
      <c r="I32" s="473"/>
      <c r="J32" s="473"/>
      <c r="K32" s="473"/>
      <c r="L32" s="473"/>
      <c r="M32" s="473"/>
      <c r="N32" s="473"/>
      <c r="O32" s="473"/>
      <c r="P32" s="473"/>
      <c r="Q32" s="473"/>
      <c r="R32" s="473"/>
      <c r="S32" s="473"/>
      <c r="T32" s="473"/>
      <c r="U32" s="473"/>
      <c r="V32" s="473"/>
      <c r="W32" s="473"/>
      <c r="X32" s="473"/>
      <c r="Y32" s="473"/>
      <c r="Z32" s="473"/>
      <c r="AA32" s="473"/>
      <c r="AB32" s="473"/>
      <c r="AC32" s="473"/>
      <c r="AD32" s="473"/>
      <c r="AE32" s="473"/>
      <c r="AF32" s="473"/>
      <c r="AG32" s="315"/>
      <c r="AH32" s="315"/>
      <c r="AI32" s="315"/>
      <c r="AJ32" s="315"/>
      <c r="AK32" s="315"/>
      <c r="AL32" s="315"/>
      <c r="AM32" s="315"/>
      <c r="AN32" s="315"/>
      <c r="AO32" s="315"/>
      <c r="AP32" s="315"/>
      <c r="AQ32" s="315"/>
      <c r="AR32" s="315"/>
      <c r="AS32" s="315"/>
      <c r="AT32" s="315"/>
      <c r="AU32" s="315"/>
      <c r="AV32" s="315"/>
      <c r="AW32" s="315"/>
      <c r="AX32" s="315"/>
    </row>
    <row r="33" ht="17.1" customHeight="1">
      <c r="B33" s="315"/>
      <c r="C33" s="473"/>
      <c r="D33" s="473"/>
      <c r="E33" s="473"/>
      <c r="F33" s="473"/>
      <c r="G33" s="473"/>
      <c r="H33" s="473"/>
      <c r="I33" s="473"/>
      <c r="J33" s="473"/>
      <c r="K33" s="473"/>
      <c r="L33" s="473"/>
      <c r="M33" s="473"/>
      <c r="N33" s="473"/>
      <c r="O33" s="473"/>
      <c r="P33" s="473"/>
      <c r="Q33" s="473"/>
      <c r="R33" s="473"/>
      <c r="S33" s="473"/>
      <c r="T33" s="473"/>
      <c r="U33" s="473"/>
      <c r="V33" s="473"/>
      <c r="W33" s="473"/>
      <c r="X33" s="473"/>
      <c r="Y33" s="473"/>
      <c r="Z33" s="473"/>
      <c r="AA33" s="473"/>
      <c r="AB33" s="473"/>
      <c r="AC33" s="473"/>
      <c r="AD33" s="473"/>
      <c r="AE33" s="473"/>
      <c r="AF33" s="473"/>
      <c r="AG33" s="315"/>
      <c r="AH33" s="315"/>
      <c r="AI33" s="315"/>
      <c r="AJ33" s="315"/>
      <c r="AK33" s="315"/>
      <c r="AL33" s="315"/>
      <c r="AM33" s="315"/>
      <c r="AN33" s="315"/>
      <c r="AO33" s="315"/>
      <c r="AP33" s="315"/>
      <c r="AQ33" s="315"/>
      <c r="AR33" s="315"/>
      <c r="AS33" s="315"/>
      <c r="AT33" s="315"/>
      <c r="AU33" s="315"/>
      <c r="AV33" s="315"/>
      <c r="AW33" s="315"/>
      <c r="AX33" s="315"/>
    </row>
    <row r="34" ht="17.1" customHeight="1">
      <c r="B34" s="315"/>
      <c r="C34" s="439"/>
      <c r="D34" s="439"/>
      <c r="E34" s="439"/>
      <c r="F34" s="439"/>
      <c r="G34" s="439"/>
      <c r="H34" s="363"/>
      <c r="I34" s="440"/>
      <c r="J34" s="440"/>
      <c r="K34" s="440"/>
      <c r="L34" s="440"/>
      <c r="M34" s="440"/>
      <c r="N34" s="440"/>
      <c r="O34" s="440"/>
      <c r="P34" s="336"/>
      <c r="Q34" s="336"/>
      <c r="R34" s="336"/>
      <c r="S34" s="336"/>
      <c r="T34" s="434" t="str">
        <f>IF(AI41=0,AO34,IF(AI41=1,AK34,AS34))</f>
        <v>KT. GIÁM ĐỐC</v>
      </c>
      <c r="U34" s="434"/>
      <c r="V34" s="434"/>
      <c r="W34" s="434"/>
      <c r="X34" s="434"/>
      <c r="Y34" s="434"/>
      <c r="Z34" s="434"/>
      <c r="AA34" s="434"/>
      <c r="AB34" s="434"/>
      <c r="AC34" s="434"/>
      <c r="AD34" s="434"/>
      <c r="AE34" s="434"/>
      <c r="AF34" s="434"/>
      <c r="AG34" s="315"/>
      <c r="AH34" s="315"/>
      <c r="AI34" s="315"/>
      <c r="AJ34" s="315"/>
      <c r="AK34" s="315" t="s">
        <v>181</v>
      </c>
      <c r="AL34" s="315"/>
      <c r="AM34" s="315"/>
      <c r="AN34" s="315"/>
      <c r="AO34" s="315" t="s">
        <v>182</v>
      </c>
      <c r="AP34" s="315"/>
      <c r="AQ34" s="315"/>
      <c r="AR34" s="315"/>
      <c r="AS34" s="315" t="s">
        <v>183</v>
      </c>
      <c r="AT34" s="315"/>
      <c r="AU34" s="315"/>
      <c r="AV34" s="315"/>
      <c r="AW34" s="315"/>
      <c r="AX34" s="315"/>
    </row>
    <row r="35" ht="17.1" customHeight="1">
      <c r="B35" s="315"/>
      <c r="C35" s="435" t="s">
        <v>184</v>
      </c>
      <c r="D35" s="435"/>
      <c r="E35" s="435"/>
      <c r="F35" s="435"/>
      <c r="G35" s="435"/>
      <c r="H35" s="366" t="s">
        <v>185</v>
      </c>
      <c r="I35" s="437" t="s">
        <v>186</v>
      </c>
      <c r="J35" s="437"/>
      <c r="K35" s="437"/>
      <c r="L35" s="437"/>
      <c r="M35" s="437"/>
      <c r="N35" s="437"/>
      <c r="O35" s="437"/>
      <c r="P35" s="367"/>
      <c r="Q35" s="363"/>
      <c r="R35" s="363"/>
      <c r="S35" s="363"/>
      <c r="T35" s="434" t="str">
        <f>IF(AI41=0,AO35,IF(AI41=1,"",AS35))</f>
        <v>PHÓ GIÁM ĐỐC</v>
      </c>
      <c r="U35" s="434"/>
      <c r="V35" s="434"/>
      <c r="W35" s="434"/>
      <c r="X35" s="434"/>
      <c r="Y35" s="434"/>
      <c r="Z35" s="434"/>
      <c r="AA35" s="434"/>
      <c r="AB35" s="434"/>
      <c r="AC35" s="434"/>
      <c r="AD35" s="434"/>
      <c r="AE35" s="434"/>
      <c r="AF35" s="434"/>
      <c r="AG35" s="315"/>
      <c r="AH35" s="315"/>
      <c r="AI35" s="315"/>
      <c r="AJ35" s="315"/>
      <c r="AK35" s="315"/>
      <c r="AL35" s="315"/>
      <c r="AM35" s="315"/>
      <c r="AN35" s="315"/>
      <c r="AO35" s="315" t="s">
        <v>187</v>
      </c>
      <c r="AP35" s="315"/>
      <c r="AQ35" s="315"/>
      <c r="AR35" s="315"/>
      <c r="AS35" s="315" t="s">
        <v>188</v>
      </c>
      <c r="AT35" s="315"/>
      <c r="AU35" s="315"/>
      <c r="AV35" s="315"/>
      <c r="AW35" s="315"/>
      <c r="AX35" s="315"/>
    </row>
    <row r="36" ht="17.1" customHeight="1">
      <c r="B36" s="315"/>
      <c r="C36" s="435" t="s">
        <v>189</v>
      </c>
      <c r="D36" s="435"/>
      <c r="E36" s="435"/>
      <c r="F36" s="435"/>
      <c r="G36" s="435"/>
      <c r="H36" s="366" t="s">
        <v>185</v>
      </c>
      <c r="I36" s="436">
        <f>AI36</f>
        <v>40806</v>
      </c>
      <c r="J36" s="437"/>
      <c r="K36" s="437"/>
      <c r="L36" s="437"/>
      <c r="M36" s="437"/>
      <c r="N36" s="368"/>
      <c r="O36" s="368"/>
      <c r="P36" s="368"/>
      <c r="Q36" s="363"/>
      <c r="R36" s="363"/>
      <c r="S36" s="363"/>
      <c r="T36" s="363"/>
      <c r="U36" s="363"/>
      <c r="V36" s="363"/>
      <c r="W36" s="363"/>
      <c r="X36" s="363"/>
      <c r="Y36" s="363"/>
      <c r="Z36" s="363"/>
      <c r="AA36" s="363"/>
      <c r="AB36" s="363"/>
      <c r="AC36" s="363"/>
      <c r="AD36" s="363"/>
      <c r="AE36" s="338"/>
      <c r="AF36" s="315"/>
      <c r="AG36" s="369"/>
      <c r="AH36" s="315"/>
      <c r="AI36" s="369">
        <v>40806</v>
      </c>
      <c r="AJ36" s="315"/>
      <c r="AK36" s="315"/>
      <c r="AL36" s="315"/>
      <c r="AM36" s="315"/>
      <c r="AN36" s="315"/>
      <c r="AO36" s="315"/>
      <c r="AP36" s="315"/>
      <c r="AQ36" s="315"/>
      <c r="AR36" s="315"/>
      <c r="AS36" s="315"/>
      <c r="AT36" s="315"/>
      <c r="AU36" s="315"/>
      <c r="AV36" s="315"/>
      <c r="AW36" s="315"/>
      <c r="AX36" s="315"/>
    </row>
    <row r="37" ht="17.1" customHeight="1">
      <c r="B37" s="315"/>
      <c r="C37" s="435" t="s">
        <v>190</v>
      </c>
      <c r="D37" s="435"/>
      <c r="E37" s="435"/>
      <c r="F37" s="435"/>
      <c r="G37" s="435"/>
      <c r="H37" s="366" t="s">
        <v>185</v>
      </c>
      <c r="I37" s="436">
        <f>AI37</f>
        <v>42633</v>
      </c>
      <c r="J37" s="437"/>
      <c r="K37" s="437"/>
      <c r="L37" s="437"/>
      <c r="M37" s="437"/>
      <c r="N37" s="368"/>
      <c r="O37" s="368"/>
      <c r="P37" s="368"/>
      <c r="Q37" s="363"/>
      <c r="R37" s="363"/>
      <c r="S37" s="363"/>
      <c r="T37" s="363"/>
      <c r="U37" s="363"/>
      <c r="V37" s="363"/>
      <c r="W37" s="363"/>
      <c r="X37" s="363"/>
      <c r="Y37" s="363"/>
      <c r="Z37" s="363"/>
      <c r="AA37" s="363"/>
      <c r="AB37" s="363"/>
      <c r="AC37" s="363"/>
      <c r="AD37" s="363"/>
      <c r="AE37" s="338"/>
      <c r="AF37" s="315"/>
      <c r="AG37" s="369"/>
      <c r="AH37" s="315"/>
      <c r="AI37" s="369">
        <v>42633</v>
      </c>
      <c r="AJ37" s="315"/>
      <c r="AK37" s="315"/>
      <c r="AL37" s="315"/>
      <c r="AM37" s="315"/>
      <c r="AN37" s="315"/>
      <c r="AO37" s="315"/>
      <c r="AP37" s="315"/>
      <c r="AQ37" s="315"/>
      <c r="AR37" s="315"/>
      <c r="AS37" s="315"/>
      <c r="AT37" s="315"/>
      <c r="AU37" s="315"/>
      <c r="AV37" s="315"/>
      <c r="AW37" s="315"/>
      <c r="AX37" s="315"/>
    </row>
    <row r="38" ht="17.1" customHeight="1">
      <c r="B38" s="315"/>
      <c r="C38" s="370"/>
      <c r="D38" s="370"/>
      <c r="E38" s="370"/>
      <c r="F38" s="347"/>
      <c r="G38" s="339"/>
      <c r="H38" s="339"/>
      <c r="I38" s="339"/>
      <c r="J38" s="339"/>
      <c r="K38" s="339"/>
      <c r="L38" s="339"/>
      <c r="M38" s="339"/>
      <c r="N38" s="339"/>
      <c r="O38" s="339"/>
      <c r="P38" s="339"/>
      <c r="Q38" s="339"/>
      <c r="R38" s="339"/>
      <c r="S38" s="339"/>
      <c r="T38" s="339"/>
      <c r="U38" s="339"/>
      <c r="V38" s="339"/>
      <c r="W38" s="339"/>
      <c r="X38" s="339"/>
      <c r="Y38" s="339"/>
      <c r="Z38" s="339"/>
      <c r="AA38" s="339"/>
      <c r="AB38" s="363"/>
      <c r="AC38" s="363"/>
      <c r="AD38" s="363"/>
      <c r="AE38" s="338"/>
      <c r="AF38" s="315"/>
      <c r="AG38" s="315"/>
      <c r="AH38" s="315"/>
      <c r="AI38" s="315"/>
      <c r="AJ38" s="315"/>
      <c r="AK38" s="315"/>
      <c r="AL38" s="315"/>
      <c r="AM38" s="315"/>
      <c r="AN38" s="315"/>
      <c r="AO38" s="315"/>
      <c r="AP38" s="315"/>
      <c r="AQ38" s="315"/>
      <c r="AR38" s="315"/>
      <c r="AS38" s="315"/>
      <c r="AT38" s="315"/>
      <c r="AU38" s="315"/>
      <c r="AV38" s="315"/>
      <c r="AW38" s="315"/>
      <c r="AX38" s="315"/>
    </row>
    <row r="39" ht="17.1" customHeight="1">
      <c r="B39" s="315"/>
      <c r="C39" s="370"/>
      <c r="D39" s="370"/>
      <c r="E39" s="370"/>
      <c r="F39" s="347"/>
      <c r="G39" s="339"/>
      <c r="H39" s="339"/>
      <c r="I39" s="339"/>
      <c r="J39" s="339"/>
      <c r="K39" s="339"/>
      <c r="L39" s="339"/>
      <c r="M39" s="339"/>
      <c r="N39" s="339"/>
      <c r="O39" s="339"/>
      <c r="P39" s="339"/>
      <c r="Q39" s="339"/>
      <c r="R39" s="339"/>
      <c r="S39" s="339"/>
      <c r="T39" s="339"/>
      <c r="U39" s="339"/>
      <c r="V39" s="339"/>
      <c r="W39" s="339"/>
      <c r="X39" s="339"/>
      <c r="Y39" s="339"/>
      <c r="Z39" s="339"/>
      <c r="AA39" s="339"/>
      <c r="AB39" s="363"/>
      <c r="AC39" s="363"/>
      <c r="AD39" s="363"/>
      <c r="AE39" s="338"/>
      <c r="AF39" s="315"/>
      <c r="AG39" s="315"/>
      <c r="AH39" s="315"/>
      <c r="AI39" s="315">
        <v>0</v>
      </c>
      <c r="AJ39" s="315"/>
      <c r="AK39" s="315"/>
      <c r="AL39" s="315"/>
      <c r="AM39" s="315"/>
      <c r="AN39" s="315"/>
      <c r="AO39" s="315"/>
      <c r="AP39" s="315"/>
      <c r="AQ39" s="315"/>
      <c r="AR39" s="315"/>
      <c r="AS39" s="315"/>
      <c r="AT39" s="315"/>
      <c r="AU39" s="315"/>
      <c r="AV39" s="315"/>
      <c r="AW39" s="315"/>
      <c r="AX39" s="315"/>
    </row>
    <row r="40" ht="17.1" customHeight="1">
      <c r="B40" s="315"/>
      <c r="C40" s="370"/>
      <c r="D40" s="370"/>
      <c r="E40" s="370"/>
      <c r="F40" s="347"/>
      <c r="G40" s="339"/>
      <c r="H40" s="339"/>
      <c r="I40" s="339"/>
      <c r="J40" s="339"/>
      <c r="K40" s="339"/>
      <c r="L40" s="339"/>
      <c r="M40" s="339"/>
      <c r="N40" s="339"/>
      <c r="O40" s="339"/>
      <c r="P40" s="336"/>
      <c r="Q40" s="336"/>
      <c r="R40" s="336"/>
      <c r="S40" s="336"/>
      <c r="T40" s="433"/>
      <c r="U40" s="433"/>
      <c r="V40" s="433"/>
      <c r="W40" s="433"/>
      <c r="X40" s="433"/>
      <c r="Y40" s="433"/>
      <c r="Z40" s="433"/>
      <c r="AA40" s="433"/>
      <c r="AB40" s="433"/>
      <c r="AC40" s="433"/>
      <c r="AD40" s="433"/>
      <c r="AE40" s="433"/>
      <c r="AF40" s="315"/>
      <c r="AG40" s="315"/>
      <c r="AH40" s="315"/>
      <c r="AI40" s="315"/>
      <c r="AJ40" s="315"/>
      <c r="AK40" s="315"/>
      <c r="AL40" s="315"/>
      <c r="AM40" s="315"/>
      <c r="AN40" s="315"/>
      <c r="AO40" s="315"/>
      <c r="AP40" s="315"/>
      <c r="AQ40" s="315"/>
      <c r="AR40" s="315"/>
      <c r="AS40" s="315"/>
      <c r="AT40" s="315"/>
      <c r="AU40" s="315"/>
      <c r="AV40" s="315"/>
      <c r="AW40" s="315"/>
      <c r="AX40" s="315"/>
    </row>
    <row r="41" ht="17.1" customHeight="1">
      <c r="B41" s="315"/>
      <c r="C41" s="370"/>
      <c r="D41" s="370"/>
      <c r="E41" s="370"/>
      <c r="F41" s="347"/>
      <c r="G41" s="339"/>
      <c r="H41" s="339"/>
      <c r="I41" s="339"/>
      <c r="J41" s="339"/>
      <c r="K41" s="339"/>
      <c r="L41" s="339"/>
      <c r="M41" s="339"/>
      <c r="N41" s="339"/>
      <c r="O41" s="339"/>
      <c r="P41" s="339"/>
      <c r="Q41" s="339"/>
      <c r="R41" s="339"/>
      <c r="S41" s="339"/>
      <c r="T41" s="433" t="str">
        <f>IF(AI41=0,AO41,IF(AI41=1,AK41,AT41))</f>
        <v>Trần Công Khanh</v>
      </c>
      <c r="U41" s="433"/>
      <c r="V41" s="433"/>
      <c r="W41" s="433"/>
      <c r="X41" s="433"/>
      <c r="Y41" s="433"/>
      <c r="Z41" s="433"/>
      <c r="AA41" s="433"/>
      <c r="AB41" s="433"/>
      <c r="AC41" s="433"/>
      <c r="AD41" s="433"/>
      <c r="AE41" s="433"/>
      <c r="AF41" s="433"/>
      <c r="AG41" s="315"/>
      <c r="AH41" s="315"/>
      <c r="AI41" s="315">
        <v>0</v>
      </c>
      <c r="AJ41" s="315"/>
      <c r="AK41" s="315" t="s">
        <v>191</v>
      </c>
      <c r="AL41" s="315"/>
      <c r="AM41" s="315"/>
      <c r="AN41" s="315"/>
      <c r="AO41" s="315" t="s">
        <v>192</v>
      </c>
      <c r="AP41" s="315"/>
      <c r="AQ41" s="315"/>
      <c r="AR41" s="315"/>
      <c r="AS41" s="315"/>
      <c r="AT41" s="315" t="s">
        <v>193</v>
      </c>
      <c r="AU41" s="315"/>
      <c r="AV41" s="315"/>
      <c r="AW41" s="315"/>
      <c r="AX41" s="315"/>
    </row>
    <row r="42" ht="17.25" customHeight="1">
      <c r="B42" s="315"/>
      <c r="C42" s="342"/>
      <c r="D42" s="342"/>
      <c r="E42" s="342"/>
      <c r="F42" s="342"/>
      <c r="G42" s="342"/>
      <c r="H42" s="342"/>
      <c r="I42" s="342"/>
      <c r="J42" s="342"/>
      <c r="K42" s="342"/>
      <c r="L42" s="342"/>
      <c r="M42" s="342"/>
      <c r="N42" s="342"/>
      <c r="O42" s="342"/>
      <c r="P42" s="342"/>
      <c r="Q42" s="342"/>
      <c r="R42" s="342"/>
      <c r="S42" s="342"/>
      <c r="T42" s="342"/>
      <c r="U42" s="342"/>
      <c r="V42" s="342"/>
      <c r="W42" s="342"/>
      <c r="X42" s="342"/>
      <c r="Y42" s="342"/>
      <c r="Z42" s="342"/>
      <c r="AA42" s="342"/>
      <c r="AB42" s="371"/>
      <c r="AC42" s="371"/>
      <c r="AD42" s="371"/>
      <c r="AE42" s="338"/>
      <c r="AF42" s="315"/>
      <c r="AG42" s="315"/>
      <c r="AH42" s="315"/>
      <c r="AI42" s="315"/>
      <c r="AJ42" s="315"/>
      <c r="AK42" s="315"/>
      <c r="AL42" s="315"/>
      <c r="AM42" s="315"/>
      <c r="AN42" s="315"/>
      <c r="AO42" s="315"/>
      <c r="AP42" s="315"/>
      <c r="AQ42" s="315"/>
      <c r="AR42" s="315"/>
      <c r="AS42" s="315"/>
      <c r="AT42" s="315"/>
      <c r="AU42" s="315"/>
      <c r="AV42" s="315"/>
      <c r="AW42" s="315"/>
      <c r="AX42" s="315"/>
    </row>
    <row r="43" ht="16.5" customHeight="1">
      <c r="B43" s="475" t="s">
        <v>194</v>
      </c>
      <c r="C43" s="475"/>
      <c r="D43" s="475"/>
      <c r="E43" s="475"/>
      <c r="F43" s="475"/>
      <c r="G43" s="475"/>
      <c r="H43" s="476" t="s">
        <v>160</v>
      </c>
      <c r="I43" s="476"/>
      <c r="J43" s="476"/>
      <c r="K43" s="476"/>
      <c r="L43" s="476"/>
      <c r="M43" s="476"/>
      <c r="N43" s="476"/>
      <c r="O43" s="476"/>
      <c r="P43" s="476"/>
      <c r="Q43" s="476"/>
      <c r="R43" s="476"/>
      <c r="S43" s="476"/>
      <c r="T43" s="476"/>
      <c r="U43" s="476"/>
      <c r="V43" s="476"/>
      <c r="W43" s="476"/>
      <c r="X43" s="476"/>
      <c r="Y43" s="476"/>
      <c r="Z43" s="476"/>
      <c r="AA43" s="476"/>
      <c r="AB43" s="476"/>
      <c r="AC43" s="476"/>
      <c r="AD43" s="476"/>
      <c r="AE43" s="476"/>
      <c r="AF43" s="476"/>
      <c r="AG43" s="315"/>
      <c r="AH43" s="315"/>
      <c r="AI43" s="315"/>
      <c r="AJ43" s="315"/>
      <c r="AK43" s="315"/>
      <c r="AL43" s="315"/>
      <c r="AM43" s="315"/>
      <c r="AN43" s="315"/>
      <c r="AO43" s="315"/>
      <c r="AP43" s="315"/>
      <c r="AQ43" s="315"/>
      <c r="AR43" s="315"/>
      <c r="AS43" s="315"/>
      <c r="AT43" s="315"/>
      <c r="AU43" s="315"/>
      <c r="AV43" s="315"/>
      <c r="AW43" s="315"/>
      <c r="AX43" s="315"/>
    </row>
    <row r="44" ht="16.5" customHeight="1">
      <c r="B44" s="475"/>
      <c r="C44" s="475"/>
      <c r="D44" s="475"/>
      <c r="E44" s="475"/>
      <c r="F44" s="475"/>
      <c r="G44" s="475"/>
      <c r="H44" s="476"/>
      <c r="I44" s="476"/>
      <c r="J44" s="476"/>
      <c r="K44" s="476"/>
      <c r="L44" s="476"/>
      <c r="M44" s="476"/>
      <c r="N44" s="476"/>
      <c r="O44" s="476"/>
      <c r="P44" s="476"/>
      <c r="Q44" s="476"/>
      <c r="R44" s="476"/>
      <c r="S44" s="476"/>
      <c r="T44" s="476"/>
      <c r="U44" s="476"/>
      <c r="V44" s="476"/>
      <c r="W44" s="476"/>
      <c r="X44" s="476"/>
      <c r="Y44" s="476"/>
      <c r="Z44" s="476"/>
      <c r="AA44" s="476"/>
      <c r="AB44" s="476"/>
      <c r="AC44" s="476"/>
      <c r="AD44" s="476"/>
      <c r="AE44" s="476"/>
      <c r="AF44" s="476"/>
      <c r="AG44" s="315"/>
      <c r="AH44" s="315"/>
      <c r="AI44" s="315"/>
      <c r="AJ44" s="315"/>
      <c r="AK44" s="315"/>
      <c r="AL44" s="315"/>
      <c r="AM44" s="315"/>
      <c r="AN44" s="315"/>
      <c r="AO44" s="315"/>
      <c r="AP44" s="315"/>
      <c r="AQ44" s="315"/>
      <c r="AR44" s="315"/>
      <c r="AS44" s="315"/>
      <c r="AT44" s="315"/>
      <c r="AU44" s="315"/>
      <c r="AV44" s="315"/>
      <c r="AW44" s="315"/>
      <c r="AX44" s="315"/>
    </row>
    <row r="45" ht="16.5" customHeight="1">
      <c r="B45" s="475"/>
      <c r="C45" s="475"/>
      <c r="D45" s="475"/>
      <c r="E45" s="475"/>
      <c r="F45" s="475"/>
      <c r="G45" s="475"/>
      <c r="H45" s="430" t="s">
        <v>195</v>
      </c>
      <c r="I45" s="430"/>
      <c r="J45" s="430"/>
      <c r="K45" s="430"/>
      <c r="L45" s="430" t="s">
        <v>196</v>
      </c>
      <c r="M45" s="430"/>
      <c r="N45" s="430"/>
      <c r="O45" s="430" t="s">
        <v>197</v>
      </c>
      <c r="P45" s="430"/>
      <c r="Q45" s="430"/>
      <c r="R45" s="430" t="s">
        <v>198</v>
      </c>
      <c r="S45" s="430"/>
      <c r="T45" s="430"/>
      <c r="U45" s="430"/>
      <c r="V45" s="430"/>
      <c r="W45" s="430" t="s">
        <v>199</v>
      </c>
      <c r="X45" s="430"/>
      <c r="Y45" s="430"/>
      <c r="Z45" s="430"/>
      <c r="AA45" s="430" t="s">
        <v>200</v>
      </c>
      <c r="AB45" s="430"/>
      <c r="AC45" s="430"/>
      <c r="AD45" s="430"/>
      <c r="AE45" s="430"/>
      <c r="AF45" s="430"/>
      <c r="AG45" s="315"/>
      <c r="AH45" s="315"/>
      <c r="AI45" s="315"/>
      <c r="AJ45" s="315"/>
      <c r="AK45" s="315"/>
      <c r="AL45" s="315"/>
      <c r="AM45" s="315"/>
      <c r="AN45" s="315"/>
      <c r="AO45" s="315"/>
      <c r="AP45" s="315"/>
      <c r="AQ45" s="315"/>
      <c r="AR45" s="315"/>
      <c r="AS45" s="315"/>
      <c r="AT45" s="315"/>
      <c r="AU45" s="315"/>
      <c r="AV45" s="315"/>
      <c r="AW45" s="315"/>
      <c r="AX45" s="315"/>
    </row>
    <row r="46" ht="16.5" customHeight="1">
      <c r="B46" s="475"/>
      <c r="C46" s="475"/>
      <c r="D46" s="475"/>
      <c r="E46" s="475"/>
      <c r="F46" s="475"/>
      <c r="G46" s="475"/>
      <c r="H46" s="430"/>
      <c r="I46" s="430"/>
      <c r="J46" s="430"/>
      <c r="K46" s="430"/>
      <c r="L46" s="430"/>
      <c r="M46" s="430"/>
      <c r="N46" s="430"/>
      <c r="O46" s="430"/>
      <c r="P46" s="430"/>
      <c r="Q46" s="430"/>
      <c r="R46" s="430"/>
      <c r="S46" s="430"/>
      <c r="T46" s="430"/>
      <c r="U46" s="430"/>
      <c r="V46" s="430"/>
      <c r="W46" s="430"/>
      <c r="X46" s="430"/>
      <c r="Y46" s="430"/>
      <c r="Z46" s="430"/>
      <c r="AA46" s="430"/>
      <c r="AB46" s="430"/>
      <c r="AC46" s="430"/>
      <c r="AD46" s="430"/>
      <c r="AE46" s="430"/>
      <c r="AF46" s="430"/>
      <c r="AG46" s="315"/>
      <c r="AH46" s="315"/>
      <c r="AI46" s="315"/>
      <c r="AJ46" s="315"/>
      <c r="AK46" s="315"/>
      <c r="AL46" s="315"/>
      <c r="AM46" s="315"/>
      <c r="AN46" s="315"/>
      <c r="AO46" s="315"/>
      <c r="AP46" s="315"/>
      <c r="AQ46" s="315"/>
      <c r="AR46" s="315"/>
      <c r="AS46" s="315"/>
      <c r="AT46" s="315"/>
      <c r="AU46" s="315"/>
      <c r="AV46" s="315"/>
      <c r="AW46" s="315"/>
      <c r="AX46" s="315"/>
    </row>
    <row r="47" ht="16.5" customHeight="1">
      <c r="B47" s="475"/>
      <c r="C47" s="475"/>
      <c r="D47" s="475"/>
      <c r="E47" s="475"/>
      <c r="F47" s="475"/>
      <c r="G47" s="475"/>
      <c r="H47" s="430"/>
      <c r="I47" s="430"/>
      <c r="J47" s="430"/>
      <c r="K47" s="430"/>
      <c r="L47" s="430"/>
      <c r="M47" s="430"/>
      <c r="N47" s="430"/>
      <c r="O47" s="430"/>
      <c r="P47" s="430"/>
      <c r="Q47" s="430"/>
      <c r="R47" s="430"/>
      <c r="S47" s="430"/>
      <c r="T47" s="430"/>
      <c r="U47" s="430"/>
      <c r="V47" s="430"/>
      <c r="W47" s="430"/>
      <c r="X47" s="430"/>
      <c r="Y47" s="430"/>
      <c r="Z47" s="430"/>
      <c r="AA47" s="430"/>
      <c r="AB47" s="430"/>
      <c r="AC47" s="430"/>
      <c r="AD47" s="430"/>
      <c r="AE47" s="430"/>
      <c r="AF47" s="430"/>
      <c r="AG47" s="315"/>
      <c r="AH47" s="315"/>
      <c r="AI47" s="315"/>
      <c r="AJ47" s="315"/>
      <c r="AK47" s="315"/>
      <c r="AL47" s="315"/>
      <c r="AM47" s="315"/>
      <c r="AN47" s="315"/>
      <c r="AO47" s="315"/>
      <c r="AP47" s="315"/>
      <c r="AQ47" s="315"/>
      <c r="AR47" s="315"/>
      <c r="AS47" s="315"/>
      <c r="AT47" s="315"/>
      <c r="AU47" s="315"/>
      <c r="AV47" s="315"/>
      <c r="AW47" s="315"/>
      <c r="AX47" s="315"/>
    </row>
    <row r="48" ht="16.5" customHeight="1">
      <c r="B48" s="475"/>
      <c r="C48" s="475"/>
      <c r="D48" s="475"/>
      <c r="E48" s="475"/>
      <c r="F48" s="475"/>
      <c r="G48" s="475"/>
      <c r="H48" s="430"/>
      <c r="I48" s="430"/>
      <c r="J48" s="430"/>
      <c r="K48" s="430"/>
      <c r="L48" s="430"/>
      <c r="M48" s="430"/>
      <c r="N48" s="430"/>
      <c r="O48" s="430"/>
      <c r="P48" s="430"/>
      <c r="Q48" s="430"/>
      <c r="R48" s="430"/>
      <c r="S48" s="430"/>
      <c r="T48" s="430"/>
      <c r="U48" s="430"/>
      <c r="V48" s="430"/>
      <c r="W48" s="430"/>
      <c r="X48" s="430"/>
      <c r="Y48" s="430"/>
      <c r="Z48" s="430"/>
      <c r="AA48" s="430"/>
      <c r="AB48" s="430"/>
      <c r="AC48" s="430"/>
      <c r="AD48" s="430"/>
      <c r="AE48" s="430"/>
      <c r="AF48" s="430"/>
      <c r="AG48" s="315"/>
      <c r="AH48" s="315"/>
      <c r="AI48" s="315">
        <v>35</v>
      </c>
      <c r="AJ48" s="315"/>
      <c r="AK48" s="315">
        <v>37</v>
      </c>
      <c r="AL48" s="315"/>
      <c r="AM48" s="315"/>
      <c r="AN48" s="315">
        <v>40</v>
      </c>
      <c r="AO48" s="315"/>
      <c r="AP48" s="315"/>
      <c r="AQ48" s="315">
        <v>43</v>
      </c>
      <c r="AR48" s="315">
        <v>44</v>
      </c>
      <c r="AS48" s="315">
        <v>45</v>
      </c>
      <c r="AT48" s="315">
        <v>46</v>
      </c>
      <c r="AU48" s="315">
        <v>47</v>
      </c>
      <c r="AV48" s="315">
        <v>48</v>
      </c>
      <c r="AW48" s="315">
        <v>49</v>
      </c>
      <c r="AX48" s="315">
        <v>50</v>
      </c>
    </row>
    <row r="49" ht="18.75" customHeight="1">
      <c r="B49" s="430" t="str">
        <f>AI49</f>
        <v>CÔNG TY CỔ PHẦN VIỄN THÔNG DI ĐỘNG TOÀN CẦU</v>
      </c>
      <c r="C49" s="430"/>
      <c r="D49" s="430"/>
      <c r="E49" s="430"/>
      <c r="F49" s="430"/>
      <c r="G49" s="430"/>
      <c r="H49" s="431" t="str">
        <f>AK49</f>
        <v>TB1</v>
      </c>
      <c r="I49" s="431"/>
      <c r="J49" s="431"/>
      <c r="K49" s="431"/>
      <c r="L49" s="432">
        <v>1</v>
      </c>
      <c r="M49" s="432"/>
      <c r="N49" s="432"/>
      <c r="O49" s="474" t="str">
        <f>AN49</f>
        <v>4/4/4</v>
      </c>
      <c r="P49" s="515"/>
      <c r="Q49" s="515"/>
      <c r="R49" s="430" t="str">
        <f>IF(L49=3,AQ49&amp;"W/ "&amp;AR49&amp;"W/ "&amp;AS49&amp;"W",IF(L49=2,AQ49&amp;"W/ "&amp;AR49&amp;"W",AQ49&amp;"W"))</f>
        <v>20W</v>
      </c>
      <c r="S49" s="430"/>
      <c r="T49" s="430"/>
      <c r="U49" s="430"/>
      <c r="V49" s="430"/>
      <c r="W49" s="430" t="str">
        <f>IF(AU49="900 &amp; 1800","900MHz &amp; 1800MHz",IF(AU49="900 &amp; 2100","900MHz &amp; 2100MHz",IF(AU49="1800 &amp; 2100","1800MHz &amp; 2100MHz",AU49&amp;"MHz")))</f>
        <v>900MHz</v>
      </c>
      <c r="X49" s="430"/>
      <c r="Y49" s="430"/>
      <c r="Z49" s="430"/>
      <c r="AA49" s="430">
        <f>AV49</f>
        <v>15</v>
      </c>
      <c r="AB49" s="430"/>
      <c r="AC49" s="430"/>
      <c r="AD49" s="430"/>
      <c r="AE49" s="430"/>
      <c r="AF49" s="430"/>
      <c r="AG49" s="315"/>
      <c r="AH49" s="315"/>
      <c r="AI49" s="351" t="s">
        <v>158</v>
      </c>
      <c r="AJ49" s="315"/>
      <c r="AK49" s="351" t="s">
        <v>201</v>
      </c>
      <c r="AL49" s="351"/>
      <c r="AM49" s="315"/>
      <c r="AN49" s="361" t="s">
        <v>168</v>
      </c>
      <c r="AO49" s="315"/>
      <c r="AP49" s="315"/>
      <c r="AQ49" s="315">
        <v>20</v>
      </c>
      <c r="AR49" s="315">
        <v>30</v>
      </c>
      <c r="AS49" s="315">
        <v>40</v>
      </c>
      <c r="AT49" s="315"/>
      <c r="AU49" s="315">
        <v>900</v>
      </c>
      <c r="AV49" s="315">
        <v>15</v>
      </c>
      <c r="AW49" s="315"/>
      <c r="AX49" s="315"/>
    </row>
    <row r="50" ht="18.75" customHeight="1">
      <c r="B50" s="430"/>
      <c r="C50" s="430"/>
      <c r="D50" s="430"/>
      <c r="E50" s="430"/>
      <c r="F50" s="430"/>
      <c r="G50" s="430"/>
      <c r="H50" s="431"/>
      <c r="I50" s="431"/>
      <c r="J50" s="431"/>
      <c r="K50" s="431"/>
      <c r="L50" s="432"/>
      <c r="M50" s="432"/>
      <c r="N50" s="432"/>
      <c r="O50" s="515"/>
      <c r="P50" s="515"/>
      <c r="Q50" s="515"/>
      <c r="R50" s="430"/>
      <c r="S50" s="430"/>
      <c r="T50" s="430"/>
      <c r="U50" s="430"/>
      <c r="V50" s="430"/>
      <c r="W50" s="430"/>
      <c r="X50" s="430"/>
      <c r="Y50" s="430"/>
      <c r="Z50" s="430"/>
      <c r="AA50" s="430"/>
      <c r="AB50" s="430"/>
      <c r="AC50" s="430"/>
      <c r="AD50" s="430"/>
      <c r="AE50" s="430"/>
      <c r="AF50" s="430"/>
      <c r="AG50" s="315"/>
      <c r="AH50" s="315"/>
      <c r="AI50" s="315"/>
      <c r="AJ50" s="315"/>
      <c r="AK50" s="315"/>
      <c r="AL50" s="315"/>
      <c r="AM50" s="315"/>
      <c r="AN50" s="315"/>
      <c r="AO50" s="315"/>
      <c r="AP50" s="315"/>
      <c r="AQ50" s="315"/>
      <c r="AR50" s="315"/>
      <c r="AS50" s="315"/>
      <c r="AT50" s="315"/>
      <c r="AU50" s="315"/>
      <c r="AV50" s="315"/>
      <c r="AW50" s="315"/>
      <c r="AX50" s="315"/>
    </row>
    <row r="51" ht="18.75" customHeight="1">
      <c r="B51" s="430"/>
      <c r="C51" s="430"/>
      <c r="D51" s="430"/>
      <c r="E51" s="430"/>
      <c r="F51" s="430"/>
      <c r="G51" s="430"/>
      <c r="H51" s="431"/>
      <c r="I51" s="431"/>
      <c r="J51" s="431"/>
      <c r="K51" s="431"/>
      <c r="L51" s="432"/>
      <c r="M51" s="432"/>
      <c r="N51" s="432"/>
      <c r="O51" s="515"/>
      <c r="P51" s="515"/>
      <c r="Q51" s="515"/>
      <c r="R51" s="430"/>
      <c r="S51" s="430"/>
      <c r="T51" s="430"/>
      <c r="U51" s="430"/>
      <c r="V51" s="430"/>
      <c r="W51" s="430"/>
      <c r="X51" s="430"/>
      <c r="Y51" s="430"/>
      <c r="Z51" s="430"/>
      <c r="AA51" s="430"/>
      <c r="AB51" s="430"/>
      <c r="AC51" s="430"/>
      <c r="AD51" s="430"/>
      <c r="AE51" s="430"/>
      <c r="AF51" s="430"/>
      <c r="AG51" s="315"/>
      <c r="AH51" s="315"/>
      <c r="AI51" s="315"/>
      <c r="AJ51" s="315"/>
      <c r="AK51" s="315"/>
      <c r="AL51" s="315"/>
      <c r="AM51" s="315"/>
      <c r="AN51" s="315"/>
      <c r="AO51" s="315"/>
      <c r="AP51" s="315"/>
      <c r="AQ51" s="315"/>
      <c r="AR51" s="315"/>
      <c r="AS51" s="315"/>
      <c r="AT51" s="315"/>
      <c r="AU51" s="315"/>
      <c r="AV51" s="315"/>
      <c r="AW51" s="315"/>
      <c r="AX51" s="315"/>
    </row>
    <row r="52" ht="18.75" customHeight="1">
      <c r="B52" s="430"/>
      <c r="C52" s="430"/>
      <c r="D52" s="430"/>
      <c r="E52" s="430"/>
      <c r="F52" s="430"/>
      <c r="G52" s="430"/>
      <c r="H52" s="431"/>
      <c r="I52" s="431"/>
      <c r="J52" s="431"/>
      <c r="K52" s="431"/>
      <c r="L52" s="432"/>
      <c r="M52" s="432"/>
      <c r="N52" s="432"/>
      <c r="O52" s="515"/>
      <c r="P52" s="515"/>
      <c r="Q52" s="515"/>
      <c r="R52" s="430"/>
      <c r="S52" s="430"/>
      <c r="T52" s="430"/>
      <c r="U52" s="430"/>
      <c r="V52" s="430"/>
      <c r="W52" s="430"/>
      <c r="X52" s="430"/>
      <c r="Y52" s="430"/>
      <c r="Z52" s="430"/>
      <c r="AA52" s="430"/>
      <c r="AB52" s="430"/>
      <c r="AC52" s="430"/>
      <c r="AD52" s="430"/>
      <c r="AE52" s="430"/>
      <c r="AF52" s="430"/>
      <c r="AG52" s="315"/>
      <c r="AH52" s="315"/>
      <c r="AI52" s="315"/>
      <c r="AJ52" s="315"/>
      <c r="AK52" s="315"/>
      <c r="AL52" s="315"/>
      <c r="AM52" s="315"/>
      <c r="AN52" s="315"/>
      <c r="AO52" s="315"/>
      <c r="AP52" s="315"/>
      <c r="AQ52" s="315"/>
      <c r="AR52" s="315"/>
      <c r="AS52" s="315"/>
      <c r="AT52" s="315"/>
      <c r="AU52" s="315"/>
      <c r="AV52" s="315"/>
      <c r="AW52" s="315"/>
      <c r="AX52" s="315"/>
    </row>
    <row r="53" ht="18.75" customHeight="1">
      <c r="B53" s="430" t="str">
        <f>AI53</f>
        <v>CÔNG TY CỔ PHẦN VIỄN THÔNG DI ĐỘNG TOÀN CẦU</v>
      </c>
      <c r="C53" s="430"/>
      <c r="D53" s="430"/>
      <c r="E53" s="430"/>
      <c r="F53" s="430"/>
      <c r="G53" s="430"/>
      <c r="H53" s="431" t="str">
        <f>AK53</f>
        <v>TB2</v>
      </c>
      <c r="I53" s="431"/>
      <c r="J53" s="431"/>
      <c r="K53" s="431"/>
      <c r="L53" s="432">
        <v>2</v>
      </c>
      <c r="M53" s="432"/>
      <c r="N53" s="432"/>
      <c r="O53" s="474" t="str">
        <f>AN53</f>
        <v>4/4/4</v>
      </c>
      <c r="P53" s="515"/>
      <c r="Q53" s="515"/>
      <c r="R53" s="430" t="str">
        <f>IF(L53=3,AQ53&amp;"W/ "&amp;AR53&amp;"W/ "&amp;AS53&amp;"W",IF(L53=2,AQ53&amp;"W/ "&amp;AR53&amp;"W",AQ53&amp;"W"))</f>
        <v>30W/ 40W</v>
      </c>
      <c r="S53" s="430"/>
      <c r="T53" s="430"/>
      <c r="U53" s="430"/>
      <c r="V53" s="430"/>
      <c r="W53" s="430" t="str">
        <f>IF(AU53="900 &amp; 1800","900MHz &amp; 1800MHz",IF(AU53="900 &amp; 2100","900MHz &amp; 2100MHz",IF(AU53="1800 &amp; 2100","1800MHz &amp; 2100MHz",AU53&amp;"MHz")))</f>
        <v>1800MHz</v>
      </c>
      <c r="X53" s="430"/>
      <c r="Y53" s="430"/>
      <c r="Z53" s="430"/>
      <c r="AA53" s="430">
        <f>AV53</f>
        <v>15</v>
      </c>
      <c r="AB53" s="430"/>
      <c r="AC53" s="430"/>
      <c r="AD53" s="430"/>
      <c r="AE53" s="430"/>
      <c r="AF53" s="430"/>
      <c r="AG53" s="315"/>
      <c r="AH53" s="315"/>
      <c r="AI53" s="351" t="s">
        <v>158</v>
      </c>
      <c r="AJ53" s="315"/>
      <c r="AK53" s="351" t="s">
        <v>214</v>
      </c>
      <c r="AL53" s="351"/>
      <c r="AM53" s="315"/>
      <c r="AN53" s="361" t="s">
        <v>168</v>
      </c>
      <c r="AO53" s="315"/>
      <c r="AP53" s="315"/>
      <c r="AQ53" s="315">
        <v>30</v>
      </c>
      <c r="AR53" s="315">
        <v>40</v>
      </c>
      <c r="AS53" s="315">
        <v>40</v>
      </c>
      <c r="AT53" s="315"/>
      <c r="AU53" s="315">
        <v>1800</v>
      </c>
      <c r="AV53" s="315">
        <v>15</v>
      </c>
      <c r="AW53" s="315"/>
      <c r="AX53" s="315"/>
    </row>
    <row r="54" ht="18.75" customHeight="1">
      <c r="B54" s="430"/>
      <c r="C54" s="430"/>
      <c r="D54" s="430"/>
      <c r="E54" s="430"/>
      <c r="F54" s="430"/>
      <c r="G54" s="430"/>
      <c r="H54" s="431"/>
      <c r="I54" s="431"/>
      <c r="J54" s="431"/>
      <c r="K54" s="431"/>
      <c r="L54" s="432"/>
      <c r="M54" s="432"/>
      <c r="N54" s="432"/>
      <c r="O54" s="515"/>
      <c r="P54" s="515"/>
      <c r="Q54" s="515"/>
      <c r="R54" s="430"/>
      <c r="S54" s="430"/>
      <c r="T54" s="430"/>
      <c r="U54" s="430"/>
      <c r="V54" s="430"/>
      <c r="W54" s="430"/>
      <c r="X54" s="430"/>
      <c r="Y54" s="430"/>
      <c r="Z54" s="430"/>
      <c r="AA54" s="430"/>
      <c r="AB54" s="430"/>
      <c r="AC54" s="430"/>
      <c r="AD54" s="430"/>
      <c r="AE54" s="430"/>
      <c r="AF54" s="430"/>
      <c r="AG54" s="315"/>
      <c r="AH54" s="315"/>
      <c r="AI54" s="315"/>
      <c r="AJ54" s="315"/>
      <c r="AK54" s="315"/>
      <c r="AL54" s="315"/>
      <c r="AM54" s="315"/>
      <c r="AN54" s="315"/>
      <c r="AO54" s="315"/>
      <c r="AP54" s="315"/>
      <c r="AQ54" s="315"/>
      <c r="AR54" s="315"/>
      <c r="AS54" s="315"/>
      <c r="AT54" s="315"/>
      <c r="AU54" s="315"/>
      <c r="AV54" s="315"/>
      <c r="AW54" s="315"/>
      <c r="AX54" s="315"/>
    </row>
    <row r="55" ht="18.75" customHeight="1">
      <c r="B55" s="430"/>
      <c r="C55" s="430"/>
      <c r="D55" s="430"/>
      <c r="E55" s="430"/>
      <c r="F55" s="430"/>
      <c r="G55" s="430"/>
      <c r="H55" s="431"/>
      <c r="I55" s="431"/>
      <c r="J55" s="431"/>
      <c r="K55" s="431"/>
      <c r="L55" s="432"/>
      <c r="M55" s="432"/>
      <c r="N55" s="432"/>
      <c r="O55" s="515"/>
      <c r="P55" s="515"/>
      <c r="Q55" s="515"/>
      <c r="R55" s="430"/>
      <c r="S55" s="430"/>
      <c r="T55" s="430"/>
      <c r="U55" s="430"/>
      <c r="V55" s="430"/>
      <c r="W55" s="430"/>
      <c r="X55" s="430"/>
      <c r="Y55" s="430"/>
      <c r="Z55" s="430"/>
      <c r="AA55" s="430"/>
      <c r="AB55" s="430"/>
      <c r="AC55" s="430"/>
      <c r="AD55" s="430"/>
      <c r="AE55" s="430"/>
      <c r="AF55" s="430"/>
      <c r="AG55" s="315"/>
      <c r="AH55" s="315"/>
      <c r="AI55" s="315"/>
      <c r="AJ55" s="315"/>
      <c r="AK55" s="315"/>
      <c r="AL55" s="315"/>
      <c r="AM55" s="315"/>
      <c r="AN55" s="315"/>
      <c r="AO55" s="315"/>
      <c r="AP55" s="315"/>
      <c r="AQ55" s="315"/>
      <c r="AR55" s="315"/>
      <c r="AS55" s="315"/>
      <c r="AT55" s="315"/>
      <c r="AU55" s="315"/>
      <c r="AV55" s="315"/>
      <c r="AW55" s="315"/>
      <c r="AX55" s="315"/>
    </row>
    <row r="56" ht="18.75" customHeight="1">
      <c r="B56" s="430"/>
      <c r="C56" s="430"/>
      <c r="D56" s="430"/>
      <c r="E56" s="430"/>
      <c r="F56" s="430"/>
      <c r="G56" s="430"/>
      <c r="H56" s="431"/>
      <c r="I56" s="431"/>
      <c r="J56" s="431"/>
      <c r="K56" s="431"/>
      <c r="L56" s="432"/>
      <c r="M56" s="432"/>
      <c r="N56" s="432"/>
      <c r="O56" s="515"/>
      <c r="P56" s="515"/>
      <c r="Q56" s="515"/>
      <c r="R56" s="430"/>
      <c r="S56" s="430"/>
      <c r="T56" s="430"/>
      <c r="U56" s="430"/>
      <c r="V56" s="430"/>
      <c r="W56" s="430"/>
      <c r="X56" s="430"/>
      <c r="Y56" s="430"/>
      <c r="Z56" s="430"/>
      <c r="AA56" s="430"/>
      <c r="AB56" s="430"/>
      <c r="AC56" s="430"/>
      <c r="AD56" s="430"/>
      <c r="AE56" s="430"/>
      <c r="AF56" s="430"/>
      <c r="AG56" s="315"/>
      <c r="AH56" s="315"/>
      <c r="AI56" s="315"/>
      <c r="AJ56" s="315"/>
      <c r="AK56" s="315"/>
      <c r="AL56" s="315"/>
      <c r="AM56" s="315"/>
      <c r="AN56" s="315"/>
      <c r="AO56" s="315"/>
      <c r="AP56" s="315"/>
      <c r="AQ56" s="315"/>
      <c r="AR56" s="315"/>
      <c r="AS56" s="315"/>
      <c r="AT56" s="315"/>
      <c r="AU56" s="315"/>
      <c r="AV56" s="315"/>
      <c r="AW56" s="315"/>
      <c r="AX56" s="315"/>
    </row>
    <row r="57" ht="18.75" customHeight="1">
      <c r="B57" s="430" t="str">
        <f>AI57</f>
        <v>CÔNG TY CỔ PHẦN VIỄN THÔNG DI ĐỘNG TOÀN CẦU</v>
      </c>
      <c r="C57" s="430"/>
      <c r="D57" s="430"/>
      <c r="E57" s="430"/>
      <c r="F57" s="430"/>
      <c r="G57" s="430"/>
      <c r="H57" s="431" t="str">
        <f>AK57</f>
        <v>TB2</v>
      </c>
      <c r="I57" s="431"/>
      <c r="J57" s="431"/>
      <c r="K57" s="431"/>
      <c r="L57" s="432">
        <v>3</v>
      </c>
      <c r="M57" s="432"/>
      <c r="N57" s="432"/>
      <c r="O57" s="474" t="str">
        <f>AN57</f>
        <v>4/4/4</v>
      </c>
      <c r="P57" s="515"/>
      <c r="Q57" s="515"/>
      <c r="R57" s="430" t="str">
        <f>IF(L57=3,AQ57&amp;"W/ "&amp;AR57&amp;"W/ "&amp;AS57&amp;"W",IF(L57=2,AQ57&amp;"W/ "&amp;AR57&amp;"W",AQ57&amp;"W"))</f>
        <v>30W/ 40W/ 40W</v>
      </c>
      <c r="S57" s="430"/>
      <c r="T57" s="430"/>
      <c r="U57" s="430"/>
      <c r="V57" s="430"/>
      <c r="W57" s="430" t="str">
        <f>IF(AU57="900 &amp; 1800","900MHz &amp; 1800MHz",IF(AU57="900 &amp; 2100","900MHz &amp; 2100MHz",IF(AU57="1800 &amp; 2100","1800MHz &amp; 2100MHz",AU57&amp;"MHz")))</f>
        <v>9000 &amp; 1800MHz</v>
      </c>
      <c r="X57" s="430"/>
      <c r="Y57" s="430"/>
      <c r="Z57" s="430"/>
      <c r="AA57" s="430">
        <f>AV57</f>
        <v>15</v>
      </c>
      <c r="AB57" s="430"/>
      <c r="AC57" s="430"/>
      <c r="AD57" s="430"/>
      <c r="AE57" s="430"/>
      <c r="AF57" s="430"/>
      <c r="AG57" s="315"/>
      <c r="AH57" s="315"/>
      <c r="AI57" s="351" t="s">
        <v>158</v>
      </c>
      <c r="AJ57" s="315"/>
      <c r="AK57" s="351" t="s">
        <v>214</v>
      </c>
      <c r="AL57" s="351"/>
      <c r="AM57" s="315"/>
      <c r="AN57" s="361" t="s">
        <v>168</v>
      </c>
      <c r="AO57" s="315"/>
      <c r="AP57" s="315"/>
      <c r="AQ57" s="315">
        <v>30</v>
      </c>
      <c r="AR57" s="315">
        <v>40</v>
      </c>
      <c r="AS57" s="315">
        <v>40</v>
      </c>
      <c r="AT57" s="315"/>
      <c r="AU57" s="315" t="s">
        <v>202</v>
      </c>
      <c r="AV57" s="315">
        <v>15</v>
      </c>
      <c r="AW57" s="315"/>
      <c r="AX57" s="315"/>
    </row>
    <row r="58" ht="18.75" customHeight="1">
      <c r="B58" s="430"/>
      <c r="C58" s="430"/>
      <c r="D58" s="430"/>
      <c r="E58" s="430"/>
      <c r="F58" s="430"/>
      <c r="G58" s="430"/>
      <c r="H58" s="431"/>
      <c r="I58" s="431"/>
      <c r="J58" s="431"/>
      <c r="K58" s="431"/>
      <c r="L58" s="432"/>
      <c r="M58" s="432"/>
      <c r="N58" s="432"/>
      <c r="O58" s="515"/>
      <c r="P58" s="515"/>
      <c r="Q58" s="515"/>
      <c r="R58" s="430"/>
      <c r="S58" s="430"/>
      <c r="T58" s="430"/>
      <c r="U58" s="430"/>
      <c r="V58" s="430"/>
      <c r="W58" s="430"/>
      <c r="X58" s="430"/>
      <c r="Y58" s="430"/>
      <c r="Z58" s="430"/>
      <c r="AA58" s="430"/>
      <c r="AB58" s="430"/>
      <c r="AC58" s="430"/>
      <c r="AD58" s="430"/>
      <c r="AE58" s="430"/>
      <c r="AF58" s="430"/>
      <c r="AG58" s="315"/>
      <c r="AH58" s="315"/>
      <c r="AI58" s="315"/>
      <c r="AJ58" s="315"/>
      <c r="AK58" s="315"/>
      <c r="AL58" s="315"/>
      <c r="AM58" s="315"/>
      <c r="AN58" s="315"/>
      <c r="AO58" s="315"/>
      <c r="AP58" s="315"/>
      <c r="AQ58" s="315"/>
      <c r="AR58" s="315"/>
      <c r="AS58" s="315"/>
      <c r="AT58" s="315"/>
      <c r="AU58" s="315"/>
      <c r="AV58" s="315"/>
      <c r="AW58" s="315"/>
      <c r="AX58" s="315"/>
    </row>
    <row r="59" ht="18.75" customHeight="1">
      <c r="B59" s="430"/>
      <c r="C59" s="430"/>
      <c r="D59" s="430"/>
      <c r="E59" s="430"/>
      <c r="F59" s="430"/>
      <c r="G59" s="430"/>
      <c r="H59" s="431"/>
      <c r="I59" s="431"/>
      <c r="J59" s="431"/>
      <c r="K59" s="431"/>
      <c r="L59" s="432"/>
      <c r="M59" s="432"/>
      <c r="N59" s="432"/>
      <c r="O59" s="515"/>
      <c r="P59" s="515"/>
      <c r="Q59" s="515"/>
      <c r="R59" s="430"/>
      <c r="S59" s="430"/>
      <c r="T59" s="430"/>
      <c r="U59" s="430"/>
      <c r="V59" s="430"/>
      <c r="W59" s="430"/>
      <c r="X59" s="430"/>
      <c r="Y59" s="430"/>
      <c r="Z59" s="430"/>
      <c r="AA59" s="430"/>
      <c r="AB59" s="430"/>
      <c r="AC59" s="430"/>
      <c r="AD59" s="430"/>
      <c r="AE59" s="430"/>
      <c r="AF59" s="430"/>
      <c r="AG59" s="315"/>
      <c r="AH59" s="315"/>
      <c r="AI59" s="315"/>
      <c r="AJ59" s="315"/>
      <c r="AK59" s="315"/>
      <c r="AL59" s="315"/>
      <c r="AM59" s="315"/>
      <c r="AN59" s="315"/>
      <c r="AO59" s="315"/>
      <c r="AP59" s="315"/>
      <c r="AQ59" s="315"/>
      <c r="AR59" s="315"/>
      <c r="AS59" s="315"/>
      <c r="AT59" s="315"/>
      <c r="AU59" s="315"/>
      <c r="AV59" s="315"/>
      <c r="AW59" s="315"/>
      <c r="AX59" s="315"/>
    </row>
    <row r="60" ht="18.75" customHeight="1">
      <c r="B60" s="430"/>
      <c r="C60" s="430"/>
      <c r="D60" s="430"/>
      <c r="E60" s="430"/>
      <c r="F60" s="430"/>
      <c r="G60" s="430"/>
      <c r="H60" s="431"/>
      <c r="I60" s="431"/>
      <c r="J60" s="431"/>
      <c r="K60" s="431"/>
      <c r="L60" s="432"/>
      <c r="M60" s="432"/>
      <c r="N60" s="432"/>
      <c r="O60" s="515"/>
      <c r="P60" s="515"/>
      <c r="Q60" s="515"/>
      <c r="R60" s="430"/>
      <c r="S60" s="430"/>
      <c r="T60" s="430"/>
      <c r="U60" s="430"/>
      <c r="V60" s="430"/>
      <c r="W60" s="430"/>
      <c r="X60" s="430"/>
      <c r="Y60" s="430"/>
      <c r="Z60" s="430"/>
      <c r="AA60" s="430"/>
      <c r="AB60" s="430"/>
      <c r="AC60" s="430"/>
      <c r="AD60" s="430"/>
      <c r="AE60" s="430"/>
      <c r="AF60" s="430"/>
      <c r="AG60" s="315"/>
      <c r="AH60" s="315"/>
      <c r="AI60" s="315"/>
      <c r="AJ60" s="315"/>
      <c r="AK60" s="315"/>
      <c r="AL60" s="315"/>
      <c r="AM60" s="315"/>
      <c r="AN60" s="315"/>
      <c r="AO60" s="315"/>
      <c r="AP60" s="315"/>
      <c r="AQ60" s="315"/>
      <c r="AR60" s="315"/>
      <c r="AS60" s="315"/>
      <c r="AT60" s="315"/>
      <c r="AU60" s="315"/>
      <c r="AV60" s="315"/>
      <c r="AW60" s="315"/>
      <c r="AX60" s="315"/>
    </row>
    <row r="61" ht="18.75" customHeight="1">
      <c r="B61" s="430" t="str">
        <f>AI61</f>
        <v>CÔNG TY CỔ PHẦN VIỄN THÔNG DI ĐỘNG TOÀN CẦU</v>
      </c>
      <c r="C61" s="430"/>
      <c r="D61" s="430"/>
      <c r="E61" s="430"/>
      <c r="F61" s="430"/>
      <c r="G61" s="430"/>
      <c r="H61" s="431" t="str">
        <f>AK61</f>
        <v>TB2</v>
      </c>
      <c r="I61" s="431"/>
      <c r="J61" s="431"/>
      <c r="K61" s="431"/>
      <c r="L61" s="432">
        <v>2</v>
      </c>
      <c r="M61" s="432"/>
      <c r="N61" s="432"/>
      <c r="O61" s="474" t="str">
        <f>AN61</f>
        <v>4/4/4</v>
      </c>
      <c r="P61" s="515"/>
      <c r="Q61" s="515"/>
      <c r="R61" s="430" t="str">
        <f>IF(L61=3,AQ61&amp;"W/ "&amp;AR61&amp;"W/ "&amp;AS61&amp;"W",IF(L61=2,AQ61&amp;"W/ "&amp;AR61&amp;"W",AQ61&amp;"W"))</f>
        <v>30W/ 40W</v>
      </c>
      <c r="S61" s="430"/>
      <c r="T61" s="430"/>
      <c r="U61" s="430"/>
      <c r="V61" s="430"/>
      <c r="W61" s="430" t="str">
        <f>IF(AU61="900 &amp; 1800","900MHz &amp; 1800MHz",IF(AU61="900 &amp; 2100","900MHz &amp; 2100MHz",IF(AU61="1800 &amp; 2100","1800MHz &amp; 2100MHz",AU61&amp;"MHz")))</f>
        <v>9000 &amp; 2100MHz</v>
      </c>
      <c r="X61" s="430"/>
      <c r="Y61" s="430"/>
      <c r="Z61" s="430"/>
      <c r="AA61" s="430">
        <f>AV61</f>
        <v>15</v>
      </c>
      <c r="AB61" s="430"/>
      <c r="AC61" s="430"/>
      <c r="AD61" s="430"/>
      <c r="AE61" s="430"/>
      <c r="AF61" s="430"/>
      <c r="AG61" s="315"/>
      <c r="AH61" s="315"/>
      <c r="AI61" s="351" t="s">
        <v>158</v>
      </c>
      <c r="AJ61" s="315"/>
      <c r="AK61" s="351" t="s">
        <v>214</v>
      </c>
      <c r="AL61" s="351"/>
      <c r="AM61" s="315"/>
      <c r="AN61" s="361" t="s">
        <v>168</v>
      </c>
      <c r="AO61" s="315"/>
      <c r="AP61" s="315"/>
      <c r="AQ61" s="315">
        <v>30</v>
      </c>
      <c r="AR61" s="315">
        <v>40</v>
      </c>
      <c r="AS61" s="315">
        <v>40</v>
      </c>
      <c r="AT61" s="315"/>
      <c r="AU61" s="315" t="s">
        <v>203</v>
      </c>
      <c r="AV61" s="315">
        <v>15</v>
      </c>
      <c r="AW61" s="315"/>
      <c r="AX61" s="315"/>
    </row>
    <row r="62" ht="18.75" customHeight="1">
      <c r="B62" s="430"/>
      <c r="C62" s="430"/>
      <c r="D62" s="430"/>
      <c r="E62" s="430"/>
      <c r="F62" s="430"/>
      <c r="G62" s="430"/>
      <c r="H62" s="431"/>
      <c r="I62" s="431"/>
      <c r="J62" s="431"/>
      <c r="K62" s="431"/>
      <c r="L62" s="432"/>
      <c r="M62" s="432"/>
      <c r="N62" s="432"/>
      <c r="O62" s="515"/>
      <c r="P62" s="515"/>
      <c r="Q62" s="515"/>
      <c r="R62" s="430"/>
      <c r="S62" s="430"/>
      <c r="T62" s="430"/>
      <c r="U62" s="430"/>
      <c r="V62" s="430"/>
      <c r="W62" s="430"/>
      <c r="X62" s="430"/>
      <c r="Y62" s="430"/>
      <c r="Z62" s="430"/>
      <c r="AA62" s="430"/>
      <c r="AB62" s="430"/>
      <c r="AC62" s="430"/>
      <c r="AD62" s="430"/>
      <c r="AE62" s="430"/>
      <c r="AF62" s="430"/>
      <c r="AG62" s="315"/>
      <c r="AH62" s="315"/>
      <c r="AI62" s="315"/>
      <c r="AJ62" s="315"/>
      <c r="AK62" s="315"/>
      <c r="AL62" s="315"/>
      <c r="AM62" s="315"/>
      <c r="AN62" s="315"/>
      <c r="AO62" s="315"/>
      <c r="AP62" s="315"/>
      <c r="AQ62" s="315"/>
      <c r="AR62" s="315"/>
      <c r="AS62" s="315"/>
      <c r="AT62" s="315"/>
      <c r="AU62" s="315"/>
      <c r="AV62" s="315"/>
      <c r="AW62" s="315"/>
      <c r="AX62" s="315"/>
    </row>
    <row r="63" ht="18.75" customHeight="1">
      <c r="B63" s="430"/>
      <c r="C63" s="430"/>
      <c r="D63" s="430"/>
      <c r="E63" s="430"/>
      <c r="F63" s="430"/>
      <c r="G63" s="430"/>
      <c r="H63" s="431"/>
      <c r="I63" s="431"/>
      <c r="J63" s="431"/>
      <c r="K63" s="431"/>
      <c r="L63" s="432"/>
      <c r="M63" s="432"/>
      <c r="N63" s="432"/>
      <c r="O63" s="515"/>
      <c r="P63" s="515"/>
      <c r="Q63" s="515"/>
      <c r="R63" s="430"/>
      <c r="S63" s="430"/>
      <c r="T63" s="430"/>
      <c r="U63" s="430"/>
      <c r="V63" s="430"/>
      <c r="W63" s="430"/>
      <c r="X63" s="430"/>
      <c r="Y63" s="430"/>
      <c r="Z63" s="430"/>
      <c r="AA63" s="430"/>
      <c r="AB63" s="430"/>
      <c r="AC63" s="430"/>
      <c r="AD63" s="430"/>
      <c r="AE63" s="430"/>
      <c r="AF63" s="430"/>
      <c r="AG63" s="315"/>
      <c r="AH63" s="315"/>
      <c r="AI63" s="315"/>
      <c r="AJ63" s="315"/>
      <c r="AK63" s="315"/>
      <c r="AL63" s="315"/>
      <c r="AM63" s="315"/>
      <c r="AN63" s="315"/>
      <c r="AO63" s="315"/>
      <c r="AP63" s="315"/>
      <c r="AQ63" s="315"/>
      <c r="AR63" s="315"/>
      <c r="AS63" s="315"/>
      <c r="AT63" s="315"/>
      <c r="AU63" s="315"/>
      <c r="AV63" s="315"/>
      <c r="AW63" s="315"/>
      <c r="AX63" s="315"/>
    </row>
    <row r="64" ht="18.75" customHeight="1">
      <c r="B64" s="430"/>
      <c r="C64" s="430"/>
      <c r="D64" s="430"/>
      <c r="E64" s="430"/>
      <c r="F64" s="430"/>
      <c r="G64" s="430"/>
      <c r="H64" s="431"/>
      <c r="I64" s="431"/>
      <c r="J64" s="431"/>
      <c r="K64" s="431"/>
      <c r="L64" s="432"/>
      <c r="M64" s="432"/>
      <c r="N64" s="432"/>
      <c r="O64" s="515"/>
      <c r="P64" s="515"/>
      <c r="Q64" s="515"/>
      <c r="R64" s="430"/>
      <c r="S64" s="430"/>
      <c r="T64" s="430"/>
      <c r="U64" s="430"/>
      <c r="V64" s="430"/>
      <c r="W64" s="430"/>
      <c r="X64" s="430"/>
      <c r="Y64" s="430"/>
      <c r="Z64" s="430"/>
      <c r="AA64" s="430"/>
      <c r="AB64" s="430"/>
      <c r="AC64" s="430"/>
      <c r="AD64" s="430"/>
      <c r="AE64" s="430"/>
      <c r="AF64" s="430"/>
      <c r="AG64" s="315"/>
      <c r="AH64" s="315"/>
      <c r="AI64" s="315"/>
      <c r="AJ64" s="315"/>
      <c r="AK64" s="315"/>
      <c r="AL64" s="315"/>
      <c r="AM64" s="315"/>
      <c r="AN64" s="315"/>
      <c r="AO64" s="315"/>
      <c r="AP64" s="315"/>
      <c r="AQ64" s="315"/>
      <c r="AR64" s="315"/>
      <c r="AS64" s="315"/>
      <c r="AT64" s="315"/>
      <c r="AU64" s="315"/>
      <c r="AV64" s="315"/>
      <c r="AW64" s="315"/>
      <c r="AX64" s="315"/>
    </row>
    <row r="65" ht="18.75" customHeight="1">
      <c r="B65" s="430" t="str">
        <f>AI65</f>
        <v>CÔNG TY CỔ PHẦN VIỄN THÔNG DI ĐỘNG TOÀN CẦU</v>
      </c>
      <c r="C65" s="430"/>
      <c r="D65" s="430"/>
      <c r="E65" s="430"/>
      <c r="F65" s="430"/>
      <c r="G65" s="430"/>
      <c r="H65" s="431" t="str">
        <f>AK65</f>
        <v>TB2</v>
      </c>
      <c r="I65" s="431"/>
      <c r="J65" s="431"/>
      <c r="K65" s="431"/>
      <c r="L65" s="432">
        <v>1</v>
      </c>
      <c r="M65" s="432"/>
      <c r="N65" s="432"/>
      <c r="O65" s="474" t="str">
        <f>AN65</f>
        <v>4/4/4</v>
      </c>
      <c r="P65" s="515"/>
      <c r="Q65" s="515"/>
      <c r="R65" s="430" t="str">
        <f>IF(L65=3,AQ65&amp;"W/ "&amp;AR65&amp;"W/ "&amp;AS65&amp;"W",IF(L65=2,AQ65&amp;"W/ "&amp;AR65&amp;"W",AQ65&amp;"W"))</f>
        <v>30W</v>
      </c>
      <c r="S65" s="430"/>
      <c r="T65" s="430"/>
      <c r="U65" s="430"/>
      <c r="V65" s="430"/>
      <c r="W65" s="430" t="str">
        <f>IF(AU65="900 &amp; 1800","900MHz &amp; 1800MHz",IF(AU65="900 &amp; 2100","900MHz &amp; 2100MHz",IF(AU65="1800 &amp; 2100","1800MHz &amp; 2100MHz",AU65&amp;"MHz")))</f>
        <v>1800MHz &amp; 2100MHz</v>
      </c>
      <c r="X65" s="430"/>
      <c r="Y65" s="430"/>
      <c r="Z65" s="430"/>
      <c r="AA65" s="430">
        <f>AV65</f>
        <v>15</v>
      </c>
      <c r="AB65" s="430"/>
      <c r="AC65" s="430"/>
      <c r="AD65" s="430"/>
      <c r="AE65" s="430"/>
      <c r="AF65" s="430"/>
      <c r="AG65" s="315"/>
      <c r="AH65" s="315"/>
      <c r="AI65" s="351" t="s">
        <v>158</v>
      </c>
      <c r="AJ65" s="315"/>
      <c r="AK65" s="351" t="s">
        <v>214</v>
      </c>
      <c r="AL65" s="351"/>
      <c r="AM65" s="315"/>
      <c r="AN65" s="361" t="s">
        <v>168</v>
      </c>
      <c r="AO65" s="315"/>
      <c r="AP65" s="315"/>
      <c r="AQ65" s="315">
        <v>30</v>
      </c>
      <c r="AR65" s="315">
        <v>40</v>
      </c>
      <c r="AS65" s="315">
        <v>40</v>
      </c>
      <c r="AT65" s="315"/>
      <c r="AU65" s="315" t="s">
        <v>204</v>
      </c>
      <c r="AV65" s="315">
        <v>15</v>
      </c>
      <c r="AW65" s="315">
        <v>16</v>
      </c>
      <c r="AX65" s="315">
        <v>17</v>
      </c>
    </row>
    <row r="66" ht="18.75" customHeight="1">
      <c r="B66" s="430"/>
      <c r="C66" s="430"/>
      <c r="D66" s="430"/>
      <c r="E66" s="430"/>
      <c r="F66" s="430"/>
      <c r="G66" s="430"/>
      <c r="H66" s="431"/>
      <c r="I66" s="431"/>
      <c r="J66" s="431"/>
      <c r="K66" s="431"/>
      <c r="L66" s="432"/>
      <c r="M66" s="432"/>
      <c r="N66" s="432"/>
      <c r="O66" s="515"/>
      <c r="P66" s="515"/>
      <c r="Q66" s="515"/>
      <c r="R66" s="430"/>
      <c r="S66" s="430"/>
      <c r="T66" s="430"/>
      <c r="U66" s="430"/>
      <c r="V66" s="430"/>
      <c r="W66" s="430"/>
      <c r="X66" s="430"/>
      <c r="Y66" s="430"/>
      <c r="Z66" s="430"/>
      <c r="AA66" s="430"/>
      <c r="AB66" s="430"/>
      <c r="AC66" s="430"/>
      <c r="AD66" s="430"/>
      <c r="AE66" s="430"/>
      <c r="AF66" s="430"/>
      <c r="AG66" s="315"/>
      <c r="AH66" s="315"/>
      <c r="AI66" s="315"/>
      <c r="AJ66" s="315"/>
      <c r="AK66" s="315"/>
      <c r="AL66" s="315"/>
      <c r="AM66" s="315"/>
      <c r="AN66" s="315"/>
      <c r="AO66" s="315"/>
      <c r="AP66" s="315"/>
      <c r="AQ66" s="315"/>
      <c r="AR66" s="315"/>
      <c r="AS66" s="315"/>
      <c r="AT66" s="315"/>
      <c r="AU66" s="315"/>
      <c r="AV66" s="315"/>
      <c r="AW66" s="315"/>
      <c r="AX66" s="315"/>
    </row>
    <row r="67" ht="18.75" customHeight="1">
      <c r="B67" s="430"/>
      <c r="C67" s="430"/>
      <c r="D67" s="430"/>
      <c r="E67" s="430"/>
      <c r="F67" s="430"/>
      <c r="G67" s="430"/>
      <c r="H67" s="431"/>
      <c r="I67" s="431"/>
      <c r="J67" s="431"/>
      <c r="K67" s="431"/>
      <c r="L67" s="432"/>
      <c r="M67" s="432"/>
      <c r="N67" s="432"/>
      <c r="O67" s="515"/>
      <c r="P67" s="515"/>
      <c r="Q67" s="515"/>
      <c r="R67" s="430"/>
      <c r="S67" s="430"/>
      <c r="T67" s="430"/>
      <c r="U67" s="430"/>
      <c r="V67" s="430"/>
      <c r="W67" s="430"/>
      <c r="X67" s="430"/>
      <c r="Y67" s="430"/>
      <c r="Z67" s="430"/>
      <c r="AA67" s="430"/>
      <c r="AB67" s="430"/>
      <c r="AC67" s="430"/>
      <c r="AD67" s="430"/>
      <c r="AE67" s="430"/>
      <c r="AF67" s="430"/>
      <c r="AG67" s="315"/>
      <c r="AH67" s="315"/>
      <c r="AI67" s="315"/>
      <c r="AJ67" s="315"/>
      <c r="AK67" s="315"/>
      <c r="AL67" s="315"/>
      <c r="AM67" s="315"/>
      <c r="AN67" s="315"/>
      <c r="AO67" s="315"/>
      <c r="AP67" s="315"/>
      <c r="AQ67" s="315"/>
      <c r="AR67" s="315"/>
      <c r="AS67" s="315"/>
      <c r="AT67" s="315"/>
      <c r="AU67" s="315"/>
      <c r="AV67" s="315"/>
      <c r="AW67" s="315"/>
      <c r="AX67" s="315"/>
    </row>
    <row r="68" ht="18.75" customHeight="1">
      <c r="B68" s="430"/>
      <c r="C68" s="430"/>
      <c r="D68" s="430"/>
      <c r="E68" s="430"/>
      <c r="F68" s="430"/>
      <c r="G68" s="430"/>
      <c r="H68" s="431"/>
      <c r="I68" s="431"/>
      <c r="J68" s="431"/>
      <c r="K68" s="431"/>
      <c r="L68" s="432"/>
      <c r="M68" s="432"/>
      <c r="N68" s="432"/>
      <c r="O68" s="515"/>
      <c r="P68" s="515"/>
      <c r="Q68" s="515"/>
      <c r="R68" s="430"/>
      <c r="S68" s="430"/>
      <c r="T68" s="430"/>
      <c r="U68" s="430"/>
      <c r="V68" s="430"/>
      <c r="W68" s="430"/>
      <c r="X68" s="430"/>
      <c r="Y68" s="430"/>
      <c r="Z68" s="430"/>
      <c r="AA68" s="430"/>
      <c r="AB68" s="430"/>
      <c r="AC68" s="430"/>
      <c r="AD68" s="430"/>
      <c r="AE68" s="430"/>
      <c r="AF68" s="430"/>
      <c r="AG68" s="315"/>
      <c r="AH68" s="315"/>
      <c r="AI68" s="315"/>
      <c r="AJ68" s="315"/>
      <c r="AK68" s="315"/>
      <c r="AL68" s="315"/>
      <c r="AM68" s="315"/>
      <c r="AN68" s="315"/>
      <c r="AO68" s="315"/>
      <c r="AP68" s="315"/>
      <c r="AQ68" s="315"/>
      <c r="AR68" s="315"/>
      <c r="AS68" s="315"/>
      <c r="AT68" s="315"/>
      <c r="AU68" s="315"/>
      <c r="AV68" s="315"/>
      <c r="AW68" s="315"/>
      <c r="AX68" s="315"/>
    </row>
    <row r="69" ht="18.75" customHeight="1">
      <c r="B69" s="315"/>
      <c r="C69" s="338"/>
      <c r="D69" s="338"/>
      <c r="E69" s="338"/>
      <c r="F69" s="338"/>
      <c r="G69" s="338"/>
      <c r="H69" s="338"/>
      <c r="I69" s="338"/>
      <c r="J69" s="338"/>
      <c r="K69" s="338"/>
      <c r="L69" s="338"/>
      <c r="M69" s="338"/>
      <c r="N69" s="338"/>
      <c r="O69" s="338"/>
      <c r="P69" s="338"/>
      <c r="Q69" s="338"/>
      <c r="R69" s="338"/>
      <c r="S69" s="338"/>
      <c r="T69" s="338"/>
      <c r="U69" s="338"/>
      <c r="V69" s="338"/>
      <c r="W69" s="338"/>
      <c r="X69" s="338"/>
      <c r="Y69" s="338"/>
      <c r="Z69" s="338"/>
      <c r="AA69" s="338"/>
      <c r="AB69" s="338"/>
      <c r="AC69" s="338"/>
      <c r="AD69" s="338"/>
      <c r="AE69" s="338"/>
      <c r="AF69" s="315"/>
      <c r="AG69" s="315"/>
      <c r="AH69" s="315"/>
      <c r="AI69" s="315"/>
      <c r="AJ69" s="315"/>
      <c r="AK69" s="315"/>
      <c r="AL69" s="315"/>
      <c r="AM69" s="315"/>
      <c r="AN69" s="315"/>
      <c r="AO69" s="315"/>
      <c r="AP69" s="315"/>
      <c r="AQ69" s="315"/>
      <c r="AR69" s="315"/>
      <c r="AS69" s="315"/>
      <c r="AT69" s="315"/>
      <c r="AU69" s="315"/>
      <c r="AV69" s="315"/>
      <c r="AW69" s="315"/>
      <c r="AX69" s="315"/>
    </row>
    <row r="70" ht="18.75" customHeight="1">
      <c r="B70" s="315"/>
      <c r="C70" s="338"/>
      <c r="D70" s="338"/>
      <c r="E70" s="338"/>
      <c r="F70" s="338"/>
      <c r="G70" s="338"/>
      <c r="H70" s="338"/>
      <c r="I70" s="338"/>
      <c r="J70" s="338"/>
      <c r="K70" s="338"/>
      <c r="L70" s="338"/>
      <c r="M70" s="338"/>
      <c r="N70" s="338"/>
      <c r="O70" s="338"/>
      <c r="P70" s="338"/>
      <c r="Q70" s="338"/>
      <c r="R70" s="338"/>
      <c r="S70" s="338"/>
      <c r="T70" s="338"/>
      <c r="U70" s="338"/>
      <c r="V70" s="338"/>
      <c r="W70" s="338"/>
      <c r="X70" s="338"/>
      <c r="Y70" s="338"/>
      <c r="Z70" s="338"/>
      <c r="AA70" s="338"/>
      <c r="AB70" s="338"/>
      <c r="AC70" s="338"/>
      <c r="AD70" s="338"/>
      <c r="AE70" s="338"/>
      <c r="AF70" s="315"/>
      <c r="AG70" s="315"/>
      <c r="AH70" s="315"/>
      <c r="AI70" s="315"/>
      <c r="AJ70" s="315"/>
      <c r="AK70" s="315"/>
      <c r="AL70" s="315"/>
      <c r="AM70" s="315"/>
      <c r="AN70" s="315"/>
      <c r="AO70" s="315"/>
      <c r="AP70" s="315"/>
      <c r="AQ70" s="315"/>
      <c r="AR70" s="315"/>
      <c r="AS70" s="315"/>
      <c r="AT70" s="315"/>
      <c r="AU70" s="315"/>
      <c r="AV70" s="315"/>
      <c r="AW70" s="315"/>
      <c r="AX70" s="315"/>
    </row>
    <row r="71" ht="18.75" customHeight="1">
      <c r="B71" s="315"/>
      <c r="C71" s="338"/>
      <c r="D71" s="338"/>
      <c r="E71" s="338"/>
      <c r="F71" s="338"/>
      <c r="G71" s="338"/>
      <c r="H71" s="338"/>
      <c r="I71" s="338"/>
      <c r="J71" s="338"/>
      <c r="K71" s="338"/>
      <c r="L71" s="338"/>
      <c r="M71" s="338"/>
      <c r="N71" s="338"/>
      <c r="O71" s="338"/>
      <c r="P71" s="338"/>
      <c r="Q71" s="338"/>
      <c r="R71" s="338"/>
      <c r="S71" s="338"/>
      <c r="T71" s="338"/>
      <c r="U71" s="338"/>
      <c r="V71" s="338"/>
      <c r="W71" s="338"/>
      <c r="X71" s="338"/>
      <c r="Y71" s="338"/>
      <c r="Z71" s="338"/>
      <c r="AA71" s="338"/>
      <c r="AB71" s="338"/>
      <c r="AC71" s="338"/>
      <c r="AD71" s="338"/>
      <c r="AE71" s="338"/>
      <c r="AF71" s="315"/>
      <c r="AG71" s="315"/>
      <c r="AH71" s="315"/>
      <c r="AI71" s="315"/>
      <c r="AJ71" s="315"/>
      <c r="AK71" s="315"/>
      <c r="AL71" s="315"/>
      <c r="AM71" s="315"/>
      <c r="AN71" s="315"/>
      <c r="AO71" s="315"/>
      <c r="AP71" s="315"/>
      <c r="AQ71" s="315"/>
      <c r="AR71" s="315"/>
      <c r="AS71" s="315"/>
      <c r="AT71" s="315"/>
      <c r="AU71" s="315"/>
      <c r="AV71" s="315"/>
      <c r="AW71" s="315"/>
      <c r="AX71" s="315"/>
    </row>
    <row r="72" ht="18.75" customHeight="1">
      <c r="B72" s="315"/>
      <c r="C72" s="338"/>
      <c r="D72" s="338"/>
      <c r="E72" s="338"/>
      <c r="F72" s="338"/>
      <c r="G72" s="338"/>
      <c r="H72" s="338"/>
      <c r="I72" s="338"/>
      <c r="J72" s="338"/>
      <c r="K72" s="338"/>
      <c r="L72" s="338"/>
      <c r="M72" s="338"/>
      <c r="N72" s="338"/>
      <c r="O72" s="338"/>
      <c r="P72" s="338"/>
      <c r="Q72" s="338"/>
      <c r="R72" s="338"/>
      <c r="S72" s="338"/>
      <c r="T72" s="338"/>
      <c r="U72" s="338"/>
      <c r="V72" s="338"/>
      <c r="W72" s="338"/>
      <c r="X72" s="338"/>
      <c r="Y72" s="338"/>
      <c r="Z72" s="338"/>
      <c r="AA72" s="338"/>
      <c r="AB72" s="338"/>
      <c r="AC72" s="338"/>
      <c r="AD72" s="338"/>
      <c r="AE72" s="338"/>
      <c r="AF72" s="315"/>
      <c r="AG72" s="315"/>
      <c r="AH72" s="315"/>
      <c r="AI72" s="315"/>
      <c r="AJ72" s="315"/>
      <c r="AK72" s="315"/>
      <c r="AL72" s="315"/>
      <c r="AM72" s="315"/>
      <c r="AN72" s="315"/>
      <c r="AO72" s="315"/>
      <c r="AP72" s="315"/>
      <c r="AQ72" s="315"/>
      <c r="AR72" s="315"/>
      <c r="AS72" s="315"/>
      <c r="AT72" s="315"/>
      <c r="AU72" s="315"/>
      <c r="AV72" s="315"/>
      <c r="AW72" s="315"/>
      <c r="AX72" s="315"/>
    </row>
    <row r="73" ht="18.75" customHeight="1">
      <c r="B73" s="315"/>
      <c r="C73" s="338"/>
      <c r="D73" s="338"/>
      <c r="E73" s="338"/>
      <c r="F73" s="338"/>
      <c r="G73" s="338"/>
      <c r="H73" s="338"/>
      <c r="I73" s="338"/>
      <c r="J73" s="338"/>
      <c r="K73" s="338"/>
      <c r="L73" s="338"/>
      <c r="M73" s="338"/>
      <c r="N73" s="338"/>
      <c r="O73" s="338"/>
      <c r="P73" s="338"/>
      <c r="Q73" s="338"/>
      <c r="R73" s="338"/>
      <c r="S73" s="338"/>
      <c r="T73" s="338"/>
      <c r="U73" s="338"/>
      <c r="V73" s="338"/>
      <c r="W73" s="338"/>
      <c r="X73" s="338"/>
      <c r="Y73" s="338"/>
      <c r="Z73" s="338"/>
      <c r="AA73" s="338"/>
      <c r="AB73" s="338"/>
      <c r="AC73" s="338"/>
      <c r="AD73" s="338"/>
      <c r="AE73" s="338"/>
      <c r="AF73" s="315"/>
      <c r="AG73" s="315"/>
      <c r="AH73" s="315"/>
      <c r="AI73" s="315"/>
      <c r="AJ73" s="315"/>
      <c r="AK73" s="315"/>
      <c r="AL73" s="315"/>
      <c r="AM73" s="315"/>
      <c r="AN73" s="315"/>
      <c r="AO73" s="315"/>
      <c r="AP73" s="315"/>
      <c r="AQ73" s="315"/>
      <c r="AR73" s="315"/>
      <c r="AS73" s="315"/>
      <c r="AT73" s="315"/>
      <c r="AU73" s="315"/>
      <c r="AV73" s="315"/>
      <c r="AW73" s="315"/>
      <c r="AX73" s="315"/>
    </row>
    <row r="74" ht="18.75" customHeight="1">
      <c r="B74" s="315"/>
      <c r="C74" s="338"/>
      <c r="D74" s="338"/>
      <c r="E74" s="338"/>
      <c r="F74" s="338"/>
      <c r="G74" s="338"/>
      <c r="H74" s="338"/>
      <c r="I74" s="338"/>
      <c r="J74" s="338"/>
      <c r="K74" s="338"/>
      <c r="L74" s="338"/>
      <c r="M74" s="338"/>
      <c r="N74" s="338"/>
      <c r="O74" s="338"/>
      <c r="P74" s="338"/>
      <c r="Q74" s="338"/>
      <c r="R74" s="338"/>
      <c r="S74" s="338"/>
      <c r="T74" s="338"/>
      <c r="U74" s="338"/>
      <c r="V74" s="338"/>
      <c r="W74" s="338"/>
      <c r="X74" s="338"/>
      <c r="Y74" s="338"/>
      <c r="Z74" s="338"/>
      <c r="AA74" s="338"/>
      <c r="AB74" s="338"/>
      <c r="AC74" s="338"/>
      <c r="AD74" s="338"/>
      <c r="AE74" s="338"/>
      <c r="AF74" s="315"/>
      <c r="AG74" s="315"/>
      <c r="AH74" s="315"/>
      <c r="AI74" s="315"/>
      <c r="AJ74" s="315"/>
      <c r="AK74" s="315"/>
      <c r="AL74" s="315"/>
      <c r="AM74" s="315"/>
      <c r="AN74" s="315"/>
      <c r="AO74" s="315"/>
      <c r="AP74" s="315"/>
      <c r="AQ74" s="315"/>
      <c r="AR74" s="315"/>
      <c r="AS74" s="315"/>
      <c r="AT74" s="315"/>
      <c r="AU74" s="315"/>
      <c r="AV74" s="315"/>
      <c r="AW74" s="315"/>
      <c r="AX74" s="315"/>
    </row>
    <row r="75" ht="18.75" customHeight="1">
      <c r="B75" s="315"/>
      <c r="C75" s="338"/>
      <c r="D75" s="338"/>
      <c r="E75" s="338"/>
      <c r="F75" s="338"/>
      <c r="G75" s="338"/>
      <c r="H75" s="338"/>
      <c r="I75" s="338"/>
      <c r="J75" s="338"/>
      <c r="K75" s="338"/>
      <c r="L75" s="338"/>
      <c r="M75" s="338"/>
      <c r="N75" s="338"/>
      <c r="O75" s="338"/>
      <c r="P75" s="338"/>
      <c r="Q75" s="338"/>
      <c r="R75" s="338"/>
      <c r="S75" s="338"/>
      <c r="T75" s="338"/>
      <c r="U75" s="338"/>
      <c r="V75" s="338"/>
      <c r="W75" s="338"/>
      <c r="X75" s="338"/>
      <c r="Y75" s="338"/>
      <c r="Z75" s="338"/>
      <c r="AA75" s="338"/>
      <c r="AB75" s="338"/>
      <c r="AC75" s="338"/>
      <c r="AD75" s="338"/>
      <c r="AE75" s="338"/>
      <c r="AF75" s="315"/>
      <c r="AG75" s="315"/>
      <c r="AH75" s="315"/>
      <c r="AI75" s="315"/>
      <c r="AJ75" s="315"/>
      <c r="AK75" s="315"/>
      <c r="AL75" s="315"/>
      <c r="AM75" s="315"/>
      <c r="AN75" s="315"/>
      <c r="AO75" s="315"/>
      <c r="AP75" s="315"/>
      <c r="AQ75" s="315"/>
      <c r="AR75" s="315"/>
      <c r="AS75" s="315"/>
      <c r="AT75" s="315"/>
      <c r="AU75" s="315"/>
      <c r="AV75" s="315"/>
      <c r="AW75" s="315"/>
      <c r="AX75" s="315"/>
    </row>
    <row r="76" ht="18.75" customHeight="1">
      <c r="B76" s="315"/>
      <c r="C76" s="338"/>
      <c r="D76" s="338"/>
      <c r="E76" s="338"/>
      <c r="F76" s="338"/>
      <c r="G76" s="338"/>
      <c r="H76" s="338"/>
      <c r="I76" s="338"/>
      <c r="J76" s="338"/>
      <c r="K76" s="338"/>
      <c r="L76" s="338"/>
      <c r="M76" s="338"/>
      <c r="N76" s="338"/>
      <c r="O76" s="338"/>
      <c r="P76" s="338"/>
      <c r="Q76" s="338"/>
      <c r="R76" s="338"/>
      <c r="S76" s="338"/>
      <c r="T76" s="338"/>
      <c r="U76" s="338"/>
      <c r="V76" s="338"/>
      <c r="W76" s="338"/>
      <c r="X76" s="338"/>
      <c r="Y76" s="338"/>
      <c r="Z76" s="338"/>
      <c r="AA76" s="338"/>
      <c r="AB76" s="338"/>
      <c r="AC76" s="338"/>
      <c r="AD76" s="338"/>
      <c r="AE76" s="338"/>
      <c r="AF76" s="315"/>
      <c r="AG76" s="315"/>
      <c r="AH76" s="315"/>
      <c r="AI76" s="315"/>
      <c r="AJ76" s="315"/>
      <c r="AK76" s="315"/>
      <c r="AL76" s="315"/>
      <c r="AM76" s="315"/>
      <c r="AN76" s="315"/>
      <c r="AO76" s="315"/>
      <c r="AP76" s="315"/>
      <c r="AQ76" s="315"/>
      <c r="AR76" s="315"/>
      <c r="AS76" s="315"/>
      <c r="AT76" s="315"/>
      <c r="AU76" s="315"/>
      <c r="AV76" s="315"/>
      <c r="AW76" s="315"/>
      <c r="AX76" s="315"/>
    </row>
    <row r="77" ht="18.75" customHeight="1">
      <c r="B77" s="315"/>
      <c r="C77" s="338"/>
      <c r="D77" s="338"/>
      <c r="E77" s="338"/>
      <c r="F77" s="338"/>
      <c r="G77" s="338"/>
      <c r="H77" s="338"/>
      <c r="I77" s="338"/>
      <c r="J77" s="338"/>
      <c r="K77" s="338"/>
      <c r="L77" s="338"/>
      <c r="M77" s="338"/>
      <c r="N77" s="338"/>
      <c r="O77" s="338"/>
      <c r="P77" s="338"/>
      <c r="Q77" s="338"/>
      <c r="R77" s="338"/>
      <c r="S77" s="338"/>
      <c r="T77" s="338"/>
      <c r="U77" s="338"/>
      <c r="V77" s="338"/>
      <c r="W77" s="338"/>
      <c r="X77" s="338"/>
      <c r="Y77" s="338"/>
      <c r="Z77" s="338"/>
      <c r="AA77" s="338"/>
      <c r="AB77" s="338"/>
      <c r="AC77" s="338"/>
      <c r="AD77" s="338"/>
      <c r="AE77" s="338"/>
      <c r="AF77" s="315"/>
      <c r="AG77" s="315"/>
      <c r="AH77" s="315"/>
      <c r="AI77" s="315"/>
      <c r="AJ77" s="315"/>
      <c r="AK77" s="315"/>
      <c r="AL77" s="315"/>
      <c r="AM77" s="315"/>
      <c r="AN77" s="315"/>
      <c r="AO77" s="315"/>
      <c r="AP77" s="315"/>
      <c r="AQ77" s="315"/>
      <c r="AR77" s="315"/>
      <c r="AS77" s="315"/>
      <c r="AT77" s="315"/>
      <c r="AU77" s="315"/>
      <c r="AV77" s="315"/>
      <c r="AW77" s="315"/>
      <c r="AX77" s="315"/>
    </row>
    <row r="78" ht="18.75" customHeight="1">
      <c r="B78" s="315"/>
      <c r="C78" s="338"/>
      <c r="D78" s="338"/>
      <c r="E78" s="338"/>
      <c r="F78" s="338"/>
      <c r="G78" s="338"/>
      <c r="H78" s="338"/>
      <c r="I78" s="338"/>
      <c r="J78" s="338"/>
      <c r="K78" s="338"/>
      <c r="L78" s="338"/>
      <c r="M78" s="338"/>
      <c r="N78" s="338"/>
      <c r="O78" s="338"/>
      <c r="P78" s="338"/>
      <c r="Q78" s="338"/>
      <c r="R78" s="338"/>
      <c r="S78" s="338"/>
      <c r="T78" s="338"/>
      <c r="U78" s="338"/>
      <c r="V78" s="338"/>
      <c r="W78" s="338"/>
      <c r="X78" s="338"/>
      <c r="Y78" s="338"/>
      <c r="Z78" s="338"/>
      <c r="AA78" s="338"/>
      <c r="AB78" s="338"/>
      <c r="AC78" s="338"/>
      <c r="AD78" s="338"/>
      <c r="AE78" s="338"/>
      <c r="AF78" s="315"/>
      <c r="AG78" s="315"/>
      <c r="AH78" s="315"/>
      <c r="AI78" s="315"/>
      <c r="AJ78" s="315"/>
      <c r="AK78" s="315"/>
      <c r="AL78" s="315"/>
      <c r="AM78" s="315"/>
      <c r="AN78" s="315"/>
      <c r="AO78" s="315"/>
      <c r="AP78" s="315"/>
      <c r="AQ78" s="315"/>
      <c r="AR78" s="315"/>
      <c r="AS78" s="315"/>
      <c r="AT78" s="315"/>
      <c r="AU78" s="315"/>
      <c r="AV78" s="315"/>
      <c r="AW78" s="315"/>
      <c r="AX78" s="315"/>
    </row>
    <row r="79" ht="18.75" customHeight="1">
      <c r="B79" s="315"/>
      <c r="C79" s="338"/>
      <c r="D79" s="338"/>
      <c r="E79" s="338"/>
      <c r="F79" s="338"/>
      <c r="G79" s="338"/>
      <c r="H79" s="338"/>
      <c r="I79" s="338"/>
      <c r="J79" s="338"/>
      <c r="K79" s="338"/>
      <c r="L79" s="338"/>
      <c r="M79" s="338"/>
      <c r="N79" s="338"/>
      <c r="O79" s="338"/>
      <c r="P79" s="338"/>
      <c r="Q79" s="338"/>
      <c r="R79" s="338"/>
      <c r="S79" s="338"/>
      <c r="T79" s="338"/>
      <c r="U79" s="338"/>
      <c r="V79" s="338"/>
      <c r="W79" s="338"/>
      <c r="X79" s="338"/>
      <c r="Y79" s="338"/>
      <c r="Z79" s="338"/>
      <c r="AA79" s="338"/>
      <c r="AB79" s="338"/>
      <c r="AC79" s="338"/>
      <c r="AD79" s="338"/>
      <c r="AE79" s="338"/>
      <c r="AF79" s="315"/>
      <c r="AG79" s="315"/>
      <c r="AH79" s="315"/>
      <c r="AI79" s="315"/>
      <c r="AJ79" s="315"/>
      <c r="AK79" s="315"/>
      <c r="AL79" s="315"/>
      <c r="AM79" s="315"/>
      <c r="AN79" s="315"/>
      <c r="AO79" s="315"/>
      <c r="AP79" s="315"/>
      <c r="AQ79" s="315"/>
      <c r="AR79" s="315"/>
      <c r="AS79" s="315"/>
      <c r="AT79" s="315"/>
      <c r="AU79" s="315"/>
      <c r="AV79" s="315"/>
      <c r="AW79" s="315"/>
      <c r="AX79" s="315"/>
    </row>
    <row r="80" ht="18.75" customHeight="1">
      <c r="B80" s="315"/>
      <c r="C80" s="338"/>
      <c r="D80" s="338"/>
      <c r="E80" s="338"/>
      <c r="F80" s="338"/>
      <c r="G80" s="338"/>
      <c r="H80" s="338"/>
      <c r="I80" s="338"/>
      <c r="J80" s="338"/>
      <c r="K80" s="338"/>
      <c r="L80" s="338"/>
      <c r="M80" s="338"/>
      <c r="N80" s="338"/>
      <c r="O80" s="338"/>
      <c r="P80" s="338"/>
      <c r="Q80" s="338"/>
      <c r="R80" s="338"/>
      <c r="S80" s="338"/>
      <c r="T80" s="338"/>
      <c r="U80" s="338"/>
      <c r="V80" s="338"/>
      <c r="W80" s="338"/>
      <c r="X80" s="338"/>
      <c r="Y80" s="338"/>
      <c r="Z80" s="338"/>
      <c r="AA80" s="338"/>
      <c r="AB80" s="338"/>
      <c r="AC80" s="338"/>
      <c r="AD80" s="338"/>
      <c r="AE80" s="338"/>
      <c r="AF80" s="315"/>
      <c r="AG80" s="315"/>
      <c r="AH80" s="315"/>
      <c r="AI80" s="315"/>
      <c r="AJ80" s="315"/>
      <c r="AK80" s="315"/>
      <c r="AL80" s="315"/>
      <c r="AM80" s="315"/>
      <c r="AN80" s="315"/>
      <c r="AO80" s="315"/>
      <c r="AP80" s="315"/>
      <c r="AQ80" s="315"/>
      <c r="AR80" s="315"/>
      <c r="AS80" s="315"/>
      <c r="AT80" s="315"/>
      <c r="AU80" s="315"/>
      <c r="AV80" s="315"/>
      <c r="AW80" s="315"/>
      <c r="AX80" s="315"/>
    </row>
    <row r="81" ht="18.75" customHeight="1">
      <c r="B81" s="315"/>
      <c r="C81" s="338"/>
      <c r="D81" s="338"/>
      <c r="E81" s="338"/>
      <c r="F81" s="338"/>
      <c r="G81" s="338"/>
      <c r="H81" s="338"/>
      <c r="I81" s="338"/>
      <c r="J81" s="338"/>
      <c r="K81" s="338"/>
      <c r="L81" s="338"/>
      <c r="M81" s="338"/>
      <c r="N81" s="338"/>
      <c r="O81" s="338"/>
      <c r="P81" s="338"/>
      <c r="Q81" s="338"/>
      <c r="R81" s="338"/>
      <c r="S81" s="338"/>
      <c r="T81" s="338"/>
      <c r="U81" s="338"/>
      <c r="V81" s="338"/>
      <c r="W81" s="338"/>
      <c r="X81" s="338"/>
      <c r="Y81" s="338"/>
      <c r="Z81" s="338"/>
      <c r="AA81" s="338"/>
      <c r="AB81" s="338"/>
      <c r="AC81" s="338"/>
      <c r="AD81" s="338"/>
      <c r="AE81" s="338"/>
      <c r="AF81" s="315"/>
      <c r="AG81" s="315"/>
      <c r="AH81" s="315"/>
      <c r="AI81" s="315"/>
      <c r="AJ81" s="315"/>
      <c r="AK81" s="315"/>
      <c r="AL81" s="315"/>
      <c r="AM81" s="315"/>
      <c r="AN81" s="315"/>
      <c r="AO81" s="315"/>
      <c r="AP81" s="315"/>
      <c r="AQ81" s="315"/>
      <c r="AR81" s="315"/>
      <c r="AS81" s="315"/>
      <c r="AT81" s="315"/>
      <c r="AU81" s="315"/>
      <c r="AV81" s="315"/>
      <c r="AW81" s="315"/>
      <c r="AX81" s="315"/>
    </row>
    <row r="82" ht="18.75" customHeight="1">
      <c r="B82" s="315"/>
      <c r="C82" s="338"/>
      <c r="D82" s="338"/>
      <c r="E82" s="338"/>
      <c r="F82" s="338"/>
      <c r="G82" s="338"/>
      <c r="H82" s="338"/>
      <c r="I82" s="338"/>
      <c r="J82" s="338"/>
      <c r="K82" s="338"/>
      <c r="L82" s="338"/>
      <c r="M82" s="338"/>
      <c r="N82" s="338"/>
      <c r="O82" s="338"/>
      <c r="P82" s="338"/>
      <c r="Q82" s="338"/>
      <c r="R82" s="338"/>
      <c r="S82" s="338"/>
      <c r="T82" s="338"/>
      <c r="U82" s="338"/>
      <c r="V82" s="338"/>
      <c r="W82" s="338"/>
      <c r="X82" s="338"/>
      <c r="Y82" s="338"/>
      <c r="Z82" s="338"/>
      <c r="AA82" s="338"/>
      <c r="AB82" s="338"/>
      <c r="AC82" s="338"/>
      <c r="AD82" s="338"/>
      <c r="AE82" s="338"/>
      <c r="AF82" s="315"/>
      <c r="AG82" s="315"/>
      <c r="AH82" s="315"/>
      <c r="AI82" s="315"/>
      <c r="AJ82" s="315"/>
      <c r="AK82" s="315"/>
      <c r="AL82" s="315"/>
      <c r="AM82" s="315"/>
      <c r="AN82" s="315"/>
      <c r="AO82" s="315"/>
      <c r="AP82" s="315"/>
      <c r="AQ82" s="315"/>
      <c r="AR82" s="315"/>
      <c r="AS82" s="315"/>
      <c r="AT82" s="315"/>
      <c r="AU82" s="315"/>
      <c r="AV82" s="315"/>
      <c r="AW82" s="315"/>
      <c r="AX82" s="315"/>
    </row>
    <row r="83" ht="18.75" customHeight="1">
      <c r="B83" s="315"/>
      <c r="C83" s="338"/>
      <c r="D83" s="338"/>
      <c r="E83" s="338"/>
      <c r="F83" s="338"/>
      <c r="G83" s="338"/>
      <c r="H83" s="338"/>
      <c r="I83" s="338"/>
      <c r="J83" s="338"/>
      <c r="K83" s="338"/>
      <c r="L83" s="338"/>
      <c r="M83" s="338"/>
      <c r="N83" s="338"/>
      <c r="O83" s="338"/>
      <c r="P83" s="338"/>
      <c r="Q83" s="338"/>
      <c r="R83" s="338"/>
      <c r="S83" s="338"/>
      <c r="T83" s="338"/>
      <c r="U83" s="338"/>
      <c r="V83" s="338"/>
      <c r="W83" s="338"/>
      <c r="X83" s="338"/>
      <c r="Y83" s="338"/>
      <c r="Z83" s="338"/>
      <c r="AA83" s="338"/>
      <c r="AB83" s="338"/>
      <c r="AC83" s="338"/>
      <c r="AD83" s="338"/>
      <c r="AE83" s="338"/>
      <c r="AF83" s="315"/>
      <c r="AG83" s="315"/>
      <c r="AH83" s="315"/>
      <c r="AI83" s="315"/>
      <c r="AJ83" s="315"/>
      <c r="AK83" s="315"/>
      <c r="AL83" s="315"/>
      <c r="AM83" s="315"/>
      <c r="AN83" s="315"/>
      <c r="AO83" s="315"/>
      <c r="AP83" s="315"/>
      <c r="AQ83" s="315"/>
      <c r="AR83" s="315"/>
      <c r="AS83" s="315"/>
      <c r="AT83" s="315"/>
      <c r="AU83" s="315"/>
      <c r="AV83" s="315"/>
      <c r="AW83" s="315"/>
      <c r="AX83" s="315"/>
    </row>
    <row r="84" ht="18.75" customHeight="1">
      <c r="B84" s="315"/>
      <c r="C84" s="338"/>
      <c r="D84" s="338"/>
      <c r="E84" s="338"/>
      <c r="F84" s="338"/>
      <c r="G84" s="338"/>
      <c r="H84" s="338"/>
      <c r="I84" s="338"/>
      <c r="J84" s="338"/>
      <c r="K84" s="338"/>
      <c r="L84" s="338"/>
      <c r="M84" s="338"/>
      <c r="N84" s="338"/>
      <c r="O84" s="338"/>
      <c r="P84" s="338"/>
      <c r="Q84" s="338"/>
      <c r="R84" s="338"/>
      <c r="S84" s="338"/>
      <c r="T84" s="338"/>
      <c r="U84" s="338"/>
      <c r="V84" s="338"/>
      <c r="W84" s="338"/>
      <c r="X84" s="338"/>
      <c r="Y84" s="338"/>
      <c r="Z84" s="338"/>
      <c r="AA84" s="338"/>
      <c r="AB84" s="338"/>
      <c r="AC84" s="338"/>
      <c r="AD84" s="338"/>
      <c r="AE84" s="338"/>
      <c r="AF84" s="315"/>
      <c r="AG84" s="315"/>
      <c r="AH84" s="315"/>
      <c r="AI84" s="315"/>
      <c r="AJ84" s="315"/>
      <c r="AK84" s="315"/>
      <c r="AL84" s="315"/>
      <c r="AM84" s="315"/>
      <c r="AN84" s="315"/>
      <c r="AO84" s="315"/>
      <c r="AP84" s="315"/>
      <c r="AQ84" s="315"/>
      <c r="AR84" s="315"/>
      <c r="AS84" s="315"/>
      <c r="AT84" s="315"/>
      <c r="AU84" s="315"/>
      <c r="AV84" s="315"/>
      <c r="AW84" s="315"/>
      <c r="AX84" s="315"/>
    </row>
    <row r="85" ht="18.75" customHeight="1">
      <c r="B85" s="315"/>
      <c r="C85" s="338"/>
      <c r="D85" s="338"/>
      <c r="E85" s="338"/>
      <c r="F85" s="338"/>
      <c r="G85" s="338"/>
      <c r="H85" s="338"/>
      <c r="I85" s="338"/>
      <c r="J85" s="338"/>
      <c r="K85" s="338"/>
      <c r="L85" s="338"/>
      <c r="M85" s="338"/>
      <c r="N85" s="338"/>
      <c r="O85" s="338"/>
      <c r="P85" s="338"/>
      <c r="Q85" s="338"/>
      <c r="R85" s="338"/>
      <c r="S85" s="338"/>
      <c r="T85" s="338"/>
      <c r="U85" s="338"/>
      <c r="V85" s="338"/>
      <c r="W85" s="338"/>
      <c r="X85" s="338"/>
      <c r="Y85" s="338"/>
      <c r="Z85" s="338"/>
      <c r="AA85" s="338"/>
      <c r="AB85" s="338"/>
      <c r="AC85" s="338"/>
      <c r="AD85" s="338"/>
      <c r="AE85" s="338"/>
      <c r="AF85" s="315"/>
      <c r="AG85" s="315"/>
      <c r="AH85" s="315"/>
      <c r="AI85" s="315"/>
      <c r="AJ85" s="315"/>
      <c r="AK85" s="315"/>
      <c r="AL85" s="315"/>
      <c r="AM85" s="315"/>
      <c r="AN85" s="315"/>
      <c r="AO85" s="315"/>
      <c r="AP85" s="315"/>
      <c r="AQ85" s="315"/>
      <c r="AR85" s="315"/>
      <c r="AS85" s="315"/>
      <c r="AT85" s="315"/>
      <c r="AU85" s="315"/>
      <c r="AV85" s="315"/>
      <c r="AW85" s="315"/>
      <c r="AX85" s="315"/>
    </row>
    <row r="86" ht="18.75" customHeight="1">
      <c r="B86" s="315"/>
      <c r="C86" s="338"/>
      <c r="D86" s="338"/>
      <c r="E86" s="338"/>
      <c r="F86" s="338"/>
      <c r="G86" s="338"/>
      <c r="H86" s="338"/>
      <c r="I86" s="338"/>
      <c r="J86" s="338"/>
      <c r="K86" s="338"/>
      <c r="L86" s="338"/>
      <c r="M86" s="338"/>
      <c r="N86" s="338"/>
      <c r="O86" s="338"/>
      <c r="P86" s="338"/>
      <c r="Q86" s="338"/>
      <c r="R86" s="338"/>
      <c r="S86" s="338"/>
      <c r="T86" s="338"/>
      <c r="U86" s="338"/>
      <c r="V86" s="338"/>
      <c r="W86" s="338"/>
      <c r="X86" s="338"/>
      <c r="Y86" s="338"/>
      <c r="Z86" s="338"/>
      <c r="AA86" s="338"/>
      <c r="AB86" s="338"/>
      <c r="AC86" s="338"/>
      <c r="AD86" s="338"/>
      <c r="AE86" s="338"/>
      <c r="AF86" s="315"/>
      <c r="AG86" s="315"/>
      <c r="AH86" s="315"/>
      <c r="AI86" s="315"/>
      <c r="AJ86" s="315"/>
      <c r="AK86" s="315"/>
      <c r="AL86" s="315"/>
      <c r="AM86" s="315"/>
      <c r="AN86" s="315"/>
      <c r="AO86" s="315"/>
      <c r="AP86" s="315"/>
      <c r="AQ86" s="315"/>
      <c r="AR86" s="315"/>
      <c r="AS86" s="315"/>
      <c r="AT86" s="315"/>
      <c r="AU86" s="315"/>
      <c r="AV86" s="315"/>
      <c r="AW86" s="315"/>
      <c r="AX86" s="315"/>
    </row>
    <row r="87" ht="18.75" customHeight="1">
      <c r="B87" s="315"/>
      <c r="C87" s="338"/>
      <c r="D87" s="338"/>
      <c r="E87" s="338"/>
      <c r="F87" s="338"/>
      <c r="G87" s="338"/>
      <c r="H87" s="338"/>
      <c r="I87" s="338"/>
      <c r="J87" s="338"/>
      <c r="K87" s="338"/>
      <c r="L87" s="338"/>
      <c r="M87" s="338"/>
      <c r="N87" s="338"/>
      <c r="O87" s="338"/>
      <c r="P87" s="338"/>
      <c r="Q87" s="338"/>
      <c r="R87" s="338"/>
      <c r="S87" s="338"/>
      <c r="T87" s="338"/>
      <c r="U87" s="338"/>
      <c r="V87" s="338"/>
      <c r="W87" s="338"/>
      <c r="X87" s="338"/>
      <c r="Y87" s="338"/>
      <c r="Z87" s="338"/>
      <c r="AA87" s="338"/>
      <c r="AB87" s="338"/>
      <c r="AC87" s="338"/>
      <c r="AD87" s="338"/>
      <c r="AE87" s="338"/>
      <c r="AF87" s="315"/>
      <c r="AG87" s="315"/>
      <c r="AH87" s="315"/>
      <c r="AI87" s="315"/>
      <c r="AJ87" s="315"/>
      <c r="AK87" s="315"/>
      <c r="AL87" s="315"/>
      <c r="AM87" s="315"/>
      <c r="AN87" s="315"/>
      <c r="AO87" s="315"/>
      <c r="AP87" s="315"/>
      <c r="AQ87" s="315"/>
      <c r="AR87" s="315"/>
      <c r="AS87" s="315"/>
      <c r="AT87" s="315"/>
      <c r="AU87" s="315"/>
      <c r="AV87" s="315"/>
      <c r="AW87" s="315"/>
      <c r="AX87" s="315"/>
    </row>
    <row r="88" ht="18.75" customHeight="1">
      <c r="B88" s="315"/>
      <c r="C88" s="338"/>
      <c r="D88" s="338"/>
      <c r="E88" s="338"/>
      <c r="F88" s="338"/>
      <c r="G88" s="338"/>
      <c r="H88" s="338"/>
      <c r="I88" s="338"/>
      <c r="J88" s="338"/>
      <c r="K88" s="338"/>
      <c r="L88" s="338"/>
      <c r="M88" s="338"/>
      <c r="N88" s="338"/>
      <c r="O88" s="338"/>
      <c r="P88" s="338"/>
      <c r="Q88" s="338"/>
      <c r="R88" s="338"/>
      <c r="S88" s="338"/>
      <c r="T88" s="338"/>
      <c r="U88" s="338"/>
      <c r="V88" s="338"/>
      <c r="W88" s="338"/>
      <c r="X88" s="338"/>
      <c r="Y88" s="338"/>
      <c r="Z88" s="338"/>
      <c r="AA88" s="338"/>
      <c r="AB88" s="338"/>
      <c r="AC88" s="338"/>
      <c r="AD88" s="338"/>
      <c r="AE88" s="338"/>
      <c r="AF88" s="315"/>
      <c r="AG88" s="315"/>
      <c r="AH88" s="315"/>
      <c r="AI88" s="315"/>
      <c r="AJ88" s="315"/>
      <c r="AK88" s="315"/>
      <c r="AL88" s="315"/>
      <c r="AM88" s="315"/>
      <c r="AN88" s="315"/>
      <c r="AO88" s="315"/>
      <c r="AP88" s="315"/>
      <c r="AQ88" s="315"/>
      <c r="AR88" s="315"/>
      <c r="AS88" s="315"/>
      <c r="AT88" s="315"/>
      <c r="AU88" s="315"/>
      <c r="AV88" s="315"/>
      <c r="AW88" s="315"/>
      <c r="AX88" s="315"/>
    </row>
    <row r="89" ht="18.75" customHeight="1">
      <c r="B89" s="315"/>
      <c r="C89" s="338"/>
      <c r="D89" s="338"/>
      <c r="E89" s="338"/>
      <c r="F89" s="338"/>
      <c r="G89" s="338"/>
      <c r="H89" s="338"/>
      <c r="I89" s="338"/>
      <c r="J89" s="338"/>
      <c r="K89" s="338"/>
      <c r="L89" s="338"/>
      <c r="M89" s="338"/>
      <c r="N89" s="338"/>
      <c r="O89" s="338"/>
      <c r="P89" s="338"/>
      <c r="Q89" s="338"/>
      <c r="R89" s="338"/>
      <c r="S89" s="338"/>
      <c r="T89" s="338"/>
      <c r="U89" s="338"/>
      <c r="V89" s="338"/>
      <c r="W89" s="338"/>
      <c r="X89" s="338"/>
      <c r="Y89" s="338"/>
      <c r="Z89" s="338"/>
      <c r="AA89" s="338"/>
      <c r="AB89" s="338"/>
      <c r="AC89" s="338"/>
      <c r="AD89" s="338"/>
      <c r="AE89" s="338"/>
      <c r="AF89" s="315"/>
      <c r="AG89" s="315"/>
      <c r="AH89" s="315"/>
      <c r="AI89" s="315"/>
      <c r="AJ89" s="315"/>
      <c r="AK89" s="315"/>
      <c r="AL89" s="315"/>
      <c r="AM89" s="315"/>
      <c r="AN89" s="315"/>
      <c r="AO89" s="315"/>
      <c r="AP89" s="315"/>
      <c r="AQ89" s="315"/>
      <c r="AR89" s="315"/>
      <c r="AS89" s="315"/>
      <c r="AT89" s="315"/>
      <c r="AU89" s="315"/>
      <c r="AV89" s="315"/>
      <c r="AW89" s="315"/>
      <c r="AX89" s="315"/>
    </row>
    <row r="90" ht="18.75" customHeight="1">
      <c r="B90" s="315"/>
      <c r="C90" s="338"/>
      <c r="D90" s="338"/>
      <c r="E90" s="338"/>
      <c r="F90" s="338"/>
      <c r="G90" s="338"/>
      <c r="H90" s="338"/>
      <c r="I90" s="338"/>
      <c r="J90" s="338"/>
      <c r="K90" s="338"/>
      <c r="L90" s="338"/>
      <c r="M90" s="338"/>
      <c r="N90" s="338"/>
      <c r="O90" s="338"/>
      <c r="P90" s="338"/>
      <c r="Q90" s="338"/>
      <c r="R90" s="338"/>
      <c r="S90" s="338"/>
      <c r="T90" s="338"/>
      <c r="U90" s="338"/>
      <c r="V90" s="338"/>
      <c r="W90" s="338"/>
      <c r="X90" s="338"/>
      <c r="Y90" s="338"/>
      <c r="Z90" s="338"/>
      <c r="AA90" s="338"/>
      <c r="AB90" s="338"/>
      <c r="AC90" s="338"/>
      <c r="AD90" s="338"/>
      <c r="AE90" s="338"/>
      <c r="AF90" s="315"/>
      <c r="AG90" s="315"/>
      <c r="AH90" s="315"/>
      <c r="AI90" s="315"/>
      <c r="AJ90" s="315"/>
      <c r="AK90" s="315"/>
      <c r="AL90" s="315"/>
      <c r="AM90" s="315"/>
      <c r="AN90" s="315"/>
      <c r="AO90" s="315"/>
      <c r="AP90" s="315"/>
      <c r="AQ90" s="315"/>
      <c r="AR90" s="315"/>
      <c r="AS90" s="315"/>
      <c r="AT90" s="315"/>
      <c r="AU90" s="315"/>
      <c r="AV90" s="315"/>
      <c r="AW90" s="315"/>
      <c r="AX90" s="315"/>
    </row>
    <row r="91" ht="18.75" customHeight="1">
      <c r="B91" s="315"/>
      <c r="C91" s="338"/>
      <c r="D91" s="338"/>
      <c r="E91" s="338"/>
      <c r="F91" s="338"/>
      <c r="G91" s="338"/>
      <c r="H91" s="338"/>
      <c r="I91" s="338"/>
      <c r="J91" s="338"/>
      <c r="K91" s="338"/>
      <c r="L91" s="338"/>
      <c r="M91" s="338"/>
      <c r="N91" s="338"/>
      <c r="O91" s="338"/>
      <c r="P91" s="338"/>
      <c r="Q91" s="338"/>
      <c r="R91" s="338"/>
      <c r="S91" s="338"/>
      <c r="T91" s="338"/>
      <c r="U91" s="338"/>
      <c r="V91" s="338"/>
      <c r="W91" s="338"/>
      <c r="X91" s="338"/>
      <c r="Y91" s="338"/>
      <c r="Z91" s="338"/>
      <c r="AA91" s="338"/>
      <c r="AB91" s="338"/>
      <c r="AC91" s="338"/>
      <c r="AD91" s="338"/>
      <c r="AE91" s="338"/>
      <c r="AF91" s="315"/>
      <c r="AG91" s="315"/>
      <c r="AH91" s="315"/>
      <c r="AI91" s="315"/>
      <c r="AJ91" s="315"/>
      <c r="AK91" s="315"/>
      <c r="AL91" s="315"/>
      <c r="AM91" s="315"/>
      <c r="AN91" s="315"/>
      <c r="AO91" s="315"/>
      <c r="AP91" s="315"/>
      <c r="AQ91" s="315"/>
      <c r="AR91" s="315"/>
      <c r="AS91" s="315"/>
      <c r="AT91" s="315"/>
      <c r="AU91" s="315"/>
      <c r="AV91" s="315"/>
      <c r="AW91" s="315"/>
      <c r="AX91" s="315"/>
    </row>
    <row r="92">
      <c r="B92" s="315"/>
      <c r="C92" s="338"/>
      <c r="D92" s="338"/>
      <c r="E92" s="338"/>
      <c r="F92" s="338"/>
      <c r="G92" s="338"/>
      <c r="H92" s="338"/>
      <c r="I92" s="338"/>
      <c r="J92" s="338"/>
      <c r="K92" s="338"/>
      <c r="L92" s="338"/>
      <c r="M92" s="338"/>
      <c r="N92" s="338"/>
      <c r="O92" s="338"/>
      <c r="P92" s="338"/>
      <c r="Q92" s="338"/>
      <c r="R92" s="338"/>
      <c r="S92" s="338"/>
      <c r="T92" s="338"/>
      <c r="U92" s="338"/>
      <c r="V92" s="338"/>
      <c r="W92" s="338"/>
      <c r="X92" s="338"/>
      <c r="Y92" s="338"/>
      <c r="Z92" s="338"/>
      <c r="AA92" s="338"/>
      <c r="AB92" s="338"/>
      <c r="AC92" s="338"/>
      <c r="AD92" s="338"/>
      <c r="AE92" s="338"/>
      <c r="AF92" s="315"/>
      <c r="AG92" s="315"/>
      <c r="AH92" s="315"/>
      <c r="AI92" s="315"/>
      <c r="AJ92" s="315"/>
      <c r="AK92" s="315"/>
      <c r="AL92" s="315"/>
      <c r="AM92" s="315"/>
      <c r="AN92" s="315"/>
      <c r="AO92" s="315"/>
      <c r="AP92" s="315"/>
      <c r="AQ92" s="315"/>
      <c r="AR92" s="315"/>
      <c r="AS92" s="315"/>
      <c r="AT92" s="315"/>
      <c r="AU92" s="315"/>
      <c r="AV92" s="315"/>
      <c r="AW92" s="315"/>
      <c r="AX92" s="315"/>
    </row>
    <row r="93">
      <c r="B93" s="315"/>
      <c r="C93" s="338"/>
      <c r="D93" s="338"/>
      <c r="E93" s="338"/>
      <c r="F93" s="338"/>
      <c r="G93" s="338"/>
      <c r="H93" s="338"/>
      <c r="I93" s="338"/>
      <c r="J93" s="338"/>
      <c r="K93" s="338"/>
      <c r="L93" s="338"/>
      <c r="M93" s="338"/>
      <c r="N93" s="338"/>
      <c r="O93" s="338"/>
      <c r="P93" s="338"/>
      <c r="Q93" s="338"/>
      <c r="R93" s="338"/>
      <c r="S93" s="338"/>
      <c r="T93" s="338"/>
      <c r="U93" s="338"/>
      <c r="V93" s="338"/>
      <c r="W93" s="338"/>
      <c r="X93" s="338"/>
      <c r="Y93" s="338"/>
      <c r="Z93" s="338"/>
      <c r="AA93" s="338"/>
      <c r="AB93" s="338"/>
      <c r="AC93" s="338"/>
      <c r="AD93" s="338"/>
      <c r="AE93" s="338"/>
      <c r="AF93" s="315"/>
      <c r="AG93" s="315"/>
      <c r="AH93" s="315"/>
      <c r="AI93" s="315"/>
      <c r="AJ93" s="315"/>
      <c r="AK93" s="315"/>
      <c r="AL93" s="315"/>
      <c r="AM93" s="315"/>
      <c r="AN93" s="315"/>
      <c r="AO93" s="315"/>
      <c r="AP93" s="315"/>
      <c r="AQ93" s="315"/>
      <c r="AR93" s="315"/>
      <c r="AS93" s="315"/>
      <c r="AT93" s="315"/>
      <c r="AU93" s="315"/>
      <c r="AV93" s="315"/>
      <c r="AW93" s="315"/>
      <c r="AX93" s="315"/>
    </row>
    <row r="94">
      <c r="B94" s="315"/>
      <c r="C94" s="338"/>
      <c r="D94" s="338"/>
      <c r="E94" s="338"/>
      <c r="F94" s="338"/>
      <c r="G94" s="338"/>
      <c r="H94" s="338"/>
      <c r="I94" s="338"/>
      <c r="J94" s="338"/>
      <c r="K94" s="338"/>
      <c r="L94" s="338"/>
      <c r="M94" s="338"/>
      <c r="N94" s="338"/>
      <c r="O94" s="338"/>
      <c r="P94" s="338"/>
      <c r="Q94" s="338"/>
      <c r="R94" s="338"/>
      <c r="S94" s="338"/>
      <c r="T94" s="338"/>
      <c r="U94" s="338"/>
      <c r="V94" s="338"/>
      <c r="W94" s="338"/>
      <c r="X94" s="338"/>
      <c r="Y94" s="338"/>
      <c r="Z94" s="338"/>
      <c r="AA94" s="338"/>
      <c r="AB94" s="338"/>
      <c r="AC94" s="338"/>
      <c r="AD94" s="338"/>
      <c r="AE94" s="338"/>
      <c r="AF94" s="315"/>
      <c r="AG94" s="315"/>
      <c r="AH94" s="315"/>
      <c r="AI94" s="315"/>
      <c r="AJ94" s="315"/>
      <c r="AK94" s="315"/>
      <c r="AL94" s="315"/>
      <c r="AM94" s="315"/>
      <c r="AN94" s="315"/>
      <c r="AO94" s="315"/>
      <c r="AP94" s="315"/>
      <c r="AQ94" s="315"/>
      <c r="AR94" s="315"/>
      <c r="AS94" s="315"/>
      <c r="AT94" s="315"/>
      <c r="AU94" s="315"/>
      <c r="AV94" s="315"/>
      <c r="AW94" s="315"/>
      <c r="AX94" s="315"/>
    </row>
    <row r="95">
      <c r="B95" s="315"/>
      <c r="C95" s="338"/>
      <c r="D95" s="338"/>
      <c r="E95" s="338"/>
      <c r="F95" s="338"/>
      <c r="G95" s="338"/>
      <c r="H95" s="338"/>
      <c r="I95" s="338"/>
      <c r="J95" s="338"/>
      <c r="K95" s="338"/>
      <c r="L95" s="338"/>
      <c r="M95" s="338"/>
      <c r="N95" s="338"/>
      <c r="O95" s="338"/>
      <c r="P95" s="338"/>
      <c r="Q95" s="338"/>
      <c r="R95" s="338"/>
      <c r="S95" s="338"/>
      <c r="T95" s="338"/>
      <c r="U95" s="338"/>
      <c r="V95" s="338"/>
      <c r="W95" s="338"/>
      <c r="X95" s="338"/>
      <c r="Y95" s="338"/>
      <c r="Z95" s="338"/>
      <c r="AA95" s="338"/>
      <c r="AB95" s="338"/>
      <c r="AC95" s="338"/>
      <c r="AD95" s="338"/>
      <c r="AE95" s="338"/>
      <c r="AF95" s="315"/>
      <c r="AG95" s="315"/>
      <c r="AH95" s="315"/>
      <c r="AI95" s="315"/>
      <c r="AJ95" s="315"/>
      <c r="AK95" s="315"/>
      <c r="AL95" s="315"/>
      <c r="AM95" s="315"/>
      <c r="AN95" s="315"/>
      <c r="AO95" s="315"/>
      <c r="AP95" s="315"/>
      <c r="AQ95" s="315"/>
      <c r="AR95" s="315"/>
      <c r="AS95" s="315"/>
      <c r="AT95" s="315"/>
      <c r="AU95" s="315"/>
      <c r="AV95" s="315"/>
      <c r="AW95" s="315"/>
      <c r="AX95" s="315"/>
    </row>
    <row r="96">
      <c r="B96" s="315"/>
      <c r="C96" s="338"/>
      <c r="D96" s="338"/>
      <c r="E96" s="338"/>
      <c r="F96" s="338"/>
      <c r="G96" s="338"/>
      <c r="H96" s="338"/>
      <c r="I96" s="338"/>
      <c r="J96" s="338"/>
      <c r="K96" s="338"/>
      <c r="L96" s="338"/>
      <c r="M96" s="338"/>
      <c r="N96" s="338"/>
      <c r="O96" s="338"/>
      <c r="P96" s="338"/>
      <c r="Q96" s="338"/>
      <c r="R96" s="338"/>
      <c r="S96" s="338"/>
      <c r="T96" s="338"/>
      <c r="U96" s="338"/>
      <c r="V96" s="338"/>
      <c r="W96" s="338"/>
      <c r="X96" s="338"/>
      <c r="Y96" s="338"/>
      <c r="Z96" s="338"/>
      <c r="AA96" s="338"/>
      <c r="AB96" s="338"/>
      <c r="AC96" s="338"/>
      <c r="AD96" s="338"/>
      <c r="AE96" s="338"/>
      <c r="AF96" s="315"/>
      <c r="AG96" s="315"/>
      <c r="AH96" s="315"/>
      <c r="AI96" s="315"/>
      <c r="AJ96" s="315"/>
      <c r="AK96" s="315"/>
      <c r="AL96" s="315"/>
      <c r="AM96" s="315"/>
      <c r="AN96" s="315"/>
      <c r="AO96" s="315"/>
      <c r="AP96" s="315"/>
      <c r="AQ96" s="315"/>
      <c r="AR96" s="315"/>
      <c r="AS96" s="315"/>
      <c r="AT96" s="315"/>
      <c r="AU96" s="315"/>
      <c r="AV96" s="315"/>
      <c r="AW96" s="315"/>
      <c r="AX96" s="315"/>
    </row>
    <row r="97">
      <c r="B97" s="315"/>
      <c r="C97" s="338"/>
      <c r="D97" s="338"/>
      <c r="E97" s="338"/>
      <c r="F97" s="338"/>
      <c r="G97" s="338"/>
      <c r="H97" s="338"/>
      <c r="I97" s="338"/>
      <c r="J97" s="338"/>
      <c r="K97" s="338"/>
      <c r="L97" s="338"/>
      <c r="M97" s="338"/>
      <c r="N97" s="338"/>
      <c r="O97" s="338"/>
      <c r="P97" s="338"/>
      <c r="Q97" s="338"/>
      <c r="R97" s="338"/>
      <c r="S97" s="338"/>
      <c r="T97" s="338"/>
      <c r="U97" s="338"/>
      <c r="V97" s="338"/>
      <c r="W97" s="338"/>
      <c r="X97" s="338"/>
      <c r="Y97" s="338"/>
      <c r="Z97" s="338"/>
      <c r="AA97" s="338"/>
      <c r="AB97" s="338"/>
      <c r="AC97" s="338"/>
      <c r="AD97" s="338"/>
      <c r="AE97" s="338"/>
      <c r="AF97" s="315"/>
      <c r="AG97" s="315"/>
      <c r="AH97" s="315"/>
      <c r="AI97" s="315"/>
      <c r="AJ97" s="315"/>
      <c r="AK97" s="315"/>
      <c r="AL97" s="315"/>
      <c r="AM97" s="315"/>
      <c r="AN97" s="315"/>
      <c r="AO97" s="315"/>
      <c r="AP97" s="315"/>
      <c r="AQ97" s="315"/>
      <c r="AR97" s="315"/>
      <c r="AS97" s="315"/>
      <c r="AT97" s="315"/>
      <c r="AU97" s="315"/>
      <c r="AV97" s="315"/>
      <c r="AW97" s="315"/>
      <c r="AX97" s="315"/>
    </row>
    <row r="98">
      <c r="B98" s="315"/>
      <c r="C98" s="338"/>
      <c r="D98" s="338"/>
      <c r="E98" s="338"/>
      <c r="F98" s="338"/>
      <c r="G98" s="338"/>
      <c r="H98" s="338"/>
      <c r="I98" s="338"/>
      <c r="J98" s="338"/>
      <c r="K98" s="338"/>
      <c r="L98" s="338"/>
      <c r="M98" s="338"/>
      <c r="N98" s="338"/>
      <c r="O98" s="338"/>
      <c r="P98" s="338"/>
      <c r="Q98" s="338"/>
      <c r="R98" s="338"/>
      <c r="S98" s="338"/>
      <c r="T98" s="338"/>
      <c r="U98" s="338"/>
      <c r="V98" s="338"/>
      <c r="W98" s="338"/>
      <c r="X98" s="338"/>
      <c r="Y98" s="338"/>
      <c r="Z98" s="338"/>
      <c r="AA98" s="338"/>
      <c r="AB98" s="338"/>
      <c r="AC98" s="338"/>
      <c r="AD98" s="338"/>
      <c r="AE98" s="338"/>
      <c r="AF98" s="315"/>
      <c r="AG98" s="315"/>
      <c r="AH98" s="315"/>
      <c r="AI98" s="315"/>
      <c r="AJ98" s="315"/>
      <c r="AK98" s="315"/>
      <c r="AL98" s="315"/>
      <c r="AM98" s="315"/>
      <c r="AN98" s="315"/>
      <c r="AO98" s="315"/>
      <c r="AP98" s="315"/>
      <c r="AQ98" s="315"/>
      <c r="AR98" s="315"/>
      <c r="AS98" s="315"/>
      <c r="AT98" s="315"/>
      <c r="AU98" s="315"/>
      <c r="AV98" s="315"/>
      <c r="AW98" s="315"/>
      <c r="AX98" s="315"/>
    </row>
  </sheetData>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Hướng dẫn</vt:lpstr>
      <vt:lpstr>InCaseOf</vt:lpstr>
      <vt:lpstr>Lab</vt:lpstr>
      <vt:lpstr>City</vt:lpstr>
      <vt:lpstr>Operator</vt:lpstr>
      <vt:lpstr>Applicant</vt:lpstr>
      <vt:lpstr>Profile</vt:lpstr>
      <vt:lpstr>BTS</vt:lpstr>
      <vt:lpstr>Input</vt:lpstr>
      <vt:lpstr>Check</vt:lpstr>
      <vt:lpstr>Certificate</vt:lpstr>
      <vt:lpstr>NoCertificate</vt:lpstr>
      <vt:lpstr>MauGCN</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Dell</cp:lastModifiedBy>
  <cp:lastPrinted>2019-03-04T03:16:48Z</cp:lastPrinted>
  <dcterms:created xsi:type="dcterms:W3CDTF">2006-09-16T00:00:00Z</dcterms:created>
  <dcterms:modified xsi:type="dcterms:W3CDTF">2019-03-07T02:58:09Z</dcterms:modified>
  <dc:title>VCC2</dc:title>
</cp:coreProperties>
</file>

<file path=docProps/custom.xml><?xml version="1.0" encoding="utf-8"?>
<Properties xmlns:vt="http://schemas.openxmlformats.org/officeDocument/2006/docPropsVTypes" xmlns="http://schemas.openxmlformats.org/officeDocument/2006/custom-properties"/>
</file>